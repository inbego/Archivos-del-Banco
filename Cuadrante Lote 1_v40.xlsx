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886" documentId="121_{59491B05-65AE-4027-8086-FE043DA9DF30}" xr6:coauthVersionLast="47" xr6:coauthVersionMax="47" xr10:uidLastSave="{9CF287B9-CA18-450D-AE1E-A471170F9AC5}"/>
  <bookViews>
    <workbookView xWindow="-110" yWindow="-110" windowWidth="19200" windowHeight="9020" firstSheet="27" activeTab="31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I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O18" i="39" s="1"/>
  <c r="N21" i="39"/>
  <c r="N18" i="39" s="1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C18" i="39" s="1"/>
  <c r="AB19" i="39"/>
  <c r="AB18" i="39" s="1"/>
  <c r="AA19" i="39"/>
  <c r="Z19" i="39"/>
  <c r="Y19" i="39"/>
  <c r="Y18" i="39" s="1"/>
  <c r="X19" i="39"/>
  <c r="X18" i="39" s="1"/>
  <c r="W19" i="39"/>
  <c r="W18" i="39" s="1"/>
  <c r="V19" i="39"/>
  <c r="V18" i="39" s="1"/>
  <c r="U19" i="39"/>
  <c r="U18" i="39" s="1"/>
  <c r="T19" i="39"/>
  <c r="T18" i="39" s="1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D18" i="41" s="1"/>
  <c r="AC20" i="41"/>
  <c r="AC18" i="41" s="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R18" i="41" s="1"/>
  <c r="Q20" i="41"/>
  <c r="Q18" i="41" s="1"/>
  <c r="P20" i="41"/>
  <c r="O20" i="41"/>
  <c r="N20" i="41"/>
  <c r="M20" i="41"/>
  <c r="L20" i="41"/>
  <c r="K20" i="41"/>
  <c r="J20" i="41"/>
  <c r="I20" i="41"/>
  <c r="H20" i="41"/>
  <c r="G20" i="41"/>
  <c r="G18" i="41" s="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M19" i="41"/>
  <c r="L19" i="41"/>
  <c r="L18" i="41" s="1"/>
  <c r="K19" i="41"/>
  <c r="K18" i="41" s="1"/>
  <c r="J19" i="41"/>
  <c r="J18" i="41" s="1"/>
  <c r="I19" i="41"/>
  <c r="I18" i="41" s="1"/>
  <c r="H19" i="41"/>
  <c r="H18" i="41" s="1"/>
  <c r="G19" i="41"/>
  <c r="F19" i="41"/>
  <c r="E19" i="41"/>
  <c r="D19" i="41"/>
  <c r="AA18" i="41"/>
  <c r="Z18" i="41"/>
  <c r="Y18" i="41"/>
  <c r="X18" i="41"/>
  <c r="N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G18" i="43" l="1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<sst xmlns="http://schemas.openxmlformats.org/spreadsheetml/2006/main" count="11126" uniqueCount="104">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</sst>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89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14" fillId="9" borderId="7" xfId="0" applyFont="1" applyFill="1" applyBorder="1" applyAlignment="1">
      <alignment horizontal="center" vertical="center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32" sqref="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158"/>
      <c r="G1" s="1158"/>
      <c r="H1" s="1158"/>
      <c r="I1" s="1158"/>
      <c r="J1" s="1158"/>
      <c r="K1" s="115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156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156"/>
      <c r="C3" s="2"/>
      <c r="D3" s="7"/>
      <c r="E3" s="7"/>
      <c r="F3" s="1166" t="s">
        <v>1</v>
      </c>
      <c r="G3" s="1166"/>
      <c r="H3" s="1166"/>
      <c r="I3" s="1166"/>
      <c r="J3" s="1166"/>
      <c r="K3" s="1166"/>
      <c r="L3" s="1166"/>
      <c r="M3" s="1166"/>
      <c r="N3" s="1166"/>
      <c r="O3" s="1166"/>
      <c r="P3" s="1166"/>
      <c r="Q3" s="1166"/>
      <c r="R3" s="1166"/>
      <c r="S3" s="1166"/>
      <c r="T3" s="1166"/>
      <c r="U3" s="1166"/>
      <c r="V3" s="1166"/>
      <c r="W3" s="1166"/>
      <c r="X3" s="1166"/>
      <c r="Y3" s="1166"/>
      <c r="Z3" s="1166"/>
      <c r="AA3" s="1166"/>
      <c r="AB3" s="1166"/>
      <c r="AC3" s="1166"/>
      <c r="AD3" s="1166"/>
      <c r="AE3" s="1166"/>
      <c r="AF3" s="1166"/>
      <c r="AG3" s="1166"/>
      <c r="AH3" s="1166"/>
      <c r="AI3" s="1166"/>
      <c r="AJ3" s="1166"/>
      <c r="AK3" s="1166"/>
      <c r="AL3" s="1161" t="s">
        <v>2</v>
      </c>
      <c r="AM3" s="1161"/>
      <c r="AN3" s="1161"/>
      <c r="AO3" s="1161"/>
      <c r="AP3" s="1161"/>
      <c r="AQ3" s="1161"/>
    </row>
    <row r="4" spans="2:45" ht="11.25" customHeight="1">
      <c r="B4" s="41"/>
      <c r="C4" s="1159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160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157" t="str">
        <f>"Plantilla de Turnos CCNC  "&amp;D29</f>
        <v>Plantilla de Turnos CCNC  Raquel</v>
      </c>
      <c r="G28" s="1157"/>
      <c r="H28" s="1157"/>
      <c r="I28" s="1157"/>
      <c r="J28" s="1157"/>
      <c r="K28" s="1157"/>
      <c r="L28" s="1157"/>
      <c r="M28" s="27"/>
      <c r="N28" s="27"/>
      <c r="O28" s="27"/>
      <c r="P28" s="11"/>
      <c r="Q28" s="10"/>
      <c r="R28" s="10"/>
      <c r="S28" s="10"/>
      <c r="T28" s="10"/>
      <c r="U28" s="10"/>
      <c r="V28" s="1157" t="str">
        <f>"Plantilla de Turnos CCNC  "&amp;V29</f>
        <v>Plantilla de Turnos CCNC  To Be</v>
      </c>
      <c r="W28" s="1157"/>
      <c r="X28" s="1157"/>
      <c r="Y28" s="1157"/>
      <c r="Z28" s="1157"/>
      <c r="AA28" s="1157"/>
      <c r="AB28" s="1157"/>
      <c r="AC28" s="1157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69">
        <f>8.33*(COUNTIFS(F30:L30,"&lt;&gt;"&amp;"L"))</f>
        <v>41.65</v>
      </c>
      <c r="P30" s="1170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67">
        <f>8.33*(COUNTIFS(W30:AC30,"&lt;&gt;"&amp;"L"))</f>
        <v>58.31</v>
      </c>
      <c r="AG30" s="1168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50">
        <f t="shared" ref="O31:O38" si="12">8.33*(COUNTIFS(F31:L31,"&lt;&gt;"&amp;"L"))</f>
        <v>33.32</v>
      </c>
      <c r="P31" s="1151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62">
        <f t="shared" ref="AF31:AF37" si="13">8.33*(COUNTIFS(W31:AC31,"&lt;&gt;"&amp;"L"))</f>
        <v>24.990000000000002</v>
      </c>
      <c r="AG31" s="1163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50">
        <f t="shared" si="12"/>
        <v>58.31</v>
      </c>
      <c r="P32" s="1151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62">
        <f t="shared" si="13"/>
        <v>33.32</v>
      </c>
      <c r="AG32" s="1163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50">
        <f>8.33*(COUNTIFS(F33:L33,"&lt;&gt;"&amp;"LG"))</f>
        <v>41.65</v>
      </c>
      <c r="P33" s="1151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62">
        <f t="shared" si="13"/>
        <v>41.65</v>
      </c>
      <c r="AG33" s="1163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62">
        <f t="shared" si="13"/>
        <v>24.990000000000002</v>
      </c>
      <c r="AG34" s="1163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50">
        <f t="shared" si="12"/>
        <v>58.31</v>
      </c>
      <c r="P35" s="1151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62">
        <f t="shared" si="13"/>
        <v>33.32</v>
      </c>
      <c r="AG35" s="1163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50">
        <f t="shared" si="12"/>
        <v>33.32</v>
      </c>
      <c r="P36" s="1151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62">
        <f t="shared" si="13"/>
        <v>41.65</v>
      </c>
      <c r="AG36" s="1163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50">
        <f t="shared" si="12"/>
        <v>24.990000000000002</v>
      </c>
      <c r="P37" s="1151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64">
        <f t="shared" si="13"/>
        <v>58.31</v>
      </c>
      <c r="AG37" s="1165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52">
        <f t="shared" si="12"/>
        <v>41.65</v>
      </c>
      <c r="P38" s="1153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71">
        <f>SUM(W40:AC40)</f>
        <v>12</v>
      </c>
      <c r="AG40" s="1172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54">
        <f>SUM(F41:L41)</f>
        <v>10</v>
      </c>
      <c r="P41" s="1155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73">
        <f t="shared" ref="AF41:AF44" si="17">SUM(W41:AC41)</f>
        <v>12</v>
      </c>
      <c r="AG41" s="1174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46">
        <f t="shared" ref="O42:O45" si="19">SUM(F42:L42)</f>
        <v>11</v>
      </c>
      <c r="P42" s="1147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73">
        <f t="shared" si="17"/>
        <v>7</v>
      </c>
      <c r="AG42" s="1174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46">
        <f t="shared" si="19"/>
        <v>7</v>
      </c>
      <c r="P43" s="1147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73">
        <f t="shared" si="17"/>
        <v>7</v>
      </c>
      <c r="AG43" s="1174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46">
        <f t="shared" si="19"/>
        <v>7</v>
      </c>
      <c r="P44" s="1147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75">
        <f t="shared" si="17"/>
        <v>18</v>
      </c>
      <c r="AG44" s="1176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48">
        <f t="shared" si="19"/>
        <v>14</v>
      </c>
      <c r="P45" s="1149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79" t="s">
        <v>51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61" t="s">
        <v>52</v>
      </c>
      <c r="AC3" s="1161"/>
      <c r="AD3" s="1161"/>
      <c r="AE3" s="1161"/>
    </row>
    <row r="4" spans="2:31" ht="11.25" customHeight="1">
      <c r="B4" s="115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60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157" t="str">
        <f>"Plantilla de Turnos CCNC  "&amp;H31</f>
        <v>Plantilla de Turnos CCNC  To Be</v>
      </c>
      <c r="I30" s="1157"/>
      <c r="J30" s="1157"/>
      <c r="K30" s="1157"/>
      <c r="L30" s="1157"/>
      <c r="M30" s="1157"/>
      <c r="N30" s="1157"/>
      <c r="O30" s="1157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67">
        <f>8.33*(COUNTIFS(I32:O32,"&lt;&gt;"&amp;"L",I32:O32,"&lt;&gt;"&amp;"D"))+8*(COUNTIFS(I32:O32,"="&amp;"D"))</f>
        <v>57.65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67">
        <f t="shared" ref="R33:R39" si="7">8.33*(COUNTIFS(I33:O33,"&lt;&gt;"&amp;"L",I33:O33,"&lt;&gt;"&amp;"D"))+8*(COUNTIFS(I33:O33,"="&amp;"D"))</f>
        <v>24.990000000000002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67">
        <f t="shared" si="7"/>
        <v>33.32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67">
        <f t="shared" si="7"/>
        <v>41.32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67">
        <f t="shared" si="7"/>
        <v>24.990000000000002</v>
      </c>
      <c r="S36" s="116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67">
        <f t="shared" si="7"/>
        <v>32.99</v>
      </c>
      <c r="S37" s="116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67">
        <f t="shared" si="7"/>
        <v>41.65</v>
      </c>
      <c r="S38" s="116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77">
        <f t="shared" si="7"/>
        <v>57.32</v>
      </c>
      <c r="S39" s="1178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71">
        <f>SUM(I42:O42)</f>
        <v>12</v>
      </c>
      <c r="S42" s="117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73">
        <f t="shared" ref="R43:R46" si="10">SUM(I43:O43)</f>
        <v>12</v>
      </c>
      <c r="S43" s="117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73">
        <f t="shared" si="10"/>
        <v>7</v>
      </c>
      <c r="S44" s="117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73">
        <f t="shared" si="10"/>
        <v>7</v>
      </c>
      <c r="S45" s="1174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75">
        <f t="shared" si="10"/>
        <v>18</v>
      </c>
      <c r="S46" s="1176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179" t="s">
        <v>59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61" t="s">
        <v>51</v>
      </c>
      <c r="AC3" s="1161"/>
      <c r="AD3" s="1161"/>
      <c r="AE3" s="1161"/>
    </row>
    <row r="4" spans="2:33" ht="11.25" customHeight="1">
      <c r="B4" s="115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160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157" t="str">
        <f>"Plantilla de Turnos CCNC  "&amp;H29</f>
        <v>Plantilla de Turnos CCNC  To Be</v>
      </c>
      <c r="I28" s="1157"/>
      <c r="J28" s="1157"/>
      <c r="K28" s="1157"/>
      <c r="L28" s="1157"/>
      <c r="M28" s="1157"/>
      <c r="N28" s="1157"/>
      <c r="O28" s="1157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7">
        <f>8.33*(COUNTIFS(I30:O30,"&lt;&gt;"&amp;"L",I30:O30,"&lt;&gt;"&amp;"D"))+8*(COUNTIFS(I30:O30,"="&amp;"D"))</f>
        <v>57.65</v>
      </c>
      <c r="S30" s="116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7">
        <f t="shared" ref="R31:R37" si="7">8.33*(COUNTIFS(I31:O31,"&lt;&gt;"&amp;"L",I31:O31,"&lt;&gt;"&amp;"D"))+8*(COUNTIFS(I31:O31,"="&amp;"D"))</f>
        <v>24.990000000000002</v>
      </c>
      <c r="S31" s="116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7">
        <f t="shared" si="7"/>
        <v>33.32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7">
        <f t="shared" si="7"/>
        <v>41.32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7">
        <f t="shared" si="7"/>
        <v>24.990000000000002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7">
        <f t="shared" si="7"/>
        <v>32.99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7">
        <f t="shared" si="7"/>
        <v>41.65</v>
      </c>
      <c r="S36" s="116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7">
        <f t="shared" si="7"/>
        <v>57.32</v>
      </c>
      <c r="S37" s="117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71">
        <f>SUM(I40:O40)</f>
        <v>12</v>
      </c>
      <c r="S40" s="117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73">
        <f t="shared" ref="R41:R44" si="10">SUM(I41:O41)</f>
        <v>12</v>
      </c>
      <c r="S41" s="117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73">
        <f t="shared" si="10"/>
        <v>7</v>
      </c>
      <c r="S42" s="11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73">
        <f t="shared" si="10"/>
        <v>7</v>
      </c>
      <c r="S43" s="117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75">
        <f t="shared" si="10"/>
        <v>18</v>
      </c>
      <c r="S44" s="117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79" t="str">
        <f>TEXT(D5,"mmm")</f>
        <v>mar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79"/>
    </row>
    <row r="4" spans="2:31" ht="11.25" customHeight="1">
      <c r="B4" s="115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60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67">
        <f>8.33*(COUNTIFS(I31:O31,"&lt;&gt;"&amp;"L",I31:O31,"&lt;&gt;"&amp;"D"))+8*(COUNTIFS(I31:O31,"="&amp;"D"))</f>
        <v>57.65</v>
      </c>
      <c r="S31" s="116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67">
        <f t="shared" ref="R32:R38" si="7">8.33*(COUNTIFS(I32:O32,"&lt;&gt;"&amp;"L",I32:O32,"&lt;&gt;"&amp;"D"))+8*(COUNTIFS(I32:O32,"="&amp;"D"))</f>
        <v>24.990000000000002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67">
        <f t="shared" si="7"/>
        <v>33.32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67">
        <f t="shared" si="7"/>
        <v>41.32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67">
        <f t="shared" si="7"/>
        <v>24.990000000000002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67">
        <f t="shared" si="7"/>
        <v>32.99</v>
      </c>
      <c r="S36" s="116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67">
        <f t="shared" si="7"/>
        <v>41.65</v>
      </c>
      <c r="S37" s="116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77">
        <f t="shared" si="7"/>
        <v>57.32</v>
      </c>
      <c r="S38" s="117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71">
        <f>SUM(I41:O41)</f>
        <v>12</v>
      </c>
      <c r="S41" s="117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73">
        <f t="shared" ref="R42:R45" si="10">SUM(I42:O42)</f>
        <v>12</v>
      </c>
      <c r="S42" s="11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73">
        <f t="shared" si="10"/>
        <v>7</v>
      </c>
      <c r="S43" s="117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73">
        <f t="shared" si="10"/>
        <v>7</v>
      </c>
      <c r="S44" s="117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75">
        <f t="shared" si="10"/>
        <v>18</v>
      </c>
      <c r="S45" s="1176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79" t="s">
        <v>65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79"/>
      <c r="AF3" s="1179"/>
      <c r="AG3" s="1179"/>
    </row>
    <row r="4" spans="2:33" ht="11.25" customHeight="1">
      <c r="B4" s="115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160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67">
        <f>8.33*(COUNTIFS(I30:O30,"&lt;&gt;"&amp;"L",I30:O30,"&lt;&gt;"&amp;"D"))+8*(COUNTIFS(I30:O30,"="&amp;"D"))</f>
        <v>57.65</v>
      </c>
      <c r="S30" s="116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67">
        <f t="shared" ref="R31:R37" si="14">8.33*(COUNTIFS(I31:O31,"&lt;&gt;"&amp;"L",I31:O31,"&lt;&gt;"&amp;"D"))+8*(COUNTIFS(I31:O31,"="&amp;"D"))</f>
        <v>24.990000000000002</v>
      </c>
      <c r="S31" s="116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67">
        <f t="shared" si="14"/>
        <v>33.32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67">
        <f t="shared" si="14"/>
        <v>41.32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67">
        <f t="shared" si="14"/>
        <v>24.990000000000002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67">
        <f t="shared" si="14"/>
        <v>32.99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67">
        <f t="shared" si="14"/>
        <v>41.65</v>
      </c>
      <c r="S36" s="116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7">
        <f t="shared" si="14"/>
        <v>57.32</v>
      </c>
      <c r="S37" s="117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1">
        <f>SUM(I40:O40)</f>
        <v>12</v>
      </c>
      <c r="S40" s="117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73">
        <f t="shared" ref="R41:R44" si="17">SUM(I41:O41)</f>
        <v>12</v>
      </c>
      <c r="S41" s="117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73">
        <f t="shared" si="17"/>
        <v>7</v>
      </c>
      <c r="S42" s="11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73">
        <f t="shared" si="17"/>
        <v>7</v>
      </c>
      <c r="S43" s="117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75">
        <f t="shared" si="17"/>
        <v>18</v>
      </c>
      <c r="S44" s="117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79" t="s">
        <v>67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79"/>
      <c r="AF3" s="1179"/>
      <c r="AG3" s="1179"/>
    </row>
    <row r="4" spans="2:34" ht="11.25" customHeight="1">
      <c r="B4" s="1159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16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7">
        <f>8.33*(COUNTIFS(I29:O29,"&lt;&gt;"&amp;"L",I29:O29,"&lt;&gt;"&amp;"D"))+8*(COUNTIFS(I29:O29,"="&amp;"D"))</f>
        <v>57.65</v>
      </c>
      <c r="S29" s="116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7">
        <f t="shared" ref="R30:R36" si="14">8.33*(COUNTIFS(I30:O30,"&lt;&gt;"&amp;"L",I30:O30,"&lt;&gt;"&amp;"D"))+8*(COUNTIFS(I30:O30,"="&amp;"D"))</f>
        <v>24.990000000000002</v>
      </c>
      <c r="S30" s="116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7">
        <f t="shared" si="14"/>
        <v>33.32</v>
      </c>
      <c r="S31" s="116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7">
        <f t="shared" si="14"/>
        <v>41.32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7">
        <f t="shared" si="14"/>
        <v>24.990000000000002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7">
        <f t="shared" si="14"/>
        <v>32.99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7">
        <f t="shared" si="14"/>
        <v>41.65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7">
        <f t="shared" si="14"/>
        <v>57.32</v>
      </c>
      <c r="S36" s="117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71">
        <f>SUM(I39:O39)</f>
        <v>12</v>
      </c>
      <c r="S39" s="117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73">
        <f t="shared" ref="R40:R43" si="17">SUM(I40:O40)</f>
        <v>12</v>
      </c>
      <c r="S40" s="117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73">
        <f t="shared" si="17"/>
        <v>7</v>
      </c>
      <c r="S41" s="117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73">
        <f t="shared" si="17"/>
        <v>7</v>
      </c>
      <c r="S42" s="11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75">
        <f t="shared" si="17"/>
        <v>18</v>
      </c>
      <c r="S43" s="11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79" t="s">
        <v>72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79"/>
      <c r="AF3" s="1179"/>
      <c r="AG3" s="1179"/>
    </row>
    <row r="4" spans="2:33" ht="11.25" customHeight="1">
      <c r="B4" s="1159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160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7">
        <f>8.33*(COUNTIFS(I30:O30,"&lt;&gt;"&amp;"L",I30:O30,"&lt;&gt;"&amp;"D"))+8*(COUNTIFS(I30:O30,"="&amp;"D"))</f>
        <v>57.65</v>
      </c>
      <c r="S30" s="116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7">
        <f t="shared" ref="R31:R37" si="14">8.33*(COUNTIFS(I31:O31,"&lt;&gt;"&amp;"L",I31:O31,"&lt;&gt;"&amp;"D"))+8*(COUNTIFS(I31:O31,"="&amp;"D"))</f>
        <v>24.990000000000002</v>
      </c>
      <c r="S31" s="116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7">
        <f t="shared" si="14"/>
        <v>33.32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7">
        <f t="shared" si="14"/>
        <v>41.32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7">
        <f t="shared" si="14"/>
        <v>24.990000000000002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7">
        <f t="shared" si="14"/>
        <v>32.99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7">
        <f t="shared" si="14"/>
        <v>41.65</v>
      </c>
      <c r="S36" s="116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7">
        <f t="shared" si="14"/>
        <v>57.32</v>
      </c>
      <c r="S37" s="117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1">
        <f>SUM(I40:O40)</f>
        <v>12</v>
      </c>
      <c r="S40" s="117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73">
        <f t="shared" ref="R41:R44" si="17">SUM(I41:O41)</f>
        <v>12</v>
      </c>
      <c r="S41" s="117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73">
        <f t="shared" si="17"/>
        <v>7</v>
      </c>
      <c r="S42" s="11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73">
        <f t="shared" si="17"/>
        <v>7</v>
      </c>
      <c r="S43" s="117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75">
        <f t="shared" si="17"/>
        <v>18</v>
      </c>
      <c r="S44" s="117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79" t="s">
        <v>76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79"/>
      <c r="AF3" s="1179"/>
      <c r="AG3" s="1179"/>
      <c r="AH3" s="179"/>
    </row>
    <row r="4" spans="2:34" ht="11.25" customHeight="1">
      <c r="B4" s="115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16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67">
        <f>8.33*(COUNTIFS(I30:O30,"&lt;&gt;"&amp;"L",I30:O30,"&lt;&gt;"&amp;"D"))+8*(COUNTIFS(I30:O30,"="&amp;"D"))</f>
        <v>57.65</v>
      </c>
      <c r="S30" s="116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67">
        <f t="shared" ref="R31:R37" si="8">8.33*(COUNTIFS(I31:O31,"&lt;&gt;"&amp;"L",I31:O31,"&lt;&gt;"&amp;"D"))+8*(COUNTIFS(I31:O31,"="&amp;"D"))</f>
        <v>24.990000000000002</v>
      </c>
      <c r="S31" s="116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67">
        <f t="shared" si="8"/>
        <v>33.32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67">
        <f t="shared" si="8"/>
        <v>41.32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67">
        <f t="shared" si="8"/>
        <v>24.990000000000002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67">
        <f t="shared" si="8"/>
        <v>32.99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67">
        <f t="shared" si="8"/>
        <v>41.65</v>
      </c>
      <c r="S36" s="116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7">
        <f t="shared" si="8"/>
        <v>57.32</v>
      </c>
      <c r="S37" s="117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71">
        <f>SUM(I40:O40)</f>
        <v>12</v>
      </c>
      <c r="S40" s="117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73">
        <f t="shared" ref="R41:R44" si="11">SUM(I41:O41)</f>
        <v>12</v>
      </c>
      <c r="S41" s="117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73">
        <f t="shared" si="11"/>
        <v>7</v>
      </c>
      <c r="S42" s="11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73">
        <f t="shared" si="11"/>
        <v>7</v>
      </c>
      <c r="S43" s="117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75">
        <f t="shared" si="11"/>
        <v>18</v>
      </c>
      <c r="S44" s="117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58"/>
      <c r="E1" s="1158"/>
      <c r="F1" s="1158"/>
      <c r="G1" s="1158"/>
      <c r="H1" s="1158"/>
      <c r="I1" s="115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79" t="s">
        <v>80</v>
      </c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79"/>
      <c r="AF3" s="1179"/>
      <c r="AG3" s="1179"/>
    </row>
    <row r="4" spans="2:34" ht="11.25" customHeight="1">
      <c r="B4" s="1159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160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67">
        <f>8.33*(COUNTIFS(I29:O29,"&lt;&gt;"&amp;"L",I29:O29,"&lt;&gt;"&amp;"D"))+8*(COUNTIFS(I29:O29,"="&amp;"D"))</f>
        <v>57.65</v>
      </c>
      <c r="S29" s="116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67">
        <f t="shared" ref="R30:R36" si="8">8.33*(COUNTIFS(I30:O30,"&lt;&gt;"&amp;"L",I30:O30,"&lt;&gt;"&amp;"D"))+8*(COUNTIFS(I30:O30,"="&amp;"D"))</f>
        <v>24.990000000000002</v>
      </c>
      <c r="S30" s="116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67">
        <f t="shared" si="8"/>
        <v>33.32</v>
      </c>
      <c r="S31" s="116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67">
        <f t="shared" si="8"/>
        <v>41.32</v>
      </c>
      <c r="S32" s="116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67">
        <f t="shared" si="8"/>
        <v>24.990000000000002</v>
      </c>
      <c r="S33" s="116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67">
        <f t="shared" si="8"/>
        <v>32.99</v>
      </c>
      <c r="S34" s="116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67">
        <f t="shared" si="8"/>
        <v>41.65</v>
      </c>
      <c r="S35" s="116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7">
        <f t="shared" si="8"/>
        <v>57.32</v>
      </c>
      <c r="S36" s="117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71">
        <f>SUM(I39:O39)</f>
        <v>12</v>
      </c>
      <c r="S39" s="117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73">
        <f t="shared" ref="R40:R43" si="11">SUM(I40:O40)</f>
        <v>12</v>
      </c>
      <c r="S40" s="117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73">
        <f t="shared" si="11"/>
        <v>7</v>
      </c>
      <c r="S41" s="117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73">
        <f t="shared" si="11"/>
        <v>7</v>
      </c>
      <c r="S42" s="117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75">
        <f t="shared" si="11"/>
        <v>18</v>
      </c>
      <c r="S43" s="117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158"/>
      <c r="E1" s="1158"/>
      <c r="F1" s="115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79"/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</row>
    <row r="4" spans="2:33" ht="11.25" customHeight="1">
      <c r="B4" s="1159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160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67">
        <f>8.33*(COUNTIFS(F29:L29,"&lt;&gt;"&amp;"L",F29:L29,"&lt;&gt;"&amp;"D"))+8*(COUNTIFS(F29:L29,"="&amp;"D"))</f>
        <v>57.65</v>
      </c>
      <c r="P29" s="1168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67">
        <f t="shared" ref="O30:O36" si="8">8.33*(COUNTIFS(F30:L30,"&lt;&gt;"&amp;"L",F30:L30,"&lt;&gt;"&amp;"D"))+8*(COUNTIFS(F30:L30,"="&amp;"D"))</f>
        <v>24.990000000000002</v>
      </c>
      <c r="P30" s="1168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67">
        <f t="shared" si="8"/>
        <v>33.32</v>
      </c>
      <c r="P31" s="1168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67">
        <f t="shared" si="8"/>
        <v>41.32</v>
      </c>
      <c r="P32" s="1168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67">
        <f t="shared" si="8"/>
        <v>24.990000000000002</v>
      </c>
      <c r="P33" s="1168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67">
        <f t="shared" si="8"/>
        <v>32.99</v>
      </c>
      <c r="P34" s="1168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67">
        <f t="shared" si="8"/>
        <v>41.65</v>
      </c>
      <c r="P35" s="1168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77">
        <f t="shared" si="8"/>
        <v>57.32</v>
      </c>
      <c r="P36" s="1178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71">
        <f>SUM(F39:L39)</f>
        <v>12</v>
      </c>
      <c r="P39" s="1172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73">
        <f t="shared" ref="O40:O43" si="11">SUM(F40:L40)</f>
        <v>12</v>
      </c>
      <c r="P40" s="1174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73">
        <f t="shared" si="11"/>
        <v>7</v>
      </c>
      <c r="P41" s="1174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73">
        <f t="shared" si="11"/>
        <v>7</v>
      </c>
      <c r="P42" s="1174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75">
        <f t="shared" si="11"/>
        <v>18</v>
      </c>
      <c r="P43" s="1176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179"/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80"/>
      <c r="AF3" s="1179"/>
      <c r="AG3" s="1180"/>
    </row>
    <row r="4" spans="2:33" ht="11.25" customHeight="1">
      <c r="B4" s="1181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181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77">
        <f t="shared" ref="N30:N37" si="8">8.33*(COUNTIFS(E30:K30,"&lt;&gt;"&amp;"L",E30:K30,"&lt;&gt;"&amp;"D"))+8*(COUNTIFS(E30:K30,"="&amp;"D"))</f>
        <v>57.65</v>
      </c>
      <c r="O30" s="1178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77">
        <f t="shared" si="8"/>
        <v>24.990000000000002</v>
      </c>
      <c r="O31" s="1178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77">
        <f t="shared" si="8"/>
        <v>33.32</v>
      </c>
      <c r="O32" s="1178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77">
        <f t="shared" si="8"/>
        <v>41.32</v>
      </c>
      <c r="O33" s="1178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77">
        <f t="shared" si="8"/>
        <v>24.990000000000002</v>
      </c>
      <c r="O34" s="1178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77">
        <f t="shared" si="8"/>
        <v>32.99</v>
      </c>
      <c r="O35" s="1178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77">
        <f t="shared" si="8"/>
        <v>41.65</v>
      </c>
      <c r="O36" s="1178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77">
        <f t="shared" si="8"/>
        <v>57.32</v>
      </c>
      <c r="O37" s="1178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71">
        <f>SUM(E40:K40)</f>
        <v>12</v>
      </c>
      <c r="O40" s="1172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73">
        <f>SUM(E41:K41)</f>
        <v>12</v>
      </c>
      <c r="O41" s="1174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73">
        <f>SUM(E42:K42)</f>
        <v>7</v>
      </c>
      <c r="O42" s="1174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73">
        <f>SUM(E43:K43)</f>
        <v>7</v>
      </c>
      <c r="O43" s="1174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75">
        <f>SUM(E44:K44)</f>
        <v>18</v>
      </c>
      <c r="O44" s="1176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185" t="s">
        <v>95</v>
      </c>
      <c r="D2" s="1185"/>
      <c r="E2" s="1185"/>
      <c r="F2" s="1185"/>
      <c r="G2" s="1185" t="s">
        <v>95</v>
      </c>
      <c r="H2" s="1185"/>
      <c r="I2" s="1185" t="s">
        <v>95</v>
      </c>
      <c r="J2" s="1185"/>
      <c r="K2" s="1185" t="s">
        <v>95</v>
      </c>
      <c r="L2" s="1185"/>
      <c r="M2" s="1185" t="s">
        <v>95</v>
      </c>
      <c r="N2" s="1185"/>
      <c r="O2" s="1185" t="s">
        <v>95</v>
      </c>
      <c r="P2" s="1185"/>
      <c r="Q2" s="1185" t="s">
        <v>95</v>
      </c>
      <c r="R2" s="1185"/>
      <c r="S2" s="1185" t="s">
        <v>95</v>
      </c>
      <c r="T2" s="1185"/>
      <c r="U2" s="1185" t="s">
        <v>95</v>
      </c>
      <c r="V2" s="1185"/>
      <c r="W2" s="1185" t="s">
        <v>95</v>
      </c>
      <c r="X2" s="1185"/>
      <c r="Y2" s="1185" t="s">
        <v>95</v>
      </c>
      <c r="Z2" s="1185"/>
      <c r="AA2" s="1185" t="s">
        <v>95</v>
      </c>
      <c r="AB2" s="1185"/>
      <c r="AC2" s="1185" t="s">
        <v>95</v>
      </c>
      <c r="AD2" s="1185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182" t="s">
        <v>95</v>
      </c>
      <c r="G3" s="1182"/>
      <c r="H3" s="1182"/>
      <c r="I3" s="1182"/>
      <c r="J3" s="1182"/>
      <c r="K3" s="1182"/>
      <c r="L3" s="1182"/>
      <c r="M3" s="1182"/>
      <c r="N3" s="1182"/>
      <c r="O3" s="1182"/>
      <c r="P3" s="1182"/>
      <c r="Q3" s="1182"/>
      <c r="R3" s="1182"/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 t="s">
        <v>95</v>
      </c>
      <c r="AE3" s="1183"/>
      <c r="AF3" s="448"/>
      <c r="AG3" s="448"/>
      <c r="AH3" s="449"/>
    </row>
    <row r="4" spans="2:34" ht="15" customHeight="1">
      <c r="B4" s="1186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158"/>
      <c r="E1" s="1158"/>
      <c r="F1" s="115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179"/>
      <c r="E3" s="1179"/>
      <c r="F3" s="1179"/>
      <c r="G3" s="1179"/>
      <c r="H3" s="1179"/>
      <c r="I3" s="1179"/>
      <c r="J3" s="1179"/>
      <c r="K3" s="1179"/>
      <c r="L3" s="1179"/>
      <c r="M3" s="1179"/>
      <c r="N3" s="1179"/>
      <c r="O3" s="1179"/>
      <c r="P3" s="1179"/>
      <c r="Q3" s="1179"/>
      <c r="R3" s="1179"/>
      <c r="S3" s="1179"/>
      <c r="T3" s="1179"/>
      <c r="U3" s="1179"/>
      <c r="V3" s="1179"/>
      <c r="W3" s="1179"/>
      <c r="X3" s="1179"/>
      <c r="Y3" s="1179"/>
      <c r="Z3" s="1179"/>
      <c r="AA3" s="1179"/>
      <c r="AB3" s="1179"/>
      <c r="AC3" s="1179"/>
      <c r="AD3" s="1179"/>
      <c r="AE3" s="1179"/>
      <c r="AF3" s="1179"/>
      <c r="AG3" s="1179"/>
      <c r="AH3" s="1180"/>
    </row>
    <row r="4" spans="2:34" ht="11.25" customHeight="1">
      <c r="B4" s="1181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18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77">
        <f>8.33*(COUNTIFS(F30:L30,"&lt;&gt;"&amp;"L",F30:L30,"&lt;&gt;"&amp;"D"))+8*(COUNTIFS(F30:L30,"="&amp;"D"))</f>
        <v>57.65</v>
      </c>
      <c r="P30" s="1178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77">
        <f t="shared" ref="O31:O37" si="10">8.33*(COUNTIFS(F31:L31,"&lt;&gt;"&amp;"L",F31:L31,"&lt;&gt;"&amp;"D"))+8*(COUNTIFS(F31:L31,"="&amp;"D"))</f>
        <v>24.990000000000002</v>
      </c>
      <c r="P31" s="1178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77">
        <f t="shared" si="10"/>
        <v>33.32</v>
      </c>
      <c r="P32" s="1178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77">
        <f t="shared" si="10"/>
        <v>41.32</v>
      </c>
      <c r="P33" s="1178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77">
        <f t="shared" si="10"/>
        <v>24.990000000000002</v>
      </c>
      <c r="P34" s="1178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77">
        <f t="shared" si="10"/>
        <v>32.99</v>
      </c>
      <c r="P35" s="1178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77">
        <f t="shared" si="10"/>
        <v>41.65</v>
      </c>
      <c r="P36" s="1178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77">
        <f t="shared" si="10"/>
        <v>57.32</v>
      </c>
      <c r="P37" s="1178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71">
        <f>SUM(F40:L40)</f>
        <v>12</v>
      </c>
      <c r="P40" s="1172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73">
        <f t="shared" ref="O41:O44" si="13">SUM(F41:L41)</f>
        <v>12</v>
      </c>
      <c r="P41" s="1174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73">
        <f t="shared" si="13"/>
        <v>7</v>
      </c>
      <c r="P42" s="1174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73">
        <f t="shared" si="13"/>
        <v>7</v>
      </c>
      <c r="P43" s="1174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75">
        <f t="shared" si="13"/>
        <v>18</v>
      </c>
      <c r="P44" s="1176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79"/>
      <c r="AC3" s="1179"/>
      <c r="AD3" s="1179"/>
      <c r="AE3" s="1180"/>
      <c r="AF3" s="1179"/>
      <c r="AG3" s="1179"/>
      <c r="AH3" s="1180"/>
    </row>
    <row r="4" spans="2:34" ht="11.25" customHeight="1">
      <c r="B4" s="1181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18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79"/>
      <c r="Z3" s="1179"/>
      <c r="AA3" s="1179"/>
      <c r="AB3" s="1179"/>
      <c r="AC3" s="1179"/>
      <c r="AD3" s="1179"/>
      <c r="AE3" s="1179"/>
      <c r="AF3" s="195"/>
      <c r="AG3" s="195"/>
      <c r="AH3" s="337"/>
    </row>
    <row r="4" spans="2:34" ht="11.25" customHeight="1">
      <c r="B4" s="1181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181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185" t="s">
        <v>95</v>
      </c>
      <c r="D2" s="1185"/>
      <c r="E2" s="1185"/>
      <c r="F2" s="1185"/>
      <c r="G2" s="1185" t="s">
        <v>95</v>
      </c>
      <c r="H2" s="1185"/>
      <c r="I2" s="1185" t="s">
        <v>95</v>
      </c>
      <c r="J2" s="1185"/>
      <c r="K2" s="1185" t="s">
        <v>95</v>
      </c>
      <c r="L2" s="1185"/>
      <c r="M2" s="1185" t="s">
        <v>95</v>
      </c>
      <c r="N2" s="1185"/>
      <c r="O2" s="1185" t="s">
        <v>95</v>
      </c>
      <c r="P2" s="1185"/>
      <c r="Q2" s="1185" t="s">
        <v>95</v>
      </c>
      <c r="R2" s="1185"/>
      <c r="S2" s="1185" t="s">
        <v>95</v>
      </c>
      <c r="T2" s="1185"/>
      <c r="U2" s="1185" t="s">
        <v>95</v>
      </c>
      <c r="V2" s="1185"/>
      <c r="W2" s="1185" t="s">
        <v>95</v>
      </c>
      <c r="X2" s="1185"/>
      <c r="Y2" s="1185" t="s">
        <v>95</v>
      </c>
      <c r="Z2" s="1185"/>
      <c r="AA2" s="1185" t="s">
        <v>95</v>
      </c>
      <c r="AB2" s="1185"/>
      <c r="AC2" s="1185" t="s">
        <v>95</v>
      </c>
      <c r="AD2" s="1185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182" t="s">
        <v>95</v>
      </c>
      <c r="G3" s="1182"/>
      <c r="H3" s="1182"/>
      <c r="I3" s="1182"/>
      <c r="J3" s="1182"/>
      <c r="K3" s="1182"/>
      <c r="L3" s="1182"/>
      <c r="M3" s="1182"/>
      <c r="N3" s="1182"/>
      <c r="O3" s="1182"/>
      <c r="P3" s="1182"/>
      <c r="Q3" s="1182"/>
      <c r="R3" s="1182"/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 t="s">
        <v>95</v>
      </c>
      <c r="AE3" s="1183"/>
    </row>
    <row r="4" spans="2:31" ht="15" customHeight="1">
      <c r="B4" s="1186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185" t="s">
        <v>95</v>
      </c>
      <c r="D2" s="1185"/>
      <c r="E2" s="1185"/>
      <c r="F2" s="1185"/>
      <c r="G2" s="1185" t="s">
        <v>95</v>
      </c>
      <c r="H2" s="1185"/>
      <c r="I2" s="1185" t="s">
        <v>95</v>
      </c>
      <c r="J2" s="1185"/>
      <c r="K2" s="1185" t="s">
        <v>95</v>
      </c>
      <c r="L2" s="1185"/>
      <c r="M2" s="1185" t="s">
        <v>95</v>
      </c>
      <c r="N2" s="1185"/>
      <c r="O2" s="1185" t="s">
        <v>95</v>
      </c>
      <c r="P2" s="1185"/>
      <c r="Q2" s="1185" t="s">
        <v>95</v>
      </c>
      <c r="R2" s="1185"/>
      <c r="S2" s="1185" t="s">
        <v>95</v>
      </c>
      <c r="T2" s="1185"/>
      <c r="U2" s="1185" t="s">
        <v>95</v>
      </c>
      <c r="V2" s="1185"/>
      <c r="W2" s="1185" t="s">
        <v>95</v>
      </c>
      <c r="X2" s="1185"/>
      <c r="Y2" s="1185" t="s">
        <v>95</v>
      </c>
      <c r="Z2" s="1185"/>
      <c r="AA2" s="1185" t="s">
        <v>95</v>
      </c>
      <c r="AB2" s="1185"/>
      <c r="AC2" s="1185" t="s">
        <v>95</v>
      </c>
      <c r="AD2" s="1185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182"/>
      <c r="E3" s="1182"/>
      <c r="F3" s="1182" t="s">
        <v>95</v>
      </c>
      <c r="G3" s="1182"/>
      <c r="H3" s="1182"/>
      <c r="I3" s="1182"/>
      <c r="J3" s="1182"/>
      <c r="K3" s="1182"/>
      <c r="L3" s="1182"/>
      <c r="M3" s="1182"/>
      <c r="N3" s="1182"/>
      <c r="O3" s="1182"/>
      <c r="P3" s="1182"/>
      <c r="Q3" s="1182"/>
      <c r="R3" s="1182"/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 t="s">
        <v>95</v>
      </c>
      <c r="AE3" s="1182"/>
      <c r="AF3" s="1182"/>
      <c r="AG3" s="1183"/>
    </row>
    <row r="4" spans="2:33" ht="15" customHeight="1" thickBot="1">
      <c r="B4" s="1186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186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186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186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186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186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186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186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186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X6" sqref="X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186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5" zoomScaleNormal="115" workbookViewId="0">
      <pane xSplit="3" ySplit="5" topLeftCell="D6" activePane="bottomRight" state="frozen"/>
      <selection pane="bottomRight" activeCell="AD7" sqref="AD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187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188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L11" sqref="L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187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188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7</v>
      </c>
      <c r="R6" s="205" t="s">
        <v>7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608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506" t="s">
        <v>8</v>
      </c>
      <c r="AD7" s="506" t="s">
        <v>8</v>
      </c>
      <c r="AE7" s="870" t="s">
        <v>53</v>
      </c>
    </row>
    <row r="8" spans="2:33" ht="15" customHeight="1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506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 thickBot="1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212" t="s">
        <v>19</v>
      </c>
      <c r="O10" s="276" t="s">
        <v>6</v>
      </c>
      <c r="P10" s="634" t="s">
        <v>7</v>
      </c>
      <c r="Q10" s="657" t="s">
        <v>7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4" t="s">
        <v>19</v>
      </c>
    </row>
    <row r="11" spans="2:33" ht="16.5" customHeight="1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506" t="s">
        <v>14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4" t="s">
        <v>14</v>
      </c>
    </row>
    <row r="12" spans="2:33" ht="15" customHeight="1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563" t="s">
        <v>19</v>
      </c>
      <c r="I12" s="564" t="s">
        <v>19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604" t="s">
        <v>14</v>
      </c>
      <c r="I13" s="665" t="s">
        <v>14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6</v>
      </c>
      <c r="I18" s="718">
        <f t="shared" si="0"/>
        <v>6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2</v>
      </c>
      <c r="I20" s="720">
        <f t="shared" si="4"/>
        <v>2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9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725">
        <f t="shared" si="17"/>
        <v>0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bottomRight" activeCell="F10" sqref="F10"/>
      <selection pane="bottomLeft" activeCell="A6" sqref="A6"/>
      <selection pane="topRight" activeCell="C1" sqref="C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187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188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102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1092" t="s">
        <v>8</v>
      </c>
      <c r="U9" s="1092" t="s">
        <v>8</v>
      </c>
      <c r="V9" s="1092" t="s">
        <v>8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517" t="s">
        <v>19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1101" t="s">
        <v>19</v>
      </c>
      <c r="V10" s="1101" t="s">
        <v>19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517" t="s">
        <v>14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04" t="s">
        <v>14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2</v>
      </c>
      <c r="U19" s="81">
        <f t="shared" si="4"/>
        <v>2</v>
      </c>
      <c r="V19" s="81">
        <f t="shared" si="4"/>
        <v>2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6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2.9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6">
      <c r="B26" s="10"/>
      <c r="C26"/>
    </row>
    <row r="27" spans="1:33" ht="12.6">
      <c r="B27" s="10"/>
      <c r="C27"/>
    </row>
    <row r="28" spans="1:33" ht="12.6">
      <c r="B28" s="10"/>
      <c r="C28"/>
    </row>
    <row r="29" spans="1:33" ht="12.6">
      <c r="B29" s="10"/>
      <c r="C29"/>
    </row>
    <row r="30" spans="1:33" ht="12.6">
      <c r="B30" s="10"/>
      <c r="C30"/>
    </row>
    <row r="31" spans="1:33" ht="12.6">
      <c r="B31" s="10"/>
      <c r="C31"/>
    </row>
    <row r="32" spans="1:33" ht="12.6">
      <c r="B32" s="10"/>
      <c r="C32"/>
    </row>
    <row r="33" spans="1:33" ht="12.6">
      <c r="B33" s="10"/>
      <c r="C33"/>
    </row>
    <row r="34" spans="1:33" s="10" customFormat="1" ht="12.6">
      <c r="A34"/>
    </row>
    <row r="35" spans="1:33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6">
      <c r="B37"/>
    </row>
    <row r="38" spans="1:33" s="10" customFormat="1" ht="12.6">
      <c r="B38"/>
    </row>
    <row r="39" spans="1:33" s="10" customFormat="1" ht="12.6">
      <c r="B39"/>
    </row>
    <row r="40" spans="1:33" s="10" customFormat="1" ht="12.6">
      <c r="B40"/>
    </row>
    <row r="41" spans="1:33" s="10" customFormat="1" ht="12.6">
      <c r="B41"/>
    </row>
    <row r="42" spans="1:33" s="10" customFormat="1" ht="12.6">
      <c r="B42"/>
    </row>
    <row r="43" spans="1:33" s="10" customFormat="1" ht="12.6">
      <c r="B43"/>
    </row>
    <row r="44" spans="1:33" s="10" customFormat="1" ht="12.6">
      <c r="B44"/>
    </row>
    <row r="45" spans="1:33" ht="12.6"/>
  </sheetData>
  <mergeCells count="1">
    <mergeCell ref="A4:A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R32" activePane="bottomRight" state="frozen"/>
      <selection pane="bottomRight" activeCell="R32" sqref="R3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87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188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102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04" t="s">
        <v>14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11" t="s">
        <v>7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bottomRight" activeCell="R23" sqref="R23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187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103</v>
      </c>
      <c r="AH4" s="452" t="s">
        <v>6</v>
      </c>
    </row>
    <row r="5" spans="2:34" ht="13.5" customHeight="1" thickBot="1">
      <c r="B5" s="1188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102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6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2.95" thickBot="1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1:35" ht="12.6"/>
    <row r="34" spans="1:35" s="10" customFormat="1" ht="12.6">
      <c r="B34"/>
      <c r="AC34"/>
      <c r="AD34"/>
      <c r="AE34"/>
      <c r="AF34"/>
      <c r="AG34"/>
      <c r="AH34"/>
      <c r="AI34"/>
    </row>
    <row r="35" spans="1:35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6">
      <c r="B37"/>
    </row>
    <row r="38" spans="1:35" s="10" customFormat="1" ht="12.6">
      <c r="B38"/>
    </row>
    <row r="39" spans="1:35" s="10" customFormat="1" ht="12.6">
      <c r="B39"/>
    </row>
    <row r="40" spans="1:35" s="10" customFormat="1" ht="12.6">
      <c r="B40"/>
    </row>
    <row r="41" spans="1:35" s="10" customFormat="1" ht="12.6">
      <c r="B41"/>
    </row>
    <row r="42" spans="1:35" s="10" customFormat="1" ht="12.6">
      <c r="B42"/>
    </row>
    <row r="43" spans="1:35" s="10" customFormat="1" ht="12.6">
      <c r="B43"/>
    </row>
    <row r="44" spans="1:35" s="10" customFormat="1" ht="12.6">
      <c r="B44"/>
    </row>
    <row r="45" spans="1:35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D6" activePane="bottomRight" state="frozen"/>
      <selection pane="bottomRight" activeCell="K8" sqref="K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87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103</v>
      </c>
      <c r="AE4" s="452" t="s">
        <v>6</v>
      </c>
      <c r="AF4" s="452" t="s">
        <v>7</v>
      </c>
      <c r="AG4" s="452" t="s">
        <v>8</v>
      </c>
    </row>
    <row r="5" spans="2:33" ht="13.5" customHeight="1" thickBot="1">
      <c r="B5" s="1188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>
      <c r="B8" s="244" t="s">
        <v>102</v>
      </c>
      <c r="C8" s="375" t="s">
        <v>21</v>
      </c>
      <c r="D8" s="1184" t="s">
        <v>4</v>
      </c>
      <c r="E8" s="1184" t="s">
        <v>4</v>
      </c>
      <c r="F8" s="1184" t="s">
        <v>4</v>
      </c>
      <c r="G8" s="1184" t="s">
        <v>4</v>
      </c>
      <c r="H8" s="103" t="s">
        <v>7</v>
      </c>
      <c r="I8" s="1085" t="s">
        <v>7</v>
      </c>
      <c r="J8" s="1086" t="s">
        <v>7</v>
      </c>
      <c r="K8" s="1184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6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2.95" thickBot="1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Z34"/>
      <c r="AA34"/>
      <c r="AB34"/>
      <c r="AC34"/>
      <c r="AD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AEC4E9-D5BB-40A4-AB55-3FD90BB5AFFA}"/>
</file>

<file path=customXml/itemProps2.xml><?xml version="1.0" encoding="utf-8"?>
<ds:datastoreItem xmlns:ds="http://schemas.openxmlformats.org/officeDocument/2006/customXml" ds:itemID="{72795535-DE3F-4CE5-85C5-BD3641CD7314}"/>
</file>

<file path=customXml/itemProps3.xml><?xml version="1.0" encoding="utf-8"?>
<ds:datastoreItem xmlns:ds="http://schemas.openxmlformats.org/officeDocument/2006/customXml" ds:itemID="{CB6FB9FC-8D96-4201-AE03-52BD3D3CBE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2026-01-28T05:59:20Z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