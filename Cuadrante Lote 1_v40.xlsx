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716" documentId="121_{59491B05-65AE-4027-8086-FE043DA9DF30}" xr6:coauthVersionLast="47" xr6:coauthVersionMax="47" xr10:uidLastSave="{A4BF5C43-A47A-40E8-AB60-81432BB66372}"/>
  <bookViews>
    <workbookView xWindow="-110" yWindow="-110" windowWidth="19200" windowHeight="9020" firstSheet="25" activeTab="26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 Provisional" sheetId="39" r:id="rId2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38" l="1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E25" i="39"/>
  <c r="D25" i="39"/>
  <c r="E24" i="39"/>
  <c r="D24" i="39"/>
  <c r="E23" i="39"/>
  <c r="D23" i="39"/>
  <c r="E22" i="39"/>
  <c r="D22" i="39"/>
  <c r="E21" i="39"/>
  <c r="D21" i="39"/>
  <c r="E20" i="39"/>
  <c r="D20" i="39"/>
  <c r="E19" i="39"/>
  <c r="D19" i="39"/>
  <c r="E18" i="39"/>
  <c r="D18" i="39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N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X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Y18" i="36" l="1"/>
  <c r="F18" i="35"/>
  <c r="R18" i="35"/>
  <c r="AB18" i="35"/>
  <c r="O18" i="35"/>
  <c r="E18" i="35"/>
  <c r="S18" i="35"/>
  <c r="AA18" i="35"/>
  <c r="AC18" i="35"/>
  <c r="V18" i="35"/>
  <c r="V18" i="38"/>
  <c r="AE18" i="39"/>
  <c r="AD18" i="39"/>
  <c r="AC18" i="39"/>
  <c r="AB18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<sst xmlns="http://schemas.openxmlformats.org/spreadsheetml/2006/main" count="9898" uniqueCount="102">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</sst>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0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</fills>
  <borders count="22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13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26" fillId="24" borderId="139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23" fillId="40" borderId="202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23" fillId="40" borderId="13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4" fillId="24" borderId="7" xfId="2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9906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075"/>
      <c r="G1" s="1075"/>
      <c r="H1" s="1075"/>
      <c r="I1" s="1075"/>
      <c r="J1" s="1075"/>
      <c r="K1" s="107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073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073"/>
      <c r="C3" s="2"/>
      <c r="D3" s="7"/>
      <c r="E3" s="7"/>
      <c r="F3" s="1083" t="s">
        <v>1</v>
      </c>
      <c r="G3" s="1083"/>
      <c r="H3" s="1083"/>
      <c r="I3" s="1083"/>
      <c r="J3" s="1083"/>
      <c r="K3" s="1083"/>
      <c r="L3" s="1083"/>
      <c r="M3" s="1083"/>
      <c r="N3" s="1083"/>
      <c r="O3" s="1083"/>
      <c r="P3" s="1083"/>
      <c r="Q3" s="1083"/>
      <c r="R3" s="1083"/>
      <c r="S3" s="1083"/>
      <c r="T3" s="1083"/>
      <c r="U3" s="1083"/>
      <c r="V3" s="1083"/>
      <c r="W3" s="1083"/>
      <c r="X3" s="1083"/>
      <c r="Y3" s="1083"/>
      <c r="Z3" s="1083"/>
      <c r="AA3" s="1083"/>
      <c r="AB3" s="1083"/>
      <c r="AC3" s="1083"/>
      <c r="AD3" s="1083"/>
      <c r="AE3" s="1083"/>
      <c r="AF3" s="1083"/>
      <c r="AG3" s="1083"/>
      <c r="AH3" s="1083"/>
      <c r="AI3" s="1083"/>
      <c r="AJ3" s="1083"/>
      <c r="AK3" s="1083"/>
      <c r="AL3" s="1078" t="s">
        <v>2</v>
      </c>
      <c r="AM3" s="1078"/>
      <c r="AN3" s="1078"/>
      <c r="AO3" s="1078"/>
      <c r="AP3" s="1078"/>
      <c r="AQ3" s="1078"/>
    </row>
    <row r="4" spans="2:45" ht="11.25" customHeight="1">
      <c r="B4" s="41"/>
      <c r="C4" s="1076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077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074" t="str">
        <f>"Plantilla de Turnos CCNC  "&amp;D29</f>
        <v>Plantilla de Turnos CCNC  Raquel</v>
      </c>
      <c r="G28" s="1074"/>
      <c r="H28" s="1074"/>
      <c r="I28" s="1074"/>
      <c r="J28" s="1074"/>
      <c r="K28" s="1074"/>
      <c r="L28" s="1074"/>
      <c r="M28" s="27"/>
      <c r="N28" s="27"/>
      <c r="O28" s="27"/>
      <c r="P28" s="11"/>
      <c r="Q28" s="10"/>
      <c r="R28" s="10"/>
      <c r="S28" s="10"/>
      <c r="T28" s="10"/>
      <c r="U28" s="10"/>
      <c r="V28" s="1074" t="str">
        <f>"Plantilla de Turnos CCNC  "&amp;V29</f>
        <v>Plantilla de Turnos CCNC  To Be</v>
      </c>
      <c r="W28" s="1074"/>
      <c r="X28" s="1074"/>
      <c r="Y28" s="1074"/>
      <c r="Z28" s="1074"/>
      <c r="AA28" s="1074"/>
      <c r="AB28" s="1074"/>
      <c r="AC28" s="1074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086">
        <f>8.33*(COUNTIFS(F30:L30,"&lt;&gt;"&amp;"L"))</f>
        <v>41.65</v>
      </c>
      <c r="P30" s="1087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084">
        <f>8.33*(COUNTIFS(W30:AC30,"&lt;&gt;"&amp;"L"))</f>
        <v>58.31</v>
      </c>
      <c r="AG30" s="1085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067">
        <f t="shared" ref="O31:O38" si="12">8.33*(COUNTIFS(F31:L31,"&lt;&gt;"&amp;"L"))</f>
        <v>33.32</v>
      </c>
      <c r="P31" s="1068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079">
        <f t="shared" ref="AF31:AF37" si="13">8.33*(COUNTIFS(W31:AC31,"&lt;&gt;"&amp;"L"))</f>
        <v>24.990000000000002</v>
      </c>
      <c r="AG31" s="1080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067">
        <f t="shared" si="12"/>
        <v>58.31</v>
      </c>
      <c r="P32" s="1068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079">
        <f t="shared" si="13"/>
        <v>33.32</v>
      </c>
      <c r="AG32" s="1080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067">
        <f>8.33*(COUNTIFS(F33:L33,"&lt;&gt;"&amp;"LG"))</f>
        <v>41.65</v>
      </c>
      <c r="P33" s="1068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079">
        <f t="shared" si="13"/>
        <v>41.65</v>
      </c>
      <c r="AG33" s="1080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079">
        <f t="shared" si="13"/>
        <v>24.990000000000002</v>
      </c>
      <c r="AG34" s="1080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067">
        <f t="shared" si="12"/>
        <v>58.31</v>
      </c>
      <c r="P35" s="1068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079">
        <f t="shared" si="13"/>
        <v>33.32</v>
      </c>
      <c r="AG35" s="1080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067">
        <f t="shared" si="12"/>
        <v>33.32</v>
      </c>
      <c r="P36" s="1068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079">
        <f t="shared" si="13"/>
        <v>41.65</v>
      </c>
      <c r="AG36" s="1080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067">
        <f t="shared" si="12"/>
        <v>24.990000000000002</v>
      </c>
      <c r="P37" s="1068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081">
        <f t="shared" si="13"/>
        <v>58.31</v>
      </c>
      <c r="AG37" s="1082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069">
        <f t="shared" si="12"/>
        <v>41.65</v>
      </c>
      <c r="P38" s="107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088">
        <f>SUM(W40:AC40)</f>
        <v>12</v>
      </c>
      <c r="AG40" s="1089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071">
        <f>SUM(F41:L41)</f>
        <v>10</v>
      </c>
      <c r="P41" s="1072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090">
        <f t="shared" ref="AF41:AF44" si="17">SUM(W41:AC41)</f>
        <v>12</v>
      </c>
      <c r="AG41" s="1091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063">
        <f t="shared" ref="O42:O45" si="19">SUM(F42:L42)</f>
        <v>11</v>
      </c>
      <c r="P42" s="1064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090">
        <f t="shared" si="17"/>
        <v>7</v>
      </c>
      <c r="AG42" s="1091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063">
        <f t="shared" si="19"/>
        <v>7</v>
      </c>
      <c r="P43" s="1064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090">
        <f t="shared" si="17"/>
        <v>7</v>
      </c>
      <c r="AG43" s="1091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063">
        <f t="shared" si="19"/>
        <v>7</v>
      </c>
      <c r="P44" s="1064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092">
        <f t="shared" si="17"/>
        <v>18</v>
      </c>
      <c r="AG44" s="1093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065">
        <f t="shared" si="19"/>
        <v>14</v>
      </c>
      <c r="P45" s="1066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096" t="s">
        <v>51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78" t="s">
        <v>52</v>
      </c>
      <c r="AC3" s="1078"/>
      <c r="AD3" s="1078"/>
      <c r="AE3" s="1078"/>
    </row>
    <row r="4" spans="2:31" ht="11.25" customHeight="1">
      <c r="B4" s="107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077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074" t="str">
        <f>"Plantilla de Turnos CCNC  "&amp;H31</f>
        <v>Plantilla de Turnos CCNC  To Be</v>
      </c>
      <c r="I30" s="1074"/>
      <c r="J30" s="1074"/>
      <c r="K30" s="1074"/>
      <c r="L30" s="1074"/>
      <c r="M30" s="1074"/>
      <c r="N30" s="1074"/>
      <c r="O30" s="1074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084">
        <f>8.33*(COUNTIFS(I32:O32,"&lt;&gt;"&amp;"L",I32:O32,"&lt;&gt;"&amp;"D"))+8*(COUNTIFS(I32:O32,"="&amp;"D"))</f>
        <v>57.65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084">
        <f t="shared" ref="R33:R39" si="7">8.33*(COUNTIFS(I33:O33,"&lt;&gt;"&amp;"L",I33:O33,"&lt;&gt;"&amp;"D"))+8*(COUNTIFS(I33:O33,"="&amp;"D"))</f>
        <v>24.990000000000002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084">
        <f t="shared" si="7"/>
        <v>33.32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084">
        <f t="shared" si="7"/>
        <v>41.32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084">
        <f t="shared" si="7"/>
        <v>24.990000000000002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084">
        <f t="shared" si="7"/>
        <v>32.99</v>
      </c>
      <c r="S37" s="10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084">
        <f t="shared" si="7"/>
        <v>41.65</v>
      </c>
      <c r="S38" s="108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094">
        <f t="shared" si="7"/>
        <v>57.32</v>
      </c>
      <c r="S39" s="109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088">
        <f>SUM(I42:O42)</f>
        <v>12</v>
      </c>
      <c r="S42" s="108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090">
        <f t="shared" ref="R43:R46" si="10">SUM(I43:O43)</f>
        <v>12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090">
        <f t="shared" si="10"/>
        <v>7</v>
      </c>
      <c r="S44" s="109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090">
        <f t="shared" si="10"/>
        <v>7</v>
      </c>
      <c r="S45" s="109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092">
        <f t="shared" si="10"/>
        <v>18</v>
      </c>
      <c r="S46" s="1093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096" t="s">
        <v>59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78" t="s">
        <v>51</v>
      </c>
      <c r="AC3" s="1078"/>
      <c r="AD3" s="1078"/>
      <c r="AE3" s="1078"/>
    </row>
    <row r="4" spans="2:33" ht="11.25" customHeight="1">
      <c r="B4" s="107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077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074" t="str">
        <f>"Plantilla de Turnos CCNC  "&amp;H29</f>
        <v>Plantilla de Turnos CCNC  To Be</v>
      </c>
      <c r="I28" s="1074"/>
      <c r="J28" s="1074"/>
      <c r="K28" s="1074"/>
      <c r="L28" s="1074"/>
      <c r="M28" s="1074"/>
      <c r="N28" s="1074"/>
      <c r="O28" s="1074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4">
        <f>8.33*(COUNTIFS(I30:O30,"&lt;&gt;"&amp;"L",I30:O30,"&lt;&gt;"&amp;"D"))+8*(COUNTIFS(I30:O30,"="&amp;"D"))</f>
        <v>57.65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4">
        <f t="shared" ref="R31:R37" si="7">8.33*(COUNTIFS(I31:O31,"&lt;&gt;"&amp;"L",I31:O31,"&lt;&gt;"&amp;"D"))+8*(COUNTIFS(I31:O31,"="&amp;"D"))</f>
        <v>24.990000000000002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4">
        <f t="shared" si="7"/>
        <v>33.32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4">
        <f t="shared" si="7"/>
        <v>41.32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4">
        <f t="shared" si="7"/>
        <v>24.990000000000002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4">
        <f t="shared" si="7"/>
        <v>32.99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4">
        <f t="shared" si="7"/>
        <v>41.65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094">
        <f t="shared" si="7"/>
        <v>57.32</v>
      </c>
      <c r="S37" s="109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088">
        <f>SUM(I40:O40)</f>
        <v>12</v>
      </c>
      <c r="S40" s="108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090">
        <f t="shared" ref="R41:R44" si="10">SUM(I41:O41)</f>
        <v>12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090">
        <f t="shared" si="10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090">
        <f t="shared" si="10"/>
        <v>7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092">
        <f t="shared" si="10"/>
        <v>18</v>
      </c>
      <c r="S44" s="109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096" t="str">
        <f>TEXT(D5,"mmm")</f>
        <v>mar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</row>
    <row r="4" spans="2:31" ht="11.25" customHeight="1">
      <c r="B4" s="107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077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084">
        <f>8.33*(COUNTIFS(I31:O31,"&lt;&gt;"&amp;"L",I31:O31,"&lt;&gt;"&amp;"D"))+8*(COUNTIFS(I31:O31,"="&amp;"D"))</f>
        <v>57.65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084">
        <f t="shared" ref="R32:R38" si="7">8.33*(COUNTIFS(I32:O32,"&lt;&gt;"&amp;"L",I32:O32,"&lt;&gt;"&amp;"D"))+8*(COUNTIFS(I32:O32,"="&amp;"D"))</f>
        <v>24.990000000000002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084">
        <f t="shared" si="7"/>
        <v>33.32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084">
        <f t="shared" si="7"/>
        <v>41.32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084">
        <f t="shared" si="7"/>
        <v>24.990000000000002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084">
        <f t="shared" si="7"/>
        <v>32.99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084">
        <f t="shared" si="7"/>
        <v>41.65</v>
      </c>
      <c r="S37" s="10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094">
        <f t="shared" si="7"/>
        <v>57.32</v>
      </c>
      <c r="S38" s="109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088">
        <f>SUM(I41:O41)</f>
        <v>12</v>
      </c>
      <c r="S41" s="108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090">
        <f t="shared" ref="R42:R45" si="10">SUM(I42:O42)</f>
        <v>12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090">
        <f t="shared" si="10"/>
        <v>7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090">
        <f t="shared" si="10"/>
        <v>7</v>
      </c>
      <c r="S44" s="109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092">
        <f t="shared" si="10"/>
        <v>18</v>
      </c>
      <c r="S45" s="1093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096" t="s">
        <v>65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</row>
    <row r="4" spans="2:33" ht="11.25" customHeight="1">
      <c r="B4" s="107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077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084">
        <f>8.33*(COUNTIFS(I30:O30,"&lt;&gt;"&amp;"L",I30:O30,"&lt;&gt;"&amp;"D"))+8*(COUNTIFS(I30:O30,"="&amp;"D"))</f>
        <v>57.65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084">
        <f t="shared" ref="R31:R37" si="14">8.33*(COUNTIFS(I31:O31,"&lt;&gt;"&amp;"L",I31:O31,"&lt;&gt;"&amp;"D"))+8*(COUNTIFS(I31:O31,"="&amp;"D"))</f>
        <v>24.990000000000002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084">
        <f t="shared" si="14"/>
        <v>33.32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084">
        <f t="shared" si="14"/>
        <v>41.32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084">
        <f t="shared" si="14"/>
        <v>24.990000000000002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084">
        <f t="shared" si="14"/>
        <v>32.99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084">
        <f t="shared" si="14"/>
        <v>41.65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094">
        <f t="shared" si="14"/>
        <v>57.32</v>
      </c>
      <c r="S37" s="109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88">
        <f>SUM(I40:O40)</f>
        <v>12</v>
      </c>
      <c r="S40" s="108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90">
        <f t="shared" ref="R41:R44" si="17">SUM(I41:O41)</f>
        <v>12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90">
        <f t="shared" si="17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90">
        <f t="shared" si="17"/>
        <v>7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92">
        <f t="shared" si="17"/>
        <v>18</v>
      </c>
      <c r="S44" s="109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096" t="s">
        <v>67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</row>
    <row r="4" spans="2:34" ht="11.25" customHeight="1">
      <c r="B4" s="1076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07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4">
        <f>8.33*(COUNTIFS(I29:O29,"&lt;&gt;"&amp;"L",I29:O29,"&lt;&gt;"&amp;"D"))+8*(COUNTIFS(I29:O29,"="&amp;"D"))</f>
        <v>57.65</v>
      </c>
      <c r="S29" s="108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4">
        <f t="shared" ref="R30:R36" si="14">8.33*(COUNTIFS(I30:O30,"&lt;&gt;"&amp;"L",I30:O30,"&lt;&gt;"&amp;"D"))+8*(COUNTIFS(I30:O30,"="&amp;"D"))</f>
        <v>24.990000000000002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4">
        <f t="shared" si="14"/>
        <v>33.32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4">
        <f t="shared" si="14"/>
        <v>41.32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4">
        <f t="shared" si="14"/>
        <v>24.990000000000002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4">
        <f t="shared" si="14"/>
        <v>32.99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4">
        <f t="shared" si="14"/>
        <v>41.65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094">
        <f t="shared" si="14"/>
        <v>57.32</v>
      </c>
      <c r="S36" s="109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088">
        <f>SUM(I39:O39)</f>
        <v>12</v>
      </c>
      <c r="S39" s="108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090">
        <f t="shared" ref="R40:R43" si="17">SUM(I40:O40)</f>
        <v>12</v>
      </c>
      <c r="S40" s="109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090">
        <f t="shared" si="17"/>
        <v>7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090">
        <f t="shared" si="17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092">
        <f t="shared" si="17"/>
        <v>18</v>
      </c>
      <c r="S43" s="109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096" t="s">
        <v>72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</row>
    <row r="4" spans="2:33" ht="11.25" customHeight="1">
      <c r="B4" s="1076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077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4">
        <f>8.33*(COUNTIFS(I30:O30,"&lt;&gt;"&amp;"L",I30:O30,"&lt;&gt;"&amp;"D"))+8*(COUNTIFS(I30:O30,"="&amp;"D"))</f>
        <v>57.65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4">
        <f t="shared" ref="R31:R37" si="14">8.33*(COUNTIFS(I31:O31,"&lt;&gt;"&amp;"L",I31:O31,"&lt;&gt;"&amp;"D"))+8*(COUNTIFS(I31:O31,"="&amp;"D"))</f>
        <v>24.990000000000002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4">
        <f t="shared" si="14"/>
        <v>33.32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4">
        <f t="shared" si="14"/>
        <v>41.32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4">
        <f t="shared" si="14"/>
        <v>24.990000000000002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4">
        <f t="shared" si="14"/>
        <v>32.99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4">
        <f t="shared" si="14"/>
        <v>41.65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094">
        <f t="shared" si="14"/>
        <v>57.32</v>
      </c>
      <c r="S37" s="109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088">
        <f>SUM(I40:O40)</f>
        <v>12</v>
      </c>
      <c r="S40" s="108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090">
        <f t="shared" ref="R41:R44" si="17">SUM(I41:O41)</f>
        <v>12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090">
        <f t="shared" si="17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090">
        <f t="shared" si="17"/>
        <v>7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092">
        <f t="shared" si="17"/>
        <v>18</v>
      </c>
      <c r="S44" s="109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096" t="s">
        <v>76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  <c r="AH3" s="179"/>
    </row>
    <row r="4" spans="2:34" ht="11.25" customHeight="1">
      <c r="B4" s="107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07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084">
        <f>8.33*(COUNTIFS(I30:O30,"&lt;&gt;"&amp;"L",I30:O30,"&lt;&gt;"&amp;"D"))+8*(COUNTIFS(I30:O30,"="&amp;"D"))</f>
        <v>57.65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084">
        <f t="shared" ref="R31:R37" si="8">8.33*(COUNTIFS(I31:O31,"&lt;&gt;"&amp;"L",I31:O31,"&lt;&gt;"&amp;"D"))+8*(COUNTIFS(I31:O31,"="&amp;"D"))</f>
        <v>24.990000000000002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084">
        <f t="shared" si="8"/>
        <v>33.32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084">
        <f t="shared" si="8"/>
        <v>41.32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084">
        <f t="shared" si="8"/>
        <v>24.990000000000002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084">
        <f t="shared" si="8"/>
        <v>32.99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084">
        <f t="shared" si="8"/>
        <v>41.65</v>
      </c>
      <c r="S36" s="10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094">
        <f t="shared" si="8"/>
        <v>57.32</v>
      </c>
      <c r="S37" s="109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088">
        <f>SUM(I40:O40)</f>
        <v>12</v>
      </c>
      <c r="S40" s="108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090">
        <f t="shared" ref="R41:R44" si="11">SUM(I41:O41)</f>
        <v>12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090">
        <f t="shared" si="11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090">
        <f t="shared" si="11"/>
        <v>7</v>
      </c>
      <c r="S43" s="109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092">
        <f t="shared" si="11"/>
        <v>18</v>
      </c>
      <c r="S44" s="109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075"/>
      <c r="E1" s="1075"/>
      <c r="F1" s="1075"/>
      <c r="G1" s="1075"/>
      <c r="H1" s="1075"/>
      <c r="I1" s="107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096" t="s">
        <v>80</v>
      </c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</row>
    <row r="4" spans="2:34" ht="11.25" customHeight="1">
      <c r="B4" s="1076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077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084">
        <f>8.33*(COUNTIFS(I29:O29,"&lt;&gt;"&amp;"L",I29:O29,"&lt;&gt;"&amp;"D"))+8*(COUNTIFS(I29:O29,"="&amp;"D"))</f>
        <v>57.65</v>
      </c>
      <c r="S29" s="108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084">
        <f t="shared" ref="R30:R36" si="8">8.33*(COUNTIFS(I30:O30,"&lt;&gt;"&amp;"L",I30:O30,"&lt;&gt;"&amp;"D"))+8*(COUNTIFS(I30:O30,"="&amp;"D"))</f>
        <v>24.990000000000002</v>
      </c>
      <c r="S30" s="108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084">
        <f t="shared" si="8"/>
        <v>33.32</v>
      </c>
      <c r="S31" s="108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084">
        <f t="shared" si="8"/>
        <v>41.32</v>
      </c>
      <c r="S32" s="108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084">
        <f t="shared" si="8"/>
        <v>24.990000000000002</v>
      </c>
      <c r="S33" s="108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084">
        <f t="shared" si="8"/>
        <v>32.99</v>
      </c>
      <c r="S34" s="108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084">
        <f t="shared" si="8"/>
        <v>41.65</v>
      </c>
      <c r="S35" s="108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094">
        <f t="shared" si="8"/>
        <v>57.32</v>
      </c>
      <c r="S36" s="109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088">
        <f>SUM(I39:O39)</f>
        <v>12</v>
      </c>
      <c r="S39" s="108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090">
        <f t="shared" ref="R40:R43" si="11">SUM(I40:O40)</f>
        <v>12</v>
      </c>
      <c r="S40" s="109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090">
        <f t="shared" si="11"/>
        <v>7</v>
      </c>
      <c r="S41" s="109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090">
        <f t="shared" si="11"/>
        <v>7</v>
      </c>
      <c r="S42" s="109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092">
        <f t="shared" si="11"/>
        <v>18</v>
      </c>
      <c r="S43" s="109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075"/>
      <c r="E1" s="1075"/>
      <c r="F1" s="107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096"/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</row>
    <row r="4" spans="2:33" ht="11.25" customHeight="1">
      <c r="B4" s="1076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077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084">
        <f>8.33*(COUNTIFS(F29:L29,"&lt;&gt;"&amp;"L",F29:L29,"&lt;&gt;"&amp;"D"))+8*(COUNTIFS(F29:L29,"="&amp;"D"))</f>
        <v>57.65</v>
      </c>
      <c r="P29" s="1085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084">
        <f t="shared" ref="O30:O36" si="8">8.33*(COUNTIFS(F30:L30,"&lt;&gt;"&amp;"L",F30:L30,"&lt;&gt;"&amp;"D"))+8*(COUNTIFS(F30:L30,"="&amp;"D"))</f>
        <v>24.990000000000002</v>
      </c>
      <c r="P30" s="108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084">
        <f t="shared" si="8"/>
        <v>33.32</v>
      </c>
      <c r="P31" s="108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084">
        <f t="shared" si="8"/>
        <v>41.32</v>
      </c>
      <c r="P32" s="108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084">
        <f t="shared" si="8"/>
        <v>24.990000000000002</v>
      </c>
      <c r="P33" s="108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084">
        <f t="shared" si="8"/>
        <v>32.99</v>
      </c>
      <c r="P34" s="108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084">
        <f t="shared" si="8"/>
        <v>41.65</v>
      </c>
      <c r="P35" s="108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094">
        <f t="shared" si="8"/>
        <v>57.32</v>
      </c>
      <c r="P36" s="109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088">
        <f>SUM(F39:L39)</f>
        <v>12</v>
      </c>
      <c r="P39" s="108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090">
        <f t="shared" ref="O40:O43" si="11">SUM(F40:L40)</f>
        <v>12</v>
      </c>
      <c r="P40" s="1091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090">
        <f t="shared" si="11"/>
        <v>7</v>
      </c>
      <c r="P41" s="109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090">
        <f t="shared" si="11"/>
        <v>7</v>
      </c>
      <c r="P42" s="109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092">
        <f t="shared" si="11"/>
        <v>18</v>
      </c>
      <c r="P43" s="1093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W6" activePane="bottomRight" state="frozen"/>
      <selection pane="bottomRight" activeCell="AF2" sqref="AF2:AG14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096"/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7"/>
      <c r="AF3" s="1096"/>
      <c r="AG3" s="1097"/>
    </row>
    <row r="4" spans="2:33" ht="11.25" customHeight="1">
      <c r="B4" s="1098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098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094">
        <f t="shared" ref="N30:N37" si="8">8.33*(COUNTIFS(E30:K30,"&lt;&gt;"&amp;"L",E30:K30,"&lt;&gt;"&amp;"D"))+8*(COUNTIFS(E30:K30,"="&amp;"D"))</f>
        <v>57.65</v>
      </c>
      <c r="O30" s="1095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094">
        <f t="shared" si="8"/>
        <v>24.990000000000002</v>
      </c>
      <c r="O31" s="1095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094">
        <f t="shared" si="8"/>
        <v>33.32</v>
      </c>
      <c r="O32" s="1095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094">
        <f t="shared" si="8"/>
        <v>41.32</v>
      </c>
      <c r="O33" s="1095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094">
        <f t="shared" si="8"/>
        <v>24.990000000000002</v>
      </c>
      <c r="O34" s="1095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094">
        <f t="shared" si="8"/>
        <v>32.99</v>
      </c>
      <c r="O35" s="1095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094">
        <f t="shared" si="8"/>
        <v>41.65</v>
      </c>
      <c r="O36" s="1095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094">
        <f t="shared" si="8"/>
        <v>57.32</v>
      </c>
      <c r="O37" s="1095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088">
        <f>SUM(E40:K40)</f>
        <v>12</v>
      </c>
      <c r="O40" s="108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090">
        <f>SUM(E41:K41)</f>
        <v>12</v>
      </c>
      <c r="O41" s="1091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090">
        <f>SUM(E42:K42)</f>
        <v>7</v>
      </c>
      <c r="O42" s="1091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090">
        <f>SUM(E43:K43)</f>
        <v>7</v>
      </c>
      <c r="O43" s="1091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092">
        <f>SUM(E44:K44)</f>
        <v>18</v>
      </c>
      <c r="O44" s="1093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09" t="s">
        <v>95</v>
      </c>
      <c r="D2" s="1109"/>
      <c r="E2" s="1109"/>
      <c r="F2" s="1109"/>
      <c r="G2" s="1109" t="s">
        <v>95</v>
      </c>
      <c r="H2" s="1109"/>
      <c r="I2" s="1109" t="s">
        <v>95</v>
      </c>
      <c r="J2" s="1109"/>
      <c r="K2" s="1109" t="s">
        <v>95</v>
      </c>
      <c r="L2" s="1109"/>
      <c r="M2" s="1109" t="s">
        <v>95</v>
      </c>
      <c r="N2" s="1109"/>
      <c r="O2" s="1109" t="s">
        <v>95</v>
      </c>
      <c r="P2" s="1109"/>
      <c r="Q2" s="1109" t="s">
        <v>95</v>
      </c>
      <c r="R2" s="1109"/>
      <c r="S2" s="1109" t="s">
        <v>95</v>
      </c>
      <c r="T2" s="1109"/>
      <c r="U2" s="1109" t="s">
        <v>95</v>
      </c>
      <c r="V2" s="1109"/>
      <c r="W2" s="1109" t="s">
        <v>95</v>
      </c>
      <c r="X2" s="1109"/>
      <c r="Y2" s="1109" t="s">
        <v>95</v>
      </c>
      <c r="Z2" s="1109"/>
      <c r="AA2" s="1109" t="s">
        <v>95</v>
      </c>
      <c r="AB2" s="1109"/>
      <c r="AC2" s="1109" t="s">
        <v>95</v>
      </c>
      <c r="AD2" s="1109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099" t="s">
        <v>95</v>
      </c>
      <c r="G3" s="1099"/>
      <c r="H3" s="1099"/>
      <c r="I3" s="1099"/>
      <c r="J3" s="1099"/>
      <c r="K3" s="1099"/>
      <c r="L3" s="1099"/>
      <c r="M3" s="1099"/>
      <c r="N3" s="1099"/>
      <c r="O3" s="1099"/>
      <c r="P3" s="1099"/>
      <c r="Q3" s="1099"/>
      <c r="R3" s="1099"/>
      <c r="S3" s="1099"/>
      <c r="T3" s="1099"/>
      <c r="U3" s="1099"/>
      <c r="V3" s="1099"/>
      <c r="W3" s="1099"/>
      <c r="X3" s="1099"/>
      <c r="Y3" s="1099"/>
      <c r="Z3" s="1099"/>
      <c r="AA3" s="1099"/>
      <c r="AB3" s="1099"/>
      <c r="AC3" s="1099"/>
      <c r="AD3" s="1099" t="s">
        <v>95</v>
      </c>
      <c r="AE3" s="1100"/>
      <c r="AF3" s="448"/>
      <c r="AG3" s="448"/>
      <c r="AH3" s="449"/>
    </row>
    <row r="4" spans="2:34" ht="15" customHeight="1">
      <c r="B4" s="1110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4" t="s">
        <v>23</v>
      </c>
      <c r="E6" s="1004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21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22" t="s">
        <v>23</v>
      </c>
      <c r="AG6" s="1023" t="s">
        <v>23</v>
      </c>
      <c r="AH6" s="988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6" t="s">
        <v>23</v>
      </c>
      <c r="S8" s="847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5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6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075"/>
      <c r="E1" s="1075"/>
      <c r="F1" s="107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096"/>
      <c r="E3" s="1096"/>
      <c r="F3" s="1096"/>
      <c r="G3" s="1096"/>
      <c r="H3" s="1096"/>
      <c r="I3" s="1096"/>
      <c r="J3" s="1096"/>
      <c r="K3" s="1096"/>
      <c r="L3" s="1096"/>
      <c r="M3" s="1096"/>
      <c r="N3" s="1096"/>
      <c r="O3" s="1096"/>
      <c r="P3" s="1096"/>
      <c r="Q3" s="1096"/>
      <c r="R3" s="1096"/>
      <c r="S3" s="1096"/>
      <c r="T3" s="1096"/>
      <c r="U3" s="1096"/>
      <c r="V3" s="1096"/>
      <c r="W3" s="1096"/>
      <c r="X3" s="1096"/>
      <c r="Y3" s="1096"/>
      <c r="Z3" s="1096"/>
      <c r="AA3" s="1096"/>
      <c r="AB3" s="1096"/>
      <c r="AC3" s="1096"/>
      <c r="AD3" s="1096"/>
      <c r="AE3" s="1096"/>
      <c r="AF3" s="1096"/>
      <c r="AG3" s="1096"/>
      <c r="AH3" s="1097"/>
    </row>
    <row r="4" spans="2:34" ht="11.25" customHeight="1">
      <c r="B4" s="1098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09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094">
        <f>8.33*(COUNTIFS(F30:L30,"&lt;&gt;"&amp;"L",F30:L30,"&lt;&gt;"&amp;"D"))+8*(COUNTIFS(F30:L30,"="&amp;"D"))</f>
        <v>57.65</v>
      </c>
      <c r="P30" s="109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094">
        <f t="shared" ref="O31:O37" si="10">8.33*(COUNTIFS(F31:L31,"&lt;&gt;"&amp;"L",F31:L31,"&lt;&gt;"&amp;"D"))+8*(COUNTIFS(F31:L31,"="&amp;"D"))</f>
        <v>24.990000000000002</v>
      </c>
      <c r="P31" s="109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094">
        <f t="shared" si="10"/>
        <v>33.32</v>
      </c>
      <c r="P32" s="109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094">
        <f t="shared" si="10"/>
        <v>41.32</v>
      </c>
      <c r="P33" s="109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094">
        <f t="shared" si="10"/>
        <v>24.990000000000002</v>
      </c>
      <c r="P34" s="109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094">
        <f t="shared" si="10"/>
        <v>32.99</v>
      </c>
      <c r="P35" s="109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094">
        <f t="shared" si="10"/>
        <v>41.65</v>
      </c>
      <c r="P36" s="109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094">
        <f t="shared" si="10"/>
        <v>57.32</v>
      </c>
      <c r="P37" s="1095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088">
        <f>SUM(F40:L40)</f>
        <v>12</v>
      </c>
      <c r="P40" s="108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090">
        <f t="shared" ref="O41:O44" si="13">SUM(F41:L41)</f>
        <v>12</v>
      </c>
      <c r="P41" s="109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090">
        <f t="shared" si="13"/>
        <v>7</v>
      </c>
      <c r="P42" s="109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090">
        <f t="shared" si="13"/>
        <v>7</v>
      </c>
      <c r="P43" s="1091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092">
        <f t="shared" si="13"/>
        <v>18</v>
      </c>
      <c r="P44" s="1093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096"/>
      <c r="AC3" s="1096"/>
      <c r="AD3" s="1096"/>
      <c r="AE3" s="1097"/>
      <c r="AF3" s="1096"/>
      <c r="AG3" s="1096"/>
      <c r="AH3" s="1097"/>
    </row>
    <row r="4" spans="2:34" ht="11.25" customHeight="1">
      <c r="B4" s="1098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09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096"/>
      <c r="Z3" s="1096"/>
      <c r="AA3" s="1096"/>
      <c r="AB3" s="1096"/>
      <c r="AC3" s="1096"/>
      <c r="AD3" s="1096"/>
      <c r="AE3" s="1096"/>
      <c r="AF3" s="195"/>
      <c r="AG3" s="195"/>
      <c r="AH3" s="337"/>
    </row>
    <row r="4" spans="2:34" ht="11.25" customHeight="1">
      <c r="B4" s="1098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098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9" t="s">
        <v>22</v>
      </c>
      <c r="E6" s="990" t="s">
        <v>22</v>
      </c>
      <c r="F6" s="990" t="s">
        <v>53</v>
      </c>
      <c r="G6" s="990" t="s">
        <v>23</v>
      </c>
      <c r="H6" s="991" t="s">
        <v>23</v>
      </c>
      <c r="I6" s="992" t="s">
        <v>16</v>
      </c>
      <c r="J6" s="993" t="s">
        <v>16</v>
      </c>
      <c r="K6" s="994" t="s">
        <v>16</v>
      </c>
      <c r="L6" s="994" t="s">
        <v>16</v>
      </c>
      <c r="M6" s="994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5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6" t="s">
        <v>16</v>
      </c>
      <c r="AC6" s="996" t="s">
        <v>16</v>
      </c>
      <c r="AD6" s="996" t="s">
        <v>22</v>
      </c>
      <c r="AE6" s="996" t="s">
        <v>22</v>
      </c>
      <c r="AF6" s="997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8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9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1000" t="s">
        <v>8</v>
      </c>
    </row>
    <row r="8" spans="2:34" ht="15" customHeight="1">
      <c r="B8" s="244" t="s">
        <v>20</v>
      </c>
      <c r="C8" s="10" t="s">
        <v>21</v>
      </c>
      <c r="D8" s="1001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9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1002" t="s">
        <v>94</v>
      </c>
      <c r="O8" s="1002" t="s">
        <v>94</v>
      </c>
      <c r="P8" s="1003" t="s">
        <v>94</v>
      </c>
      <c r="Q8" s="1003" t="s">
        <v>94</v>
      </c>
      <c r="R8" s="270" t="s">
        <v>22</v>
      </c>
      <c r="S8" s="270" t="s">
        <v>22</v>
      </c>
      <c r="T8" s="271" t="s">
        <v>53</v>
      </c>
      <c r="U8" s="1004" t="s">
        <v>23</v>
      </c>
      <c r="V8" s="1005" t="s">
        <v>23</v>
      </c>
      <c r="W8" s="988" t="s">
        <v>16</v>
      </c>
      <c r="X8" s="988" t="s">
        <v>16</v>
      </c>
      <c r="Y8" s="988" t="s">
        <v>16</v>
      </c>
      <c r="Z8" s="988" t="s">
        <v>16</v>
      </c>
      <c r="AA8" s="988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1000" t="s">
        <v>8</v>
      </c>
    </row>
    <row r="9" spans="2:34" ht="15" customHeight="1">
      <c r="B9" s="244" t="s">
        <v>66</v>
      </c>
      <c r="C9" s="10" t="s">
        <v>26</v>
      </c>
      <c r="D9" s="1006" t="s">
        <v>7</v>
      </c>
      <c r="E9" s="1007" t="s">
        <v>7</v>
      </c>
      <c r="F9" s="1008" t="s">
        <v>7</v>
      </c>
      <c r="G9" s="1009" t="s">
        <v>8</v>
      </c>
      <c r="H9" s="1010" t="s">
        <v>8</v>
      </c>
      <c r="I9" s="1006" t="s">
        <v>14</v>
      </c>
      <c r="J9" s="363" t="s">
        <v>14</v>
      </c>
      <c r="K9" s="363" t="s">
        <v>14</v>
      </c>
      <c r="L9" s="363" t="s">
        <v>14</v>
      </c>
      <c r="M9" s="1011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12" t="s">
        <v>7</v>
      </c>
    </row>
    <row r="10" spans="2:34" ht="17.25" customHeight="1">
      <c r="B10" s="252" t="s">
        <v>90</v>
      </c>
      <c r="C10" s="331" t="s">
        <v>28</v>
      </c>
      <c r="D10" s="1013" t="s">
        <v>6</v>
      </c>
      <c r="E10" s="552" t="s">
        <v>19</v>
      </c>
      <c r="F10" s="552" t="s">
        <v>19</v>
      </c>
      <c r="G10" s="1014" t="s">
        <v>19</v>
      </c>
      <c r="H10" s="910" t="s">
        <v>19</v>
      </c>
      <c r="I10" s="999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5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5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5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5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5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6" t="s">
        <v>14</v>
      </c>
    </row>
    <row r="12" spans="2:34" ht="15" customHeight="1">
      <c r="B12" s="256" t="s">
        <v>92</v>
      </c>
      <c r="C12" s="332" t="s">
        <v>32</v>
      </c>
      <c r="D12" s="998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8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7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6" t="s">
        <v>7</v>
      </c>
    </row>
    <row r="13" spans="2:34" ht="15" customHeight="1">
      <c r="B13" s="256" t="s">
        <v>93</v>
      </c>
      <c r="C13" s="332" t="s">
        <v>34</v>
      </c>
      <c r="D13" s="1001" t="s">
        <v>7</v>
      </c>
      <c r="E13" s="486" t="s">
        <v>4</v>
      </c>
      <c r="F13" s="486" t="s">
        <v>4</v>
      </c>
      <c r="G13" s="1018" t="s">
        <v>7</v>
      </c>
      <c r="H13" s="1019" t="s">
        <v>7</v>
      </c>
      <c r="I13" s="1020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C6" activePane="bottomRight" state="frozen"/>
      <selection pane="bottomRight" activeCell="AC6" sqref="AC6:AD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09" t="s">
        <v>95</v>
      </c>
      <c r="D2" s="1109"/>
      <c r="E2" s="1109"/>
      <c r="F2" s="1109"/>
      <c r="G2" s="1109" t="s">
        <v>95</v>
      </c>
      <c r="H2" s="1109"/>
      <c r="I2" s="1109" t="s">
        <v>95</v>
      </c>
      <c r="J2" s="1109"/>
      <c r="K2" s="1109" t="s">
        <v>95</v>
      </c>
      <c r="L2" s="1109"/>
      <c r="M2" s="1109" t="s">
        <v>95</v>
      </c>
      <c r="N2" s="1109"/>
      <c r="O2" s="1109" t="s">
        <v>95</v>
      </c>
      <c r="P2" s="1109"/>
      <c r="Q2" s="1109" t="s">
        <v>95</v>
      </c>
      <c r="R2" s="1109"/>
      <c r="S2" s="1109" t="s">
        <v>95</v>
      </c>
      <c r="T2" s="1109"/>
      <c r="U2" s="1109" t="s">
        <v>95</v>
      </c>
      <c r="V2" s="1109"/>
      <c r="W2" s="1109" t="s">
        <v>95</v>
      </c>
      <c r="X2" s="1109"/>
      <c r="Y2" s="1109" t="s">
        <v>95</v>
      </c>
      <c r="Z2" s="1109"/>
      <c r="AA2" s="1109" t="s">
        <v>95</v>
      </c>
      <c r="AB2" s="1109"/>
      <c r="AC2" s="1109" t="s">
        <v>95</v>
      </c>
      <c r="AD2" s="1109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099" t="s">
        <v>95</v>
      </c>
      <c r="G3" s="1099"/>
      <c r="H3" s="1099"/>
      <c r="I3" s="1099"/>
      <c r="J3" s="1099"/>
      <c r="K3" s="1099"/>
      <c r="L3" s="1099"/>
      <c r="M3" s="1099"/>
      <c r="N3" s="1099"/>
      <c r="O3" s="1099"/>
      <c r="P3" s="1099"/>
      <c r="Q3" s="1099"/>
      <c r="R3" s="1099"/>
      <c r="S3" s="1099"/>
      <c r="T3" s="1099"/>
      <c r="U3" s="1099"/>
      <c r="V3" s="1099"/>
      <c r="W3" s="1099"/>
      <c r="X3" s="1099"/>
      <c r="Y3" s="1099"/>
      <c r="Z3" s="1099"/>
      <c r="AA3" s="1099"/>
      <c r="AB3" s="1099"/>
      <c r="AC3" s="1099"/>
      <c r="AD3" s="1099" t="s">
        <v>95</v>
      </c>
      <c r="AE3" s="1100"/>
    </row>
    <row r="4" spans="2:31" ht="15" customHeight="1">
      <c r="B4" s="1110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83" t="s">
        <v>23</v>
      </c>
      <c r="E6" s="984" t="s">
        <v>23</v>
      </c>
      <c r="F6" s="985" t="s">
        <v>16</v>
      </c>
      <c r="G6" s="986" t="s">
        <v>16</v>
      </c>
      <c r="H6" s="986" t="s">
        <v>16</v>
      </c>
      <c r="I6" s="986" t="s">
        <v>16</v>
      </c>
      <c r="J6" s="98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6" t="s">
        <v>23</v>
      </c>
      <c r="S8" s="847" t="s">
        <v>23</v>
      </c>
      <c r="T8" s="988" t="s">
        <v>16</v>
      </c>
      <c r="U8" s="988" t="s">
        <v>16</v>
      </c>
      <c r="V8" s="988" t="s">
        <v>16</v>
      </c>
      <c r="W8" s="988" t="s">
        <v>16</v>
      </c>
      <c r="X8" s="902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09" t="s">
        <v>95</v>
      </c>
      <c r="D2" s="1109"/>
      <c r="E2" s="1109"/>
      <c r="F2" s="1109"/>
      <c r="G2" s="1109" t="s">
        <v>95</v>
      </c>
      <c r="H2" s="1109"/>
      <c r="I2" s="1109" t="s">
        <v>95</v>
      </c>
      <c r="J2" s="1109"/>
      <c r="K2" s="1109" t="s">
        <v>95</v>
      </c>
      <c r="L2" s="1109"/>
      <c r="M2" s="1109" t="s">
        <v>95</v>
      </c>
      <c r="N2" s="1109"/>
      <c r="O2" s="1109" t="s">
        <v>95</v>
      </c>
      <c r="P2" s="1109"/>
      <c r="Q2" s="1109" t="s">
        <v>95</v>
      </c>
      <c r="R2" s="1109"/>
      <c r="S2" s="1109" t="s">
        <v>95</v>
      </c>
      <c r="T2" s="1109"/>
      <c r="U2" s="1109" t="s">
        <v>95</v>
      </c>
      <c r="V2" s="1109"/>
      <c r="W2" s="1109" t="s">
        <v>95</v>
      </c>
      <c r="X2" s="1109"/>
      <c r="Y2" s="1109" t="s">
        <v>95</v>
      </c>
      <c r="Z2" s="1109"/>
      <c r="AA2" s="1109" t="s">
        <v>95</v>
      </c>
      <c r="AB2" s="1109"/>
      <c r="AC2" s="1109" t="s">
        <v>95</v>
      </c>
      <c r="AD2" s="1109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099"/>
      <c r="E3" s="1099"/>
      <c r="F3" s="1099" t="s">
        <v>95</v>
      </c>
      <c r="G3" s="1099"/>
      <c r="H3" s="1099"/>
      <c r="I3" s="1099"/>
      <c r="J3" s="1099"/>
      <c r="K3" s="1099"/>
      <c r="L3" s="1099"/>
      <c r="M3" s="1099"/>
      <c r="N3" s="1099"/>
      <c r="O3" s="1099"/>
      <c r="P3" s="1099"/>
      <c r="Q3" s="1099"/>
      <c r="R3" s="1099"/>
      <c r="S3" s="1099"/>
      <c r="T3" s="1099"/>
      <c r="U3" s="1099"/>
      <c r="V3" s="1099"/>
      <c r="W3" s="1099"/>
      <c r="X3" s="1099"/>
      <c r="Y3" s="1099"/>
      <c r="Z3" s="1099"/>
      <c r="AA3" s="1099"/>
      <c r="AB3" s="1099"/>
      <c r="AC3" s="1099"/>
      <c r="AD3" s="1099" t="s">
        <v>95</v>
      </c>
      <c r="AE3" s="1099"/>
      <c r="AF3" s="1099"/>
      <c r="AG3" s="1100"/>
    </row>
    <row r="4" spans="2:33" ht="15" customHeight="1" thickBot="1">
      <c r="B4" s="1110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8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6" t="s">
        <v>23</v>
      </c>
      <c r="AD6" s="847" t="s">
        <v>23</v>
      </c>
      <c r="AE6" s="988" t="s">
        <v>16</v>
      </c>
      <c r="AF6" s="559" t="s">
        <v>16</v>
      </c>
      <c r="AG6" s="1021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4" t="s">
        <v>16</v>
      </c>
      <c r="P8" s="847" t="s">
        <v>23</v>
      </c>
      <c r="Q8" s="988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3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9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4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7" t="s">
        <v>19</v>
      </c>
      <c r="AB12" s="738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9" t="s">
        <v>14</v>
      </c>
      <c r="AD13" s="740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10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3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4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5" t="s">
        <v>13</v>
      </c>
      <c r="D6" s="816" t="s">
        <v>23</v>
      </c>
      <c r="E6" s="817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22" t="s">
        <v>23</v>
      </c>
      <c r="N6" s="1025" t="s">
        <v>23</v>
      </c>
      <c r="O6" s="570" t="s">
        <v>8</v>
      </c>
      <c r="P6" s="570" t="s">
        <v>8</v>
      </c>
      <c r="Q6" s="571" t="s">
        <v>7</v>
      </c>
      <c r="R6" s="818" t="s">
        <v>7</v>
      </c>
      <c r="S6" s="571" t="s">
        <v>7</v>
      </c>
      <c r="T6" s="625" t="s">
        <v>8</v>
      </c>
      <c r="U6" s="626" t="s">
        <v>8</v>
      </c>
      <c r="V6" s="784"/>
      <c r="W6" s="784"/>
      <c r="X6" s="784"/>
      <c r="Y6" s="784"/>
      <c r="Z6" s="785"/>
      <c r="AA6" s="1026"/>
      <c r="AB6" s="1027"/>
      <c r="AC6" s="1028"/>
      <c r="AD6" s="1029"/>
      <c r="AE6" s="1030"/>
      <c r="AF6" s="1029"/>
      <c r="AG6" s="1030"/>
      <c r="AH6" s="819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4" t="s">
        <v>7</v>
      </c>
      <c r="F8" s="528" t="s">
        <v>16</v>
      </c>
      <c r="G8" s="529" t="s">
        <v>16</v>
      </c>
      <c r="H8" s="771" t="s">
        <v>22</v>
      </c>
      <c r="I8" s="771" t="s">
        <v>22</v>
      </c>
      <c r="J8" s="772" t="s">
        <v>77</v>
      </c>
      <c r="K8" s="772" t="s">
        <v>77</v>
      </c>
      <c r="L8" s="525" t="s">
        <v>53</v>
      </c>
      <c r="M8" s="509" t="s">
        <v>7</v>
      </c>
      <c r="N8" s="210" t="s">
        <v>7</v>
      </c>
      <c r="O8" s="1031" t="s">
        <v>16</v>
      </c>
      <c r="P8" s="960" t="s">
        <v>16</v>
      </c>
      <c r="Q8" s="1032" t="s">
        <v>16</v>
      </c>
      <c r="R8" s="770" t="s">
        <v>16</v>
      </c>
      <c r="S8" s="1033" t="s">
        <v>16</v>
      </c>
      <c r="T8" s="522" t="s">
        <v>53</v>
      </c>
      <c r="U8" s="523" t="s">
        <v>53</v>
      </c>
      <c r="V8" s="1034" t="s">
        <v>23</v>
      </c>
      <c r="W8" s="1035" t="s">
        <v>23</v>
      </c>
      <c r="X8" s="1031" t="s">
        <v>16</v>
      </c>
      <c r="Y8" s="960" t="s">
        <v>16</v>
      </c>
      <c r="Z8" s="1032" t="s">
        <v>16</v>
      </c>
      <c r="AA8" s="1036" t="s">
        <v>23</v>
      </c>
      <c r="AB8" s="1035" t="s">
        <v>23</v>
      </c>
      <c r="AC8" s="1031" t="s">
        <v>16</v>
      </c>
      <c r="AD8" s="960" t="s">
        <v>16</v>
      </c>
      <c r="AE8" s="1036" t="s">
        <v>23</v>
      </c>
      <c r="AF8" s="1035" t="s">
        <v>23</v>
      </c>
      <c r="AG8" s="1037" t="s">
        <v>23</v>
      </c>
      <c r="AH8" s="1038" t="s">
        <v>16</v>
      </c>
    </row>
    <row r="9" spans="2:34" ht="15" customHeight="1">
      <c r="B9" s="246" t="s">
        <v>66</v>
      </c>
      <c r="C9" s="566" t="s">
        <v>26</v>
      </c>
      <c r="D9" s="820" t="s">
        <v>7</v>
      </c>
      <c r="E9" s="821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2" t="s">
        <v>8</v>
      </c>
      <c r="M9" s="823" t="s">
        <v>6</v>
      </c>
      <c r="N9" s="823" t="s">
        <v>6</v>
      </c>
      <c r="O9" s="578" t="s">
        <v>7</v>
      </c>
      <c r="P9" s="579" t="s">
        <v>7</v>
      </c>
      <c r="Q9" s="822" t="s">
        <v>8</v>
      </c>
      <c r="R9" s="824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2" t="s">
        <v>7</v>
      </c>
      <c r="AA9" s="627" t="s">
        <v>8</v>
      </c>
      <c r="AB9" s="825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3" t="s">
        <v>6</v>
      </c>
      <c r="AH9" s="823" t="s">
        <v>6</v>
      </c>
    </row>
    <row r="10" spans="2:34" ht="17.25" customHeight="1">
      <c r="B10" s="244" t="s">
        <v>90</v>
      </c>
      <c r="C10" s="375" t="s">
        <v>28</v>
      </c>
      <c r="D10" s="826" t="s">
        <v>7</v>
      </c>
      <c r="E10" s="827" t="s">
        <v>7</v>
      </c>
      <c r="F10" s="813" t="s">
        <v>4</v>
      </c>
      <c r="G10" s="746" t="s">
        <v>4</v>
      </c>
      <c r="H10" s="746" t="s">
        <v>4</v>
      </c>
      <c r="I10" s="746" t="s">
        <v>4</v>
      </c>
      <c r="J10" s="746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1" t="s">
        <v>19</v>
      </c>
      <c r="Y10" s="216" t="s">
        <v>14</v>
      </c>
      <c r="Z10" s="519" t="s">
        <v>14</v>
      </c>
      <c r="AA10" s="781" t="s">
        <v>19</v>
      </c>
      <c r="AB10" s="828" t="s">
        <v>19</v>
      </c>
      <c r="AC10" s="829" t="s">
        <v>7</v>
      </c>
      <c r="AD10" s="829" t="s">
        <v>7</v>
      </c>
      <c r="AE10" s="829" t="s">
        <v>7</v>
      </c>
      <c r="AF10" s="829" t="s">
        <v>7</v>
      </c>
      <c r="AG10" s="829" t="s">
        <v>14</v>
      </c>
      <c r="AH10" s="778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5" t="s">
        <v>14</v>
      </c>
      <c r="G11" s="740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1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7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7" t="s">
        <v>4</v>
      </c>
      <c r="AD12" s="747" t="s">
        <v>4</v>
      </c>
      <c r="AE12" s="747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40" t="s">
        <v>14</v>
      </c>
      <c r="H13" s="742" t="s">
        <v>19</v>
      </c>
      <c r="I13" s="742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7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7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3"/>
      <c r="E14" s="763"/>
      <c r="F14" s="763"/>
      <c r="G14" s="763"/>
      <c r="H14" s="764"/>
      <c r="I14" s="764"/>
      <c r="J14" s="764"/>
      <c r="K14" s="764"/>
      <c r="L14" s="765"/>
      <c r="M14" s="766"/>
      <c r="N14" s="767"/>
      <c r="O14" s="768"/>
      <c r="P14" s="764"/>
      <c r="Q14" s="765"/>
      <c r="R14" s="775"/>
      <c r="S14" s="777"/>
      <c r="T14" s="766"/>
      <c r="U14" s="767"/>
      <c r="V14" s="768"/>
      <c r="W14" s="764"/>
      <c r="X14" s="764"/>
      <c r="Y14" s="764"/>
      <c r="Z14" s="765"/>
      <c r="AA14" s="766"/>
      <c r="AB14" s="767"/>
      <c r="AC14" s="768"/>
      <c r="AD14" s="764"/>
      <c r="AE14" s="765"/>
      <c r="AF14" s="765"/>
      <c r="AG14" s="765"/>
      <c r="AH14" s="769"/>
    </row>
    <row r="15" spans="2:34" ht="16.5" customHeight="1">
      <c r="B15" s="748" t="s">
        <v>97</v>
      </c>
      <c r="C15" s="749" t="s">
        <v>98</v>
      </c>
      <c r="D15" s="750"/>
      <c r="E15" s="751"/>
      <c r="F15" s="752"/>
      <c r="G15" s="753"/>
      <c r="H15" s="754"/>
      <c r="I15" s="754"/>
      <c r="J15" s="754"/>
      <c r="K15" s="755"/>
      <c r="L15" s="752"/>
      <c r="M15" s="756"/>
      <c r="N15" s="757"/>
      <c r="O15" s="754"/>
      <c r="P15" s="754"/>
      <c r="Q15" s="752"/>
      <c r="R15" s="776"/>
      <c r="S15" s="752"/>
      <c r="T15" s="758"/>
      <c r="U15" s="759"/>
      <c r="V15" s="754"/>
      <c r="W15" s="754"/>
      <c r="X15" s="754"/>
      <c r="Y15" s="754"/>
      <c r="Z15" s="752"/>
      <c r="AA15" s="758"/>
      <c r="AB15" s="759"/>
      <c r="AC15" s="760" t="s">
        <v>8</v>
      </c>
      <c r="AD15" s="760" t="s">
        <v>8</v>
      </c>
      <c r="AE15" s="760" t="s">
        <v>8</v>
      </c>
      <c r="AF15" s="760" t="s">
        <v>8</v>
      </c>
      <c r="AG15" s="761" t="s">
        <v>8</v>
      </c>
      <c r="AH15" s="762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5"/>
    </row>
    <row r="4" spans="2:33" ht="15" customHeight="1">
      <c r="B4" s="1110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7" t="s">
        <v>7</v>
      </c>
    </row>
    <row r="5" spans="2:33" ht="13.5" customHeight="1">
      <c r="B5" s="1110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9">
        <v>28</v>
      </c>
      <c r="AF5" s="780">
        <v>29</v>
      </c>
      <c r="AG5" s="458">
        <v>30</v>
      </c>
    </row>
    <row r="6" spans="2:33" ht="15" customHeight="1">
      <c r="B6" s="783"/>
      <c r="C6" s="790" t="s">
        <v>13</v>
      </c>
      <c r="D6" s="793"/>
      <c r="E6" s="784"/>
      <c r="F6" s="784"/>
      <c r="G6" s="784"/>
      <c r="H6" s="784"/>
      <c r="I6" s="785"/>
      <c r="J6" s="786"/>
      <c r="K6" s="787"/>
      <c r="L6" s="784"/>
      <c r="M6" s="784"/>
      <c r="N6" s="784"/>
      <c r="O6" s="784"/>
      <c r="P6" s="785"/>
      <c r="Q6" s="786"/>
      <c r="R6" s="787"/>
      <c r="S6" s="838"/>
      <c r="T6" s="838"/>
      <c r="U6" s="838"/>
      <c r="V6" s="838"/>
      <c r="W6" s="839"/>
      <c r="X6" s="1026"/>
      <c r="Y6" s="1027"/>
      <c r="Z6" s="1028"/>
      <c r="AA6" s="1029"/>
      <c r="AB6" s="1030"/>
      <c r="AC6" s="1029"/>
      <c r="AD6" s="1030"/>
      <c r="AE6" s="788"/>
      <c r="AF6" s="789"/>
      <c r="AG6" s="787"/>
    </row>
    <row r="7" spans="2:33" ht="15" customHeight="1">
      <c r="B7" s="244" t="s">
        <v>73</v>
      </c>
      <c r="C7" s="791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1" t="s">
        <v>22</v>
      </c>
      <c r="M7" s="771" t="s">
        <v>22</v>
      </c>
      <c r="N7" s="771" t="s">
        <v>22</v>
      </c>
      <c r="O7" s="771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7" t="s">
        <v>4</v>
      </c>
      <c r="V7" s="681" t="s">
        <v>4</v>
      </c>
      <c r="W7" s="681" t="s">
        <v>77</v>
      </c>
      <c r="X7" s="837" t="s">
        <v>53</v>
      </c>
      <c r="Y7" s="636" t="s">
        <v>53</v>
      </c>
      <c r="Z7" s="846" t="s">
        <v>23</v>
      </c>
      <c r="AA7" s="847" t="s">
        <v>23</v>
      </c>
      <c r="AB7" s="529" t="s">
        <v>16</v>
      </c>
      <c r="AC7" s="529" t="s">
        <v>16</v>
      </c>
      <c r="AD7" s="806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1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4" t="s">
        <v>53</v>
      </c>
      <c r="R8" s="836" t="s">
        <v>53</v>
      </c>
      <c r="S8" s="1004" t="s">
        <v>23</v>
      </c>
      <c r="T8" s="1004" t="s">
        <v>23</v>
      </c>
      <c r="U8" s="559" t="s">
        <v>16</v>
      </c>
      <c r="V8" s="559" t="s">
        <v>16</v>
      </c>
      <c r="W8" s="840" t="s">
        <v>8</v>
      </c>
      <c r="X8" s="211" t="s">
        <v>7</v>
      </c>
      <c r="Y8" s="205" t="s">
        <v>7</v>
      </c>
      <c r="Z8" s="747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2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6" t="s">
        <v>8</v>
      </c>
      <c r="R9" s="831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2" t="s">
        <v>8</v>
      </c>
      <c r="AA9" s="833" t="s">
        <v>8</v>
      </c>
      <c r="AB9" s="579" t="s">
        <v>14</v>
      </c>
      <c r="AC9" s="579" t="s">
        <v>14</v>
      </c>
      <c r="AD9" s="805" t="s">
        <v>6</v>
      </c>
      <c r="AE9" s="627" t="s">
        <v>7</v>
      </c>
      <c r="AF9" s="628" t="s">
        <v>7</v>
      </c>
      <c r="AG9" s="808" t="s">
        <v>8</v>
      </c>
    </row>
    <row r="10" spans="2:33" ht="17.25" customHeight="1">
      <c r="B10" s="244" t="s">
        <v>90</v>
      </c>
      <c r="C10" s="791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1" t="s">
        <v>14</v>
      </c>
      <c r="AF10" s="782" t="s">
        <v>14</v>
      </c>
      <c r="AG10" s="809" t="s">
        <v>19</v>
      </c>
    </row>
    <row r="11" spans="2:33" ht="16.5" customHeight="1">
      <c r="B11" s="376" t="s">
        <v>91</v>
      </c>
      <c r="C11" s="791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4" t="s">
        <v>7</v>
      </c>
      <c r="I11" s="519" t="s">
        <v>19</v>
      </c>
      <c r="J11" s="735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7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4" t="s">
        <v>6</v>
      </c>
      <c r="AF11" s="517" t="s">
        <v>7</v>
      </c>
      <c r="AG11" s="747" t="s">
        <v>4</v>
      </c>
    </row>
    <row r="12" spans="2:33" ht="15" customHeight="1">
      <c r="B12" s="244" t="s">
        <v>92</v>
      </c>
      <c r="C12" s="791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5" t="s">
        <v>6</v>
      </c>
      <c r="AG12" s="523" t="s">
        <v>6</v>
      </c>
    </row>
    <row r="13" spans="2:33" ht="15" customHeight="1">
      <c r="B13" s="462" t="s">
        <v>93</v>
      </c>
      <c r="C13" s="792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30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800" t="s">
        <v>6</v>
      </c>
      <c r="AA13" s="800" t="s">
        <v>6</v>
      </c>
      <c r="AB13" s="800" t="s">
        <v>6</v>
      </c>
      <c r="AC13" s="801" t="s">
        <v>14</v>
      </c>
      <c r="AD13" s="802" t="s">
        <v>14</v>
      </c>
      <c r="AE13" s="623" t="s">
        <v>19</v>
      </c>
      <c r="AF13" s="624" t="s">
        <v>19</v>
      </c>
      <c r="AG13" s="810" t="s">
        <v>7</v>
      </c>
    </row>
    <row r="14" spans="2:33" ht="16.149999999999999" customHeight="1">
      <c r="B14" s="293" t="s">
        <v>55</v>
      </c>
      <c r="C14" s="799"/>
      <c r="D14" s="513"/>
      <c r="E14" s="794"/>
      <c r="F14" s="795"/>
      <c r="G14" s="795"/>
      <c r="H14" s="795"/>
      <c r="I14" s="796"/>
      <c r="J14" s="797"/>
      <c r="K14" s="367"/>
      <c r="L14" s="794"/>
      <c r="M14" s="795"/>
      <c r="N14" s="795"/>
      <c r="O14" s="795"/>
      <c r="P14" s="796"/>
      <c r="Q14" s="797"/>
      <c r="R14" s="367"/>
      <c r="S14" s="794"/>
      <c r="T14" s="795"/>
      <c r="U14" s="795"/>
      <c r="V14" s="795"/>
      <c r="W14" s="796"/>
      <c r="X14" s="797"/>
      <c r="Y14" s="367"/>
      <c r="Z14" s="794"/>
      <c r="AA14" s="795"/>
      <c r="AB14" s="795"/>
      <c r="AC14" s="795"/>
      <c r="AD14" s="796"/>
      <c r="AE14" s="797"/>
      <c r="AF14" s="367"/>
      <c r="AG14" s="798"/>
    </row>
    <row r="15" spans="2:33" ht="14.25" customHeight="1">
      <c r="B15" s="748" t="s">
        <v>97</v>
      </c>
      <c r="C15" s="749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3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3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3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3" t="s">
        <v>8</v>
      </c>
      <c r="AE15" s="524" t="s">
        <v>7</v>
      </c>
      <c r="AF15" s="208" t="s">
        <v>7</v>
      </c>
      <c r="AG15" s="808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1">
        <f t="shared" si="2"/>
        <v>1</v>
      </c>
      <c r="R19" s="81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1">
        <f t="shared" si="2"/>
        <v>1</v>
      </c>
      <c r="AA19" s="81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2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2">
        <f t="shared" si="5"/>
        <v>1</v>
      </c>
      <c r="AF22" s="812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10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8" t="s">
        <v>6</v>
      </c>
      <c r="V6" s="844" t="s">
        <v>7</v>
      </c>
      <c r="W6" s="845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1" t="s">
        <v>23</v>
      </c>
      <c r="P7" s="842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9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7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3" t="s">
        <v>4</v>
      </c>
      <c r="V8" s="846" t="s">
        <v>23</v>
      </c>
      <c r="W8" s="847" t="s">
        <v>23</v>
      </c>
      <c r="X8" s="747" t="s">
        <v>77</v>
      </c>
      <c r="Y8" s="681" t="s">
        <v>77</v>
      </c>
      <c r="Z8" s="841" t="s">
        <v>23</v>
      </c>
      <c r="AA8" s="842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9" t="s">
        <v>8</v>
      </c>
      <c r="Y9" s="875" t="s">
        <v>8</v>
      </c>
      <c r="Z9" s="876" t="s">
        <v>8</v>
      </c>
      <c r="AA9" s="877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7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50" t="s">
        <v>4</v>
      </c>
      <c r="V11" s="511" t="s">
        <v>14</v>
      </c>
      <c r="W11" s="205" t="s">
        <v>14</v>
      </c>
      <c r="X11" s="878" t="s">
        <v>99</v>
      </c>
      <c r="Y11" s="878" t="s">
        <v>99</v>
      </c>
      <c r="Z11" s="878" t="s">
        <v>99</v>
      </c>
      <c r="AA11" s="879" t="s">
        <v>99</v>
      </c>
      <c r="AB11" s="879" t="s">
        <v>99</v>
      </c>
      <c r="AC11" s="880" t="s">
        <v>99</v>
      </c>
      <c r="AD11" s="881" t="s">
        <v>99</v>
      </c>
      <c r="AE11" s="583" t="s">
        <v>14</v>
      </c>
      <c r="AF11" s="879" t="s">
        <v>99</v>
      </c>
      <c r="AG11" s="879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10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1" t="s">
        <v>22</v>
      </c>
      <c r="H7" s="771" t="s">
        <v>22</v>
      </c>
      <c r="I7" s="771" t="s">
        <v>22</v>
      </c>
      <c r="J7" s="851" t="s">
        <v>22</v>
      </c>
      <c r="K7" s="276" t="s">
        <v>53</v>
      </c>
      <c r="L7" s="841" t="s">
        <v>23</v>
      </c>
      <c r="M7" s="842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6" t="s">
        <v>23</v>
      </c>
      <c r="T8" s="847" t="s">
        <v>23</v>
      </c>
      <c r="U8" s="747" t="s">
        <v>77</v>
      </c>
      <c r="V8" s="681" t="s">
        <v>77</v>
      </c>
      <c r="W8" s="841" t="s">
        <v>23</v>
      </c>
      <c r="X8" s="842" t="s">
        <v>23</v>
      </c>
      <c r="Y8" s="842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2" t="s">
        <v>8</v>
      </c>
      <c r="J9" s="852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73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10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1" t="s">
        <v>6</v>
      </c>
      <c r="P6" s="511" t="s">
        <v>7</v>
      </c>
      <c r="Q6" s="205" t="s">
        <v>7</v>
      </c>
      <c r="R6" s="858" t="s">
        <v>8</v>
      </c>
      <c r="S6" s="853" t="s">
        <v>8</v>
      </c>
      <c r="T6" s="854" t="s">
        <v>8</v>
      </c>
      <c r="U6" s="637" t="s">
        <v>7</v>
      </c>
      <c r="V6" s="637" t="s">
        <v>7</v>
      </c>
      <c r="W6" s="974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8" t="s">
        <v>8</v>
      </c>
      <c r="L7" s="853" t="s">
        <v>8</v>
      </c>
      <c r="M7" s="853" t="s">
        <v>8</v>
      </c>
      <c r="N7" s="506" t="s">
        <v>8</v>
      </c>
      <c r="O7" s="586" t="s">
        <v>8</v>
      </c>
      <c r="P7" s="804" t="s">
        <v>53</v>
      </c>
      <c r="Q7" s="859" t="s">
        <v>53</v>
      </c>
      <c r="R7" s="607" t="s">
        <v>7</v>
      </c>
      <c r="S7" s="606" t="s">
        <v>7</v>
      </c>
      <c r="T7" s="606" t="s">
        <v>8</v>
      </c>
      <c r="U7" s="852" t="s">
        <v>8</v>
      </c>
      <c r="V7" s="975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3" t="s">
        <v>22</v>
      </c>
      <c r="AG7" s="981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3" t="s">
        <v>8</v>
      </c>
      <c r="G8" s="681" t="s">
        <v>4</v>
      </c>
      <c r="H8" s="681" t="s">
        <v>4</v>
      </c>
      <c r="I8" s="804" t="s">
        <v>53</v>
      </c>
      <c r="J8" s="859" t="s">
        <v>53</v>
      </c>
      <c r="K8" s="1039" t="s">
        <v>23</v>
      </c>
      <c r="L8" s="1004" t="s">
        <v>23</v>
      </c>
      <c r="M8" s="862" t="s">
        <v>16</v>
      </c>
      <c r="N8" s="862" t="s">
        <v>16</v>
      </c>
      <c r="O8" s="860" t="s">
        <v>16</v>
      </c>
      <c r="P8" s="557" t="s">
        <v>7</v>
      </c>
      <c r="Q8" s="558" t="s">
        <v>7</v>
      </c>
      <c r="R8" s="926"/>
      <c r="S8" s="926"/>
      <c r="T8" s="926"/>
      <c r="U8" s="926"/>
      <c r="V8" s="927"/>
      <c r="W8" s="928"/>
      <c r="X8" s="929"/>
      <c r="Y8" s="930"/>
      <c r="Z8" s="931"/>
      <c r="AA8" s="931"/>
      <c r="AB8" s="930"/>
      <c r="AC8" s="932"/>
      <c r="AD8" s="933"/>
      <c r="AE8" s="934"/>
      <c r="AF8" s="935"/>
      <c r="AG8" s="936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5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2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4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4" t="s">
        <v>53</v>
      </c>
      <c r="AD9" s="804" t="s">
        <v>53</v>
      </c>
      <c r="AE9" s="804" t="s">
        <v>53</v>
      </c>
      <c r="AF9" s="226" t="s">
        <v>7</v>
      </c>
      <c r="AG9" s="608" t="s">
        <v>7</v>
      </c>
    </row>
    <row r="10" spans="2:33" ht="15" customHeight="1">
      <c r="B10" s="951" t="s">
        <v>100</v>
      </c>
      <c r="C10" s="952"/>
      <c r="D10" s="937"/>
      <c r="E10" s="937"/>
      <c r="F10" s="937"/>
      <c r="G10" s="937"/>
      <c r="H10" s="937"/>
      <c r="I10" s="938"/>
      <c r="J10" s="939"/>
      <c r="K10" s="937"/>
      <c r="L10" s="937"/>
      <c r="M10" s="937"/>
      <c r="N10" s="937"/>
      <c r="O10" s="937"/>
      <c r="P10" s="938"/>
      <c r="Q10" s="939"/>
      <c r="R10" s="940" t="s">
        <v>69</v>
      </c>
      <c r="S10" s="940" t="s">
        <v>69</v>
      </c>
      <c r="T10" s="940" t="s">
        <v>69</v>
      </c>
      <c r="U10" s="940" t="s">
        <v>69</v>
      </c>
      <c r="V10" s="940" t="s">
        <v>69</v>
      </c>
      <c r="W10" s="623" t="s">
        <v>7</v>
      </c>
      <c r="X10" s="624" t="s">
        <v>7</v>
      </c>
      <c r="Y10" s="940" t="s">
        <v>69</v>
      </c>
      <c r="Z10" s="940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40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5" t="s">
        <v>14</v>
      </c>
      <c r="K11" s="599" t="s">
        <v>6</v>
      </c>
      <c r="L11" s="599" t="s">
        <v>6</v>
      </c>
      <c r="M11" s="662" t="s">
        <v>6</v>
      </c>
      <c r="N11" s="856" t="s">
        <v>14</v>
      </c>
      <c r="O11" s="857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23" t="s">
        <v>7</v>
      </c>
      <c r="Y11" s="601" t="s">
        <v>19</v>
      </c>
      <c r="Z11" s="594" t="s">
        <v>19</v>
      </c>
      <c r="AA11" s="594" t="s">
        <v>19</v>
      </c>
      <c r="AB11" s="804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4" t="s">
        <v>53</v>
      </c>
      <c r="V12" s="212" t="s">
        <v>7</v>
      </c>
      <c r="W12" s="508" t="s">
        <v>7</v>
      </c>
      <c r="X12" s="517" t="s">
        <v>7</v>
      </c>
      <c r="Y12" s="913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40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4" t="s">
        <v>14</v>
      </c>
      <c r="Y13" s="976" t="s">
        <v>101</v>
      </c>
      <c r="Z13" s="804" t="s">
        <v>53</v>
      </c>
      <c r="AA13" s="804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4" t="s">
        <v>53</v>
      </c>
      <c r="S14" s="804" t="s">
        <v>53</v>
      </c>
      <c r="T14" s="804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10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4" t="s">
        <v>53</v>
      </c>
      <c r="N6" s="511" t="s">
        <v>23</v>
      </c>
      <c r="O6" s="629" t="s">
        <v>7</v>
      </c>
      <c r="P6" s="858" t="s">
        <v>8</v>
      </c>
      <c r="Q6" s="853" t="s">
        <v>8</v>
      </c>
      <c r="R6" s="853" t="s">
        <v>8</v>
      </c>
      <c r="S6" s="1042" t="s">
        <v>7</v>
      </c>
      <c r="T6" s="1043" t="s">
        <v>7</v>
      </c>
      <c r="U6" s="804" t="s">
        <v>53</v>
      </c>
      <c r="V6" s="871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3" t="s">
        <v>22</v>
      </c>
      <c r="E7" s="864" t="s">
        <v>22</v>
      </c>
      <c r="F7" s="592" t="s">
        <v>53</v>
      </c>
      <c r="G7" s="864" t="s">
        <v>23</v>
      </c>
      <c r="H7" s="864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4" t="s">
        <v>6</v>
      </c>
      <c r="O7" s="629" t="s">
        <v>53</v>
      </c>
      <c r="P7" s="858" t="s">
        <v>7</v>
      </c>
      <c r="Q7" s="853" t="s">
        <v>7</v>
      </c>
      <c r="R7" s="853" t="s">
        <v>8</v>
      </c>
      <c r="S7" s="853" t="s">
        <v>8</v>
      </c>
      <c r="T7" s="854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4" t="s">
        <v>16</v>
      </c>
      <c r="AC7" s="955" t="s">
        <v>16</v>
      </c>
      <c r="AD7" s="851" t="s">
        <v>22</v>
      </c>
      <c r="AE7" s="771" t="s">
        <v>22</v>
      </c>
      <c r="AF7" s="771" t="s">
        <v>22</v>
      </c>
      <c r="AG7" s="851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41"/>
      <c r="E8" s="942"/>
      <c r="F8" s="942"/>
      <c r="G8" s="928"/>
      <c r="H8" s="929"/>
      <c r="I8" s="1040"/>
      <c r="J8" s="942"/>
      <c r="K8" s="936"/>
      <c r="L8" s="936"/>
      <c r="M8" s="943"/>
      <c r="N8" s="933"/>
      <c r="O8" s="944"/>
      <c r="P8" s="945"/>
      <c r="Q8" s="945"/>
      <c r="R8" s="926"/>
      <c r="S8" s="926"/>
      <c r="T8" s="927"/>
      <c r="U8" s="958" t="s">
        <v>8</v>
      </c>
      <c r="V8" s="959" t="s">
        <v>8</v>
      </c>
      <c r="W8" s="1052" t="s">
        <v>14</v>
      </c>
      <c r="X8" s="1053" t="s">
        <v>14</v>
      </c>
      <c r="Y8" s="1053" t="s">
        <v>14</v>
      </c>
      <c r="Z8" s="1053" t="s">
        <v>14</v>
      </c>
      <c r="AA8" s="1054" t="s">
        <v>6</v>
      </c>
      <c r="AB8" s="1055" t="s">
        <v>7</v>
      </c>
      <c r="AC8" s="1056" t="s">
        <v>7</v>
      </c>
      <c r="AD8" s="1052" t="s">
        <v>8</v>
      </c>
      <c r="AE8" s="1053" t="s">
        <v>8</v>
      </c>
      <c r="AF8" s="1053" t="s">
        <v>8</v>
      </c>
      <c r="AG8" s="1053" t="s">
        <v>8</v>
      </c>
      <c r="AH8" s="1057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4" t="s">
        <v>53</v>
      </c>
      <c r="U9" s="956" t="s">
        <v>7</v>
      </c>
      <c r="V9" s="957" t="s">
        <v>7</v>
      </c>
      <c r="W9" s="1044" t="s">
        <v>8</v>
      </c>
      <c r="X9" s="1045" t="s">
        <v>8</v>
      </c>
      <c r="Y9" s="1045" t="s">
        <v>8</v>
      </c>
      <c r="Z9" s="1044" t="s">
        <v>8</v>
      </c>
      <c r="AA9" s="866" t="s">
        <v>8</v>
      </c>
      <c r="AB9" s="1048" t="s">
        <v>6</v>
      </c>
      <c r="AC9" s="1049" t="s">
        <v>6</v>
      </c>
      <c r="AD9" s="1045" t="s">
        <v>7</v>
      </c>
      <c r="AE9" s="1045" t="s">
        <v>7</v>
      </c>
      <c r="AF9" s="1046" t="s">
        <v>8</v>
      </c>
      <c r="AG9" s="1046" t="s">
        <v>8</v>
      </c>
      <c r="AH9" s="1047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4" t="s">
        <v>53</v>
      </c>
      <c r="J10" s="804" t="s">
        <v>53</v>
      </c>
      <c r="K10" s="804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4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4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4" t="s">
        <v>53</v>
      </c>
      <c r="M12" s="586" t="s">
        <v>7</v>
      </c>
      <c r="N12" s="511" t="s">
        <v>7</v>
      </c>
      <c r="O12" s="283" t="s">
        <v>7</v>
      </c>
      <c r="P12" s="813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7" t="s">
        <v>53</v>
      </c>
      <c r="X12" s="804" t="s">
        <v>53</v>
      </c>
      <c r="Y12" s="804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3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4" t="s">
        <v>53</v>
      </c>
      <c r="Q13" s="804" t="s">
        <v>53</v>
      </c>
      <c r="R13" s="804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5"/>
      <c r="D1" s="866"/>
      <c r="E1" s="865"/>
      <c r="F1" s="865"/>
      <c r="G1" s="867"/>
      <c r="H1" s="867"/>
      <c r="I1" s="867"/>
      <c r="J1" s="867"/>
      <c r="K1" s="867"/>
      <c r="L1" s="867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110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1" t="s">
        <v>6</v>
      </c>
      <c r="K6" s="646" t="s">
        <v>53</v>
      </c>
      <c r="L6" s="911" t="s">
        <v>53</v>
      </c>
      <c r="M6" s="858" t="s">
        <v>8</v>
      </c>
      <c r="N6" s="853" t="s">
        <v>8</v>
      </c>
      <c r="O6" s="681" t="s">
        <v>4</v>
      </c>
      <c r="P6" s="746" t="s">
        <v>4</v>
      </c>
      <c r="Q6" s="681" t="s">
        <v>4</v>
      </c>
      <c r="R6" s="979" t="s">
        <v>7</v>
      </c>
      <c r="S6" s="924" t="s">
        <v>7</v>
      </c>
      <c r="T6" s="581" t="s">
        <v>7</v>
      </c>
      <c r="U6" s="570" t="s">
        <v>7</v>
      </c>
      <c r="V6" s="681" t="s">
        <v>4</v>
      </c>
      <c r="W6" s="746" t="s">
        <v>4</v>
      </c>
      <c r="X6" s="681" t="s">
        <v>4</v>
      </c>
      <c r="Y6" s="521" t="s">
        <v>7</v>
      </c>
      <c r="Z6" s="204" t="s">
        <v>7</v>
      </c>
      <c r="AA6" s="746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61" t="s">
        <v>23</v>
      </c>
      <c r="E7" s="953" t="s">
        <v>23</v>
      </c>
      <c r="F7" s="960" t="s">
        <v>16</v>
      </c>
      <c r="G7" s="860" t="s">
        <v>16</v>
      </c>
      <c r="H7" s="862" t="s">
        <v>16</v>
      </c>
      <c r="I7" s="862" t="s">
        <v>16</v>
      </c>
      <c r="J7" s="860" t="s">
        <v>16</v>
      </c>
      <c r="K7" s="980" t="s">
        <v>7</v>
      </c>
      <c r="L7" s="911" t="s">
        <v>7</v>
      </c>
      <c r="M7" s="226" t="s">
        <v>7</v>
      </c>
      <c r="N7" s="226" t="s">
        <v>7</v>
      </c>
      <c r="O7" s="853" t="s">
        <v>8</v>
      </c>
      <c r="P7" s="853" t="s">
        <v>8</v>
      </c>
      <c r="Q7" s="854" t="s">
        <v>8</v>
      </c>
      <c r="R7" s="978" t="s">
        <v>53</v>
      </c>
      <c r="S7" s="978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6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8" t="s">
        <v>8</v>
      </c>
      <c r="AB8" s="908" t="s">
        <v>8</v>
      </c>
      <c r="AC8" s="908" t="s">
        <v>8</v>
      </c>
      <c r="AD8" s="908" t="s">
        <v>8</v>
      </c>
      <c r="AE8" s="908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6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5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4" t="s">
        <v>19</v>
      </c>
      <c r="N10" s="596" t="s">
        <v>7</v>
      </c>
      <c r="O10" s="829" t="s">
        <v>7</v>
      </c>
      <c r="P10" s="648" t="s">
        <v>53</v>
      </c>
      <c r="Q10" s="681" t="s">
        <v>4</v>
      </c>
      <c r="R10" s="625" t="s">
        <v>14</v>
      </c>
      <c r="S10" s="923" t="s">
        <v>7</v>
      </c>
      <c r="T10" s="963" t="s">
        <v>19</v>
      </c>
      <c r="U10" s="964" t="s">
        <v>19</v>
      </c>
      <c r="V10" s="965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3" t="s">
        <v>4</v>
      </c>
      <c r="AB10" s="746" t="s">
        <v>4</v>
      </c>
      <c r="AC10" s="746" t="s">
        <v>4</v>
      </c>
      <c r="AD10" s="746" t="s">
        <v>4</v>
      </c>
      <c r="AE10" s="746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6" t="s">
        <v>4</v>
      </c>
      <c r="P11" s="972" t="s">
        <v>7</v>
      </c>
      <c r="Q11" s="971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5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40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5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82" t="s">
        <v>14</v>
      </c>
      <c r="T12" s="837" t="s">
        <v>53</v>
      </c>
      <c r="U12" s="636" t="s">
        <v>53</v>
      </c>
      <c r="V12" s="636" t="s">
        <v>53</v>
      </c>
      <c r="W12" s="746" t="s">
        <v>4</v>
      </c>
      <c r="X12" s="746" t="s">
        <v>4</v>
      </c>
      <c r="Y12" s="1061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4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3" t="s">
        <v>14</v>
      </c>
      <c r="M13" s="868" t="s">
        <v>53</v>
      </c>
      <c r="N13" s="868" t="s">
        <v>53</v>
      </c>
      <c r="O13" s="868" t="s">
        <v>53</v>
      </c>
      <c r="P13" s="604" t="s">
        <v>14</v>
      </c>
      <c r="Q13" s="665" t="s">
        <v>14</v>
      </c>
      <c r="R13" s="967" t="s">
        <v>19</v>
      </c>
      <c r="S13" s="968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4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Z6" sqref="Z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10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10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4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9" t="s">
        <v>53</v>
      </c>
      <c r="I6" s="283" t="s">
        <v>7</v>
      </c>
      <c r="J6" s="727" t="s">
        <v>7</v>
      </c>
      <c r="K6" s="732" t="s">
        <v>8</v>
      </c>
      <c r="L6" s="853" t="s">
        <v>8</v>
      </c>
      <c r="M6" s="853" t="s">
        <v>8</v>
      </c>
      <c r="N6" s="853" t="s">
        <v>8</v>
      </c>
      <c r="O6" s="854" t="s">
        <v>8</v>
      </c>
      <c r="P6" s="859" t="s">
        <v>53</v>
      </c>
      <c r="Q6" s="859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204" t="s">
        <v>7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70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9" t="s">
        <v>53</v>
      </c>
      <c r="K7" s="732" t="s">
        <v>23</v>
      </c>
      <c r="L7" s="541" t="s">
        <v>23</v>
      </c>
      <c r="M7" s="853" t="s">
        <v>16</v>
      </c>
      <c r="N7" s="853" t="s">
        <v>16</v>
      </c>
      <c r="O7" s="1050" t="s">
        <v>77</v>
      </c>
      <c r="P7" s="508" t="s">
        <v>7</v>
      </c>
      <c r="Q7" s="517" t="s">
        <v>7</v>
      </c>
      <c r="R7" s="1050" t="s">
        <v>4</v>
      </c>
      <c r="S7" s="1051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9" t="s">
        <v>22</v>
      </c>
      <c r="AC7" s="276" t="s">
        <v>53</v>
      </c>
      <c r="AD7" s="511" t="s">
        <v>7</v>
      </c>
      <c r="AE7" s="205" t="s">
        <v>7</v>
      </c>
      <c r="AF7" s="1050" t="s">
        <v>4</v>
      </c>
      <c r="AG7" s="1051" t="s">
        <v>4</v>
      </c>
      <c r="AH7" s="1051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5" t="s">
        <v>8</v>
      </c>
      <c r="I8" s="283" t="s">
        <v>7</v>
      </c>
      <c r="J8" s="727" t="s">
        <v>7</v>
      </c>
      <c r="K8" s="629" t="s">
        <v>7</v>
      </c>
      <c r="L8" s="1050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9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8" t="s">
        <v>8</v>
      </c>
      <c r="AA8" s="570" t="s">
        <v>8</v>
      </c>
      <c r="AB8" s="732" t="s">
        <v>7</v>
      </c>
      <c r="AC8" s="571" t="s">
        <v>8</v>
      </c>
      <c r="AD8" s="871" t="s">
        <v>6</v>
      </c>
      <c r="AE8" s="859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2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9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909" t="s">
        <v>6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8" t="s">
        <v>6</v>
      </c>
      <c r="F10" s="888" t="s">
        <v>6</v>
      </c>
      <c r="G10" s="970" t="s">
        <v>14</v>
      </c>
      <c r="H10" s="857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62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8" t="s">
        <v>6</v>
      </c>
      <c r="V10" s="596" t="s">
        <v>7</v>
      </c>
      <c r="W10" s="906" t="s">
        <v>7</v>
      </c>
      <c r="X10" s="910" t="s">
        <v>7</v>
      </c>
      <c r="Y10" s="648" t="s">
        <v>19</v>
      </c>
      <c r="Z10" s="648" t="s">
        <v>19</v>
      </c>
      <c r="AA10" s="907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8" t="s">
        <v>6</v>
      </c>
      <c r="AG10" s="888" t="s">
        <v>6</v>
      </c>
      <c r="AH10" s="888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9" t="s">
        <v>6</v>
      </c>
      <c r="O11" s="1062" t="s">
        <v>7</v>
      </c>
      <c r="P11" s="976" t="s">
        <v>19</v>
      </c>
      <c r="Q11" s="517" t="s">
        <v>7</v>
      </c>
      <c r="R11" s="969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9" t="s">
        <v>7</v>
      </c>
      <c r="X11" s="905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9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62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9" t="s">
        <v>6</v>
      </c>
      <c r="M13" s="859" t="s">
        <v>6</v>
      </c>
      <c r="N13" s="918" t="s">
        <v>19</v>
      </c>
      <c r="O13" s="918" t="s">
        <v>19</v>
      </c>
      <c r="P13" s="1062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50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tabSelected="1" zoomScale="115" zoomScaleNormal="115" workbookViewId="0">
      <pane xSplit="3" ySplit="5" topLeftCell="D6" activePane="bottomRight" state="frozen"/>
      <selection pane="bottomRight" activeCell="S7" activeCellId="4" sqref="M7 N7 Q7 R7 S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11" t="s">
        <v>3</v>
      </c>
      <c r="C4" s="450" t="s">
        <v>95</v>
      </c>
      <c r="D4" s="773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901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12"/>
      <c r="C5" s="883" t="s">
        <v>95</v>
      </c>
      <c r="D5" s="899">
        <v>1</v>
      </c>
      <c r="E5" s="884">
        <v>2</v>
      </c>
      <c r="F5" s="893">
        <v>3</v>
      </c>
      <c r="G5" s="458">
        <v>4</v>
      </c>
      <c r="H5" s="451">
        <v>5</v>
      </c>
      <c r="I5" s="899">
        <v>6</v>
      </c>
      <c r="J5" s="884">
        <v>7</v>
      </c>
      <c r="K5" s="884">
        <v>8</v>
      </c>
      <c r="L5" s="884">
        <v>9</v>
      </c>
      <c r="M5" s="893">
        <v>10</v>
      </c>
      <c r="N5" s="885">
        <v>11</v>
      </c>
      <c r="O5" s="884">
        <v>12</v>
      </c>
      <c r="P5" s="884">
        <v>13</v>
      </c>
      <c r="Q5" s="884">
        <v>14</v>
      </c>
      <c r="R5" s="884">
        <v>15</v>
      </c>
      <c r="S5" s="884">
        <v>16</v>
      </c>
      <c r="T5" s="893">
        <v>17</v>
      </c>
      <c r="U5" s="885">
        <v>18</v>
      </c>
      <c r="V5" s="884">
        <v>19</v>
      </c>
      <c r="W5" s="884">
        <v>20</v>
      </c>
      <c r="X5" s="884">
        <v>21</v>
      </c>
      <c r="Y5" s="451">
        <v>22</v>
      </c>
      <c r="Z5" s="451">
        <v>23</v>
      </c>
      <c r="AA5" s="893">
        <v>24</v>
      </c>
      <c r="AB5" s="885">
        <v>25</v>
      </c>
      <c r="AC5" s="884">
        <v>26</v>
      </c>
      <c r="AD5" s="884">
        <v>27</v>
      </c>
      <c r="AE5" s="884">
        <v>28</v>
      </c>
      <c r="AF5" s="884">
        <v>29</v>
      </c>
      <c r="AG5" s="884">
        <v>30</v>
      </c>
      <c r="AH5" s="885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9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6" t="s">
        <v>6</v>
      </c>
      <c r="N6" s="887" t="s">
        <v>6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4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60" t="s">
        <v>22</v>
      </c>
      <c r="AD6" s="1060" t="s">
        <v>22</v>
      </c>
      <c r="AE6" s="1060" t="s">
        <v>22</v>
      </c>
      <c r="AF6" s="1060" t="s">
        <v>22</v>
      </c>
      <c r="AG6" s="888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7" t="s">
        <v>4</v>
      </c>
      <c r="F7" s="894" t="s">
        <v>6</v>
      </c>
      <c r="G7" s="859" t="s">
        <v>6</v>
      </c>
      <c r="H7" s="1104" t="s">
        <v>7</v>
      </c>
      <c r="I7" s="1105" t="s">
        <v>7</v>
      </c>
      <c r="J7" s="747" t="s">
        <v>4</v>
      </c>
      <c r="K7" s="747" t="s">
        <v>4</v>
      </c>
      <c r="L7" s="747" t="s">
        <v>4</v>
      </c>
      <c r="M7" s="846" t="s">
        <v>23</v>
      </c>
      <c r="N7" s="847" t="s">
        <v>23</v>
      </c>
      <c r="O7" s="747" t="s">
        <v>77</v>
      </c>
      <c r="P7" s="747" t="s">
        <v>77</v>
      </c>
      <c r="Q7" s="1106" t="s">
        <v>23</v>
      </c>
      <c r="R7" s="1107" t="s">
        <v>23</v>
      </c>
      <c r="S7" s="1108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4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7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6" t="s">
        <v>8</v>
      </c>
      <c r="F8" s="890" t="s">
        <v>7</v>
      </c>
      <c r="G8" s="517" t="s">
        <v>7</v>
      </c>
      <c r="H8" s="1050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101" t="s">
        <v>8</v>
      </c>
      <c r="N8" s="1102" t="s">
        <v>8</v>
      </c>
      <c r="O8" s="1047" t="s">
        <v>14</v>
      </c>
      <c r="P8" s="1103" t="s">
        <v>14</v>
      </c>
      <c r="Q8" s="1103" t="s">
        <v>14</v>
      </c>
      <c r="R8" s="1047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7" t="s">
        <v>6</v>
      </c>
      <c r="AB8" s="859" t="s">
        <v>6</v>
      </c>
      <c r="AC8" s="1058" t="s">
        <v>7</v>
      </c>
      <c r="AD8" s="1059" t="s">
        <v>7</v>
      </c>
      <c r="AE8" s="840" t="s">
        <v>8</v>
      </c>
      <c r="AF8" s="840" t="s">
        <v>8</v>
      </c>
      <c r="AG8" s="840" t="s">
        <v>8</v>
      </c>
      <c r="AH8" s="227" t="s">
        <v>7</v>
      </c>
    </row>
    <row r="9" spans="2:36" ht="15" customHeight="1" thickBot="1">
      <c r="B9" s="244" t="s">
        <v>66</v>
      </c>
      <c r="C9" s="375" t="s">
        <v>26</v>
      </c>
      <c r="D9" s="283" t="s">
        <v>7</v>
      </c>
      <c r="E9" s="541" t="s">
        <v>7</v>
      </c>
      <c r="F9" s="890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624" t="s">
        <v>7</v>
      </c>
      <c r="O9" s="608" t="s">
        <v>8</v>
      </c>
      <c r="P9" s="226" t="s">
        <v>8</v>
      </c>
      <c r="Q9" s="226" t="s">
        <v>8</v>
      </c>
      <c r="R9" s="608" t="s">
        <v>8</v>
      </c>
      <c r="S9" s="946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5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7" t="s">
        <v>8</v>
      </c>
    </row>
    <row r="10" spans="2:36" ht="17.25" customHeight="1" thickBot="1">
      <c r="B10" s="242" t="s">
        <v>90</v>
      </c>
      <c r="C10" s="432" t="s">
        <v>28</v>
      </c>
      <c r="D10" s="283" t="s">
        <v>14</v>
      </c>
      <c r="E10" s="900" t="s">
        <v>14</v>
      </c>
      <c r="F10" s="891" t="s">
        <v>19</v>
      </c>
      <c r="G10" s="517" t="s">
        <v>19</v>
      </c>
      <c r="H10" s="912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3" t="s">
        <v>19</v>
      </c>
      <c r="T10" s="521" t="s">
        <v>7</v>
      </c>
      <c r="U10" s="204" t="s">
        <v>7</v>
      </c>
      <c r="V10" s="597" t="s">
        <v>14</v>
      </c>
      <c r="W10" s="597" t="s">
        <v>14</v>
      </c>
      <c r="X10" s="597" t="s">
        <v>14</v>
      </c>
      <c r="Y10" s="829" t="s">
        <v>19</v>
      </c>
      <c r="Z10" s="829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6" t="s">
        <v>14</v>
      </c>
      <c r="AG10" s="856" t="s">
        <v>14</v>
      </c>
      <c r="AH10" s="211" t="s">
        <v>19</v>
      </c>
    </row>
    <row r="11" spans="2:36" ht="16.5" customHeight="1" thickBot="1">
      <c r="B11" s="376" t="s">
        <v>91</v>
      </c>
      <c r="C11" s="375" t="s">
        <v>30</v>
      </c>
      <c r="D11" s="911" t="s">
        <v>19</v>
      </c>
      <c r="E11" s="900" t="s">
        <v>14</v>
      </c>
      <c r="F11" s="892" t="s">
        <v>14</v>
      </c>
      <c r="G11" s="517" t="s">
        <v>14</v>
      </c>
      <c r="H11" s="903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2" t="s">
        <v>4</v>
      </c>
      <c r="AA11" s="772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thickBot="1">
      <c r="B12" s="244" t="s">
        <v>92</v>
      </c>
      <c r="C12" s="375" t="s">
        <v>32</v>
      </c>
      <c r="D12" s="948" t="s">
        <v>6</v>
      </c>
      <c r="E12" s="541" t="s">
        <v>19</v>
      </c>
      <c r="F12" s="890" t="s">
        <v>7</v>
      </c>
      <c r="G12" s="517" t="s">
        <v>7</v>
      </c>
      <c r="H12" s="903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7" t="s">
        <v>6</v>
      </c>
      <c r="W12" s="920" t="s">
        <v>6</v>
      </c>
      <c r="X12" s="977" t="s">
        <v>6</v>
      </c>
      <c r="Y12" s="645" t="s">
        <v>7</v>
      </c>
      <c r="Z12" s="790" t="s">
        <v>14</v>
      </c>
      <c r="AA12" s="921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41"/>
    </row>
    <row r="13" spans="2:36" ht="15" customHeight="1" thickBot="1">
      <c r="B13" s="246" t="s">
        <v>93</v>
      </c>
      <c r="C13" s="566" t="s">
        <v>34</v>
      </c>
      <c r="D13" s="949" t="s">
        <v>4</v>
      </c>
      <c r="E13" s="747" t="s">
        <v>4</v>
      </c>
      <c r="F13" s="627" t="s">
        <v>7</v>
      </c>
      <c r="G13" s="208" t="s">
        <v>7</v>
      </c>
      <c r="H13" s="843" t="s">
        <v>4</v>
      </c>
      <c r="I13" s="950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3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6" t="s">
        <v>19</v>
      </c>
      <c r="Y13" s="523" t="s">
        <v>6</v>
      </c>
      <c r="Z13" s="916" t="s">
        <v>7</v>
      </c>
      <c r="AA13" s="922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thickBot="1">
      <c r="B14" s="246" t="s">
        <v>55</v>
      </c>
      <c r="C14" s="207"/>
      <c r="D14" s="569"/>
      <c r="E14" s="897"/>
      <c r="F14" s="895"/>
      <c r="G14" s="896"/>
      <c r="H14" s="898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7"/>
      <c r="AA14" s="895"/>
      <c r="AB14" s="896"/>
      <c r="AC14" s="898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5</v>
      </c>
      <c r="W18" s="53">
        <f t="shared" si="0"/>
        <v>5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2</v>
      </c>
      <c r="W20" s="84">
        <f t="shared" si="4"/>
        <v>2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2</v>
      </c>
      <c r="W25" s="94">
        <f t="shared" si="17"/>
        <v>2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B21" sqref="B2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  <col min="33" max="37" width="9.140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11" t="s">
        <v>3</v>
      </c>
      <c r="C4" s="450" t="s">
        <v>95</v>
      </c>
      <c r="D4" s="554" t="s">
        <v>6</v>
      </c>
      <c r="E4" s="590" t="s">
        <v>7</v>
      </c>
      <c r="F4" s="901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12"/>
      <c r="C5" s="883" t="s">
        <v>95</v>
      </c>
      <c r="D5" s="458">
        <v>1</v>
      </c>
      <c r="E5" s="451">
        <v>2</v>
      </c>
      <c r="F5" s="458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517" t="s">
        <v>7</v>
      </c>
      <c r="E6" s="541" t="s">
        <v>8</v>
      </c>
      <c r="F6" s="280" t="s">
        <v>8</v>
      </c>
      <c r="G6" s="858" t="s">
        <v>8</v>
      </c>
      <c r="H6" s="853" t="s">
        <v>8</v>
      </c>
      <c r="I6" s="854" t="s">
        <v>8</v>
      </c>
      <c r="J6" s="886" t="s">
        <v>6</v>
      </c>
      <c r="K6" s="887" t="s">
        <v>6</v>
      </c>
      <c r="L6" s="495" t="s">
        <v>7</v>
      </c>
      <c r="M6" s="224" t="s">
        <v>7</v>
      </c>
      <c r="N6" s="224" t="s">
        <v>8</v>
      </c>
      <c r="O6" s="495" t="s">
        <v>8</v>
      </c>
      <c r="P6" s="272" t="s">
        <v>8</v>
      </c>
      <c r="Q6" s="511" t="s">
        <v>7</v>
      </c>
      <c r="R6" s="205" t="s">
        <v>7</v>
      </c>
      <c r="S6" s="224" t="s">
        <v>8</v>
      </c>
      <c r="T6" s="224" t="s">
        <v>8</v>
      </c>
      <c r="U6" s="854" t="s">
        <v>7</v>
      </c>
      <c r="V6" s="506" t="s">
        <v>7</v>
      </c>
      <c r="W6" s="506" t="s">
        <v>7</v>
      </c>
      <c r="X6" s="205" t="s">
        <v>8</v>
      </c>
      <c r="Y6" s="205" t="s">
        <v>8</v>
      </c>
      <c r="Z6" s="216" t="s">
        <v>14</v>
      </c>
      <c r="AA6" s="519" t="s">
        <v>14</v>
      </c>
      <c r="AB6" s="856" t="s">
        <v>14</v>
      </c>
      <c r="AC6" s="856" t="s">
        <v>14</v>
      </c>
      <c r="AD6" s="888" t="s">
        <v>6</v>
      </c>
      <c r="AE6" s="856" t="s">
        <v>7</v>
      </c>
    </row>
    <row r="7" spans="2:33" ht="15" customHeight="1">
      <c r="B7" s="244" t="s">
        <v>73</v>
      </c>
      <c r="C7" s="375" t="s">
        <v>18</v>
      </c>
      <c r="D7" s="859" t="s">
        <v>53</v>
      </c>
      <c r="E7" s="902" t="s">
        <v>23</v>
      </c>
      <c r="F7" s="869" t="s">
        <v>23</v>
      </c>
      <c r="G7" s="872" t="s">
        <v>16</v>
      </c>
      <c r="H7" s="862" t="s">
        <v>16</v>
      </c>
      <c r="I7" s="860" t="s">
        <v>16</v>
      </c>
      <c r="J7" s="508" t="s">
        <v>7</v>
      </c>
      <c r="K7" s="517" t="s">
        <v>7</v>
      </c>
      <c r="L7" s="495" t="s">
        <v>8</v>
      </c>
      <c r="M7" s="224" t="s">
        <v>8</v>
      </c>
      <c r="N7" s="224" t="s">
        <v>7</v>
      </c>
      <c r="O7" s="495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4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4" t="s">
        <v>8</v>
      </c>
      <c r="AA7" s="272" t="s">
        <v>8</v>
      </c>
      <c r="AB7" s="506" t="s">
        <v>8</v>
      </c>
      <c r="AC7" s="506" t="s">
        <v>8</v>
      </c>
      <c r="AD7" s="506" t="s">
        <v>8</v>
      </c>
      <c r="AE7" s="871" t="s">
        <v>53</v>
      </c>
    </row>
    <row r="8" spans="2:33" ht="15" customHeight="1">
      <c r="B8" s="244" t="s">
        <v>100</v>
      </c>
      <c r="C8" s="375" t="s">
        <v>21</v>
      </c>
      <c r="D8" s="517" t="s">
        <v>7</v>
      </c>
      <c r="E8" s="224" t="s">
        <v>8</v>
      </c>
      <c r="F8" s="283" t="s">
        <v>7</v>
      </c>
      <c r="G8" s="226" t="s">
        <v>7</v>
      </c>
      <c r="H8" s="226" t="s">
        <v>7</v>
      </c>
      <c r="I8" s="541" t="s">
        <v>7</v>
      </c>
      <c r="J8" s="621" t="s">
        <v>16</v>
      </c>
      <c r="K8" s="622" t="s">
        <v>16</v>
      </c>
      <c r="L8" s="582" t="s">
        <v>22</v>
      </c>
      <c r="M8" s="468" t="s">
        <v>22</v>
      </c>
      <c r="N8" s="468" t="s">
        <v>22</v>
      </c>
      <c r="O8" s="582" t="s">
        <v>22</v>
      </c>
      <c r="P8" s="276" t="s">
        <v>53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7</v>
      </c>
      <c r="W8" s="606" t="s">
        <v>8</v>
      </c>
      <c r="X8" s="917" t="s">
        <v>53</v>
      </c>
      <c r="Y8" s="859" t="s">
        <v>53</v>
      </c>
      <c r="Z8" s="872" t="s">
        <v>23</v>
      </c>
      <c r="AA8" s="1005" t="s">
        <v>23</v>
      </c>
      <c r="AB8" s="559" t="s">
        <v>16</v>
      </c>
      <c r="AC8" s="559" t="s">
        <v>16</v>
      </c>
      <c r="AD8" s="559" t="s">
        <v>16</v>
      </c>
      <c r="AE8" s="882" t="s">
        <v>7</v>
      </c>
    </row>
    <row r="9" spans="2:33" ht="15" customHeight="1">
      <c r="B9" s="244" t="s">
        <v>66</v>
      </c>
      <c r="C9" s="375" t="s">
        <v>26</v>
      </c>
      <c r="D9" s="517" t="s">
        <v>8</v>
      </c>
      <c r="E9" s="541" t="s">
        <v>14</v>
      </c>
      <c r="F9" s="731" t="s">
        <v>14</v>
      </c>
      <c r="G9" s="607" t="s">
        <v>14</v>
      </c>
      <c r="H9" s="606" t="s">
        <v>14</v>
      </c>
      <c r="I9" s="276" t="s">
        <v>6</v>
      </c>
      <c r="J9" s="623" t="s">
        <v>7</v>
      </c>
      <c r="K9" s="624" t="s">
        <v>7</v>
      </c>
      <c r="L9" s="608" t="s">
        <v>8</v>
      </c>
      <c r="M9" s="226" t="s">
        <v>8</v>
      </c>
      <c r="N9" s="226" t="s">
        <v>8</v>
      </c>
      <c r="O9" s="608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5" t="s">
        <v>8</v>
      </c>
      <c r="V9" s="579" t="s">
        <v>8</v>
      </c>
      <c r="W9" s="579" t="s">
        <v>8</v>
      </c>
      <c r="X9" s="227" t="s">
        <v>7</v>
      </c>
      <c r="Y9" s="210" t="s">
        <v>7</v>
      </c>
      <c r="Z9" s="226" t="s">
        <v>8</v>
      </c>
      <c r="AA9" s="273" t="s">
        <v>8</v>
      </c>
      <c r="AB9" s="506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>
      <c r="B10" s="242" t="s">
        <v>90</v>
      </c>
      <c r="C10" s="432" t="s">
        <v>28</v>
      </c>
      <c r="D10" s="517" t="s">
        <v>19</v>
      </c>
      <c r="E10" s="912" t="s">
        <v>6</v>
      </c>
      <c r="F10" s="731" t="s">
        <v>7</v>
      </c>
      <c r="G10" s="594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601" t="s">
        <v>19</v>
      </c>
      <c r="M10" s="594" t="s">
        <v>19</v>
      </c>
      <c r="N10" s="594" t="s">
        <v>19</v>
      </c>
      <c r="O10" s="617" t="s">
        <v>6</v>
      </c>
      <c r="P10" s="913" t="s">
        <v>19</v>
      </c>
      <c r="Q10" s="521" t="s">
        <v>7</v>
      </c>
      <c r="R10" s="204" t="s">
        <v>7</v>
      </c>
      <c r="S10" s="597" t="s">
        <v>14</v>
      </c>
      <c r="T10" s="597" t="s">
        <v>14</v>
      </c>
      <c r="U10" s="915" t="s">
        <v>14</v>
      </c>
      <c r="V10" s="829" t="s">
        <v>19</v>
      </c>
      <c r="W10" s="829" t="s">
        <v>19</v>
      </c>
      <c r="X10" s="657" t="s">
        <v>7</v>
      </c>
      <c r="Y10" s="204" t="s">
        <v>7</v>
      </c>
      <c r="Z10" s="599" t="s">
        <v>6</v>
      </c>
      <c r="AA10" s="662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>
      <c r="B11" s="376" t="s">
        <v>91</v>
      </c>
      <c r="C11" s="375" t="s">
        <v>30</v>
      </c>
      <c r="D11" s="517" t="s">
        <v>14</v>
      </c>
      <c r="E11" s="903" t="s">
        <v>19</v>
      </c>
      <c r="F11" s="731" t="s">
        <v>19</v>
      </c>
      <c r="G11" s="212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681" t="s">
        <v>4</v>
      </c>
      <c r="M11" s="681" t="s">
        <v>4</v>
      </c>
      <c r="N11" s="681" t="s">
        <v>4</v>
      </c>
      <c r="O11" s="681" t="s">
        <v>4</v>
      </c>
      <c r="P11" s="681" t="s">
        <v>4</v>
      </c>
      <c r="Q11" s="511" t="s">
        <v>7</v>
      </c>
      <c r="R11" s="205" t="s">
        <v>7</v>
      </c>
      <c r="S11" s="919" t="s">
        <v>4</v>
      </c>
      <c r="T11" s="681" t="s">
        <v>4</v>
      </c>
      <c r="U11" s="919" t="s">
        <v>4</v>
      </c>
      <c r="V11" s="591" t="s">
        <v>7</v>
      </c>
      <c r="W11" s="772" t="s">
        <v>4</v>
      </c>
      <c r="X11" s="772" t="s">
        <v>4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>
      <c r="B12" s="244" t="s">
        <v>92</v>
      </c>
      <c r="C12" s="375" t="s">
        <v>32</v>
      </c>
      <c r="D12" s="517" t="s">
        <v>7</v>
      </c>
      <c r="E12" s="903" t="s">
        <v>7</v>
      </c>
      <c r="F12" s="731" t="s">
        <v>7</v>
      </c>
      <c r="G12" s="562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920" t="s">
        <v>6</v>
      </c>
      <c r="U12" s="645" t="s">
        <v>7</v>
      </c>
      <c r="V12" s="645" t="s">
        <v>7</v>
      </c>
      <c r="W12" s="790" t="s">
        <v>14</v>
      </c>
      <c r="X12" s="921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41"/>
    </row>
    <row r="13" spans="2:33" ht="15" customHeight="1">
      <c r="B13" s="246" t="s">
        <v>93</v>
      </c>
      <c r="C13" s="566" t="s">
        <v>34</v>
      </c>
      <c r="D13" s="208" t="s">
        <v>7</v>
      </c>
      <c r="E13" s="681" t="s">
        <v>4</v>
      </c>
      <c r="F13" s="733" t="s">
        <v>6</v>
      </c>
      <c r="G13" s="603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605" t="s">
        <v>7</v>
      </c>
      <c r="M13" s="565" t="s">
        <v>7</v>
      </c>
      <c r="N13" s="565" t="s">
        <v>7</v>
      </c>
      <c r="O13" s="913" t="s">
        <v>19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6" t="s">
        <v>19</v>
      </c>
      <c r="V13" s="916" t="s">
        <v>6</v>
      </c>
      <c r="W13" s="916" t="s">
        <v>7</v>
      </c>
      <c r="X13" s="922" t="s">
        <v>19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>
      <c r="B14" s="246" t="s">
        <v>55</v>
      </c>
      <c r="C14" s="207"/>
      <c r="D14" s="896"/>
      <c r="E14" s="898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7"/>
      <c r="X14" s="895"/>
      <c r="Y14" s="896"/>
      <c r="Z14" s="898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>
      <c r="B17" s="4"/>
    </row>
    <row r="18" spans="2:31" ht="11.1" customHeigh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5</v>
      </c>
      <c r="T18" s="53">
        <f t="shared" si="0"/>
        <v>6</v>
      </c>
      <c r="U18" s="53">
        <f t="shared" si="0"/>
        <v>5</v>
      </c>
      <c r="V18" s="53">
        <f t="shared" si="0"/>
        <v>4</v>
      </c>
      <c r="W18" s="53">
        <f t="shared" si="0"/>
        <v>5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1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1</v>
      </c>
      <c r="M20" s="84">
        <f t="shared" si="4"/>
        <v>1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0</v>
      </c>
      <c r="T22" s="90">
        <f t="shared" si="6"/>
        <v>1</v>
      </c>
      <c r="U22" s="90">
        <f t="shared" si="6"/>
        <v>0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2</v>
      </c>
      <c r="F23" s="92">
        <f t="shared" si="7"/>
        <v>4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1</v>
      </c>
      <c r="P23" s="723">
        <f t="shared" si="7"/>
        <v>1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1</v>
      </c>
      <c r="U23" s="92">
        <f t="shared" si="7"/>
        <v>2</v>
      </c>
      <c r="V23" s="92">
        <f t="shared" si="7"/>
        <v>4</v>
      </c>
      <c r="W23" s="92">
        <f t="shared" si="7"/>
        <v>2</v>
      </c>
      <c r="X23" s="92">
        <f t="shared" si="7"/>
        <v>3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6">
      <c r="C25" s="21" t="s">
        <v>4</v>
      </c>
      <c r="D25" s="709">
        <f t="shared" ref="D25:AE25" si="17">COUNTIFS(D$6:D$13,"V")</f>
        <v>0</v>
      </c>
      <c r="E25" s="717">
        <f t="shared" si="17"/>
        <v>1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1</v>
      </c>
      <c r="M25" s="94">
        <f t="shared" si="17"/>
        <v>1</v>
      </c>
      <c r="N25" s="94">
        <f t="shared" si="17"/>
        <v>1</v>
      </c>
      <c r="O25" s="94">
        <f t="shared" si="17"/>
        <v>1</v>
      </c>
      <c r="P25" s="725">
        <f t="shared" si="17"/>
        <v>1</v>
      </c>
      <c r="Q25" s="708">
        <f t="shared" si="17"/>
        <v>0</v>
      </c>
      <c r="R25" s="709">
        <f t="shared" si="17"/>
        <v>0</v>
      </c>
      <c r="S25" s="717">
        <f t="shared" si="17"/>
        <v>1</v>
      </c>
      <c r="T25" s="94">
        <f t="shared" si="17"/>
        <v>1</v>
      </c>
      <c r="U25" s="94">
        <f t="shared" si="17"/>
        <v>1</v>
      </c>
      <c r="V25" s="94">
        <f t="shared" si="17"/>
        <v>0</v>
      </c>
      <c r="W25" s="94">
        <f t="shared" si="17"/>
        <v>1</v>
      </c>
      <c r="X25" s="94">
        <f t="shared" si="17"/>
        <v>1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3a76498315cda9e936b533124834dacd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8b951d5ef4b1173405f3a7bd647635ed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C630C5-B44E-413D-953F-12C56DB748BC}"/>
</file>

<file path=customXml/itemProps2.xml><?xml version="1.0" encoding="utf-8"?>
<ds:datastoreItem xmlns:ds="http://schemas.openxmlformats.org/officeDocument/2006/customXml" ds:itemID="{54AEC4E9-D5BB-40A4-AB55-3FD90BB5AFFA}"/>
</file>

<file path=customXml/itemProps3.xml><?xml version="1.0" encoding="utf-8"?>
<ds:datastoreItem xmlns:ds="http://schemas.openxmlformats.org/officeDocument/2006/customXml" ds:itemID="{72795535-DE3F-4CE5-85C5-BD3641CD7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2025-12-10T07:16:57Z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