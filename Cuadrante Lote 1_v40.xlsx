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640" documentId="121_{59491B05-65AE-4027-8086-FE043DA9DF30}" xr6:coauthVersionLast="47" xr6:coauthVersionMax="47" xr10:uidLastSave="{4752F59E-42A0-4188-AEB7-FB21302906A8}"/>
  <bookViews>
    <workbookView minimized="1" xWindow="7368" yWindow="0" windowWidth="15456" windowHeight="10956" firstSheet="26" activeTab="24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Octubre'24 " sheetId="18" r:id="rId13"/>
    <sheet name="Marzo" sheetId="26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 Provisional" sheetId="39" r:id="rId28"/>
    <sheet name="Hoja1" sheetId="37" r:id="rId2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38" l="1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S19" i="39"/>
  <c r="T19" i="39"/>
  <c r="U19" i="39"/>
  <c r="V19" i="39"/>
  <c r="W19" i="39"/>
  <c r="X19" i="39"/>
  <c r="Y19" i="39"/>
  <c r="Z19" i="39"/>
  <c r="AA19" i="39"/>
  <c r="AB19" i="39"/>
  <c r="AC19" i="39"/>
  <c r="AD19" i="39"/>
  <c r="AE19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S20" i="39"/>
  <c r="T20" i="39"/>
  <c r="U20" i="39"/>
  <c r="V20" i="39"/>
  <c r="W20" i="39"/>
  <c r="X20" i="39"/>
  <c r="Y20" i="39"/>
  <c r="Z20" i="39"/>
  <c r="AA20" i="39"/>
  <c r="AB20" i="39"/>
  <c r="AC20" i="39"/>
  <c r="AD20" i="39"/>
  <c r="AE20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E25" i="39"/>
  <c r="D25" i="39"/>
  <c r="E24" i="39"/>
  <c r="D24" i="39"/>
  <c r="E23" i="39"/>
  <c r="D23" i="39"/>
  <c r="E22" i="39"/>
  <c r="D22" i="39"/>
  <c r="E21" i="39"/>
  <c r="D21" i="39"/>
  <c r="E20" i="39"/>
  <c r="D20" i="39"/>
  <c r="E19" i="39"/>
  <c r="D19" i="39"/>
  <c r="E18" i="39"/>
  <c r="D18" i="39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N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Y18" i="36" s="1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B19" i="36"/>
  <c r="AA19" i="36"/>
  <c r="Z19" i="36"/>
  <c r="Y19" i="36"/>
  <c r="X19" i="36"/>
  <c r="W19" i="36"/>
  <c r="V19" i="36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D19" i="36"/>
  <c r="AE18" i="36"/>
  <c r="AD18" i="36"/>
  <c r="AC18" i="36"/>
  <c r="AB18" i="36"/>
  <c r="AA18" i="36"/>
  <c r="Z18" i="36"/>
  <c r="X18" i="36"/>
  <c r="W18" i="36"/>
  <c r="V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E18" i="36"/>
  <c r="D18" i="36"/>
  <c r="AH24" i="35"/>
  <c r="AG19" i="35"/>
  <c r="AH19" i="35"/>
  <c r="AG20" i="35"/>
  <c r="AH20" i="35"/>
  <c r="AG21" i="35"/>
  <c r="AH21" i="35"/>
  <c r="AG22" i="35"/>
  <c r="AH22" i="35"/>
  <c r="AG23" i="35"/>
  <c r="AH23" i="35"/>
  <c r="AG24" i="35"/>
  <c r="AG25" i="35"/>
  <c r="AH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E19" i="35"/>
  <c r="AF19" i="35"/>
  <c r="AE20" i="35"/>
  <c r="AF20" i="35"/>
  <c r="AE21" i="35"/>
  <c r="AF21" i="35"/>
  <c r="AE22" i="35"/>
  <c r="AF22" i="35"/>
  <c r="AE23" i="35"/>
  <c r="AF23" i="35"/>
  <c r="AE24" i="35"/>
  <c r="AF24" i="35"/>
  <c r="AE25" i="35"/>
  <c r="AF25" i="35"/>
  <c r="AD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L25" i="35"/>
  <c r="K25" i="35"/>
  <c r="J25" i="35"/>
  <c r="I25" i="35"/>
  <c r="H25" i="35"/>
  <c r="G25" i="35"/>
  <c r="F25" i="35"/>
  <c r="E25" i="35"/>
  <c r="D25" i="35"/>
  <c r="AD24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L24" i="35"/>
  <c r="K24" i="35"/>
  <c r="J24" i="35"/>
  <c r="I24" i="35"/>
  <c r="H24" i="35"/>
  <c r="G24" i="35"/>
  <c r="F24" i="35"/>
  <c r="E24" i="35"/>
  <c r="D24" i="35"/>
  <c r="AD23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L23" i="35"/>
  <c r="K23" i="35"/>
  <c r="J23" i="35"/>
  <c r="I23" i="35"/>
  <c r="H23" i="35"/>
  <c r="G23" i="35"/>
  <c r="F23" i="35"/>
  <c r="E23" i="35"/>
  <c r="D23" i="35"/>
  <c r="AD22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L22" i="35"/>
  <c r="K22" i="35"/>
  <c r="J22" i="35"/>
  <c r="I22" i="35"/>
  <c r="H22" i="35"/>
  <c r="G22" i="35"/>
  <c r="F22" i="35"/>
  <c r="E22" i="35"/>
  <c r="D22" i="35"/>
  <c r="AD21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L21" i="35"/>
  <c r="K21" i="35"/>
  <c r="J21" i="35"/>
  <c r="I21" i="35"/>
  <c r="H21" i="35"/>
  <c r="G21" i="35"/>
  <c r="F21" i="35"/>
  <c r="E21" i="35"/>
  <c r="D21" i="35"/>
  <c r="AD20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L20" i="35"/>
  <c r="K20" i="35"/>
  <c r="J20" i="35"/>
  <c r="I20" i="35"/>
  <c r="H20" i="35"/>
  <c r="G20" i="35"/>
  <c r="F20" i="35"/>
  <c r="E20" i="35"/>
  <c r="D20" i="35"/>
  <c r="AD19" i="35"/>
  <c r="AC19" i="35"/>
  <c r="AB19" i="35"/>
  <c r="AA19" i="35"/>
  <c r="Z19" i="35"/>
  <c r="Z18" i="35" s="1"/>
  <c r="Y19" i="35"/>
  <c r="Y18" i="35" s="1"/>
  <c r="X19" i="35"/>
  <c r="W19" i="35"/>
  <c r="V19" i="35"/>
  <c r="V18" i="35" s="1"/>
  <c r="U19" i="35"/>
  <c r="U18" i="35" s="1"/>
  <c r="T19" i="35"/>
  <c r="S19" i="35"/>
  <c r="S18" i="35" s="1"/>
  <c r="R19" i="35"/>
  <c r="R18" i="35" s="1"/>
  <c r="Q19" i="35"/>
  <c r="P19" i="35"/>
  <c r="O19" i="35"/>
  <c r="N19" i="35"/>
  <c r="N18" i="35" s="1"/>
  <c r="L19" i="35"/>
  <c r="K19" i="35"/>
  <c r="J19" i="35"/>
  <c r="I19" i="35"/>
  <c r="I18" i="35" s="1"/>
  <c r="H19" i="35"/>
  <c r="G19" i="35"/>
  <c r="F19" i="35"/>
  <c r="F18" i="35" s="1"/>
  <c r="E19" i="35"/>
  <c r="D19" i="35"/>
  <c r="AA18" i="35"/>
  <c r="X18" i="35"/>
  <c r="Q18" i="35"/>
  <c r="H18" i="35"/>
  <c r="G18" i="35"/>
  <c r="D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AC18" i="35" l="1"/>
  <c r="P18" i="35"/>
  <c r="E18" i="35"/>
  <c r="T18" i="35"/>
  <c r="AB18" i="35"/>
  <c r="AD18" i="35"/>
  <c r="W18" i="35"/>
  <c r="V18" i="38"/>
  <c r="AE18" i="39"/>
  <c r="AD18" i="39"/>
  <c r="AC18" i="39"/>
  <c r="AB18" i="39"/>
  <c r="AA18" i="39"/>
  <c r="Z18" i="39"/>
  <c r="Y18" i="39"/>
  <c r="X18" i="39"/>
  <c r="W18" i="39"/>
  <c r="V18" i="39"/>
  <c r="U18" i="39"/>
  <c r="T18" i="39"/>
  <c r="S18" i="39"/>
  <c r="R18" i="39"/>
  <c r="Q18" i="39"/>
  <c r="P18" i="39"/>
  <c r="O18" i="39"/>
  <c r="N18" i="39"/>
  <c r="M18" i="39"/>
  <c r="L18" i="39"/>
  <c r="K18" i="39"/>
  <c r="J18" i="39"/>
  <c r="I18" i="39"/>
  <c r="H18" i="39"/>
  <c r="G18" i="39"/>
  <c r="F18" i="39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O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H18" i="35"/>
  <c r="AG18" i="35"/>
  <c r="AH18" i="34"/>
  <c r="AG18" i="34"/>
  <c r="AF18" i="35"/>
  <c r="AE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<sst xmlns="http://schemas.openxmlformats.org/spreadsheetml/2006/main" count="9898" uniqueCount="102">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</sst>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0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</fills>
  <borders count="22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17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26" fillId="24" borderId="139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23" fillId="40" borderId="202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23" fillId="40" borderId="13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23" fillId="7" borderId="173" xfId="0" applyFont="1" applyFill="1" applyBorder="1" applyAlignment="1">
      <alignment horizontal="center"/>
    </xf>
    <xf numFmtId="0" fontId="34" fillId="24" borderId="7" xfId="2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33" fillId="7" borderId="0" xfId="0" applyFont="1" applyFill="1" applyAlignment="1">
      <alignment horizontal="center"/>
    </xf>
    <xf numFmtId="0" fontId="27" fillId="7" borderId="0" xfId="0" applyFont="1" applyFill="1" applyAlignment="1">
      <alignment horizontal="center"/>
    </xf>
    <xf numFmtId="0" fontId="27" fillId="25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26" fillId="7" borderId="0" xfId="0" applyFont="1" applyFill="1" applyAlignment="1">
      <alignment horizontal="center"/>
    </xf>
    <xf numFmtId="165" fontId="19" fillId="21" borderId="0" xfId="0" applyNumberFormat="1" applyFont="1" applyFill="1" applyAlignment="1">
      <alignment horizontal="center" vertical="center"/>
    </xf>
    <xf numFmtId="165" fontId="5" fillId="3" borderId="71" xfId="0" applyNumberFormat="1" applyFont="1" applyFill="1" applyBorder="1" applyAlignment="1">
      <alignment horizontal="center" vertical="center"/>
    </xf>
    <xf numFmtId="165" fontId="5" fillId="7" borderId="10" xfId="0" applyNumberFormat="1" applyFont="1" applyFill="1" applyBorder="1" applyAlignment="1">
      <alignment horizontal="center" vertical="center"/>
    </xf>
    <xf numFmtId="165" fontId="5" fillId="10" borderId="10" xfId="0" applyNumberFormat="1" applyFont="1" applyFill="1" applyBorder="1" applyAlignment="1">
      <alignment horizontal="center" vertical="center"/>
    </xf>
    <xf numFmtId="165" fontId="5" fillId="9" borderId="225" xfId="0" applyNumberFormat="1" applyFont="1" applyFill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35" borderId="12" xfId="0" applyNumberFormat="1" applyFont="1" applyFill="1" applyBorder="1" applyAlignment="1">
      <alignment horizontal="center" vertical="center"/>
    </xf>
    <xf numFmtId="165" fontId="5" fillId="0" borderId="25" xfId="0" applyNumberFormat="1" applyFont="1" applyBorder="1" applyAlignment="1">
      <alignment horizontal="center" vertic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9906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32" sqref="A32"/>
      <selection pane="bottomLeft" activeCell="A6" sqref="A6"/>
      <selection pane="topRight" activeCell="D1" sqref="D1"/>
    </sheetView>
  </sheetViews>
  <sheetFormatPr defaultColWidth="11.42578125" defaultRowHeight="13.15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094"/>
      <c r="G1" s="1094"/>
      <c r="H1" s="1094"/>
      <c r="I1" s="1094"/>
      <c r="J1" s="1094"/>
      <c r="K1" s="1094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092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092"/>
      <c r="C3" s="2"/>
      <c r="D3" s="7"/>
      <c r="E3" s="7"/>
      <c r="F3" s="1085" t="s">
        <v>1</v>
      </c>
      <c r="G3" s="1085"/>
      <c r="H3" s="1085"/>
      <c r="I3" s="1085"/>
      <c r="J3" s="1085"/>
      <c r="K3" s="1085"/>
      <c r="L3" s="1085"/>
      <c r="M3" s="1085"/>
      <c r="N3" s="1085"/>
      <c r="O3" s="1085"/>
      <c r="P3" s="1085"/>
      <c r="Q3" s="1085"/>
      <c r="R3" s="1085"/>
      <c r="S3" s="1085"/>
      <c r="T3" s="1085"/>
      <c r="U3" s="1085"/>
      <c r="V3" s="1085"/>
      <c r="W3" s="1085"/>
      <c r="X3" s="1085"/>
      <c r="Y3" s="1085"/>
      <c r="Z3" s="1085"/>
      <c r="AA3" s="1085"/>
      <c r="AB3" s="1085"/>
      <c r="AC3" s="1085"/>
      <c r="AD3" s="1085"/>
      <c r="AE3" s="1085"/>
      <c r="AF3" s="1085"/>
      <c r="AG3" s="1085"/>
      <c r="AH3" s="1085"/>
      <c r="AI3" s="1085"/>
      <c r="AJ3" s="1085"/>
      <c r="AK3" s="1085"/>
      <c r="AL3" s="1097" t="s">
        <v>2</v>
      </c>
      <c r="AM3" s="1097"/>
      <c r="AN3" s="1097"/>
      <c r="AO3" s="1097"/>
      <c r="AP3" s="1097"/>
      <c r="AQ3" s="1097"/>
    </row>
    <row r="4" spans="2:45" ht="11.25" customHeight="1">
      <c r="B4" s="41"/>
      <c r="C4" s="1095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.9" thickBot="1">
      <c r="B5" s="42"/>
      <c r="C5" s="1096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093" t="str">
        <f>"Plantilla de Turnos CCNC  "&amp;D29</f>
        <v>Plantilla de Turnos CCNC  Raquel</v>
      </c>
      <c r="G28" s="1093"/>
      <c r="H28" s="1093"/>
      <c r="I28" s="1093"/>
      <c r="J28" s="1093"/>
      <c r="K28" s="1093"/>
      <c r="L28" s="1093"/>
      <c r="M28" s="27"/>
      <c r="N28" s="27"/>
      <c r="O28" s="27"/>
      <c r="P28" s="11"/>
      <c r="Q28" s="10"/>
      <c r="R28" s="10"/>
      <c r="S28" s="10"/>
      <c r="T28" s="10"/>
      <c r="U28" s="10"/>
      <c r="V28" s="1093" t="str">
        <f>"Plantilla de Turnos CCNC  "&amp;V29</f>
        <v>Plantilla de Turnos CCNC  To Be</v>
      </c>
      <c r="W28" s="1093"/>
      <c r="X28" s="1093"/>
      <c r="Y28" s="1093"/>
      <c r="Z28" s="1093"/>
      <c r="AA28" s="1093"/>
      <c r="AB28" s="1093"/>
      <c r="AC28" s="1093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088">
        <f>8.33*(COUNTIFS(F30:L30,"&lt;&gt;"&amp;"L"))</f>
        <v>41.65</v>
      </c>
      <c r="P30" s="1089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086">
        <f>8.33*(COUNTIFS(W30:AC30,"&lt;&gt;"&amp;"L"))</f>
        <v>58.31</v>
      </c>
      <c r="AG30" s="1087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090">
        <f t="shared" ref="O31:O38" si="12">8.33*(COUNTIFS(F31:L31,"&lt;&gt;"&amp;"L"))</f>
        <v>33.32</v>
      </c>
      <c r="P31" s="1091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081">
        <f t="shared" ref="AF31:AF37" si="13">8.33*(COUNTIFS(W31:AC31,"&lt;&gt;"&amp;"L"))</f>
        <v>24.990000000000002</v>
      </c>
      <c r="AG31" s="1082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090">
        <f t="shared" si="12"/>
        <v>58.31</v>
      </c>
      <c r="P32" s="1091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081">
        <f t="shared" si="13"/>
        <v>33.32</v>
      </c>
      <c r="AG32" s="1082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090">
        <f>8.33*(COUNTIFS(F33:L33,"&lt;&gt;"&amp;"LG"))</f>
        <v>41.65</v>
      </c>
      <c r="P33" s="1091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081">
        <f t="shared" si="13"/>
        <v>41.65</v>
      </c>
      <c r="AG33" s="1082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081">
        <f t="shared" si="13"/>
        <v>24.990000000000002</v>
      </c>
      <c r="AG34" s="1082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090">
        <f t="shared" si="12"/>
        <v>58.31</v>
      </c>
      <c r="P35" s="1091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081">
        <f t="shared" si="13"/>
        <v>33.32</v>
      </c>
      <c r="AG35" s="1082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090">
        <f t="shared" si="12"/>
        <v>33.32</v>
      </c>
      <c r="P36" s="1091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081">
        <f t="shared" si="13"/>
        <v>41.65</v>
      </c>
      <c r="AG36" s="1082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090">
        <f t="shared" si="12"/>
        <v>24.990000000000002</v>
      </c>
      <c r="P37" s="1091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083">
        <f t="shared" si="13"/>
        <v>58.31</v>
      </c>
      <c r="AG37" s="1084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02">
        <f t="shared" si="12"/>
        <v>41.65</v>
      </c>
      <c r="P38" s="1103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075">
        <f>SUM(W40:AC40)</f>
        <v>12</v>
      </c>
      <c r="AG40" s="1076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04">
        <f>SUM(F41:L41)</f>
        <v>10</v>
      </c>
      <c r="P41" s="1105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077">
        <f t="shared" ref="AF41:AF44" si="17">SUM(W41:AC41)</f>
        <v>12</v>
      </c>
      <c r="AG41" s="1078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098">
        <f t="shared" ref="O42:O45" si="19">SUM(F42:L42)</f>
        <v>11</v>
      </c>
      <c r="P42" s="1099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077">
        <f t="shared" si="17"/>
        <v>7</v>
      </c>
      <c r="AG42" s="1078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098">
        <f t="shared" si="19"/>
        <v>7</v>
      </c>
      <c r="P43" s="1099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077">
        <f t="shared" si="17"/>
        <v>7</v>
      </c>
      <c r="AG43" s="1078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098">
        <f t="shared" si="19"/>
        <v>7</v>
      </c>
      <c r="P44" s="1099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079">
        <f t="shared" si="17"/>
        <v>18</v>
      </c>
      <c r="AG44" s="1080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00">
        <f t="shared" si="19"/>
        <v>14</v>
      </c>
      <c r="P45" s="1101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06" t="s">
        <v>51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097" t="s">
        <v>52</v>
      </c>
      <c r="AC3" s="1097"/>
      <c r="AD3" s="1097"/>
      <c r="AE3" s="1097"/>
    </row>
    <row r="4" spans="2:31" ht="11.25" customHeight="1">
      <c r="B4" s="109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.9" thickBot="1">
      <c r="B5" s="1096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.9">
      <c r="C30" s="10"/>
      <c r="D30" s="10"/>
      <c r="E30" s="10"/>
      <c r="F30" s="10"/>
      <c r="G30" s="10"/>
      <c r="H30" s="1093" t="str">
        <f>"Plantilla de Turnos CCNC  "&amp;H31</f>
        <v>Plantilla de Turnos CCNC  To Be</v>
      </c>
      <c r="I30" s="1093"/>
      <c r="J30" s="1093"/>
      <c r="K30" s="1093"/>
      <c r="L30" s="1093"/>
      <c r="M30" s="1093"/>
      <c r="N30" s="1093"/>
      <c r="O30" s="1093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9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9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086">
        <f>8.33*(COUNTIFS(I32:O32,"&lt;&gt;"&amp;"L",I32:O32,"&lt;&gt;"&amp;"D"))+8*(COUNTIFS(I32:O32,"="&amp;"D"))</f>
        <v>57.65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9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086">
        <f t="shared" ref="R33:R39" si="7">8.33*(COUNTIFS(I33:O33,"&lt;&gt;"&amp;"L",I33:O33,"&lt;&gt;"&amp;"D"))+8*(COUNTIFS(I33:O33,"="&amp;"D"))</f>
        <v>24.990000000000002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.9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086">
        <f t="shared" si="7"/>
        <v>33.32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.9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086">
        <f t="shared" si="7"/>
        <v>41.32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086">
        <f t="shared" si="7"/>
        <v>24.990000000000002</v>
      </c>
      <c r="S36" s="10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9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086">
        <f t="shared" si="7"/>
        <v>32.99</v>
      </c>
      <c r="S37" s="10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9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086">
        <f t="shared" si="7"/>
        <v>41.65</v>
      </c>
      <c r="S38" s="1087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9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07">
        <f t="shared" si="7"/>
        <v>57.32</v>
      </c>
      <c r="S39" s="1108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.9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075">
        <f>SUM(I42:O42)</f>
        <v>12</v>
      </c>
      <c r="S42" s="10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077">
        <f t="shared" ref="R43:R46" si="10">SUM(I43:O43)</f>
        <v>12</v>
      </c>
      <c r="S43" s="10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077">
        <f t="shared" si="10"/>
        <v>7</v>
      </c>
      <c r="S44" s="10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077">
        <f t="shared" si="10"/>
        <v>7</v>
      </c>
      <c r="S45" s="1078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.9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079">
        <f t="shared" si="10"/>
        <v>18</v>
      </c>
      <c r="S46" s="108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106" t="s">
        <v>59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097" t="s">
        <v>51</v>
      </c>
      <c r="AC3" s="1097"/>
      <c r="AD3" s="1097"/>
      <c r="AE3" s="1097"/>
    </row>
    <row r="4" spans="2:33" ht="11.25" customHeight="1">
      <c r="B4" s="109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.9" thickBot="1">
      <c r="B5" s="1096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.9">
      <c r="C28" s="10"/>
      <c r="D28" s="10"/>
      <c r="E28" s="10"/>
      <c r="F28" s="10"/>
      <c r="G28" s="10"/>
      <c r="H28" s="1093" t="str">
        <f>"Plantilla de Turnos CCNC  "&amp;H29</f>
        <v>Plantilla de Turnos CCNC  To Be</v>
      </c>
      <c r="I28" s="1093"/>
      <c r="J28" s="1093"/>
      <c r="K28" s="1093"/>
      <c r="L28" s="1093"/>
      <c r="M28" s="1093"/>
      <c r="N28" s="1093"/>
      <c r="O28" s="1093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.9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.9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086">
        <f>8.33*(COUNTIFS(I30:O30,"&lt;&gt;"&amp;"L",I30:O30,"&lt;&gt;"&amp;"D"))+8*(COUNTIFS(I30:O30,"="&amp;"D"))</f>
        <v>57.65</v>
      </c>
      <c r="S30" s="108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.9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086">
        <f t="shared" ref="R31:R37" si="7">8.33*(COUNTIFS(I31:O31,"&lt;&gt;"&amp;"L",I31:O31,"&lt;&gt;"&amp;"D"))+8*(COUNTIFS(I31:O31,"="&amp;"D"))</f>
        <v>24.990000000000002</v>
      </c>
      <c r="S31" s="108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.9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086">
        <f t="shared" si="7"/>
        <v>33.32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9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086">
        <f t="shared" si="7"/>
        <v>41.32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9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086">
        <f t="shared" si="7"/>
        <v>24.990000000000002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9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086">
        <f t="shared" si="7"/>
        <v>32.99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086">
        <f t="shared" si="7"/>
        <v>41.65</v>
      </c>
      <c r="S36" s="10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9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07">
        <f t="shared" si="7"/>
        <v>57.32</v>
      </c>
      <c r="S37" s="11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9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075">
        <f>SUM(I40:O40)</f>
        <v>12</v>
      </c>
      <c r="S40" s="10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077">
        <f t="shared" ref="R41:R44" si="10">SUM(I41:O41)</f>
        <v>12</v>
      </c>
      <c r="S41" s="10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077">
        <f t="shared" si="10"/>
        <v>7</v>
      </c>
      <c r="S42" s="10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077">
        <f t="shared" si="10"/>
        <v>7</v>
      </c>
      <c r="S43" s="10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9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079">
        <f t="shared" si="10"/>
        <v>18</v>
      </c>
      <c r="S44" s="10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06" t="str">
        <f>TEXT(D5,"mmm")</f>
        <v>mar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6"/>
    </row>
    <row r="4" spans="2:31" ht="11.25" customHeight="1">
      <c r="B4" s="109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.9" thickBot="1">
      <c r="B5" s="1096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.9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.9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9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086">
        <f>8.33*(COUNTIFS(I31:O31,"&lt;&gt;"&amp;"L",I31:O31,"&lt;&gt;"&amp;"D"))+8*(COUNTIFS(I31:O31,"="&amp;"D"))</f>
        <v>57.65</v>
      </c>
      <c r="S31" s="108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9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086">
        <f t="shared" ref="R32:R38" si="7">8.33*(COUNTIFS(I32:O32,"&lt;&gt;"&amp;"L",I32:O32,"&lt;&gt;"&amp;"D"))+8*(COUNTIFS(I32:O32,"="&amp;"D"))</f>
        <v>24.990000000000002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9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086">
        <f t="shared" si="7"/>
        <v>33.32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.9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086">
        <f t="shared" si="7"/>
        <v>41.32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.9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086">
        <f t="shared" si="7"/>
        <v>24.990000000000002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086">
        <f t="shared" si="7"/>
        <v>32.99</v>
      </c>
      <c r="S36" s="10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9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086">
        <f t="shared" si="7"/>
        <v>41.65</v>
      </c>
      <c r="S37" s="10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9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07">
        <f t="shared" si="7"/>
        <v>57.32</v>
      </c>
      <c r="S38" s="110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.9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075">
        <f>SUM(I41:O41)</f>
        <v>12</v>
      </c>
      <c r="S41" s="10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077">
        <f t="shared" ref="R42:R45" si="10">SUM(I42:O42)</f>
        <v>12</v>
      </c>
      <c r="S42" s="10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077">
        <f t="shared" si="10"/>
        <v>7</v>
      </c>
      <c r="S43" s="10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077">
        <f t="shared" si="10"/>
        <v>7</v>
      </c>
      <c r="S44" s="10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.9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079">
        <f t="shared" si="10"/>
        <v>18</v>
      </c>
      <c r="S45" s="108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3.15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06" t="s">
        <v>65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6"/>
      <c r="AF3" s="1106"/>
      <c r="AG3" s="1106"/>
    </row>
    <row r="4" spans="2:33" ht="11.25" customHeight="1">
      <c r="B4" s="109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.9" thickBot="1">
      <c r="B5" s="1096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.9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.9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.9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086">
        <f>8.33*(COUNTIFS(I30:O30,"&lt;&gt;"&amp;"L",I30:O30,"&lt;&gt;"&amp;"D"))+8*(COUNTIFS(I30:O30,"="&amp;"D"))</f>
        <v>57.65</v>
      </c>
      <c r="S30" s="108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9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086">
        <f t="shared" ref="R31:R37" si="14">8.33*(COUNTIFS(I31:O31,"&lt;&gt;"&amp;"L",I31:O31,"&lt;&gt;"&amp;"D"))+8*(COUNTIFS(I31:O31,"="&amp;"D"))</f>
        <v>24.990000000000002</v>
      </c>
      <c r="S31" s="108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9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086">
        <f t="shared" si="14"/>
        <v>33.32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9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086">
        <f t="shared" si="14"/>
        <v>41.32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9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086">
        <f t="shared" si="14"/>
        <v>24.990000000000002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9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086">
        <f t="shared" si="14"/>
        <v>32.99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086">
        <f t="shared" si="14"/>
        <v>41.65</v>
      </c>
      <c r="S36" s="10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9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07">
        <f t="shared" si="14"/>
        <v>57.32</v>
      </c>
      <c r="S37" s="11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9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075">
        <f>SUM(I40:O40)</f>
        <v>12</v>
      </c>
      <c r="S40" s="10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077">
        <f t="shared" ref="R41:R44" si="17">SUM(I41:O41)</f>
        <v>12</v>
      </c>
      <c r="S41" s="10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077">
        <f t="shared" si="17"/>
        <v>7</v>
      </c>
      <c r="S42" s="10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077">
        <f t="shared" si="17"/>
        <v>7</v>
      </c>
      <c r="S43" s="10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9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079">
        <f t="shared" si="17"/>
        <v>18</v>
      </c>
      <c r="S44" s="10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06" t="s">
        <v>67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6"/>
      <c r="AF3" s="1106"/>
      <c r="AG3" s="1106"/>
    </row>
    <row r="4" spans="2:34" ht="11.25" customHeight="1">
      <c r="B4" s="1095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.9" thickBot="1">
      <c r="B5" s="1096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.9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.9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.9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086">
        <f>8.33*(COUNTIFS(I29:O29,"&lt;&gt;"&amp;"L",I29:O29,"&lt;&gt;"&amp;"D"))+8*(COUNTIFS(I29:O29,"="&amp;"D"))</f>
        <v>57.65</v>
      </c>
      <c r="S29" s="1087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.9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086">
        <f t="shared" ref="R30:R36" si="14">8.33*(COUNTIFS(I30:O30,"&lt;&gt;"&amp;"L",I30:O30,"&lt;&gt;"&amp;"D"))+8*(COUNTIFS(I30:O30,"="&amp;"D"))</f>
        <v>24.990000000000002</v>
      </c>
      <c r="S30" s="108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.9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086">
        <f t="shared" si="14"/>
        <v>33.32</v>
      </c>
      <c r="S31" s="108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.9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086">
        <f t="shared" si="14"/>
        <v>41.32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.9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086">
        <f t="shared" si="14"/>
        <v>24.990000000000002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.9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086">
        <f t="shared" si="14"/>
        <v>32.99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9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086">
        <f t="shared" si="14"/>
        <v>41.65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07">
        <f t="shared" si="14"/>
        <v>57.32</v>
      </c>
      <c r="S36" s="110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9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075">
        <f>SUM(I39:O39)</f>
        <v>12</v>
      </c>
      <c r="S39" s="1076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077">
        <f t="shared" ref="R40:R43" si="17">SUM(I40:O40)</f>
        <v>12</v>
      </c>
      <c r="S40" s="10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077">
        <f t="shared" si="17"/>
        <v>7</v>
      </c>
      <c r="S41" s="10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077">
        <f t="shared" si="17"/>
        <v>7</v>
      </c>
      <c r="S42" s="10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.9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079">
        <f t="shared" si="17"/>
        <v>18</v>
      </c>
      <c r="S43" s="10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3.15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06" t="s">
        <v>72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6"/>
      <c r="AF3" s="1106"/>
      <c r="AG3" s="1106"/>
    </row>
    <row r="4" spans="2:33" ht="11.25" customHeight="1">
      <c r="B4" s="1095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.9" thickBot="1">
      <c r="B5" s="1096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.9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.9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.9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086">
        <f>8.33*(COUNTIFS(I30:O30,"&lt;&gt;"&amp;"L",I30:O30,"&lt;&gt;"&amp;"D"))+8*(COUNTIFS(I30:O30,"="&amp;"D"))</f>
        <v>57.65</v>
      </c>
      <c r="S30" s="108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9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086">
        <f t="shared" ref="R31:R37" si="14">8.33*(COUNTIFS(I31:O31,"&lt;&gt;"&amp;"L",I31:O31,"&lt;&gt;"&amp;"D"))+8*(COUNTIFS(I31:O31,"="&amp;"D"))</f>
        <v>24.990000000000002</v>
      </c>
      <c r="S31" s="108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9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086">
        <f t="shared" si="14"/>
        <v>33.32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9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086">
        <f t="shared" si="14"/>
        <v>41.32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9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086">
        <f t="shared" si="14"/>
        <v>24.990000000000002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9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086">
        <f t="shared" si="14"/>
        <v>32.99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086">
        <f t="shared" si="14"/>
        <v>41.65</v>
      </c>
      <c r="S36" s="10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9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07">
        <f t="shared" si="14"/>
        <v>57.32</v>
      </c>
      <c r="S37" s="11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9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075">
        <f>SUM(I40:O40)</f>
        <v>12</v>
      </c>
      <c r="S40" s="10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077">
        <f t="shared" ref="R41:R44" si="17">SUM(I41:O41)</f>
        <v>12</v>
      </c>
      <c r="S41" s="10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077">
        <f t="shared" si="17"/>
        <v>7</v>
      </c>
      <c r="S42" s="10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077">
        <f t="shared" si="17"/>
        <v>7</v>
      </c>
      <c r="S43" s="10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9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079">
        <f t="shared" si="17"/>
        <v>18</v>
      </c>
      <c r="S44" s="10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06" t="s">
        <v>76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6"/>
      <c r="AF3" s="1106"/>
      <c r="AG3" s="1106"/>
      <c r="AH3" s="179"/>
    </row>
    <row r="4" spans="2:34" ht="11.25" customHeight="1">
      <c r="B4" s="109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.9" thickBot="1">
      <c r="B5" s="1096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.9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.9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.9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086">
        <f>8.33*(COUNTIFS(I30:O30,"&lt;&gt;"&amp;"L",I30:O30,"&lt;&gt;"&amp;"D"))+8*(COUNTIFS(I30:O30,"="&amp;"D"))</f>
        <v>57.65</v>
      </c>
      <c r="S30" s="108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.9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086">
        <f t="shared" ref="R31:R37" si="8">8.33*(COUNTIFS(I31:O31,"&lt;&gt;"&amp;"L",I31:O31,"&lt;&gt;"&amp;"D"))+8*(COUNTIFS(I31:O31,"="&amp;"D"))</f>
        <v>24.990000000000002</v>
      </c>
      <c r="S31" s="108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.9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086">
        <f t="shared" si="8"/>
        <v>33.32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9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086">
        <f t="shared" si="8"/>
        <v>41.32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9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086">
        <f t="shared" si="8"/>
        <v>24.990000000000002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9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086">
        <f t="shared" si="8"/>
        <v>32.99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086">
        <f t="shared" si="8"/>
        <v>41.65</v>
      </c>
      <c r="S36" s="10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9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07">
        <f t="shared" si="8"/>
        <v>57.32</v>
      </c>
      <c r="S37" s="11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9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075">
        <f>SUM(I40:O40)</f>
        <v>12</v>
      </c>
      <c r="S40" s="10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077">
        <f t="shared" ref="R41:R44" si="11">SUM(I41:O41)</f>
        <v>12</v>
      </c>
      <c r="S41" s="10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077">
        <f t="shared" si="11"/>
        <v>7</v>
      </c>
      <c r="S42" s="10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077">
        <f t="shared" si="11"/>
        <v>7</v>
      </c>
      <c r="S43" s="10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9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079">
        <f t="shared" si="11"/>
        <v>18</v>
      </c>
      <c r="S44" s="10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094"/>
      <c r="E1" s="1094"/>
      <c r="F1" s="1094"/>
      <c r="G1" s="1094"/>
      <c r="H1" s="1094"/>
      <c r="I1" s="109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06" t="s">
        <v>80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6"/>
      <c r="AF3" s="1106"/>
      <c r="AG3" s="1106"/>
    </row>
    <row r="4" spans="2:34" ht="11.25" customHeight="1">
      <c r="B4" s="1095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096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.9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.9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.9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086">
        <f>8.33*(COUNTIFS(I29:O29,"&lt;&gt;"&amp;"L",I29:O29,"&lt;&gt;"&amp;"D"))+8*(COUNTIFS(I29:O29,"="&amp;"D"))</f>
        <v>57.65</v>
      </c>
      <c r="S29" s="1087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.9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086">
        <f t="shared" ref="R30:R36" si="8">8.33*(COUNTIFS(I30:O30,"&lt;&gt;"&amp;"L",I30:O30,"&lt;&gt;"&amp;"D"))+8*(COUNTIFS(I30:O30,"="&amp;"D"))</f>
        <v>24.990000000000002</v>
      </c>
      <c r="S30" s="108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.9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086">
        <f t="shared" si="8"/>
        <v>33.32</v>
      </c>
      <c r="S31" s="108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.9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086">
        <f t="shared" si="8"/>
        <v>41.32</v>
      </c>
      <c r="S32" s="108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.9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086">
        <f t="shared" si="8"/>
        <v>24.990000000000002</v>
      </c>
      <c r="S33" s="108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.9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086">
        <f t="shared" si="8"/>
        <v>32.99</v>
      </c>
      <c r="S34" s="108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9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086">
        <f t="shared" si="8"/>
        <v>41.65</v>
      </c>
      <c r="S35" s="108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9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07">
        <f t="shared" si="8"/>
        <v>57.32</v>
      </c>
      <c r="S36" s="110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9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075">
        <f>SUM(I39:O39)</f>
        <v>12</v>
      </c>
      <c r="S39" s="1076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077">
        <f t="shared" ref="R40:R43" si="11">SUM(I40:O40)</f>
        <v>12</v>
      </c>
      <c r="S40" s="10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077">
        <f t="shared" si="11"/>
        <v>7</v>
      </c>
      <c r="S41" s="10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077">
        <f t="shared" si="11"/>
        <v>7</v>
      </c>
      <c r="S42" s="10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.9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079">
        <f t="shared" si="11"/>
        <v>18</v>
      </c>
      <c r="S43" s="10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094"/>
      <c r="E1" s="1094"/>
      <c r="F1" s="109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06"/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</row>
    <row r="4" spans="2:33" ht="11.25" customHeight="1">
      <c r="B4" s="1095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096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086">
        <f>8.33*(COUNTIFS(F29:L29,"&lt;&gt;"&amp;"L",F29:L29,"&lt;&gt;"&amp;"D"))+8*(COUNTIFS(F29:L29,"="&amp;"D"))</f>
        <v>57.65</v>
      </c>
      <c r="P29" s="1087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086">
        <f t="shared" ref="O30:O36" si="8">8.33*(COUNTIFS(F30:L30,"&lt;&gt;"&amp;"L",F30:L30,"&lt;&gt;"&amp;"D"))+8*(COUNTIFS(F30:L30,"="&amp;"D"))</f>
        <v>24.990000000000002</v>
      </c>
      <c r="P30" s="1087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086">
        <f t="shared" si="8"/>
        <v>33.32</v>
      </c>
      <c r="P31" s="1087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086">
        <f t="shared" si="8"/>
        <v>41.32</v>
      </c>
      <c r="P32" s="1087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086">
        <f t="shared" si="8"/>
        <v>24.990000000000002</v>
      </c>
      <c r="P33" s="1087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086">
        <f t="shared" si="8"/>
        <v>32.99</v>
      </c>
      <c r="P34" s="1087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086">
        <f t="shared" si="8"/>
        <v>41.65</v>
      </c>
      <c r="P35" s="1087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07">
        <f t="shared" si="8"/>
        <v>57.32</v>
      </c>
      <c r="P36" s="1108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075">
        <f>SUM(F39:L39)</f>
        <v>12</v>
      </c>
      <c r="P39" s="1076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077">
        <f t="shared" ref="O40:O43" si="11">SUM(F40:L40)</f>
        <v>12</v>
      </c>
      <c r="P40" s="1078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077">
        <f t="shared" si="11"/>
        <v>7</v>
      </c>
      <c r="P41" s="1078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077">
        <f t="shared" si="11"/>
        <v>7</v>
      </c>
      <c r="P42" s="1078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079">
        <f t="shared" si="11"/>
        <v>18</v>
      </c>
      <c r="P43" s="108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3.15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W6" activePane="bottomRight" state="frozen"/>
      <selection pane="bottomRight" activeCell="AF2" sqref="AF2:AG14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106"/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9"/>
      <c r="AF3" s="1106"/>
      <c r="AG3" s="1109"/>
    </row>
    <row r="4" spans="2:33" ht="11.25" customHeight="1">
      <c r="B4" s="1110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110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07">
        <f t="shared" ref="N30:N37" si="8">8.33*(COUNTIFS(E30:K30,"&lt;&gt;"&amp;"L",E30:K30,"&lt;&gt;"&amp;"D"))+8*(COUNTIFS(E30:K30,"="&amp;"D"))</f>
        <v>57.65</v>
      </c>
      <c r="O30" s="1108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07">
        <f t="shared" si="8"/>
        <v>24.990000000000002</v>
      </c>
      <c r="O31" s="1108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07">
        <f t="shared" si="8"/>
        <v>33.32</v>
      </c>
      <c r="O32" s="1108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07">
        <f t="shared" si="8"/>
        <v>41.32</v>
      </c>
      <c r="O33" s="1108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07">
        <f t="shared" si="8"/>
        <v>24.990000000000002</v>
      </c>
      <c r="O34" s="1108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07">
        <f t="shared" si="8"/>
        <v>32.99</v>
      </c>
      <c r="O35" s="1108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07">
        <f t="shared" si="8"/>
        <v>41.65</v>
      </c>
      <c r="O36" s="1108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07">
        <f t="shared" si="8"/>
        <v>57.32</v>
      </c>
      <c r="O37" s="1108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075">
        <f>SUM(E40:K40)</f>
        <v>12</v>
      </c>
      <c r="O40" s="1076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077">
        <f>SUM(E41:K41)</f>
        <v>12</v>
      </c>
      <c r="O41" s="1078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077">
        <f>SUM(E42:K42)</f>
        <v>7</v>
      </c>
      <c r="O42" s="1078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077">
        <f>SUM(E43:K43)</f>
        <v>7</v>
      </c>
      <c r="O43" s="1078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079">
        <f>SUM(E44:K44)</f>
        <v>18</v>
      </c>
      <c r="O44" s="108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3.15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094"/>
      <c r="E1" s="1094"/>
      <c r="F1" s="109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106"/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6"/>
      <c r="AD3" s="1106"/>
      <c r="AE3" s="1106"/>
      <c r="AF3" s="1106"/>
      <c r="AG3" s="1106"/>
      <c r="AH3" s="1109"/>
    </row>
    <row r="4" spans="2:34" ht="11.25" customHeight="1">
      <c r="B4" s="1110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110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07">
        <f>8.33*(COUNTIFS(F30:L30,"&lt;&gt;"&amp;"L",F30:L30,"&lt;&gt;"&amp;"D"))+8*(COUNTIFS(F30:L30,"="&amp;"D"))</f>
        <v>57.65</v>
      </c>
      <c r="P30" s="1108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07">
        <f t="shared" ref="O31:O37" si="10">8.33*(COUNTIFS(F31:L31,"&lt;&gt;"&amp;"L",F31:L31,"&lt;&gt;"&amp;"D"))+8*(COUNTIFS(F31:L31,"="&amp;"D"))</f>
        <v>24.990000000000002</v>
      </c>
      <c r="P31" s="1108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07">
        <f t="shared" si="10"/>
        <v>33.32</v>
      </c>
      <c r="P32" s="1108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07">
        <f t="shared" si="10"/>
        <v>41.32</v>
      </c>
      <c r="P33" s="1108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07">
        <f t="shared" si="10"/>
        <v>24.990000000000002</v>
      </c>
      <c r="P34" s="1108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07">
        <f t="shared" si="10"/>
        <v>32.99</v>
      </c>
      <c r="P35" s="1108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07">
        <f t="shared" si="10"/>
        <v>41.65</v>
      </c>
      <c r="P36" s="1108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07">
        <f t="shared" si="10"/>
        <v>57.32</v>
      </c>
      <c r="P37" s="1108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075">
        <f>SUM(F40:L40)</f>
        <v>12</v>
      </c>
      <c r="P40" s="1076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077">
        <f t="shared" ref="O41:O44" si="13">SUM(F41:L41)</f>
        <v>12</v>
      </c>
      <c r="P41" s="1078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077">
        <f t="shared" si="13"/>
        <v>7</v>
      </c>
      <c r="P42" s="1078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077">
        <f t="shared" si="13"/>
        <v>7</v>
      </c>
      <c r="P43" s="1078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079">
        <f t="shared" si="13"/>
        <v>18</v>
      </c>
      <c r="P44" s="108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113" t="s">
        <v>95</v>
      </c>
      <c r="D2" s="1113"/>
      <c r="E2" s="1113"/>
      <c r="F2" s="1113"/>
      <c r="G2" s="1113" t="s">
        <v>95</v>
      </c>
      <c r="H2" s="1113"/>
      <c r="I2" s="1113" t="s">
        <v>95</v>
      </c>
      <c r="J2" s="1113"/>
      <c r="K2" s="1113" t="s">
        <v>95</v>
      </c>
      <c r="L2" s="1113"/>
      <c r="M2" s="1113" t="s">
        <v>95</v>
      </c>
      <c r="N2" s="1113"/>
      <c r="O2" s="1113" t="s">
        <v>95</v>
      </c>
      <c r="P2" s="1113"/>
      <c r="Q2" s="1113" t="s">
        <v>95</v>
      </c>
      <c r="R2" s="1113"/>
      <c r="S2" s="1113" t="s">
        <v>95</v>
      </c>
      <c r="T2" s="1113"/>
      <c r="U2" s="1113" t="s">
        <v>95</v>
      </c>
      <c r="V2" s="1113"/>
      <c r="W2" s="1113" t="s">
        <v>95</v>
      </c>
      <c r="X2" s="1113"/>
      <c r="Y2" s="1113" t="s">
        <v>95</v>
      </c>
      <c r="Z2" s="1113"/>
      <c r="AA2" s="1113" t="s">
        <v>95</v>
      </c>
      <c r="AB2" s="1113"/>
      <c r="AC2" s="1113" t="s">
        <v>95</v>
      </c>
      <c r="AD2" s="1113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111" t="s">
        <v>95</v>
      </c>
      <c r="G3" s="1111"/>
      <c r="H3" s="1111"/>
      <c r="I3" s="1111"/>
      <c r="J3" s="1111"/>
      <c r="K3" s="1111"/>
      <c r="L3" s="1111"/>
      <c r="M3" s="1111"/>
      <c r="N3" s="1111"/>
      <c r="O3" s="1111"/>
      <c r="P3" s="1111"/>
      <c r="Q3" s="1111"/>
      <c r="R3" s="1111"/>
      <c r="S3" s="1111"/>
      <c r="T3" s="1111"/>
      <c r="U3" s="1111"/>
      <c r="V3" s="1111"/>
      <c r="W3" s="1111"/>
      <c r="X3" s="1111"/>
      <c r="Y3" s="1111"/>
      <c r="Z3" s="1111"/>
      <c r="AA3" s="1111"/>
      <c r="AB3" s="1111"/>
      <c r="AC3" s="1111"/>
      <c r="AD3" s="1111" t="s">
        <v>95</v>
      </c>
      <c r="AE3" s="1112"/>
      <c r="AF3" s="448"/>
      <c r="AG3" s="448"/>
      <c r="AH3" s="449"/>
    </row>
    <row r="4" spans="2:34" ht="15" customHeight="1">
      <c r="B4" s="111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5" t="s">
        <v>23</v>
      </c>
      <c r="E6" s="1005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22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23" t="s">
        <v>23</v>
      </c>
      <c r="AG6" s="1024" t="s">
        <v>23</v>
      </c>
      <c r="AH6" s="989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6" t="s">
        <v>23</v>
      </c>
      <c r="S8" s="847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5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6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3.1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3.1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3.1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3.1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3.1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3.1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3.1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3.1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3.1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3.1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3.1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3.1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3.1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3.1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3.1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3.1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3.1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3.1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3.1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3.1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3.1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3.1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3.1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3.1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3.15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06"/>
      <c r="AC3" s="1106"/>
      <c r="AD3" s="1106"/>
      <c r="AE3" s="1109"/>
      <c r="AF3" s="1106"/>
      <c r="AG3" s="1106"/>
      <c r="AH3" s="1109"/>
    </row>
    <row r="4" spans="2:34" ht="11.25" customHeight="1">
      <c r="B4" s="1110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110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06"/>
      <c r="Z3" s="1106"/>
      <c r="AA3" s="1106"/>
      <c r="AB3" s="1106"/>
      <c r="AC3" s="1106"/>
      <c r="AD3" s="1106"/>
      <c r="AE3" s="1106"/>
      <c r="AF3" s="195"/>
      <c r="AG3" s="195"/>
      <c r="AH3" s="337"/>
    </row>
    <row r="4" spans="2:34" ht="11.25" customHeight="1">
      <c r="B4" s="1110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110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90" t="s">
        <v>22</v>
      </c>
      <c r="E6" s="991" t="s">
        <v>22</v>
      </c>
      <c r="F6" s="991" t="s">
        <v>53</v>
      </c>
      <c r="G6" s="991" t="s">
        <v>23</v>
      </c>
      <c r="H6" s="992" t="s">
        <v>23</v>
      </c>
      <c r="I6" s="993" t="s">
        <v>16</v>
      </c>
      <c r="J6" s="994" t="s">
        <v>16</v>
      </c>
      <c r="K6" s="995" t="s">
        <v>16</v>
      </c>
      <c r="L6" s="995" t="s">
        <v>16</v>
      </c>
      <c r="M6" s="995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6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7" t="s">
        <v>16</v>
      </c>
      <c r="AC6" s="997" t="s">
        <v>16</v>
      </c>
      <c r="AD6" s="997" t="s">
        <v>22</v>
      </c>
      <c r="AE6" s="997" t="s">
        <v>22</v>
      </c>
      <c r="AF6" s="998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9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1000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1001" t="s">
        <v>8</v>
      </c>
    </row>
    <row r="8" spans="2:34" ht="15" customHeight="1">
      <c r="B8" s="244" t="s">
        <v>20</v>
      </c>
      <c r="C8" s="10" t="s">
        <v>21</v>
      </c>
      <c r="D8" s="1002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1000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1003" t="s">
        <v>94</v>
      </c>
      <c r="O8" s="1003" t="s">
        <v>94</v>
      </c>
      <c r="P8" s="1004" t="s">
        <v>94</v>
      </c>
      <c r="Q8" s="1004" t="s">
        <v>94</v>
      </c>
      <c r="R8" s="270" t="s">
        <v>22</v>
      </c>
      <c r="S8" s="270" t="s">
        <v>22</v>
      </c>
      <c r="T8" s="271" t="s">
        <v>53</v>
      </c>
      <c r="U8" s="1005" t="s">
        <v>23</v>
      </c>
      <c r="V8" s="1006" t="s">
        <v>23</v>
      </c>
      <c r="W8" s="989" t="s">
        <v>16</v>
      </c>
      <c r="X8" s="989" t="s">
        <v>16</v>
      </c>
      <c r="Y8" s="989" t="s">
        <v>16</v>
      </c>
      <c r="Z8" s="989" t="s">
        <v>16</v>
      </c>
      <c r="AA8" s="989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1001" t="s">
        <v>8</v>
      </c>
    </row>
    <row r="9" spans="2:34" ht="15" customHeight="1">
      <c r="B9" s="244" t="s">
        <v>66</v>
      </c>
      <c r="C9" s="10" t="s">
        <v>26</v>
      </c>
      <c r="D9" s="1007" t="s">
        <v>7</v>
      </c>
      <c r="E9" s="1008" t="s">
        <v>7</v>
      </c>
      <c r="F9" s="1009" t="s">
        <v>7</v>
      </c>
      <c r="G9" s="1010" t="s">
        <v>8</v>
      </c>
      <c r="H9" s="1011" t="s">
        <v>8</v>
      </c>
      <c r="I9" s="1007" t="s">
        <v>14</v>
      </c>
      <c r="J9" s="363" t="s">
        <v>14</v>
      </c>
      <c r="K9" s="363" t="s">
        <v>14</v>
      </c>
      <c r="L9" s="363" t="s">
        <v>14</v>
      </c>
      <c r="M9" s="1012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13" t="s">
        <v>7</v>
      </c>
    </row>
    <row r="10" spans="2:34" ht="17.25" customHeight="1">
      <c r="B10" s="252" t="s">
        <v>90</v>
      </c>
      <c r="C10" s="331" t="s">
        <v>28</v>
      </c>
      <c r="D10" s="1014" t="s">
        <v>6</v>
      </c>
      <c r="E10" s="552" t="s">
        <v>19</v>
      </c>
      <c r="F10" s="552" t="s">
        <v>19</v>
      </c>
      <c r="G10" s="1015" t="s">
        <v>19</v>
      </c>
      <c r="H10" s="910" t="s">
        <v>19</v>
      </c>
      <c r="I10" s="1000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6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6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6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6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6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7" t="s">
        <v>14</v>
      </c>
    </row>
    <row r="12" spans="2:34" ht="15" customHeight="1">
      <c r="B12" s="256" t="s">
        <v>92</v>
      </c>
      <c r="C12" s="332" t="s">
        <v>32</v>
      </c>
      <c r="D12" s="999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9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8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7" t="s">
        <v>7</v>
      </c>
    </row>
    <row r="13" spans="2:34" ht="15" customHeight="1">
      <c r="B13" s="256" t="s">
        <v>93</v>
      </c>
      <c r="C13" s="332" t="s">
        <v>34</v>
      </c>
      <c r="D13" s="1002" t="s">
        <v>7</v>
      </c>
      <c r="E13" s="486" t="s">
        <v>4</v>
      </c>
      <c r="F13" s="486" t="s">
        <v>4</v>
      </c>
      <c r="G13" s="1019" t="s">
        <v>7</v>
      </c>
      <c r="H13" s="1020" t="s">
        <v>7</v>
      </c>
      <c r="I13" s="1021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.1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3.1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3.1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3.1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3.1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3.1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3.1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3.1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3.1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3.1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3.1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3.1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3.1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3.1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3.1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3.1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3.1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3.1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3.1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3.1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3.1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3.1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3.1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3.1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C6" activePane="bottomRight" state="frozen"/>
      <selection pane="bottomRight" activeCell="AC6" sqref="AC6:AD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113" t="s">
        <v>95</v>
      </c>
      <c r="D2" s="1113"/>
      <c r="E2" s="1113"/>
      <c r="F2" s="1113"/>
      <c r="G2" s="1113" t="s">
        <v>95</v>
      </c>
      <c r="H2" s="1113"/>
      <c r="I2" s="1113" t="s">
        <v>95</v>
      </c>
      <c r="J2" s="1113"/>
      <c r="K2" s="1113" t="s">
        <v>95</v>
      </c>
      <c r="L2" s="1113"/>
      <c r="M2" s="1113" t="s">
        <v>95</v>
      </c>
      <c r="N2" s="1113"/>
      <c r="O2" s="1113" t="s">
        <v>95</v>
      </c>
      <c r="P2" s="1113"/>
      <c r="Q2" s="1113" t="s">
        <v>95</v>
      </c>
      <c r="R2" s="1113"/>
      <c r="S2" s="1113" t="s">
        <v>95</v>
      </c>
      <c r="T2" s="1113"/>
      <c r="U2" s="1113" t="s">
        <v>95</v>
      </c>
      <c r="V2" s="1113"/>
      <c r="W2" s="1113" t="s">
        <v>95</v>
      </c>
      <c r="X2" s="1113"/>
      <c r="Y2" s="1113" t="s">
        <v>95</v>
      </c>
      <c r="Z2" s="1113"/>
      <c r="AA2" s="1113" t="s">
        <v>95</v>
      </c>
      <c r="AB2" s="1113"/>
      <c r="AC2" s="1113" t="s">
        <v>95</v>
      </c>
      <c r="AD2" s="1113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111" t="s">
        <v>95</v>
      </c>
      <c r="G3" s="1111"/>
      <c r="H3" s="1111"/>
      <c r="I3" s="1111"/>
      <c r="J3" s="1111"/>
      <c r="K3" s="1111"/>
      <c r="L3" s="1111"/>
      <c r="M3" s="1111"/>
      <c r="N3" s="1111"/>
      <c r="O3" s="1111"/>
      <c r="P3" s="1111"/>
      <c r="Q3" s="1111"/>
      <c r="R3" s="1111"/>
      <c r="S3" s="1111"/>
      <c r="T3" s="1111"/>
      <c r="U3" s="1111"/>
      <c r="V3" s="1111"/>
      <c r="W3" s="1111"/>
      <c r="X3" s="1111"/>
      <c r="Y3" s="1111"/>
      <c r="Z3" s="1111"/>
      <c r="AA3" s="1111"/>
      <c r="AB3" s="1111"/>
      <c r="AC3" s="1111"/>
      <c r="AD3" s="1111" t="s">
        <v>95</v>
      </c>
      <c r="AE3" s="1112"/>
    </row>
    <row r="4" spans="2:31" ht="15" customHeight="1">
      <c r="B4" s="111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84" t="s">
        <v>23</v>
      </c>
      <c r="E6" s="985" t="s">
        <v>23</v>
      </c>
      <c r="F6" s="986" t="s">
        <v>16</v>
      </c>
      <c r="G6" s="987" t="s">
        <v>16</v>
      </c>
      <c r="H6" s="987" t="s">
        <v>16</v>
      </c>
      <c r="I6" s="987" t="s">
        <v>16</v>
      </c>
      <c r="J6" s="988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6" t="s">
        <v>23</v>
      </c>
      <c r="S8" s="847" t="s">
        <v>23</v>
      </c>
      <c r="T8" s="989" t="s">
        <v>16</v>
      </c>
      <c r="U8" s="989" t="s">
        <v>16</v>
      </c>
      <c r="V8" s="989" t="s">
        <v>16</v>
      </c>
      <c r="W8" s="989" t="s">
        <v>16</v>
      </c>
      <c r="X8" s="902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3.1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3.1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3.1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3.1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3.1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3.1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3.1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3.1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3.1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3.1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3.1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3.1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3.1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3.1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3.1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3.1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3.1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3.1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3.1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3.1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3.1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3.1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3.1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3.1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113" t="s">
        <v>95</v>
      </c>
      <c r="D2" s="1113"/>
      <c r="E2" s="1113"/>
      <c r="F2" s="1113"/>
      <c r="G2" s="1113" t="s">
        <v>95</v>
      </c>
      <c r="H2" s="1113"/>
      <c r="I2" s="1113" t="s">
        <v>95</v>
      </c>
      <c r="J2" s="1113"/>
      <c r="K2" s="1113" t="s">
        <v>95</v>
      </c>
      <c r="L2" s="1113"/>
      <c r="M2" s="1113" t="s">
        <v>95</v>
      </c>
      <c r="N2" s="1113"/>
      <c r="O2" s="1113" t="s">
        <v>95</v>
      </c>
      <c r="P2" s="1113"/>
      <c r="Q2" s="1113" t="s">
        <v>95</v>
      </c>
      <c r="R2" s="1113"/>
      <c r="S2" s="1113" t="s">
        <v>95</v>
      </c>
      <c r="T2" s="1113"/>
      <c r="U2" s="1113" t="s">
        <v>95</v>
      </c>
      <c r="V2" s="1113"/>
      <c r="W2" s="1113" t="s">
        <v>95</v>
      </c>
      <c r="X2" s="1113"/>
      <c r="Y2" s="1113" t="s">
        <v>95</v>
      </c>
      <c r="Z2" s="1113"/>
      <c r="AA2" s="1113" t="s">
        <v>95</v>
      </c>
      <c r="AB2" s="1113"/>
      <c r="AC2" s="1113" t="s">
        <v>95</v>
      </c>
      <c r="AD2" s="1113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111"/>
      <c r="E3" s="1111"/>
      <c r="F3" s="1111" t="s">
        <v>95</v>
      </c>
      <c r="G3" s="1111"/>
      <c r="H3" s="1111"/>
      <c r="I3" s="1111"/>
      <c r="J3" s="1111"/>
      <c r="K3" s="1111"/>
      <c r="L3" s="1111"/>
      <c r="M3" s="1111"/>
      <c r="N3" s="1111"/>
      <c r="O3" s="1111"/>
      <c r="P3" s="1111"/>
      <c r="Q3" s="1111"/>
      <c r="R3" s="1111"/>
      <c r="S3" s="1111"/>
      <c r="T3" s="1111"/>
      <c r="U3" s="1111"/>
      <c r="V3" s="1111"/>
      <c r="W3" s="1111"/>
      <c r="X3" s="1111"/>
      <c r="Y3" s="1111"/>
      <c r="Z3" s="1111"/>
      <c r="AA3" s="1111"/>
      <c r="AB3" s="1111"/>
      <c r="AC3" s="1111"/>
      <c r="AD3" s="1111" t="s">
        <v>95</v>
      </c>
      <c r="AE3" s="1111"/>
      <c r="AF3" s="1111"/>
      <c r="AG3" s="1112"/>
    </row>
    <row r="4" spans="2:33" ht="15" customHeight="1" thickBot="1">
      <c r="B4" s="111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9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6" t="s">
        <v>23</v>
      </c>
      <c r="AD6" s="847" t="s">
        <v>23</v>
      </c>
      <c r="AE6" s="989" t="s">
        <v>16</v>
      </c>
      <c r="AF6" s="559" t="s">
        <v>16</v>
      </c>
      <c r="AG6" s="1022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5" t="s">
        <v>16</v>
      </c>
      <c r="P8" s="847" t="s">
        <v>23</v>
      </c>
      <c r="Q8" s="989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3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9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4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7" t="s">
        <v>19</v>
      </c>
      <c r="AB12" s="738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9" t="s">
        <v>14</v>
      </c>
      <c r="AD13" s="740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3.1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3.1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3.1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3.1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3.1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3.1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3.1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3.1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3.1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3.1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3.1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3.1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3.1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3.1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3.1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3.1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3.1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3.1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3.1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3.1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3.1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3.1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3.1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3.1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114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3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4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5" t="s">
        <v>13</v>
      </c>
      <c r="D6" s="816" t="s">
        <v>23</v>
      </c>
      <c r="E6" s="817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23" t="s">
        <v>23</v>
      </c>
      <c r="N6" s="1026" t="s">
        <v>23</v>
      </c>
      <c r="O6" s="570" t="s">
        <v>8</v>
      </c>
      <c r="P6" s="570" t="s">
        <v>8</v>
      </c>
      <c r="Q6" s="571" t="s">
        <v>7</v>
      </c>
      <c r="R6" s="818" t="s">
        <v>7</v>
      </c>
      <c r="S6" s="571" t="s">
        <v>7</v>
      </c>
      <c r="T6" s="625" t="s">
        <v>8</v>
      </c>
      <c r="U6" s="626" t="s">
        <v>8</v>
      </c>
      <c r="V6" s="784"/>
      <c r="W6" s="784"/>
      <c r="X6" s="784"/>
      <c r="Y6" s="784"/>
      <c r="Z6" s="785"/>
      <c r="AA6" s="1027"/>
      <c r="AB6" s="1028"/>
      <c r="AC6" s="1029"/>
      <c r="AD6" s="1030"/>
      <c r="AE6" s="1031"/>
      <c r="AF6" s="1030"/>
      <c r="AG6" s="1031"/>
      <c r="AH6" s="819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4" t="s">
        <v>7</v>
      </c>
      <c r="F8" s="528" t="s">
        <v>16</v>
      </c>
      <c r="G8" s="529" t="s">
        <v>16</v>
      </c>
      <c r="H8" s="771" t="s">
        <v>22</v>
      </c>
      <c r="I8" s="771" t="s">
        <v>22</v>
      </c>
      <c r="J8" s="772" t="s">
        <v>77</v>
      </c>
      <c r="K8" s="772" t="s">
        <v>77</v>
      </c>
      <c r="L8" s="525" t="s">
        <v>53</v>
      </c>
      <c r="M8" s="509" t="s">
        <v>7</v>
      </c>
      <c r="N8" s="210" t="s">
        <v>7</v>
      </c>
      <c r="O8" s="1032" t="s">
        <v>16</v>
      </c>
      <c r="P8" s="961" t="s">
        <v>16</v>
      </c>
      <c r="Q8" s="1033" t="s">
        <v>16</v>
      </c>
      <c r="R8" s="770" t="s">
        <v>16</v>
      </c>
      <c r="S8" s="1034" t="s">
        <v>16</v>
      </c>
      <c r="T8" s="522" t="s">
        <v>53</v>
      </c>
      <c r="U8" s="523" t="s">
        <v>53</v>
      </c>
      <c r="V8" s="1035" t="s">
        <v>23</v>
      </c>
      <c r="W8" s="1036" t="s">
        <v>23</v>
      </c>
      <c r="X8" s="1032" t="s">
        <v>16</v>
      </c>
      <c r="Y8" s="961" t="s">
        <v>16</v>
      </c>
      <c r="Z8" s="1033" t="s">
        <v>16</v>
      </c>
      <c r="AA8" s="1037" t="s">
        <v>23</v>
      </c>
      <c r="AB8" s="1036" t="s">
        <v>23</v>
      </c>
      <c r="AC8" s="1032" t="s">
        <v>16</v>
      </c>
      <c r="AD8" s="961" t="s">
        <v>16</v>
      </c>
      <c r="AE8" s="1037" t="s">
        <v>23</v>
      </c>
      <c r="AF8" s="1036" t="s">
        <v>23</v>
      </c>
      <c r="AG8" s="1038" t="s">
        <v>23</v>
      </c>
      <c r="AH8" s="1039" t="s">
        <v>16</v>
      </c>
    </row>
    <row r="9" spans="2:34" ht="15" customHeight="1">
      <c r="B9" s="246" t="s">
        <v>66</v>
      </c>
      <c r="C9" s="566" t="s">
        <v>26</v>
      </c>
      <c r="D9" s="820" t="s">
        <v>7</v>
      </c>
      <c r="E9" s="821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2" t="s">
        <v>8</v>
      </c>
      <c r="M9" s="823" t="s">
        <v>6</v>
      </c>
      <c r="N9" s="823" t="s">
        <v>6</v>
      </c>
      <c r="O9" s="578" t="s">
        <v>7</v>
      </c>
      <c r="P9" s="579" t="s">
        <v>7</v>
      </c>
      <c r="Q9" s="822" t="s">
        <v>8</v>
      </c>
      <c r="R9" s="824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2" t="s">
        <v>7</v>
      </c>
      <c r="AA9" s="627" t="s">
        <v>8</v>
      </c>
      <c r="AB9" s="825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3" t="s">
        <v>6</v>
      </c>
      <c r="AH9" s="823" t="s">
        <v>6</v>
      </c>
    </row>
    <row r="10" spans="2:34" ht="17.25" customHeight="1">
      <c r="B10" s="244" t="s">
        <v>90</v>
      </c>
      <c r="C10" s="375" t="s">
        <v>28</v>
      </c>
      <c r="D10" s="826" t="s">
        <v>7</v>
      </c>
      <c r="E10" s="827" t="s">
        <v>7</v>
      </c>
      <c r="F10" s="813" t="s">
        <v>4</v>
      </c>
      <c r="G10" s="746" t="s">
        <v>4</v>
      </c>
      <c r="H10" s="746" t="s">
        <v>4</v>
      </c>
      <c r="I10" s="746" t="s">
        <v>4</v>
      </c>
      <c r="J10" s="746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1" t="s">
        <v>19</v>
      </c>
      <c r="Y10" s="216" t="s">
        <v>14</v>
      </c>
      <c r="Z10" s="519" t="s">
        <v>14</v>
      </c>
      <c r="AA10" s="781" t="s">
        <v>19</v>
      </c>
      <c r="AB10" s="828" t="s">
        <v>19</v>
      </c>
      <c r="AC10" s="829" t="s">
        <v>7</v>
      </c>
      <c r="AD10" s="829" t="s">
        <v>7</v>
      </c>
      <c r="AE10" s="829" t="s">
        <v>7</v>
      </c>
      <c r="AF10" s="829" t="s">
        <v>7</v>
      </c>
      <c r="AG10" s="829" t="s">
        <v>14</v>
      </c>
      <c r="AH10" s="778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5" t="s">
        <v>14</v>
      </c>
      <c r="G11" s="740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1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7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7" t="s">
        <v>4</v>
      </c>
      <c r="AD12" s="747" t="s">
        <v>4</v>
      </c>
      <c r="AE12" s="747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40" t="s">
        <v>14</v>
      </c>
      <c r="H13" s="742" t="s">
        <v>19</v>
      </c>
      <c r="I13" s="742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7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7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3"/>
      <c r="E14" s="763"/>
      <c r="F14" s="763"/>
      <c r="G14" s="763"/>
      <c r="H14" s="764"/>
      <c r="I14" s="764"/>
      <c r="J14" s="764"/>
      <c r="K14" s="764"/>
      <c r="L14" s="765"/>
      <c r="M14" s="766"/>
      <c r="N14" s="767"/>
      <c r="O14" s="768"/>
      <c r="P14" s="764"/>
      <c r="Q14" s="765"/>
      <c r="R14" s="775"/>
      <c r="S14" s="777"/>
      <c r="T14" s="766"/>
      <c r="U14" s="767"/>
      <c r="V14" s="768"/>
      <c r="W14" s="764"/>
      <c r="X14" s="764"/>
      <c r="Y14" s="764"/>
      <c r="Z14" s="765"/>
      <c r="AA14" s="766"/>
      <c r="AB14" s="767"/>
      <c r="AC14" s="768"/>
      <c r="AD14" s="764"/>
      <c r="AE14" s="765"/>
      <c r="AF14" s="765"/>
      <c r="AG14" s="765"/>
      <c r="AH14" s="769"/>
    </row>
    <row r="15" spans="2:34" ht="16.5" customHeight="1">
      <c r="B15" s="748" t="s">
        <v>97</v>
      </c>
      <c r="C15" s="749" t="s">
        <v>98</v>
      </c>
      <c r="D15" s="750"/>
      <c r="E15" s="751"/>
      <c r="F15" s="752"/>
      <c r="G15" s="753"/>
      <c r="H15" s="754"/>
      <c r="I15" s="754"/>
      <c r="J15" s="754"/>
      <c r="K15" s="755"/>
      <c r="L15" s="752"/>
      <c r="M15" s="756"/>
      <c r="N15" s="757"/>
      <c r="O15" s="754"/>
      <c r="P15" s="754"/>
      <c r="Q15" s="752"/>
      <c r="R15" s="776"/>
      <c r="S15" s="752"/>
      <c r="T15" s="758"/>
      <c r="U15" s="759"/>
      <c r="V15" s="754"/>
      <c r="W15" s="754"/>
      <c r="X15" s="754"/>
      <c r="Y15" s="754"/>
      <c r="Z15" s="752"/>
      <c r="AA15" s="758"/>
      <c r="AB15" s="759"/>
      <c r="AC15" s="760" t="s">
        <v>8</v>
      </c>
      <c r="AD15" s="760" t="s">
        <v>8</v>
      </c>
      <c r="AE15" s="760" t="s">
        <v>8</v>
      </c>
      <c r="AF15" s="760" t="s">
        <v>8</v>
      </c>
      <c r="AG15" s="761" t="s">
        <v>8</v>
      </c>
      <c r="AH15" s="762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3.1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3.1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3.1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3.1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3.15"/>
    <row r="28" spans="2:34" ht="13.15"/>
    <row r="29" spans="2:34" ht="13.15"/>
    <row r="30" spans="2:34" ht="13.9" thickBot="1"/>
    <row r="31" spans="2:34" ht="13.9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.9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.9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.9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.9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.9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.9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.9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3.15">
      <c r="B39"/>
      <c r="M39" s="98"/>
      <c r="N39"/>
      <c r="W39"/>
      <c r="X39"/>
    </row>
    <row r="40" spans="2:24" s="10" customFormat="1" ht="13.9" thickBot="1">
      <c r="B40"/>
      <c r="M40" s="98"/>
      <c r="N40"/>
      <c r="W40"/>
      <c r="X40"/>
    </row>
    <row r="41" spans="2:24" s="10" customFormat="1" ht="13.1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3.1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3.1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3.1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.9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5"/>
    </row>
    <row r="4" spans="2:33" ht="15" customHeight="1">
      <c r="B4" s="1114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7" t="s">
        <v>7</v>
      </c>
    </row>
    <row r="5" spans="2:33" ht="13.5" customHeight="1">
      <c r="B5" s="1114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9">
        <v>28</v>
      </c>
      <c r="AF5" s="780">
        <v>29</v>
      </c>
      <c r="AG5" s="458">
        <v>30</v>
      </c>
    </row>
    <row r="6" spans="2:33" ht="15" customHeight="1">
      <c r="B6" s="783"/>
      <c r="C6" s="790" t="s">
        <v>13</v>
      </c>
      <c r="D6" s="793"/>
      <c r="E6" s="784"/>
      <c r="F6" s="784"/>
      <c r="G6" s="784"/>
      <c r="H6" s="784"/>
      <c r="I6" s="785"/>
      <c r="J6" s="786"/>
      <c r="K6" s="787"/>
      <c r="L6" s="784"/>
      <c r="M6" s="784"/>
      <c r="N6" s="784"/>
      <c r="O6" s="784"/>
      <c r="P6" s="785"/>
      <c r="Q6" s="786"/>
      <c r="R6" s="787"/>
      <c r="S6" s="838"/>
      <c r="T6" s="838"/>
      <c r="U6" s="838"/>
      <c r="V6" s="838"/>
      <c r="W6" s="839"/>
      <c r="X6" s="1027"/>
      <c r="Y6" s="1028"/>
      <c r="Z6" s="1029"/>
      <c r="AA6" s="1030"/>
      <c r="AB6" s="1031"/>
      <c r="AC6" s="1030"/>
      <c r="AD6" s="1031"/>
      <c r="AE6" s="788"/>
      <c r="AF6" s="789"/>
      <c r="AG6" s="787"/>
    </row>
    <row r="7" spans="2:33" ht="15" customHeight="1">
      <c r="B7" s="244" t="s">
        <v>73</v>
      </c>
      <c r="C7" s="791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1" t="s">
        <v>22</v>
      </c>
      <c r="M7" s="771" t="s">
        <v>22</v>
      </c>
      <c r="N7" s="771" t="s">
        <v>22</v>
      </c>
      <c r="O7" s="771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7" t="s">
        <v>4</v>
      </c>
      <c r="V7" s="681" t="s">
        <v>4</v>
      </c>
      <c r="W7" s="681" t="s">
        <v>77</v>
      </c>
      <c r="X7" s="837" t="s">
        <v>53</v>
      </c>
      <c r="Y7" s="636" t="s">
        <v>53</v>
      </c>
      <c r="Z7" s="846" t="s">
        <v>23</v>
      </c>
      <c r="AA7" s="847" t="s">
        <v>23</v>
      </c>
      <c r="AB7" s="529" t="s">
        <v>16</v>
      </c>
      <c r="AC7" s="529" t="s">
        <v>16</v>
      </c>
      <c r="AD7" s="806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1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4" t="s">
        <v>53</v>
      </c>
      <c r="R8" s="836" t="s">
        <v>53</v>
      </c>
      <c r="S8" s="1005" t="s">
        <v>23</v>
      </c>
      <c r="T8" s="1005" t="s">
        <v>23</v>
      </c>
      <c r="U8" s="559" t="s">
        <v>16</v>
      </c>
      <c r="V8" s="559" t="s">
        <v>16</v>
      </c>
      <c r="W8" s="840" t="s">
        <v>8</v>
      </c>
      <c r="X8" s="211" t="s">
        <v>7</v>
      </c>
      <c r="Y8" s="205" t="s">
        <v>7</v>
      </c>
      <c r="Z8" s="747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2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6" t="s">
        <v>8</v>
      </c>
      <c r="R9" s="831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2" t="s">
        <v>8</v>
      </c>
      <c r="AA9" s="833" t="s">
        <v>8</v>
      </c>
      <c r="AB9" s="579" t="s">
        <v>14</v>
      </c>
      <c r="AC9" s="579" t="s">
        <v>14</v>
      </c>
      <c r="AD9" s="805" t="s">
        <v>6</v>
      </c>
      <c r="AE9" s="627" t="s">
        <v>7</v>
      </c>
      <c r="AF9" s="628" t="s">
        <v>7</v>
      </c>
      <c r="AG9" s="808" t="s">
        <v>8</v>
      </c>
    </row>
    <row r="10" spans="2:33" ht="17.25" customHeight="1">
      <c r="B10" s="244" t="s">
        <v>90</v>
      </c>
      <c r="C10" s="791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1" t="s">
        <v>14</v>
      </c>
      <c r="AF10" s="782" t="s">
        <v>14</v>
      </c>
      <c r="AG10" s="809" t="s">
        <v>19</v>
      </c>
    </row>
    <row r="11" spans="2:33" ht="16.5" customHeight="1">
      <c r="B11" s="376" t="s">
        <v>91</v>
      </c>
      <c r="C11" s="791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4" t="s">
        <v>7</v>
      </c>
      <c r="I11" s="519" t="s">
        <v>19</v>
      </c>
      <c r="J11" s="735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7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4" t="s">
        <v>6</v>
      </c>
      <c r="AF11" s="517" t="s">
        <v>7</v>
      </c>
      <c r="AG11" s="747" t="s">
        <v>4</v>
      </c>
    </row>
    <row r="12" spans="2:33" ht="15" customHeight="1">
      <c r="B12" s="244" t="s">
        <v>92</v>
      </c>
      <c r="C12" s="791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5" t="s">
        <v>6</v>
      </c>
      <c r="AG12" s="523" t="s">
        <v>6</v>
      </c>
    </row>
    <row r="13" spans="2:33" ht="15" customHeight="1">
      <c r="B13" s="462" t="s">
        <v>93</v>
      </c>
      <c r="C13" s="792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30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800" t="s">
        <v>6</v>
      </c>
      <c r="AA13" s="800" t="s">
        <v>6</v>
      </c>
      <c r="AB13" s="800" t="s">
        <v>6</v>
      </c>
      <c r="AC13" s="801" t="s">
        <v>14</v>
      </c>
      <c r="AD13" s="802" t="s">
        <v>14</v>
      </c>
      <c r="AE13" s="623" t="s">
        <v>19</v>
      </c>
      <c r="AF13" s="624" t="s">
        <v>19</v>
      </c>
      <c r="AG13" s="810" t="s">
        <v>7</v>
      </c>
    </row>
    <row r="14" spans="2:33" ht="16.149999999999999" customHeight="1">
      <c r="B14" s="293" t="s">
        <v>55</v>
      </c>
      <c r="C14" s="799"/>
      <c r="D14" s="513"/>
      <c r="E14" s="794"/>
      <c r="F14" s="795"/>
      <c r="G14" s="795"/>
      <c r="H14" s="795"/>
      <c r="I14" s="796"/>
      <c r="J14" s="797"/>
      <c r="K14" s="367"/>
      <c r="L14" s="794"/>
      <c r="M14" s="795"/>
      <c r="N14" s="795"/>
      <c r="O14" s="795"/>
      <c r="P14" s="796"/>
      <c r="Q14" s="797"/>
      <c r="R14" s="367"/>
      <c r="S14" s="794"/>
      <c r="T14" s="795"/>
      <c r="U14" s="795"/>
      <c r="V14" s="795"/>
      <c r="W14" s="796"/>
      <c r="X14" s="797"/>
      <c r="Y14" s="367"/>
      <c r="Z14" s="794"/>
      <c r="AA14" s="795"/>
      <c r="AB14" s="795"/>
      <c r="AC14" s="795"/>
      <c r="AD14" s="796"/>
      <c r="AE14" s="797"/>
      <c r="AF14" s="367"/>
      <c r="AG14" s="798"/>
    </row>
    <row r="15" spans="2:33" ht="14.25" customHeight="1">
      <c r="B15" s="748" t="s">
        <v>97</v>
      </c>
      <c r="C15" s="749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3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3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3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3" t="s">
        <v>8</v>
      </c>
      <c r="AE15" s="524" t="s">
        <v>7</v>
      </c>
      <c r="AF15" s="208" t="s">
        <v>7</v>
      </c>
      <c r="AG15" s="808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1">
        <f t="shared" si="2"/>
        <v>1</v>
      </c>
      <c r="R19" s="81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1">
        <f t="shared" si="2"/>
        <v>1</v>
      </c>
      <c r="AA19" s="81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2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2">
        <f t="shared" si="5"/>
        <v>1</v>
      </c>
      <c r="AF22" s="812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3.1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3.1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3.15"/>
    <row r="27" spans="2:33" ht="13.15"/>
    <row r="28" spans="2:33" ht="13.15"/>
    <row r="29" spans="2:33" ht="13.15"/>
    <row r="30" spans="2:33" ht="13.1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3.1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3.1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3.1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3.1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3.1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3.1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3.1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3.15">
      <c r="B38"/>
      <c r="J38" s="98"/>
      <c r="K38"/>
      <c r="T38"/>
      <c r="U38"/>
    </row>
    <row r="39" spans="2:21" s="10" customFormat="1" ht="13.15">
      <c r="B39"/>
      <c r="J39" s="98"/>
      <c r="K39"/>
      <c r="T39"/>
      <c r="U39"/>
    </row>
    <row r="40" spans="2:21" s="10" customFormat="1" ht="13.1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3.1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3.1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3.1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3.1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11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8" t="s">
        <v>6</v>
      </c>
      <c r="V6" s="844" t="s">
        <v>7</v>
      </c>
      <c r="W6" s="845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1" t="s">
        <v>23</v>
      </c>
      <c r="P7" s="842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9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7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3" t="s">
        <v>4</v>
      </c>
      <c r="V8" s="846" t="s">
        <v>23</v>
      </c>
      <c r="W8" s="847" t="s">
        <v>23</v>
      </c>
      <c r="X8" s="747" t="s">
        <v>77</v>
      </c>
      <c r="Y8" s="681" t="s">
        <v>77</v>
      </c>
      <c r="Z8" s="841" t="s">
        <v>23</v>
      </c>
      <c r="AA8" s="842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9" t="s">
        <v>8</v>
      </c>
      <c r="Y9" s="875" t="s">
        <v>8</v>
      </c>
      <c r="Z9" s="876" t="s">
        <v>8</v>
      </c>
      <c r="AA9" s="877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7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50" t="s">
        <v>4</v>
      </c>
      <c r="V11" s="511" t="s">
        <v>14</v>
      </c>
      <c r="W11" s="205" t="s">
        <v>14</v>
      </c>
      <c r="X11" s="878" t="s">
        <v>99</v>
      </c>
      <c r="Y11" s="878" t="s">
        <v>99</v>
      </c>
      <c r="Z11" s="878" t="s">
        <v>99</v>
      </c>
      <c r="AA11" s="879" t="s">
        <v>99</v>
      </c>
      <c r="AB11" s="879" t="s">
        <v>99</v>
      </c>
      <c r="AC11" s="880" t="s">
        <v>99</v>
      </c>
      <c r="AD11" s="881" t="s">
        <v>99</v>
      </c>
      <c r="AE11" s="583" t="s">
        <v>14</v>
      </c>
      <c r="AF11" s="879" t="s">
        <v>99</v>
      </c>
      <c r="AG11" s="879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3.1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3.1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3.15"/>
    <row r="27" spans="2:34" ht="13.15"/>
    <row r="28" spans="2:34" ht="13.15"/>
    <row r="29" spans="2:34" ht="13.15"/>
    <row r="30" spans="2:34" ht="13.1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3.1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3.1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3.1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3.1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3.1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3.1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3.1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3.15">
      <c r="B38"/>
      <c r="H38" s="98"/>
      <c r="I38"/>
      <c r="R38"/>
      <c r="S38"/>
    </row>
    <row r="39" spans="2:19" s="10" customFormat="1" ht="13.15">
      <c r="B39"/>
      <c r="H39" s="98"/>
      <c r="I39"/>
      <c r="R39"/>
      <c r="S39"/>
    </row>
    <row r="40" spans="2:19" s="10" customFormat="1" ht="13.1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3.1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3.1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3.1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3.1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114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1" t="s">
        <v>22</v>
      </c>
      <c r="H7" s="771" t="s">
        <v>22</v>
      </c>
      <c r="I7" s="771" t="s">
        <v>22</v>
      </c>
      <c r="J7" s="851" t="s">
        <v>22</v>
      </c>
      <c r="K7" s="276" t="s">
        <v>53</v>
      </c>
      <c r="L7" s="841" t="s">
        <v>23</v>
      </c>
      <c r="M7" s="842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6" t="s">
        <v>23</v>
      </c>
      <c r="T8" s="847" t="s">
        <v>23</v>
      </c>
      <c r="U8" s="747" t="s">
        <v>77</v>
      </c>
      <c r="V8" s="681" t="s">
        <v>77</v>
      </c>
      <c r="W8" s="841" t="s">
        <v>23</v>
      </c>
      <c r="X8" s="842" t="s">
        <v>23</v>
      </c>
      <c r="Y8" s="842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2" t="s">
        <v>8</v>
      </c>
      <c r="J9" s="852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3.1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3.1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3.15"/>
    <row r="27" spans="2:34" ht="13.15"/>
    <row r="28" spans="2:34" ht="13.15"/>
    <row r="29" spans="2:34" ht="13.15"/>
    <row r="30" spans="2:34" ht="13.1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3.1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3.1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3.1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3.1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3.1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3.1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3.1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3.15">
      <c r="B38"/>
      <c r="I38" s="98"/>
      <c r="J38"/>
      <c r="O38"/>
      <c r="P38"/>
    </row>
    <row r="39" spans="2:16" s="10" customFormat="1" ht="13.15">
      <c r="B39"/>
      <c r="I39" s="98"/>
      <c r="J39"/>
      <c r="O39"/>
      <c r="P39"/>
    </row>
    <row r="40" spans="2:16" s="10" customFormat="1" ht="13.1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3.1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3.1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3.1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3.1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74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11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1" t="s">
        <v>6</v>
      </c>
      <c r="P6" s="511" t="s">
        <v>7</v>
      </c>
      <c r="Q6" s="205" t="s">
        <v>7</v>
      </c>
      <c r="R6" s="858" t="s">
        <v>8</v>
      </c>
      <c r="S6" s="853" t="s">
        <v>8</v>
      </c>
      <c r="T6" s="854" t="s">
        <v>8</v>
      </c>
      <c r="U6" s="637" t="s">
        <v>7</v>
      </c>
      <c r="V6" s="637" t="s">
        <v>7</v>
      </c>
      <c r="W6" s="975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8" t="s">
        <v>8</v>
      </c>
      <c r="L7" s="853" t="s">
        <v>8</v>
      </c>
      <c r="M7" s="853" t="s">
        <v>8</v>
      </c>
      <c r="N7" s="506" t="s">
        <v>8</v>
      </c>
      <c r="O7" s="586" t="s">
        <v>8</v>
      </c>
      <c r="P7" s="804" t="s">
        <v>53</v>
      </c>
      <c r="Q7" s="859" t="s">
        <v>53</v>
      </c>
      <c r="R7" s="607" t="s">
        <v>7</v>
      </c>
      <c r="S7" s="606" t="s">
        <v>7</v>
      </c>
      <c r="T7" s="606" t="s">
        <v>8</v>
      </c>
      <c r="U7" s="852" t="s">
        <v>8</v>
      </c>
      <c r="V7" s="976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3" t="s">
        <v>22</v>
      </c>
      <c r="AG7" s="982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3" t="s">
        <v>8</v>
      </c>
      <c r="G8" s="681" t="s">
        <v>4</v>
      </c>
      <c r="H8" s="681" t="s">
        <v>4</v>
      </c>
      <c r="I8" s="804" t="s">
        <v>53</v>
      </c>
      <c r="J8" s="859" t="s">
        <v>53</v>
      </c>
      <c r="K8" s="1040" t="s">
        <v>23</v>
      </c>
      <c r="L8" s="1005" t="s">
        <v>23</v>
      </c>
      <c r="M8" s="862" t="s">
        <v>16</v>
      </c>
      <c r="N8" s="862" t="s">
        <v>16</v>
      </c>
      <c r="O8" s="860" t="s">
        <v>16</v>
      </c>
      <c r="P8" s="557" t="s">
        <v>7</v>
      </c>
      <c r="Q8" s="558" t="s">
        <v>7</v>
      </c>
      <c r="R8" s="927"/>
      <c r="S8" s="927"/>
      <c r="T8" s="927"/>
      <c r="U8" s="927"/>
      <c r="V8" s="928"/>
      <c r="W8" s="929"/>
      <c r="X8" s="930"/>
      <c r="Y8" s="931"/>
      <c r="Z8" s="932"/>
      <c r="AA8" s="932"/>
      <c r="AB8" s="931"/>
      <c r="AC8" s="933"/>
      <c r="AD8" s="934"/>
      <c r="AE8" s="935"/>
      <c r="AF8" s="936"/>
      <c r="AG8" s="937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5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2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4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4" t="s">
        <v>53</v>
      </c>
      <c r="AD9" s="804" t="s">
        <v>53</v>
      </c>
      <c r="AE9" s="804" t="s">
        <v>53</v>
      </c>
      <c r="AF9" s="226" t="s">
        <v>7</v>
      </c>
      <c r="AG9" s="608" t="s">
        <v>7</v>
      </c>
    </row>
    <row r="10" spans="2:33" ht="15" customHeight="1">
      <c r="B10" s="952" t="s">
        <v>100</v>
      </c>
      <c r="C10" s="953"/>
      <c r="D10" s="938"/>
      <c r="E10" s="938"/>
      <c r="F10" s="938"/>
      <c r="G10" s="938"/>
      <c r="H10" s="938"/>
      <c r="I10" s="939"/>
      <c r="J10" s="940"/>
      <c r="K10" s="938"/>
      <c r="L10" s="938"/>
      <c r="M10" s="938"/>
      <c r="N10" s="938"/>
      <c r="O10" s="938"/>
      <c r="P10" s="939"/>
      <c r="Q10" s="940"/>
      <c r="R10" s="941" t="s">
        <v>69</v>
      </c>
      <c r="S10" s="941" t="s">
        <v>69</v>
      </c>
      <c r="T10" s="941" t="s">
        <v>69</v>
      </c>
      <c r="U10" s="941" t="s">
        <v>69</v>
      </c>
      <c r="V10" s="941" t="s">
        <v>69</v>
      </c>
      <c r="W10" s="623" t="s">
        <v>7</v>
      </c>
      <c r="X10" s="624" t="s">
        <v>7</v>
      </c>
      <c r="Y10" s="941" t="s">
        <v>69</v>
      </c>
      <c r="Z10" s="941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41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6" t="s">
        <v>14</v>
      </c>
      <c r="K11" s="599" t="s">
        <v>6</v>
      </c>
      <c r="L11" s="599" t="s">
        <v>6</v>
      </c>
      <c r="M11" s="662" t="s">
        <v>6</v>
      </c>
      <c r="N11" s="856" t="s">
        <v>14</v>
      </c>
      <c r="O11" s="857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24" t="s">
        <v>7</v>
      </c>
      <c r="Y11" s="601" t="s">
        <v>19</v>
      </c>
      <c r="Z11" s="594" t="s">
        <v>19</v>
      </c>
      <c r="AA11" s="594" t="s">
        <v>19</v>
      </c>
      <c r="AB11" s="804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4" t="s">
        <v>53</v>
      </c>
      <c r="V12" s="212" t="s">
        <v>7</v>
      </c>
      <c r="W12" s="508" t="s">
        <v>7</v>
      </c>
      <c r="X12" s="517" t="s">
        <v>7</v>
      </c>
      <c r="Y12" s="913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40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5" t="s">
        <v>14</v>
      </c>
      <c r="Y13" s="977" t="s">
        <v>101</v>
      </c>
      <c r="Z13" s="804" t="s">
        <v>53</v>
      </c>
      <c r="AA13" s="804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4" t="s">
        <v>53</v>
      </c>
      <c r="S14" s="804" t="s">
        <v>53</v>
      </c>
      <c r="T14" s="804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3.1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3.1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3.15"/>
    <row r="28" spans="2:33" ht="13.15"/>
    <row r="29" spans="2:33" ht="13.15"/>
    <row r="30" spans="2:33" ht="13.15"/>
    <row r="31" spans="2:33" ht="13.15">
      <c r="D31"/>
      <c r="F31"/>
      <c r="G31" s="660"/>
      <c r="H31" s="660"/>
    </row>
    <row r="32" spans="2:33" ht="13.15">
      <c r="D32"/>
      <c r="F32"/>
      <c r="G32" s="660"/>
      <c r="H32" s="660"/>
    </row>
    <row r="33" spans="2:13" ht="13.15">
      <c r="D33"/>
      <c r="F33"/>
      <c r="G33" s="660"/>
      <c r="H33" s="660"/>
    </row>
    <row r="34" spans="2:13" ht="13.15">
      <c r="D34"/>
      <c r="F34"/>
      <c r="G34" s="660"/>
      <c r="H34" s="660"/>
    </row>
    <row r="35" spans="2:13" s="10" customFormat="1" ht="13.15">
      <c r="B35"/>
      <c r="G35" s="660"/>
      <c r="H35" s="660"/>
      <c r="L35"/>
      <c r="M35"/>
    </row>
    <row r="36" spans="2:13" s="10" customFormat="1" ht="13.15">
      <c r="B36"/>
      <c r="G36" s="660"/>
      <c r="H36" s="660"/>
      <c r="L36"/>
      <c r="M36"/>
    </row>
    <row r="37" spans="2:13" s="10" customFormat="1" ht="13.15">
      <c r="B37"/>
      <c r="G37" s="660"/>
      <c r="H37" s="660"/>
      <c r="L37"/>
      <c r="M37"/>
    </row>
    <row r="38" spans="2:13" s="10" customFormat="1" ht="13.15">
      <c r="B38"/>
      <c r="G38" s="660"/>
      <c r="H38" s="660"/>
      <c r="L38"/>
      <c r="M38"/>
    </row>
    <row r="39" spans="2:13" s="10" customFormat="1" ht="13.15">
      <c r="B39"/>
      <c r="G39" s="98"/>
      <c r="H39"/>
      <c r="L39"/>
      <c r="M39"/>
    </row>
    <row r="40" spans="2:13" s="10" customFormat="1" ht="13.15">
      <c r="B40"/>
      <c r="G40" s="98"/>
      <c r="H40"/>
      <c r="L40"/>
      <c r="M40"/>
    </row>
    <row r="41" spans="2:13" s="10" customFormat="1" ht="13.15">
      <c r="B41"/>
      <c r="G41" s="661"/>
      <c r="H41" s="661"/>
      <c r="L41"/>
      <c r="M41"/>
    </row>
    <row r="42" spans="2:13" s="10" customFormat="1" ht="13.15">
      <c r="B42"/>
      <c r="G42" s="661"/>
      <c r="H42" s="661"/>
      <c r="L42"/>
      <c r="M42"/>
    </row>
    <row r="43" spans="2:13" s="10" customFormat="1" ht="13.15">
      <c r="B43"/>
      <c r="G43" s="661"/>
      <c r="H43" s="661"/>
      <c r="L43"/>
      <c r="M43"/>
    </row>
    <row r="44" spans="2:13" s="10" customFormat="1" ht="13.15">
      <c r="B44"/>
      <c r="G44" s="661"/>
      <c r="H44" s="661"/>
      <c r="L44"/>
      <c r="M44"/>
    </row>
    <row r="45" spans="2:13" s="10" customFormat="1" ht="13.15">
      <c r="B45"/>
      <c r="G45" s="661"/>
      <c r="H45" s="661"/>
      <c r="L45"/>
      <c r="M45"/>
    </row>
    <row r="46" spans="2:13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114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4" t="s">
        <v>53</v>
      </c>
      <c r="N6" s="511" t="s">
        <v>23</v>
      </c>
      <c r="O6" s="629" t="s">
        <v>7</v>
      </c>
      <c r="P6" s="858" t="s">
        <v>8</v>
      </c>
      <c r="Q6" s="853" t="s">
        <v>8</v>
      </c>
      <c r="R6" s="853" t="s">
        <v>8</v>
      </c>
      <c r="S6" s="1043" t="s">
        <v>7</v>
      </c>
      <c r="T6" s="1044" t="s">
        <v>7</v>
      </c>
      <c r="U6" s="804" t="s">
        <v>53</v>
      </c>
      <c r="V6" s="871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3" t="s">
        <v>22</v>
      </c>
      <c r="E7" s="864" t="s">
        <v>22</v>
      </c>
      <c r="F7" s="592" t="s">
        <v>53</v>
      </c>
      <c r="G7" s="864" t="s">
        <v>23</v>
      </c>
      <c r="H7" s="864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4" t="s">
        <v>6</v>
      </c>
      <c r="O7" s="629" t="s">
        <v>53</v>
      </c>
      <c r="P7" s="858" t="s">
        <v>7</v>
      </c>
      <c r="Q7" s="853" t="s">
        <v>7</v>
      </c>
      <c r="R7" s="853" t="s">
        <v>8</v>
      </c>
      <c r="S7" s="853" t="s">
        <v>8</v>
      </c>
      <c r="T7" s="854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5" t="s">
        <v>16</v>
      </c>
      <c r="AC7" s="956" t="s">
        <v>16</v>
      </c>
      <c r="AD7" s="851" t="s">
        <v>22</v>
      </c>
      <c r="AE7" s="771" t="s">
        <v>22</v>
      </c>
      <c r="AF7" s="771" t="s">
        <v>22</v>
      </c>
      <c r="AG7" s="851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42"/>
      <c r="E8" s="943"/>
      <c r="F8" s="943"/>
      <c r="G8" s="929"/>
      <c r="H8" s="930"/>
      <c r="I8" s="1041"/>
      <c r="J8" s="943"/>
      <c r="K8" s="937"/>
      <c r="L8" s="937"/>
      <c r="M8" s="944"/>
      <c r="N8" s="934"/>
      <c r="O8" s="945"/>
      <c r="P8" s="946"/>
      <c r="Q8" s="946"/>
      <c r="R8" s="927"/>
      <c r="S8" s="927"/>
      <c r="T8" s="928"/>
      <c r="U8" s="959" t="s">
        <v>8</v>
      </c>
      <c r="V8" s="960" t="s">
        <v>8</v>
      </c>
      <c r="W8" s="1053" t="s">
        <v>14</v>
      </c>
      <c r="X8" s="1054" t="s">
        <v>14</v>
      </c>
      <c r="Y8" s="1054" t="s">
        <v>14</v>
      </c>
      <c r="Z8" s="1054" t="s">
        <v>14</v>
      </c>
      <c r="AA8" s="1055" t="s">
        <v>6</v>
      </c>
      <c r="AB8" s="1056" t="s">
        <v>7</v>
      </c>
      <c r="AC8" s="1057" t="s">
        <v>7</v>
      </c>
      <c r="AD8" s="1053" t="s">
        <v>8</v>
      </c>
      <c r="AE8" s="1054" t="s">
        <v>8</v>
      </c>
      <c r="AF8" s="1054" t="s">
        <v>8</v>
      </c>
      <c r="AG8" s="1054" t="s">
        <v>8</v>
      </c>
      <c r="AH8" s="1058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4" t="s">
        <v>53</v>
      </c>
      <c r="U9" s="957" t="s">
        <v>7</v>
      </c>
      <c r="V9" s="958" t="s">
        <v>7</v>
      </c>
      <c r="W9" s="1045" t="s">
        <v>8</v>
      </c>
      <c r="X9" s="1046" t="s">
        <v>8</v>
      </c>
      <c r="Y9" s="1046" t="s">
        <v>8</v>
      </c>
      <c r="Z9" s="1045" t="s">
        <v>8</v>
      </c>
      <c r="AA9" s="866" t="s">
        <v>8</v>
      </c>
      <c r="AB9" s="1049" t="s">
        <v>6</v>
      </c>
      <c r="AC9" s="1050" t="s">
        <v>6</v>
      </c>
      <c r="AD9" s="1046" t="s">
        <v>7</v>
      </c>
      <c r="AE9" s="1046" t="s">
        <v>7</v>
      </c>
      <c r="AF9" s="1047" t="s">
        <v>8</v>
      </c>
      <c r="AG9" s="1047" t="s">
        <v>8</v>
      </c>
      <c r="AH9" s="1048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4" t="s">
        <v>53</v>
      </c>
      <c r="J10" s="804" t="s">
        <v>53</v>
      </c>
      <c r="K10" s="804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4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4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4" t="s">
        <v>53</v>
      </c>
      <c r="M12" s="586" t="s">
        <v>7</v>
      </c>
      <c r="N12" s="511" t="s">
        <v>7</v>
      </c>
      <c r="O12" s="283" t="s">
        <v>7</v>
      </c>
      <c r="P12" s="813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7" t="s">
        <v>53</v>
      </c>
      <c r="X12" s="804" t="s">
        <v>53</v>
      </c>
      <c r="Y12" s="804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3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4" t="s">
        <v>53</v>
      </c>
      <c r="Q13" s="804" t="s">
        <v>53</v>
      </c>
      <c r="R13" s="804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3.1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3.1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3.15"/>
    <row r="27" spans="2:34" ht="13.15"/>
    <row r="28" spans="2:34" ht="13.15"/>
    <row r="29" spans="2:34" ht="13.15"/>
    <row r="30" spans="2:34" ht="13.15">
      <c r="D30"/>
      <c r="E30" s="660"/>
      <c r="F30" s="660"/>
    </row>
    <row r="31" spans="2:34" ht="13.15">
      <c r="D31"/>
      <c r="E31" s="660"/>
      <c r="F31" s="660"/>
    </row>
    <row r="32" spans="2:34" ht="13.15">
      <c r="D32"/>
      <c r="E32" s="660"/>
      <c r="F32" s="660"/>
    </row>
    <row r="33" spans="2:11" ht="13.15">
      <c r="D33"/>
      <c r="E33" s="660"/>
      <c r="F33" s="660"/>
    </row>
    <row r="34" spans="2:11" s="10" customFormat="1" ht="13.15">
      <c r="B34"/>
      <c r="E34" s="660"/>
      <c r="F34" s="660"/>
      <c r="J34"/>
      <c r="K34"/>
    </row>
    <row r="35" spans="2:11" s="10" customFormat="1" ht="13.15">
      <c r="B35"/>
      <c r="E35" s="660"/>
      <c r="F35" s="660"/>
      <c r="J35"/>
      <c r="K35"/>
    </row>
    <row r="36" spans="2:11" s="10" customFormat="1" ht="13.15">
      <c r="B36"/>
      <c r="E36" s="660"/>
      <c r="F36" s="660"/>
      <c r="J36"/>
      <c r="K36"/>
    </row>
    <row r="37" spans="2:11" s="10" customFormat="1" ht="13.15">
      <c r="B37"/>
      <c r="E37" s="660"/>
      <c r="F37" s="660"/>
      <c r="J37"/>
      <c r="K37"/>
    </row>
    <row r="38" spans="2:11" s="10" customFormat="1" ht="13.15">
      <c r="B38"/>
      <c r="E38" s="98"/>
      <c r="F38"/>
      <c r="J38"/>
      <c r="K38"/>
    </row>
    <row r="39" spans="2:11" s="10" customFormat="1" ht="13.15">
      <c r="B39"/>
      <c r="E39" s="98"/>
      <c r="F39"/>
      <c r="J39"/>
      <c r="K39"/>
    </row>
    <row r="40" spans="2:11" s="10" customFormat="1" ht="13.15">
      <c r="B40"/>
      <c r="E40" s="661"/>
      <c r="F40" s="661"/>
      <c r="J40"/>
      <c r="K40"/>
    </row>
    <row r="41" spans="2:11" s="10" customFormat="1" ht="13.15">
      <c r="B41"/>
      <c r="E41" s="661"/>
      <c r="F41" s="661"/>
      <c r="J41"/>
      <c r="K41"/>
    </row>
    <row r="42" spans="2:11" s="10" customFormat="1" ht="13.15">
      <c r="B42"/>
      <c r="E42" s="661"/>
      <c r="F42" s="661"/>
      <c r="J42"/>
      <c r="K42"/>
    </row>
    <row r="43" spans="2:11" s="10" customFormat="1" ht="13.15">
      <c r="B43"/>
      <c r="E43" s="661"/>
      <c r="F43" s="661"/>
      <c r="J43"/>
      <c r="K43"/>
    </row>
    <row r="44" spans="2:11" s="10" customFormat="1" ht="13.15">
      <c r="B44"/>
      <c r="E44" s="661"/>
      <c r="F44" s="661"/>
      <c r="J44"/>
      <c r="K44"/>
    </row>
    <row r="45" spans="2:11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H45"/>
  <sheetViews>
    <sheetView showGridLines="0" tabSelected="1" zoomScale="115" zoomScaleNormal="115" workbookViewId="0">
      <pane xSplit="3" ySplit="5" topLeftCell="D6" activePane="bottomRight" state="frozen"/>
      <selection pane="bottomRight" activeCell="Y12" sqref="Y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4" width="4.28515625" customWidth="1"/>
    <col min="35" max="35" width="9.28515625" bestFit="1" customWidth="1"/>
    <col min="36" max="39" width="9.28515625"/>
  </cols>
  <sheetData>
    <row r="1" spans="2:34" ht="21" customHeight="1">
      <c r="C1" s="865"/>
      <c r="D1" s="866"/>
      <c r="E1" s="865"/>
      <c r="F1" s="865"/>
      <c r="G1" s="867"/>
      <c r="H1" s="867"/>
      <c r="I1" s="867"/>
      <c r="J1" s="867"/>
      <c r="K1" s="867"/>
      <c r="L1" s="867"/>
      <c r="M1" s="867"/>
    </row>
    <row r="2" spans="2:34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/>
      <c r="N2" s="454" t="s">
        <v>95</v>
      </c>
      <c r="O2" s="487"/>
      <c r="P2" s="487"/>
      <c r="Q2" s="487"/>
      <c r="R2" s="487"/>
      <c r="S2" s="544"/>
      <c r="T2" s="487"/>
      <c r="U2" s="544"/>
      <c r="V2" s="487"/>
      <c r="W2" s="487"/>
      <c r="X2" s="455"/>
      <c r="Y2" s="487"/>
      <c r="Z2" s="487"/>
      <c r="AA2" s="487"/>
      <c r="AB2" s="455"/>
      <c r="AC2" s="455"/>
      <c r="AD2" s="544"/>
      <c r="AE2" s="544"/>
      <c r="AF2" s="544"/>
      <c r="AG2" s="487"/>
      <c r="AH2" s="544"/>
    </row>
    <row r="3" spans="2:34" ht="10.5" customHeigh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449"/>
      <c r="AA3" s="449"/>
      <c r="AB3" s="611"/>
      <c r="AC3" s="611"/>
      <c r="AD3" s="611"/>
      <c r="AE3" s="611"/>
      <c r="AF3" s="611"/>
      <c r="AG3" s="449"/>
      <c r="AH3" s="545"/>
    </row>
    <row r="4" spans="2:34" ht="15" customHeight="1">
      <c r="B4" s="1114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1059"/>
      <c r="N4" s="590" t="s">
        <v>7</v>
      </c>
      <c r="O4" s="590" t="s">
        <v>8</v>
      </c>
      <c r="P4" s="590" t="s">
        <v>9</v>
      </c>
      <c r="Q4" s="590" t="s">
        <v>10</v>
      </c>
      <c r="R4" s="590" t="s">
        <v>4</v>
      </c>
      <c r="S4" s="663" t="s">
        <v>5</v>
      </c>
      <c r="T4" s="664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30" t="s">
        <v>5</v>
      </c>
      <c r="AA4" s="631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616" t="s">
        <v>4</v>
      </c>
      <c r="AG4" s="630" t="s">
        <v>5</v>
      </c>
      <c r="AH4" s="682" t="s">
        <v>6</v>
      </c>
    </row>
    <row r="5" spans="2:34" ht="13.5" customHeight="1" thickBo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/>
      <c r="N5" s="451">
        <v>10</v>
      </c>
      <c r="O5" s="451">
        <v>11</v>
      </c>
      <c r="P5" s="451">
        <v>12</v>
      </c>
      <c r="Q5" s="451">
        <v>13</v>
      </c>
      <c r="R5" s="451">
        <v>14</v>
      </c>
      <c r="S5" s="555">
        <v>15</v>
      </c>
      <c r="T5" s="458">
        <v>16</v>
      </c>
      <c r="U5" s="451">
        <v>17</v>
      </c>
      <c r="V5" s="451">
        <v>18</v>
      </c>
      <c r="W5" s="451">
        <v>19</v>
      </c>
      <c r="X5" s="451">
        <v>20</v>
      </c>
      <c r="Y5" s="451">
        <v>21</v>
      </c>
      <c r="Z5" s="555">
        <v>22</v>
      </c>
      <c r="AA5" s="458">
        <v>23</v>
      </c>
      <c r="AB5" s="451">
        <v>24</v>
      </c>
      <c r="AC5" s="451">
        <v>25</v>
      </c>
      <c r="AD5" s="451">
        <v>26</v>
      </c>
      <c r="AE5" s="451">
        <v>27</v>
      </c>
      <c r="AF5" s="451">
        <v>28</v>
      </c>
      <c r="AG5" s="451">
        <v>29</v>
      </c>
      <c r="AH5" s="580">
        <v>30</v>
      </c>
    </row>
    <row r="6" spans="2:34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1" t="s">
        <v>6</v>
      </c>
      <c r="K6" s="646" t="s">
        <v>53</v>
      </c>
      <c r="L6" s="911" t="s">
        <v>53</v>
      </c>
      <c r="M6" s="1060"/>
      <c r="N6" s="858" t="s">
        <v>8</v>
      </c>
      <c r="O6" s="853" t="s">
        <v>8</v>
      </c>
      <c r="P6" s="681" t="s">
        <v>4</v>
      </c>
      <c r="Q6" s="746" t="s">
        <v>4</v>
      </c>
      <c r="R6" s="681" t="s">
        <v>4</v>
      </c>
      <c r="S6" s="980" t="s">
        <v>7</v>
      </c>
      <c r="T6" s="925" t="s">
        <v>7</v>
      </c>
      <c r="U6" s="581" t="s">
        <v>7</v>
      </c>
      <c r="V6" s="570" t="s">
        <v>7</v>
      </c>
      <c r="W6" s="681" t="s">
        <v>4</v>
      </c>
      <c r="X6" s="746" t="s">
        <v>4</v>
      </c>
      <c r="Y6" s="681" t="s">
        <v>4</v>
      </c>
      <c r="Z6" s="521" t="s">
        <v>7</v>
      </c>
      <c r="AA6" s="204" t="s">
        <v>7</v>
      </c>
      <c r="AB6" s="746" t="s">
        <v>4</v>
      </c>
      <c r="AC6" s="681" t="s">
        <v>4</v>
      </c>
      <c r="AD6" s="593" t="s">
        <v>7</v>
      </c>
      <c r="AE6" s="593" t="s">
        <v>7</v>
      </c>
      <c r="AF6" s="581" t="s">
        <v>7</v>
      </c>
      <c r="AG6" s="511" t="s">
        <v>16</v>
      </c>
      <c r="AH6" s="205" t="s">
        <v>16</v>
      </c>
    </row>
    <row r="7" spans="2:34" ht="15" customHeight="1" thickBot="1">
      <c r="B7" s="244" t="s">
        <v>73</v>
      </c>
      <c r="C7" s="375" t="s">
        <v>18</v>
      </c>
      <c r="D7" s="962" t="s">
        <v>23</v>
      </c>
      <c r="E7" s="954" t="s">
        <v>23</v>
      </c>
      <c r="F7" s="961" t="s">
        <v>16</v>
      </c>
      <c r="G7" s="860" t="s">
        <v>16</v>
      </c>
      <c r="H7" s="862" t="s">
        <v>16</v>
      </c>
      <c r="I7" s="862" t="s">
        <v>16</v>
      </c>
      <c r="J7" s="860" t="s">
        <v>16</v>
      </c>
      <c r="K7" s="981" t="s">
        <v>7</v>
      </c>
      <c r="L7" s="911" t="s">
        <v>7</v>
      </c>
      <c r="M7" s="1060"/>
      <c r="N7" s="226" t="s">
        <v>7</v>
      </c>
      <c r="O7" s="226" t="s">
        <v>7</v>
      </c>
      <c r="P7" s="853" t="s">
        <v>8</v>
      </c>
      <c r="Q7" s="853" t="s">
        <v>8</v>
      </c>
      <c r="R7" s="854" t="s">
        <v>8</v>
      </c>
      <c r="S7" s="979" t="s">
        <v>53</v>
      </c>
      <c r="T7" s="979" t="s">
        <v>53</v>
      </c>
      <c r="U7" s="495" t="s">
        <v>8</v>
      </c>
      <c r="V7" s="224" t="s">
        <v>8</v>
      </c>
      <c r="W7" s="224" t="s">
        <v>7</v>
      </c>
      <c r="X7" s="495" t="s">
        <v>23</v>
      </c>
      <c r="Y7" s="272" t="s">
        <v>23</v>
      </c>
      <c r="Z7" s="621" t="s">
        <v>16</v>
      </c>
      <c r="AA7" s="622" t="s">
        <v>16</v>
      </c>
      <c r="AB7" s="582" t="s">
        <v>22</v>
      </c>
      <c r="AC7" s="468" t="s">
        <v>22</v>
      </c>
      <c r="AD7" s="468" t="s">
        <v>22</v>
      </c>
      <c r="AE7" s="582" t="s">
        <v>22</v>
      </c>
      <c r="AF7" s="276" t="s">
        <v>53</v>
      </c>
      <c r="AG7" s="511" t="s">
        <v>7</v>
      </c>
      <c r="AH7" s="683" t="s">
        <v>7</v>
      </c>
    </row>
    <row r="8" spans="2:34" ht="15" customHeight="1">
      <c r="B8" s="244" t="s">
        <v>100</v>
      </c>
      <c r="C8" s="375" t="s">
        <v>21</v>
      </c>
      <c r="D8" s="687" t="s">
        <v>6</v>
      </c>
      <c r="E8" s="836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1061"/>
      <c r="N8" s="542" t="s">
        <v>8</v>
      </c>
      <c r="O8" s="542" t="s">
        <v>8</v>
      </c>
      <c r="P8" s="226" t="s">
        <v>7</v>
      </c>
      <c r="Q8" s="226" t="s">
        <v>7</v>
      </c>
      <c r="R8" s="541" t="s">
        <v>7</v>
      </c>
      <c r="S8" s="511" t="s">
        <v>8</v>
      </c>
      <c r="T8" s="205" t="s">
        <v>8</v>
      </c>
      <c r="U8" s="212" t="s">
        <v>14</v>
      </c>
      <c r="V8" s="212" t="s">
        <v>14</v>
      </c>
      <c r="W8" s="562" t="s">
        <v>14</v>
      </c>
      <c r="X8" s="562" t="s">
        <v>14</v>
      </c>
      <c r="Y8" s="276" t="s">
        <v>6</v>
      </c>
      <c r="Z8" s="521" t="s">
        <v>7</v>
      </c>
      <c r="AA8" s="204" t="s">
        <v>7</v>
      </c>
      <c r="AB8" s="908" t="s">
        <v>8</v>
      </c>
      <c r="AC8" s="908" t="s">
        <v>8</v>
      </c>
      <c r="AD8" s="908" t="s">
        <v>8</v>
      </c>
      <c r="AE8" s="908" t="s">
        <v>8</v>
      </c>
      <c r="AF8" s="908" t="s">
        <v>8</v>
      </c>
      <c r="AG8" s="556" t="s">
        <v>6</v>
      </c>
      <c r="AH8" s="659" t="s">
        <v>6</v>
      </c>
    </row>
    <row r="9" spans="2:34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1062"/>
      <c r="N9" s="607" t="s">
        <v>14</v>
      </c>
      <c r="O9" s="606" t="s">
        <v>14</v>
      </c>
      <c r="P9" s="579" t="s">
        <v>14</v>
      </c>
      <c r="Q9" s="579" t="s">
        <v>14</v>
      </c>
      <c r="R9" s="967" t="s">
        <v>53</v>
      </c>
      <c r="S9" s="623" t="s">
        <v>7</v>
      </c>
      <c r="T9" s="624" t="s">
        <v>7</v>
      </c>
      <c r="U9" s="608" t="s">
        <v>8</v>
      </c>
      <c r="V9" s="226" t="s">
        <v>8</v>
      </c>
      <c r="W9" s="363" t="s">
        <v>8</v>
      </c>
      <c r="X9" s="578" t="s">
        <v>8</v>
      </c>
      <c r="Y9" s="273" t="s">
        <v>8</v>
      </c>
      <c r="Z9" s="522" t="s">
        <v>6</v>
      </c>
      <c r="AA9" s="523" t="s">
        <v>6</v>
      </c>
      <c r="AB9" s="363" t="s">
        <v>7</v>
      </c>
      <c r="AC9" s="363" t="s">
        <v>7</v>
      </c>
      <c r="AD9" s="579" t="s">
        <v>8</v>
      </c>
      <c r="AE9" s="579" t="s">
        <v>8</v>
      </c>
      <c r="AF9" s="578" t="s">
        <v>8</v>
      </c>
      <c r="AG9" s="509" t="s">
        <v>7</v>
      </c>
      <c r="AH9" s="684" t="s">
        <v>7</v>
      </c>
    </row>
    <row r="10" spans="2:34" ht="17.25" customHeight="1" thickBot="1">
      <c r="B10" s="242" t="s">
        <v>90</v>
      </c>
      <c r="C10" s="432" t="s">
        <v>28</v>
      </c>
      <c r="D10" s="283" t="s">
        <v>7</v>
      </c>
      <c r="E10" s="926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1062"/>
      <c r="N10" s="874" t="s">
        <v>19</v>
      </c>
      <c r="O10" s="596" t="s">
        <v>7</v>
      </c>
      <c r="P10" s="829" t="s">
        <v>7</v>
      </c>
      <c r="Q10" s="648" t="s">
        <v>53</v>
      </c>
      <c r="R10" s="681" t="s">
        <v>4</v>
      </c>
      <c r="S10" s="625" t="s">
        <v>14</v>
      </c>
      <c r="T10" s="924" t="s">
        <v>7</v>
      </c>
      <c r="U10" s="964" t="s">
        <v>19</v>
      </c>
      <c r="V10" s="965" t="s">
        <v>19</v>
      </c>
      <c r="W10" s="966" t="s">
        <v>4</v>
      </c>
      <c r="X10" s="525" t="s">
        <v>6</v>
      </c>
      <c r="Y10" s="432" t="s">
        <v>7</v>
      </c>
      <c r="Z10" s="521" t="s">
        <v>7</v>
      </c>
      <c r="AA10" s="204" t="s">
        <v>7</v>
      </c>
      <c r="AB10" s="813" t="s">
        <v>4</v>
      </c>
      <c r="AC10" s="746" t="s">
        <v>4</v>
      </c>
      <c r="AD10" s="746" t="s">
        <v>4</v>
      </c>
      <c r="AE10" s="746" t="s">
        <v>4</v>
      </c>
      <c r="AF10" s="746" t="s">
        <v>4</v>
      </c>
      <c r="AG10" s="521" t="s">
        <v>7</v>
      </c>
      <c r="AH10" s="685" t="s">
        <v>7</v>
      </c>
    </row>
    <row r="11" spans="2:34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/>
      <c r="N11" s="681" t="s">
        <v>4</v>
      </c>
      <c r="O11" s="681" t="s">
        <v>4</v>
      </c>
      <c r="P11" s="746" t="s">
        <v>4</v>
      </c>
      <c r="Q11" s="973" t="s">
        <v>7</v>
      </c>
      <c r="R11" s="972" t="s">
        <v>7</v>
      </c>
      <c r="S11" s="508" t="s">
        <v>7</v>
      </c>
      <c r="T11" s="517" t="s">
        <v>7</v>
      </c>
      <c r="U11" s="638" t="s">
        <v>14</v>
      </c>
      <c r="V11" s="591" t="s">
        <v>14</v>
      </c>
      <c r="W11" s="591" t="s">
        <v>14</v>
      </c>
      <c r="X11" s="634" t="s">
        <v>19</v>
      </c>
      <c r="Y11" s="644" t="s">
        <v>19</v>
      </c>
      <c r="Z11" s="511" t="s">
        <v>7</v>
      </c>
      <c r="AA11" s="205" t="s">
        <v>7</v>
      </c>
      <c r="AB11" s="199" t="s">
        <v>6</v>
      </c>
      <c r="AC11" s="199" t="s">
        <v>6</v>
      </c>
      <c r="AD11" s="592" t="s">
        <v>6</v>
      </c>
      <c r="AE11" s="498" t="s">
        <v>14</v>
      </c>
      <c r="AF11" s="498" t="s">
        <v>14</v>
      </c>
      <c r="AG11" s="511" t="s">
        <v>19</v>
      </c>
      <c r="AH11" s="683" t="s">
        <v>19</v>
      </c>
    </row>
    <row r="12" spans="2:34" ht="15" customHeight="1">
      <c r="B12" s="244" t="s">
        <v>92</v>
      </c>
      <c r="C12" s="375" t="s">
        <v>32</v>
      </c>
      <c r="D12" s="283" t="s">
        <v>14</v>
      </c>
      <c r="E12" s="740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5" t="s">
        <v>14</v>
      </c>
      <c r="L12" s="283" t="s">
        <v>7</v>
      </c>
      <c r="M12" s="1062"/>
      <c r="N12" s="563" t="s">
        <v>14</v>
      </c>
      <c r="O12" s="680" t="s">
        <v>19</v>
      </c>
      <c r="P12" s="680" t="s">
        <v>19</v>
      </c>
      <c r="Q12" s="563" t="s">
        <v>19</v>
      </c>
      <c r="R12" s="564" t="s">
        <v>19</v>
      </c>
      <c r="S12" s="627" t="s">
        <v>7</v>
      </c>
      <c r="T12" s="983" t="s">
        <v>14</v>
      </c>
      <c r="U12" s="837" t="s">
        <v>53</v>
      </c>
      <c r="V12" s="636" t="s">
        <v>53</v>
      </c>
      <c r="W12" s="636" t="s">
        <v>53</v>
      </c>
      <c r="X12" s="746" t="s">
        <v>4</v>
      </c>
      <c r="Y12" s="746" t="s">
        <v>4</v>
      </c>
      <c r="Z12" s="511" t="s">
        <v>19</v>
      </c>
      <c r="AA12" s="205" t="s">
        <v>19</v>
      </c>
      <c r="AB12" s="212" t="s">
        <v>7</v>
      </c>
      <c r="AC12" s="212" t="s">
        <v>7</v>
      </c>
      <c r="AD12" s="591" t="s">
        <v>7</v>
      </c>
      <c r="AE12" s="904" t="s">
        <v>19</v>
      </c>
      <c r="AF12" s="498" t="s">
        <v>14</v>
      </c>
      <c r="AG12" s="511" t="s">
        <v>14</v>
      </c>
      <c r="AH12" s="683" t="s">
        <v>14</v>
      </c>
    </row>
    <row r="13" spans="2:34" ht="15" customHeigh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3" t="s">
        <v>14</v>
      </c>
      <c r="M13" s="1063"/>
      <c r="N13" s="868" t="s">
        <v>53</v>
      </c>
      <c r="O13" s="868" t="s">
        <v>53</v>
      </c>
      <c r="P13" s="868" t="s">
        <v>53</v>
      </c>
      <c r="Q13" s="604" t="s">
        <v>14</v>
      </c>
      <c r="R13" s="665" t="s">
        <v>14</v>
      </c>
      <c r="S13" s="968" t="s">
        <v>19</v>
      </c>
      <c r="T13" s="969" t="s">
        <v>19</v>
      </c>
      <c r="U13" s="591" t="s">
        <v>7</v>
      </c>
      <c r="V13" s="591" t="s">
        <v>7</v>
      </c>
      <c r="W13" s="637" t="s">
        <v>19</v>
      </c>
      <c r="X13" s="591" t="s">
        <v>7</v>
      </c>
      <c r="Y13" s="645" t="s">
        <v>14</v>
      </c>
      <c r="Z13" s="524" t="s">
        <v>14</v>
      </c>
      <c r="AA13" s="208" t="s">
        <v>14</v>
      </c>
      <c r="AB13" s="565" t="s">
        <v>19</v>
      </c>
      <c r="AC13" s="565" t="s">
        <v>19</v>
      </c>
      <c r="AD13" s="602" t="s">
        <v>19</v>
      </c>
      <c r="AE13" s="592" t="s">
        <v>6</v>
      </c>
      <c r="AF13" s="904" t="s">
        <v>19</v>
      </c>
      <c r="AG13" s="524" t="s">
        <v>7</v>
      </c>
      <c r="AH13" s="686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H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52" t="s">
        <v>38</v>
      </c>
      <c r="D18" s="694">
        <f t="shared" ref="D18:AD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1064"/>
      <c r="N18" s="710">
        <f t="shared" si="0"/>
        <v>6</v>
      </c>
      <c r="O18" s="53">
        <f t="shared" si="0"/>
        <v>5</v>
      </c>
      <c r="P18" s="53">
        <f t="shared" si="0"/>
        <v>4</v>
      </c>
      <c r="Q18" s="53">
        <f t="shared" si="0"/>
        <v>5</v>
      </c>
      <c r="R18" s="718">
        <f t="shared" si="0"/>
        <v>4</v>
      </c>
      <c r="S18" s="694">
        <f t="shared" si="0"/>
        <v>4</v>
      </c>
      <c r="T18" s="695">
        <f t="shared" si="0"/>
        <v>4</v>
      </c>
      <c r="U18" s="710">
        <f t="shared" si="0"/>
        <v>6</v>
      </c>
      <c r="V18" s="53">
        <f t="shared" si="0"/>
        <v>6</v>
      </c>
      <c r="W18" s="53">
        <f t="shared" si="0"/>
        <v>5</v>
      </c>
      <c r="X18" s="53">
        <f t="shared" si="0"/>
        <v>4</v>
      </c>
      <c r="Y18" s="718">
        <f t="shared" si="0"/>
        <v>4</v>
      </c>
      <c r="Z18" s="694">
        <f t="shared" si="0"/>
        <v>4</v>
      </c>
      <c r="AA18" s="695">
        <f t="shared" si="0"/>
        <v>4</v>
      </c>
      <c r="AB18" s="710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ref="AE18:AG18" si="1">SUM(AE19:AE22)</f>
        <v>6</v>
      </c>
      <c r="AF18" s="718">
        <f t="shared" si="1"/>
        <v>6</v>
      </c>
      <c r="AG18" s="694">
        <f t="shared" si="1"/>
        <v>4</v>
      </c>
      <c r="AH18" s="695">
        <f t="shared" ref="AH18" si="2">SUM(AH19:AH22)</f>
        <v>4</v>
      </c>
    </row>
    <row r="19" spans="2:34" ht="12.75" customHeight="1">
      <c r="B19" s="4"/>
      <c r="C19" s="52" t="s">
        <v>8</v>
      </c>
      <c r="D19" s="696">
        <f t="shared" ref="D19:AH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1065"/>
      <c r="N19" s="711">
        <f t="shared" si="3"/>
        <v>2</v>
      </c>
      <c r="O19" s="81">
        <f t="shared" si="3"/>
        <v>2</v>
      </c>
      <c r="P19" s="81">
        <f t="shared" si="3"/>
        <v>1</v>
      </c>
      <c r="Q19" s="81">
        <f t="shared" si="3"/>
        <v>1</v>
      </c>
      <c r="R19" s="719">
        <f t="shared" si="3"/>
        <v>1</v>
      </c>
      <c r="S19" s="696">
        <f t="shared" si="3"/>
        <v>1</v>
      </c>
      <c r="T19" s="697">
        <f t="shared" si="3"/>
        <v>1</v>
      </c>
      <c r="U19" s="711">
        <f t="shared" si="3"/>
        <v>2</v>
      </c>
      <c r="V19" s="81">
        <f t="shared" si="3"/>
        <v>2</v>
      </c>
      <c r="W19" s="81">
        <f t="shared" si="3"/>
        <v>1</v>
      </c>
      <c r="X19" s="81">
        <f t="shared" si="3"/>
        <v>1</v>
      </c>
      <c r="Y19" s="719">
        <f t="shared" si="3"/>
        <v>1</v>
      </c>
      <c r="Z19" s="696">
        <f t="shared" si="3"/>
        <v>1</v>
      </c>
      <c r="AA19" s="697">
        <f t="shared" si="3"/>
        <v>1</v>
      </c>
      <c r="AB19" s="711">
        <f t="shared" si="3"/>
        <v>1</v>
      </c>
      <c r="AC19" s="81">
        <f t="shared" si="3"/>
        <v>1</v>
      </c>
      <c r="AD19" s="81">
        <f t="shared" si="3"/>
        <v>2</v>
      </c>
      <c r="AE19" s="81">
        <f t="shared" si="3"/>
        <v>2</v>
      </c>
      <c r="AF19" s="719">
        <f t="shared" si="3"/>
        <v>2</v>
      </c>
      <c r="AG19" s="696">
        <f t="shared" si="3"/>
        <v>1</v>
      </c>
      <c r="AH19" s="697">
        <f t="shared" si="3"/>
        <v>1</v>
      </c>
    </row>
    <row r="20" spans="2:34" ht="12.75" customHeight="1">
      <c r="B20" s="4"/>
      <c r="C20" s="52" t="s">
        <v>14</v>
      </c>
      <c r="D20" s="698">
        <f t="shared" ref="D20:AH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1066"/>
      <c r="N20" s="712">
        <f t="shared" si="5"/>
        <v>2</v>
      </c>
      <c r="O20" s="84">
        <f t="shared" si="5"/>
        <v>1</v>
      </c>
      <c r="P20" s="84">
        <f t="shared" si="5"/>
        <v>1</v>
      </c>
      <c r="Q20" s="84">
        <f t="shared" si="5"/>
        <v>2</v>
      </c>
      <c r="R20" s="720">
        <f t="shared" si="5"/>
        <v>1</v>
      </c>
      <c r="S20" s="698">
        <f t="shared" si="5"/>
        <v>1</v>
      </c>
      <c r="T20" s="699">
        <f t="shared" si="5"/>
        <v>1</v>
      </c>
      <c r="U20" s="712">
        <f t="shared" si="5"/>
        <v>2</v>
      </c>
      <c r="V20" s="84">
        <f t="shared" si="5"/>
        <v>2</v>
      </c>
      <c r="W20" s="84">
        <f t="shared" si="5"/>
        <v>2</v>
      </c>
      <c r="X20" s="84">
        <f t="shared" si="5"/>
        <v>1</v>
      </c>
      <c r="Y20" s="720">
        <f t="shared" si="5"/>
        <v>1</v>
      </c>
      <c r="Z20" s="698">
        <f t="shared" si="5"/>
        <v>1</v>
      </c>
      <c r="AA20" s="699">
        <f t="shared" si="5"/>
        <v>1</v>
      </c>
      <c r="AB20" s="712">
        <f t="shared" si="5"/>
        <v>1</v>
      </c>
      <c r="AC20" s="84">
        <f t="shared" si="5"/>
        <v>1</v>
      </c>
      <c r="AD20" s="84">
        <f t="shared" si="5"/>
        <v>1</v>
      </c>
      <c r="AE20" s="84">
        <f t="shared" si="5"/>
        <v>2</v>
      </c>
      <c r="AF20" s="720">
        <f t="shared" si="5"/>
        <v>2</v>
      </c>
      <c r="AG20" s="698">
        <f t="shared" si="5"/>
        <v>1</v>
      </c>
      <c r="AH20" s="699">
        <f t="shared" si="5"/>
        <v>1</v>
      </c>
    </row>
    <row r="21" spans="2:34" ht="12" customHeight="1">
      <c r="C21" s="52" t="s">
        <v>19</v>
      </c>
      <c r="D21" s="700">
        <f t="shared" ref="D21:AH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1067"/>
      <c r="N21" s="713">
        <f t="shared" si="7"/>
        <v>1</v>
      </c>
      <c r="O21" s="87">
        <f t="shared" si="7"/>
        <v>1</v>
      </c>
      <c r="P21" s="87">
        <f t="shared" si="7"/>
        <v>1</v>
      </c>
      <c r="Q21" s="87">
        <f t="shared" si="7"/>
        <v>1</v>
      </c>
      <c r="R21" s="721">
        <f t="shared" si="7"/>
        <v>1</v>
      </c>
      <c r="S21" s="700">
        <f t="shared" si="7"/>
        <v>1</v>
      </c>
      <c r="T21" s="701">
        <f t="shared" si="7"/>
        <v>1</v>
      </c>
      <c r="U21" s="713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721">
        <f t="shared" si="7"/>
        <v>1</v>
      </c>
      <c r="Z21" s="700">
        <f t="shared" si="7"/>
        <v>1</v>
      </c>
      <c r="AA21" s="701">
        <f t="shared" si="7"/>
        <v>1</v>
      </c>
      <c r="AB21" s="713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721">
        <f t="shared" si="7"/>
        <v>1</v>
      </c>
      <c r="AG21" s="700">
        <f t="shared" si="7"/>
        <v>1</v>
      </c>
      <c r="AH21" s="701">
        <f t="shared" si="7"/>
        <v>1</v>
      </c>
    </row>
    <row r="22" spans="2:34" ht="15" customHeight="1">
      <c r="C22" s="52" t="s">
        <v>6</v>
      </c>
      <c r="D22" s="702">
        <f t="shared" ref="D22:AH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1068"/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722">
        <f t="shared" si="9"/>
        <v>1</v>
      </c>
      <c r="S22" s="702">
        <f t="shared" si="9"/>
        <v>1</v>
      </c>
      <c r="T22" s="703">
        <f t="shared" si="9"/>
        <v>1</v>
      </c>
      <c r="U22" s="714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722">
        <f t="shared" si="9"/>
        <v>1</v>
      </c>
      <c r="Z22" s="702">
        <f t="shared" si="9"/>
        <v>1</v>
      </c>
      <c r="AA22" s="703">
        <f t="shared" si="9"/>
        <v>1</v>
      </c>
      <c r="AB22" s="714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722">
        <f t="shared" si="9"/>
        <v>1</v>
      </c>
      <c r="AG22" s="702">
        <f t="shared" si="9"/>
        <v>1</v>
      </c>
      <c r="AH22" s="703">
        <f t="shared" si="9"/>
        <v>1</v>
      </c>
    </row>
    <row r="23" spans="2:34" ht="14.25" customHeight="1">
      <c r="C23" s="52" t="s">
        <v>7</v>
      </c>
      <c r="D23" s="704">
        <f t="shared" ref="D23:AH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1069"/>
      <c r="N23" s="715">
        <f t="shared" si="11"/>
        <v>1</v>
      </c>
      <c r="O23" s="92">
        <f t="shared" si="11"/>
        <v>2</v>
      </c>
      <c r="P23" s="92">
        <f t="shared" si="11"/>
        <v>2</v>
      </c>
      <c r="Q23" s="92">
        <f t="shared" si="11"/>
        <v>2</v>
      </c>
      <c r="R23" s="723">
        <f t="shared" si="11"/>
        <v>2</v>
      </c>
      <c r="S23" s="704">
        <f t="shared" si="11"/>
        <v>4</v>
      </c>
      <c r="T23" s="705">
        <f t="shared" si="11"/>
        <v>4</v>
      </c>
      <c r="U23" s="715">
        <f t="shared" si="11"/>
        <v>2</v>
      </c>
      <c r="V23" s="92">
        <f t="shared" si="11"/>
        <v>2</v>
      </c>
      <c r="W23" s="92">
        <f t="shared" si="11"/>
        <v>1</v>
      </c>
      <c r="X23" s="92">
        <f t="shared" si="11"/>
        <v>2</v>
      </c>
      <c r="Y23" s="723">
        <f t="shared" si="11"/>
        <v>2</v>
      </c>
      <c r="Z23" s="704">
        <f t="shared" si="11"/>
        <v>4</v>
      </c>
      <c r="AA23" s="705">
        <f t="shared" si="11"/>
        <v>4</v>
      </c>
      <c r="AB23" s="715">
        <f t="shared" si="11"/>
        <v>2</v>
      </c>
      <c r="AC23" s="92">
        <f t="shared" si="11"/>
        <v>2</v>
      </c>
      <c r="AD23" s="92">
        <f t="shared" si="11"/>
        <v>2</v>
      </c>
      <c r="AE23" s="92">
        <f t="shared" si="11"/>
        <v>1</v>
      </c>
      <c r="AF23" s="723">
        <f t="shared" si="11"/>
        <v>1</v>
      </c>
      <c r="AG23" s="704">
        <f t="shared" si="11"/>
        <v>4</v>
      </c>
      <c r="AH23" s="705">
        <f t="shared" si="11"/>
        <v>4</v>
      </c>
    </row>
    <row r="24" spans="2:34" ht="13.15">
      <c r="C24" s="52" t="s">
        <v>94</v>
      </c>
      <c r="D24" s="706">
        <f>COUNTIFS(N$6:N$13,"MG")+COUNTIFS(N$6:N$13,"TG")+COUNTIFS(N$6:N$13,"LG")+COUNTIFS(N$6:N$13,"DG")</f>
        <v>1</v>
      </c>
      <c r="E24" s="707">
        <f>COUNTIFS(N$6:N$13,"MG")+COUNTIFS(N$6:N$13,"TG")+COUNTIFS(N$6:N$13,"LG")+COUNTIFS(N$6:N$13,"DG")</f>
        <v>1</v>
      </c>
      <c r="F24" s="716">
        <f>COUNTIFS(N$6:N$13,"MG")+COUNTIFS(N$6:N$13,"TG")+COUNTIFS(N$6:N$13,"LG")+COUNTIFS(N$6:N$13,"DG")</f>
        <v>1</v>
      </c>
      <c r="G24" s="180">
        <f>COUNTIFS(N$6:N$13,"MG")+COUNTIFS(N$6:N$13,"TG")+COUNTIFS(N$6:N$13,"LG")+COUNTIFS(N$6:N$13,"DG")</f>
        <v>1</v>
      </c>
      <c r="H24" s="180">
        <f>COUNTIFS(N$6:N$13,"MG")+COUNTIFS(N$6:N$13,"TG")+COUNTIFS(N$6:N$13,"LG")+COUNTIFS(N$6:N$13,"DG")</f>
        <v>1</v>
      </c>
      <c r="I24" s="180">
        <f>COUNTIFS(N$6:N$13,"MG")+COUNTIFS(N$6:N$13,"TG")+COUNTIFS(N$6:N$13,"LG")+COUNTIFS(N$6:N$13,"DG")</f>
        <v>1</v>
      </c>
      <c r="J24" s="724">
        <f>COUNTIFS(N$6:N$13,"MG")+COUNTIFS(N$6:N$13,"TG")+COUNTIFS(N$6:N$13,"LG")+COUNTIFS(N$6:N$13,"DG")</f>
        <v>1</v>
      </c>
      <c r="K24" s="706">
        <f>COUNTIFS(N$6:N$13,"MG")+COUNTIFS(N$6:N$13,"TG")+COUNTIFS(N$6:N$13,"LG")+COUNTIFS(N$6:N$13,"DG")</f>
        <v>1</v>
      </c>
      <c r="L24" s="707">
        <f>COUNTIFS(N$6:N$13,"MG")+COUNTIFS(N$6:N$13,"TG")+COUNTIFS(N$6:N$13,"LG")+COUNTIFS(N$6:N$13,"DG")</f>
        <v>1</v>
      </c>
      <c r="M24" s="1070"/>
      <c r="N24" s="716">
        <f>COUNTIFS(N$6:N$13,"MG")+COUNTIFS(N$6:N$13,"TG")+COUNTIFS(N$6:N$13,"LG")+COUNTIFS(N$6:N$13,"DG")</f>
        <v>1</v>
      </c>
      <c r="O24" s="180">
        <f>COUNTIFS(P$6:P$13,"MG")+COUNTIFS(P$6:P$13,"TG")+COUNTIFS(P$6:P$13,"LG")+COUNTIFS(P$6:P$13,"DG")</f>
        <v>1</v>
      </c>
      <c r="P24" s="180">
        <f>COUNTIFS(P$6:P$13,"MG")+COUNTIFS(P$6:P$13,"TG")+COUNTIFS(P$6:P$13,"LG")+COUNTIFS(P$6:P$13,"DG")</f>
        <v>1</v>
      </c>
      <c r="Q24" s="180">
        <f t="shared" ref="Q24:U24" si="13">COUNTIFS(Q$6:Q$13,"MG")+COUNTIFS(Q$6:Q$13,"TG")+COUNTIFS(Q$6:Q$13,"LG")+COUNTIFS(Q$6:Q$13,"DG")</f>
        <v>1</v>
      </c>
      <c r="R24" s="724">
        <f t="shared" ref="R24" si="14">COUNTIFS(S$6:S$13,"MG")+COUNTIFS(S$6:S$13,"TG")+COUNTIFS(S$6:S$13,"LG")+COUNTIFS(S$6:S$13,"DG")</f>
        <v>1</v>
      </c>
      <c r="S24" s="706">
        <f t="shared" ref="S24:T24" si="15">COUNTIFS(S$6:S$13,"MG")+COUNTIFS(S$6:S$13,"TG")+COUNTIFS(S$6:S$13,"LG")+COUNTIFS(S$6:S$13,"DG")</f>
        <v>1</v>
      </c>
      <c r="T24" s="707">
        <f t="shared" si="15"/>
        <v>1</v>
      </c>
      <c r="U24" s="716">
        <f t="shared" si="13"/>
        <v>1</v>
      </c>
      <c r="V24" s="180">
        <f t="shared" ref="V24" si="16">COUNTIFS(W$6:W$13,"MG")+COUNTIFS(W$6:W$13,"TG")+COUNTIFS(W$6:W$13,"LG")+COUNTIFS(W$6:W$13,"DG")</f>
        <v>1</v>
      </c>
      <c r="W24" s="180">
        <f t="shared" ref="W24:AH24" si="17">COUNTIFS(W$6:W$13,"MG")+COUNTIFS(W$6:W$13,"TG")+COUNTIFS(W$6:W$13,"LG")+COUNTIFS(W$6:W$13,"DG")</f>
        <v>1</v>
      </c>
      <c r="X24" s="180">
        <f t="shared" si="17"/>
        <v>1</v>
      </c>
      <c r="Y24" s="724">
        <f t="shared" ref="Y24" si="18">COUNTIFS(Z$6:Z$13,"MG")+COUNTIFS(Z$6:Z$13,"TG")+COUNTIFS(Z$6:Z$13,"LG")+COUNTIFS(Z$6:Z$13,"DG")</f>
        <v>1</v>
      </c>
      <c r="Z24" s="706">
        <f t="shared" si="17"/>
        <v>1</v>
      </c>
      <c r="AA24" s="707">
        <f t="shared" si="17"/>
        <v>1</v>
      </c>
      <c r="AB24" s="716">
        <f t="shared" ref="AB24" si="19">COUNTIFS(AC$6:AC$13,"MG")+COUNTIFS(AC$6:AC$13,"TG")+COUNTIFS(AC$6:AC$13,"LG")+COUNTIFS(AC$6:AC$13,"DG")</f>
        <v>1</v>
      </c>
      <c r="AC24" s="180">
        <f t="shared" si="17"/>
        <v>1</v>
      </c>
      <c r="AD24" s="180">
        <f t="shared" si="17"/>
        <v>1</v>
      </c>
      <c r="AE24" s="180">
        <f t="shared" ref="AE24" si="20">COUNTIFS(AF$6:AF$13,"MG")+COUNTIFS(AF$6:AF$13,"TG")+COUNTIFS(AF$6:AF$13,"LG")+COUNTIFS(AF$6:AF$13,"DG")</f>
        <v>1</v>
      </c>
      <c r="AF24" s="724">
        <f t="shared" si="17"/>
        <v>1</v>
      </c>
      <c r="AG24" s="706">
        <f t="shared" si="17"/>
        <v>1</v>
      </c>
      <c r="AH24" s="707">
        <f t="shared" si="17"/>
        <v>1</v>
      </c>
    </row>
    <row r="25" spans="2:34" ht="13.15">
      <c r="C25" s="52" t="s">
        <v>4</v>
      </c>
      <c r="D25" s="708">
        <f t="shared" ref="D25:AH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1071"/>
      <c r="N25" s="717">
        <f t="shared" si="21"/>
        <v>1</v>
      </c>
      <c r="O25" s="94">
        <f t="shared" si="21"/>
        <v>1</v>
      </c>
      <c r="P25" s="94">
        <f t="shared" si="21"/>
        <v>2</v>
      </c>
      <c r="Q25" s="94">
        <f t="shared" si="21"/>
        <v>1</v>
      </c>
      <c r="R25" s="725">
        <f t="shared" si="21"/>
        <v>2</v>
      </c>
      <c r="S25" s="708">
        <f t="shared" si="21"/>
        <v>0</v>
      </c>
      <c r="T25" s="709">
        <f t="shared" si="21"/>
        <v>0</v>
      </c>
      <c r="U25" s="717">
        <f t="shared" si="21"/>
        <v>0</v>
      </c>
      <c r="V25" s="94">
        <f t="shared" si="21"/>
        <v>0</v>
      </c>
      <c r="W25" s="94">
        <f t="shared" si="21"/>
        <v>2</v>
      </c>
      <c r="X25" s="94">
        <f t="shared" si="21"/>
        <v>2</v>
      </c>
      <c r="Y25" s="725">
        <f t="shared" si="21"/>
        <v>2</v>
      </c>
      <c r="Z25" s="708">
        <f t="shared" si="21"/>
        <v>0</v>
      </c>
      <c r="AA25" s="709">
        <f t="shared" si="21"/>
        <v>0</v>
      </c>
      <c r="AB25" s="717">
        <f t="shared" si="21"/>
        <v>2</v>
      </c>
      <c r="AC25" s="94">
        <f t="shared" si="21"/>
        <v>2</v>
      </c>
      <c r="AD25" s="94">
        <f t="shared" si="21"/>
        <v>1</v>
      </c>
      <c r="AE25" s="94">
        <f t="shared" si="21"/>
        <v>1</v>
      </c>
      <c r="AF25" s="725">
        <f t="shared" si="21"/>
        <v>1</v>
      </c>
      <c r="AG25" s="708">
        <f t="shared" si="21"/>
        <v>0</v>
      </c>
      <c r="AH25" s="709">
        <f t="shared" si="21"/>
        <v>0</v>
      </c>
    </row>
    <row r="26" spans="2:34" ht="13.15"/>
    <row r="27" spans="2:34" ht="13.15"/>
    <row r="28" spans="2:34" ht="13.15"/>
    <row r="29" spans="2:34" ht="13.15"/>
    <row r="30" spans="2:34" ht="13.15"/>
    <row r="31" spans="2:34" ht="13.15"/>
    <row r="32" spans="2:34" ht="13.15"/>
    <row r="33" spans="2:8" ht="13.15"/>
    <row r="34" spans="2:8" s="10" customFormat="1" ht="13.15">
      <c r="B34"/>
      <c r="G34"/>
      <c r="H34"/>
    </row>
    <row r="35" spans="2:8" s="10" customFormat="1" ht="13.15">
      <c r="B35"/>
      <c r="G35"/>
      <c r="H35"/>
    </row>
    <row r="36" spans="2:8" s="10" customFormat="1" ht="13.15">
      <c r="B36"/>
      <c r="G36"/>
      <c r="H36"/>
    </row>
    <row r="37" spans="2:8" s="10" customFormat="1" ht="13.15">
      <c r="B37"/>
      <c r="G37"/>
      <c r="H37"/>
    </row>
    <row r="38" spans="2:8" s="10" customFormat="1" ht="13.15">
      <c r="B38"/>
      <c r="G38"/>
      <c r="H38"/>
    </row>
    <row r="39" spans="2:8" s="10" customFormat="1" ht="13.15">
      <c r="B39"/>
      <c r="G39"/>
      <c r="H39"/>
    </row>
    <row r="40" spans="2:8" s="10" customFormat="1" ht="13.15">
      <c r="B40"/>
      <c r="G40"/>
      <c r="H40"/>
    </row>
    <row r="41" spans="2:8" s="10" customFormat="1" ht="13.15">
      <c r="B41"/>
      <c r="G41"/>
      <c r="H41"/>
    </row>
    <row r="42" spans="2:8" s="10" customFormat="1" ht="13.15">
      <c r="B42"/>
      <c r="G42"/>
      <c r="H42"/>
    </row>
    <row r="43" spans="2:8" s="10" customFormat="1" ht="13.15">
      <c r="B43"/>
      <c r="G43"/>
      <c r="H43"/>
    </row>
    <row r="44" spans="2:8" s="10" customFormat="1" ht="13.15">
      <c r="B44"/>
      <c r="G44"/>
      <c r="H44"/>
    </row>
    <row r="45" spans="2:8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H6" sqref="AH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11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11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4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9" t="s">
        <v>53</v>
      </c>
      <c r="I6" s="283" t="s">
        <v>7</v>
      </c>
      <c r="J6" s="727" t="s">
        <v>7</v>
      </c>
      <c r="K6" s="732" t="s">
        <v>8</v>
      </c>
      <c r="L6" s="853" t="s">
        <v>8</v>
      </c>
      <c r="M6" s="853" t="s">
        <v>8</v>
      </c>
      <c r="N6" s="853" t="s">
        <v>8</v>
      </c>
      <c r="O6" s="854" t="s">
        <v>8</v>
      </c>
      <c r="P6" s="859" t="s">
        <v>53</v>
      </c>
      <c r="Q6" s="859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204" t="s">
        <v>7</v>
      </c>
      <c r="Y6" s="570" t="s">
        <v>8</v>
      </c>
      <c r="Z6" s="570" t="s">
        <v>8</v>
      </c>
      <c r="AA6" s="593" t="s">
        <v>7</v>
      </c>
      <c r="AB6" s="732" t="s">
        <v>7</v>
      </c>
      <c r="AC6" s="571" t="s">
        <v>7</v>
      </c>
      <c r="AD6" s="870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9" t="s">
        <v>53</v>
      </c>
      <c r="K7" s="732" t="s">
        <v>23</v>
      </c>
      <c r="L7" s="541" t="s">
        <v>23</v>
      </c>
      <c r="M7" s="853" t="s">
        <v>16</v>
      </c>
      <c r="N7" s="853" t="s">
        <v>16</v>
      </c>
      <c r="O7" s="854" t="s">
        <v>16</v>
      </c>
      <c r="P7" s="508" t="s">
        <v>7</v>
      </c>
      <c r="Q7" s="517" t="s">
        <v>7</v>
      </c>
      <c r="R7" s="1051" t="s">
        <v>4</v>
      </c>
      <c r="S7" s="1052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9" t="s">
        <v>22</v>
      </c>
      <c r="AC7" s="276" t="s">
        <v>53</v>
      </c>
      <c r="AD7" s="511" t="s">
        <v>7</v>
      </c>
      <c r="AE7" s="205" t="s">
        <v>7</v>
      </c>
      <c r="AF7" s="1051" t="s">
        <v>4</v>
      </c>
      <c r="AG7" s="1052" t="s">
        <v>4</v>
      </c>
      <c r="AH7" s="1052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5" t="s">
        <v>8</v>
      </c>
      <c r="I8" s="283" t="s">
        <v>7</v>
      </c>
      <c r="J8" s="727" t="s">
        <v>7</v>
      </c>
      <c r="K8" s="629" t="s">
        <v>7</v>
      </c>
      <c r="L8" s="542" t="s">
        <v>8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70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8" t="s">
        <v>8</v>
      </c>
      <c r="AA8" s="570" t="s">
        <v>8</v>
      </c>
      <c r="AB8" s="732" t="s">
        <v>7</v>
      </c>
      <c r="AC8" s="571" t="s">
        <v>8</v>
      </c>
      <c r="AD8" s="871" t="s">
        <v>6</v>
      </c>
      <c r="AE8" s="859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>
      <c r="B9" s="244" t="s">
        <v>66</v>
      </c>
      <c r="C9" s="375" t="s">
        <v>26</v>
      </c>
      <c r="D9" s="363" t="s">
        <v>8</v>
      </c>
      <c r="E9" s="492" t="s">
        <v>8</v>
      </c>
      <c r="F9" s="579" t="s">
        <v>7</v>
      </c>
      <c r="G9" s="578" t="s">
        <v>7</v>
      </c>
      <c r="H9" s="822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9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273" t="s">
        <v>8</v>
      </c>
      <c r="W9" s="522" t="s">
        <v>6</v>
      </c>
      <c r="X9" s="909" t="s">
        <v>6</v>
      </c>
      <c r="Y9" s="363" t="s">
        <v>7</v>
      </c>
      <c r="Z9" s="363" t="s">
        <v>7</v>
      </c>
      <c r="AA9" s="606" t="s">
        <v>8</v>
      </c>
      <c r="AB9" s="732" t="s">
        <v>8</v>
      </c>
      <c r="AC9" s="273" t="s">
        <v>8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>
      <c r="B10" s="242" t="s">
        <v>90</v>
      </c>
      <c r="C10" s="432" t="s">
        <v>28</v>
      </c>
      <c r="D10" s="637" t="s">
        <v>7</v>
      </c>
      <c r="E10" s="888" t="s">
        <v>6</v>
      </c>
      <c r="F10" s="888" t="s">
        <v>6</v>
      </c>
      <c r="G10" s="971" t="s">
        <v>14</v>
      </c>
      <c r="H10" s="857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919" t="s">
        <v>19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8" t="s">
        <v>6</v>
      </c>
      <c r="V10" s="596" t="s">
        <v>7</v>
      </c>
      <c r="W10" s="906" t="s">
        <v>7</v>
      </c>
      <c r="X10" s="910" t="s">
        <v>7</v>
      </c>
      <c r="Y10" s="648" t="s">
        <v>19</v>
      </c>
      <c r="Z10" s="648" t="s">
        <v>19</v>
      </c>
      <c r="AA10" s="907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8" t="s">
        <v>6</v>
      </c>
      <c r="AG10" s="888" t="s">
        <v>6</v>
      </c>
      <c r="AH10" s="888" t="s">
        <v>6</v>
      </c>
    </row>
    <row r="11" spans="2:34" ht="16.5" customHeigh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9" t="s">
        <v>6</v>
      </c>
      <c r="O11" s="918" t="s">
        <v>19</v>
      </c>
      <c r="P11" s="508" t="s">
        <v>7</v>
      </c>
      <c r="Q11" s="517" t="s">
        <v>7</v>
      </c>
      <c r="R11" s="970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9" t="s">
        <v>7</v>
      </c>
      <c r="X11" s="905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9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63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9" t="s">
        <v>6</v>
      </c>
      <c r="M13" s="859" t="s">
        <v>6</v>
      </c>
      <c r="N13" s="604" t="s">
        <v>14</v>
      </c>
      <c r="O13" s="665" t="s">
        <v>14</v>
      </c>
      <c r="P13" s="627" t="s">
        <v>19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51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6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5</v>
      </c>
      <c r="AA18" s="53">
        <f t="shared" si="0"/>
        <v>6</v>
      </c>
      <c r="AB18" s="53">
        <f t="shared" si="0"/>
        <v>4</v>
      </c>
      <c r="AC18" s="53">
        <f t="shared" si="0"/>
        <v>6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719">
        <f t="shared" si="2"/>
        <v>2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2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2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2</v>
      </c>
      <c r="O20" s="720">
        <f t="shared" si="4"/>
        <v>2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1</v>
      </c>
      <c r="O23" s="723">
        <f t="shared" si="10"/>
        <v>1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3.1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3.15">
      <c r="C25" s="21" t="s">
        <v>4</v>
      </c>
      <c r="D25" s="94">
        <f t="shared" ref="D25:AF25" si="21">COUNTIFS(D$6:D$13,"V")</f>
        <v>0</v>
      </c>
      <c r="E25" s="94">
        <f t="shared" si="21"/>
        <v>0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1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0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1</v>
      </c>
      <c r="AA25" s="94">
        <f t="shared" si="21"/>
        <v>1</v>
      </c>
      <c r="AB25" s="94">
        <f t="shared" si="21"/>
        <v>0</v>
      </c>
      <c r="AC25" s="94">
        <f t="shared" si="21"/>
        <v>0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3.15"/>
    <row r="27" spans="2:34" ht="13.15"/>
    <row r="28" spans="2:34" ht="13.15"/>
    <row r="29" spans="2:34" ht="13.15"/>
    <row r="30" spans="2:34" ht="13.15"/>
    <row r="31" spans="2:34" ht="13.15"/>
    <row r="32" spans="2:34" ht="13.15"/>
    <row r="33" spans="2:6" ht="13.15"/>
    <row r="34" spans="2:6" s="10" customFormat="1" ht="13.15">
      <c r="B34"/>
      <c r="E34"/>
      <c r="F34"/>
    </row>
    <row r="35" spans="2:6" s="10" customFormat="1" ht="13.15">
      <c r="B35"/>
      <c r="E35"/>
      <c r="F35"/>
    </row>
    <row r="36" spans="2:6" s="10" customFormat="1" ht="13.15">
      <c r="B36"/>
      <c r="E36"/>
      <c r="F36"/>
    </row>
    <row r="37" spans="2:6" s="10" customFormat="1" ht="13.15">
      <c r="B37"/>
      <c r="E37"/>
      <c r="F37"/>
    </row>
    <row r="38" spans="2:6" s="10" customFormat="1" ht="13.15">
      <c r="B38"/>
      <c r="E38"/>
      <c r="F38"/>
    </row>
    <row r="39" spans="2:6" s="10" customFormat="1" ht="13.15">
      <c r="B39"/>
      <c r="E39"/>
      <c r="F39"/>
    </row>
    <row r="40" spans="2:6" s="10" customFormat="1" ht="13.15">
      <c r="B40"/>
      <c r="E40"/>
      <c r="F40"/>
    </row>
    <row r="41" spans="2:6" s="10" customFormat="1" ht="13.15">
      <c r="B41"/>
      <c r="E41"/>
      <c r="F41"/>
    </row>
    <row r="42" spans="2:6" s="10" customFormat="1" ht="13.15">
      <c r="B42"/>
      <c r="E42"/>
      <c r="F42"/>
    </row>
    <row r="43" spans="2:6" s="10" customFormat="1" ht="13.15">
      <c r="B43"/>
      <c r="E43"/>
      <c r="F43"/>
    </row>
    <row r="44" spans="2:6" s="10" customFormat="1" ht="13.15">
      <c r="B44"/>
      <c r="E44"/>
      <c r="F44"/>
    </row>
    <row r="45" spans="2:6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5" zoomScaleNormal="115" workbookViewId="0">
      <pane xSplit="3" ySplit="5" topLeftCell="D6" activePane="bottomRight" state="frozen"/>
      <selection pane="bottomRight" activeCell="AC6" sqref="AC6:AF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115" t="s">
        <v>3</v>
      </c>
      <c r="C4" s="450" t="s">
        <v>95</v>
      </c>
      <c r="D4" s="773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901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116"/>
      <c r="C5" s="883" t="s">
        <v>95</v>
      </c>
      <c r="D5" s="899">
        <v>1</v>
      </c>
      <c r="E5" s="884">
        <v>2</v>
      </c>
      <c r="F5" s="893">
        <v>3</v>
      </c>
      <c r="G5" s="458">
        <v>4</v>
      </c>
      <c r="H5" s="451">
        <v>5</v>
      </c>
      <c r="I5" s="899">
        <v>6</v>
      </c>
      <c r="J5" s="884">
        <v>7</v>
      </c>
      <c r="K5" s="884">
        <v>8</v>
      </c>
      <c r="L5" s="884">
        <v>9</v>
      </c>
      <c r="M5" s="893">
        <v>10</v>
      </c>
      <c r="N5" s="885">
        <v>11</v>
      </c>
      <c r="O5" s="884">
        <v>12</v>
      </c>
      <c r="P5" s="884">
        <v>13</v>
      </c>
      <c r="Q5" s="884">
        <v>14</v>
      </c>
      <c r="R5" s="884">
        <v>15</v>
      </c>
      <c r="S5" s="884">
        <v>16</v>
      </c>
      <c r="T5" s="893">
        <v>17</v>
      </c>
      <c r="U5" s="885">
        <v>18</v>
      </c>
      <c r="V5" s="884">
        <v>19</v>
      </c>
      <c r="W5" s="884">
        <v>20</v>
      </c>
      <c r="X5" s="884">
        <v>21</v>
      </c>
      <c r="Y5" s="451">
        <v>22</v>
      </c>
      <c r="Z5" s="451">
        <v>23</v>
      </c>
      <c r="AA5" s="893">
        <v>24</v>
      </c>
      <c r="AB5" s="885">
        <v>25</v>
      </c>
      <c r="AC5" s="884">
        <v>26</v>
      </c>
      <c r="AD5" s="884">
        <v>27</v>
      </c>
      <c r="AE5" s="884">
        <v>28</v>
      </c>
      <c r="AF5" s="884">
        <v>29</v>
      </c>
      <c r="AG5" s="884">
        <v>30</v>
      </c>
      <c r="AH5" s="885">
        <v>31</v>
      </c>
    </row>
    <row r="6" spans="2:36" ht="15" customHeight="1">
      <c r="B6" s="244" t="s">
        <v>97</v>
      </c>
      <c r="C6" s="375" t="s">
        <v>13</v>
      </c>
      <c r="D6" s="283" t="s">
        <v>23</v>
      </c>
      <c r="E6" s="522" t="s">
        <v>53</v>
      </c>
      <c r="F6" s="889" t="s">
        <v>7</v>
      </c>
      <c r="G6" s="517" t="s">
        <v>7</v>
      </c>
      <c r="H6" s="541" t="s">
        <v>8</v>
      </c>
      <c r="I6" s="280" t="s">
        <v>8</v>
      </c>
      <c r="J6" s="858" t="s">
        <v>8</v>
      </c>
      <c r="K6" s="853" t="s">
        <v>8</v>
      </c>
      <c r="L6" s="854" t="s">
        <v>8</v>
      </c>
      <c r="M6" s="886" t="s">
        <v>53</v>
      </c>
      <c r="N6" s="887" t="s">
        <v>53</v>
      </c>
      <c r="O6" s="495" t="s">
        <v>23</v>
      </c>
      <c r="P6" s="224" t="s">
        <v>23</v>
      </c>
      <c r="Q6" s="224" t="s">
        <v>16</v>
      </c>
      <c r="R6" s="495" t="s">
        <v>16</v>
      </c>
      <c r="S6" s="272" t="s">
        <v>16</v>
      </c>
      <c r="T6" s="511" t="s">
        <v>7</v>
      </c>
      <c r="U6" s="205" t="s">
        <v>7</v>
      </c>
      <c r="V6" s="224" t="s">
        <v>8</v>
      </c>
      <c r="W6" s="224" t="s">
        <v>8</v>
      </c>
      <c r="X6" s="854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74" t="s">
        <v>22</v>
      </c>
      <c r="AD6" s="1074" t="s">
        <v>22</v>
      </c>
      <c r="AE6" s="1074" t="s">
        <v>22</v>
      </c>
      <c r="AF6" s="1074" t="s">
        <v>22</v>
      </c>
      <c r="AG6" s="888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7" t="s">
        <v>4</v>
      </c>
      <c r="F7" s="894" t="s">
        <v>53</v>
      </c>
      <c r="G7" s="859" t="s">
        <v>53</v>
      </c>
      <c r="H7" s="902" t="s">
        <v>23</v>
      </c>
      <c r="I7" s="869" t="s">
        <v>23</v>
      </c>
      <c r="J7" s="747" t="s">
        <v>77</v>
      </c>
      <c r="K7" s="747" t="s">
        <v>77</v>
      </c>
      <c r="L7" s="747" t="s">
        <v>77</v>
      </c>
      <c r="M7" s="508" t="s">
        <v>7</v>
      </c>
      <c r="N7" s="517" t="s">
        <v>7</v>
      </c>
      <c r="O7" s="747" t="s">
        <v>4</v>
      </c>
      <c r="P7" s="747" t="s">
        <v>4</v>
      </c>
      <c r="Q7" s="224" t="s">
        <v>7</v>
      </c>
      <c r="R7" s="495" t="s">
        <v>7</v>
      </c>
      <c r="S7" s="272" t="s">
        <v>7</v>
      </c>
      <c r="T7" s="621" t="s">
        <v>16</v>
      </c>
      <c r="U7" s="622" t="s">
        <v>16</v>
      </c>
      <c r="V7" s="582" t="s">
        <v>22</v>
      </c>
      <c r="W7" s="468" t="s">
        <v>22</v>
      </c>
      <c r="X7" s="914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7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6" t="s">
        <v>8</v>
      </c>
      <c r="F8" s="890" t="s">
        <v>7</v>
      </c>
      <c r="G8" s="517" t="s">
        <v>7</v>
      </c>
      <c r="H8" s="224" t="s">
        <v>8</v>
      </c>
      <c r="I8" s="283" t="s">
        <v>7</v>
      </c>
      <c r="J8" s="226" t="s">
        <v>7</v>
      </c>
      <c r="K8" s="226" t="s">
        <v>7</v>
      </c>
      <c r="L8" s="541" t="s">
        <v>7</v>
      </c>
      <c r="M8" s="621" t="s">
        <v>16</v>
      </c>
      <c r="N8" s="622" t="s">
        <v>16</v>
      </c>
      <c r="O8" s="582" t="s">
        <v>22</v>
      </c>
      <c r="P8" s="468" t="s">
        <v>22</v>
      </c>
      <c r="Q8" s="468" t="s">
        <v>22</v>
      </c>
      <c r="R8" s="582" t="s">
        <v>22</v>
      </c>
      <c r="S8" s="276" t="s">
        <v>53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7" t="s">
        <v>6</v>
      </c>
      <c r="AB8" s="859" t="s">
        <v>6</v>
      </c>
      <c r="AC8" s="1072" t="s">
        <v>7</v>
      </c>
      <c r="AD8" s="1073" t="s">
        <v>7</v>
      </c>
      <c r="AE8" s="840" t="s">
        <v>8</v>
      </c>
      <c r="AF8" s="840" t="s">
        <v>8</v>
      </c>
      <c r="AG8" s="840" t="s">
        <v>8</v>
      </c>
      <c r="AH8" s="227" t="s">
        <v>7</v>
      </c>
    </row>
    <row r="9" spans="2:36" ht="15" customHeight="1" thickBot="1">
      <c r="B9" s="244" t="s">
        <v>66</v>
      </c>
      <c r="C9" s="375" t="s">
        <v>26</v>
      </c>
      <c r="D9" s="283" t="s">
        <v>7</v>
      </c>
      <c r="E9" s="541" t="s">
        <v>7</v>
      </c>
      <c r="F9" s="890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624" t="s">
        <v>7</v>
      </c>
      <c r="O9" s="608" t="s">
        <v>8</v>
      </c>
      <c r="P9" s="226" t="s">
        <v>8</v>
      </c>
      <c r="Q9" s="226" t="s">
        <v>8</v>
      </c>
      <c r="R9" s="608" t="s">
        <v>8</v>
      </c>
      <c r="S9" s="947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5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8" t="s">
        <v>8</v>
      </c>
    </row>
    <row r="10" spans="2:36" ht="17.25" customHeight="1" thickBot="1">
      <c r="B10" s="242" t="s">
        <v>90</v>
      </c>
      <c r="C10" s="432" t="s">
        <v>28</v>
      </c>
      <c r="D10" s="283" t="s">
        <v>14</v>
      </c>
      <c r="E10" s="900" t="s">
        <v>14</v>
      </c>
      <c r="F10" s="891" t="s">
        <v>19</v>
      </c>
      <c r="G10" s="517" t="s">
        <v>19</v>
      </c>
      <c r="H10" s="912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3" t="s">
        <v>19</v>
      </c>
      <c r="T10" s="521" t="s">
        <v>7</v>
      </c>
      <c r="U10" s="204" t="s">
        <v>7</v>
      </c>
      <c r="V10" s="597" t="s">
        <v>14</v>
      </c>
      <c r="W10" s="597" t="s">
        <v>14</v>
      </c>
      <c r="X10" s="597" t="s">
        <v>14</v>
      </c>
      <c r="Y10" s="829" t="s">
        <v>19</v>
      </c>
      <c r="Z10" s="829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6" t="s">
        <v>14</v>
      </c>
      <c r="AG10" s="856" t="s">
        <v>14</v>
      </c>
      <c r="AH10" s="211" t="s">
        <v>19</v>
      </c>
    </row>
    <row r="11" spans="2:36" ht="16.5" customHeight="1" thickBot="1">
      <c r="B11" s="376" t="s">
        <v>91</v>
      </c>
      <c r="C11" s="375" t="s">
        <v>30</v>
      </c>
      <c r="D11" s="911" t="s">
        <v>19</v>
      </c>
      <c r="E11" s="900" t="s">
        <v>14</v>
      </c>
      <c r="F11" s="892" t="s">
        <v>14</v>
      </c>
      <c r="G11" s="517" t="s">
        <v>14</v>
      </c>
      <c r="H11" s="903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2" t="s">
        <v>4</v>
      </c>
      <c r="AA11" s="772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thickBot="1">
      <c r="B12" s="244" t="s">
        <v>92</v>
      </c>
      <c r="C12" s="375" t="s">
        <v>32</v>
      </c>
      <c r="D12" s="949" t="s">
        <v>6</v>
      </c>
      <c r="E12" s="541" t="s">
        <v>19</v>
      </c>
      <c r="F12" s="890" t="s">
        <v>7</v>
      </c>
      <c r="G12" s="517" t="s">
        <v>7</v>
      </c>
      <c r="H12" s="903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8" t="s">
        <v>6</v>
      </c>
      <c r="W12" s="921" t="s">
        <v>6</v>
      </c>
      <c r="X12" s="978" t="s">
        <v>6</v>
      </c>
      <c r="Y12" s="645" t="s">
        <v>7</v>
      </c>
      <c r="Z12" s="790" t="s">
        <v>14</v>
      </c>
      <c r="AA12" s="922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42"/>
    </row>
    <row r="13" spans="2:36" ht="15" customHeight="1" thickBot="1">
      <c r="B13" s="246" t="s">
        <v>93</v>
      </c>
      <c r="C13" s="566" t="s">
        <v>34</v>
      </c>
      <c r="D13" s="950" t="s">
        <v>4</v>
      </c>
      <c r="E13" s="747" t="s">
        <v>4</v>
      </c>
      <c r="F13" s="627" t="s">
        <v>7</v>
      </c>
      <c r="G13" s="208" t="s">
        <v>7</v>
      </c>
      <c r="H13" s="843" t="s">
        <v>4</v>
      </c>
      <c r="I13" s="951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3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6" t="s">
        <v>19</v>
      </c>
      <c r="Y13" s="523" t="s">
        <v>6</v>
      </c>
      <c r="Z13" s="916" t="s">
        <v>7</v>
      </c>
      <c r="AA13" s="923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thickBot="1">
      <c r="B14" s="246" t="s">
        <v>55</v>
      </c>
      <c r="C14" s="207"/>
      <c r="D14" s="569"/>
      <c r="E14" s="897"/>
      <c r="F14" s="895"/>
      <c r="G14" s="896"/>
      <c r="H14" s="898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7"/>
      <c r="AA14" s="895"/>
      <c r="AB14" s="896"/>
      <c r="AC14" s="898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5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6</v>
      </c>
      <c r="S18" s="718">
        <f t="shared" si="0"/>
        <v>6</v>
      </c>
      <c r="T18" s="694">
        <f t="shared" si="0"/>
        <v>4</v>
      </c>
      <c r="U18" s="695">
        <f t="shared" si="0"/>
        <v>4</v>
      </c>
      <c r="V18" s="710">
        <f t="shared" si="0"/>
        <v>6</v>
      </c>
      <c r="W18" s="53">
        <f t="shared" si="0"/>
        <v>6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2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719">
        <f t="shared" si="3"/>
        <v>2</v>
      </c>
      <c r="T19" s="696">
        <f t="shared" si="3"/>
        <v>1</v>
      </c>
      <c r="U19" s="697">
        <f t="shared" si="3"/>
        <v>1</v>
      </c>
      <c r="V19" s="711">
        <f t="shared" si="3"/>
        <v>2</v>
      </c>
      <c r="W19" s="81">
        <f t="shared" si="3"/>
        <v>2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2</v>
      </c>
      <c r="W20" s="84">
        <f t="shared" si="4"/>
        <v>2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3.1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0</v>
      </c>
      <c r="J24" s="180">
        <f>COUNTIFS(J$6:J$13,"MG")+COUNTIFS(J$6:J$13,"TG")+COUNTIFS(J$6:J$13,"LG")+COUNTIFS(J$6:J$13,"DG")</f>
        <v>0</v>
      </c>
      <c r="K24" s="180">
        <f t="shared" ref="K24:O24" si="8">COUNTIFS(K$6:K$13,"MG")+COUNTIFS(K$6:K$13,"TG")+COUNTIFS(K$6:K$13,"LG")+COUNTIFS(K$6:K$13,"DG")</f>
        <v>0</v>
      </c>
      <c r="L24" s="724">
        <f t="shared" ref="L24" si="9">COUNTIFS(M$6:M$13,"MG")+COUNTIFS(M$6:M$13,"TG")+COUNTIFS(M$6:M$13,"LG")+COUNTIFS(M$6:M$13,"DG")</f>
        <v>2</v>
      </c>
      <c r="M24" s="706">
        <f t="shared" ref="M24:N24" si="10">COUNTIFS(M$6:M$13,"MG")+COUNTIFS(M$6:M$13,"TG")+COUNTIFS(M$6:M$13,"LG")+COUNTIFS(M$6:M$13,"DG")</f>
        <v>2</v>
      </c>
      <c r="N24" s="707">
        <f t="shared" si="10"/>
        <v>2</v>
      </c>
      <c r="O24" s="716">
        <f t="shared" si="8"/>
        <v>2</v>
      </c>
      <c r="P24" s="180">
        <f t="shared" ref="P24" si="11">COUNTIFS(Q$6:Q$13,"MG")+COUNTIFS(Q$6:Q$13,"TG")+COUNTIFS(Q$6:Q$13,"LG")+COUNTIFS(Q$6:Q$13,"DG")</f>
        <v>2</v>
      </c>
      <c r="Q24" s="180">
        <f t="shared" ref="Q24:AH24" si="12">COUNTIFS(Q$6:Q$13,"MG")+COUNTIFS(Q$6:Q$13,"TG")+COUNTIFS(Q$6:Q$13,"LG")+COUNTIFS(Q$6:Q$13,"DG")</f>
        <v>2</v>
      </c>
      <c r="R24" s="180">
        <f t="shared" si="12"/>
        <v>2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3.1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1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725">
        <f t="shared" si="17"/>
        <v>0</v>
      </c>
      <c r="M25" s="708">
        <f t="shared" si="17"/>
        <v>0</v>
      </c>
      <c r="N25" s="709">
        <f t="shared" si="17"/>
        <v>0</v>
      </c>
      <c r="O25" s="717">
        <f t="shared" si="17"/>
        <v>2</v>
      </c>
      <c r="P25" s="94">
        <f t="shared" si="17"/>
        <v>2</v>
      </c>
      <c r="Q25" s="94">
        <f t="shared" si="17"/>
        <v>1</v>
      </c>
      <c r="R25" s="94">
        <f t="shared" si="17"/>
        <v>1</v>
      </c>
      <c r="S25" s="725">
        <f t="shared" si="17"/>
        <v>1</v>
      </c>
      <c r="T25" s="708">
        <f t="shared" si="17"/>
        <v>0</v>
      </c>
      <c r="U25" s="709">
        <f t="shared" si="17"/>
        <v>0</v>
      </c>
      <c r="V25" s="717">
        <f t="shared" si="17"/>
        <v>1</v>
      </c>
      <c r="W25" s="94">
        <f t="shared" si="17"/>
        <v>1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3.15"/>
    <row r="27" spans="2:34" ht="13.15"/>
    <row r="28" spans="2:34" ht="13.15"/>
    <row r="29" spans="2:34" ht="13.15"/>
    <row r="30" spans="2:34" ht="13.15"/>
    <row r="31" spans="2:34" ht="13.15"/>
    <row r="32" spans="2:34" ht="13.15"/>
    <row r="33" spans="2:2" ht="13.15"/>
    <row r="34" spans="2:2" s="10" customFormat="1" ht="13.15">
      <c r="B34"/>
    </row>
    <row r="35" spans="2:2" s="10" customFormat="1" ht="13.15">
      <c r="B35"/>
    </row>
    <row r="36" spans="2:2" s="10" customFormat="1" ht="13.15">
      <c r="B36"/>
    </row>
    <row r="37" spans="2:2" s="10" customFormat="1" ht="13.15">
      <c r="B37"/>
    </row>
    <row r="38" spans="2:2" s="10" customFormat="1" ht="13.15">
      <c r="B38"/>
    </row>
    <row r="39" spans="2:2" s="10" customFormat="1" ht="13.15">
      <c r="B39"/>
    </row>
    <row r="40" spans="2:2" s="10" customFormat="1" ht="13.15">
      <c r="B40"/>
    </row>
    <row r="41" spans="2:2" s="10" customFormat="1" ht="13.15">
      <c r="B41"/>
    </row>
    <row r="42" spans="2:2" s="10" customFormat="1" ht="13.15">
      <c r="B42"/>
    </row>
    <row r="43" spans="2:2" s="10" customFormat="1" ht="13.15">
      <c r="B43"/>
    </row>
    <row r="44" spans="2:2" s="10" customFormat="1" ht="13.15">
      <c r="B44"/>
    </row>
    <row r="45" spans="2:2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B8" sqref="B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  <col min="33" max="37" width="9.140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115" t="s">
        <v>3</v>
      </c>
      <c r="C4" s="450" t="s">
        <v>95</v>
      </c>
      <c r="D4" s="554" t="s">
        <v>6</v>
      </c>
      <c r="E4" s="590" t="s">
        <v>7</v>
      </c>
      <c r="F4" s="901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116"/>
      <c r="C5" s="883" t="s">
        <v>95</v>
      </c>
      <c r="D5" s="458">
        <v>1</v>
      </c>
      <c r="E5" s="451">
        <v>2</v>
      </c>
      <c r="F5" s="458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517" t="s">
        <v>7</v>
      </c>
      <c r="E6" s="541" t="s">
        <v>8</v>
      </c>
      <c r="F6" s="280" t="s">
        <v>8</v>
      </c>
      <c r="G6" s="858" t="s">
        <v>8</v>
      </c>
      <c r="H6" s="853" t="s">
        <v>8</v>
      </c>
      <c r="I6" s="854" t="s">
        <v>8</v>
      </c>
      <c r="J6" s="886" t="s">
        <v>6</v>
      </c>
      <c r="K6" s="887" t="s">
        <v>6</v>
      </c>
      <c r="L6" s="495" t="s">
        <v>7</v>
      </c>
      <c r="M6" s="224" t="s">
        <v>7</v>
      </c>
      <c r="N6" s="224" t="s">
        <v>8</v>
      </c>
      <c r="O6" s="495" t="s">
        <v>8</v>
      </c>
      <c r="P6" s="272" t="s">
        <v>8</v>
      </c>
      <c r="Q6" s="511" t="s">
        <v>7</v>
      </c>
      <c r="R6" s="205" t="s">
        <v>7</v>
      </c>
      <c r="S6" s="224" t="s">
        <v>8</v>
      </c>
      <c r="T6" s="224" t="s">
        <v>8</v>
      </c>
      <c r="U6" s="854" t="s">
        <v>7</v>
      </c>
      <c r="V6" s="506" t="s">
        <v>7</v>
      </c>
      <c r="W6" s="506" t="s">
        <v>7</v>
      </c>
      <c r="X6" s="205" t="s">
        <v>8</v>
      </c>
      <c r="Y6" s="205" t="s">
        <v>8</v>
      </c>
      <c r="Z6" s="216" t="s">
        <v>14</v>
      </c>
      <c r="AA6" s="519" t="s">
        <v>14</v>
      </c>
      <c r="AB6" s="856" t="s">
        <v>14</v>
      </c>
      <c r="AC6" s="856" t="s">
        <v>14</v>
      </c>
      <c r="AD6" s="888" t="s">
        <v>6</v>
      </c>
      <c r="AE6" s="856" t="s">
        <v>7</v>
      </c>
    </row>
    <row r="7" spans="2:33" ht="15" customHeight="1">
      <c r="B7" s="244" t="s">
        <v>73</v>
      </c>
      <c r="C7" s="375" t="s">
        <v>18</v>
      </c>
      <c r="D7" s="859" t="s">
        <v>53</v>
      </c>
      <c r="E7" s="902" t="s">
        <v>23</v>
      </c>
      <c r="F7" s="869" t="s">
        <v>23</v>
      </c>
      <c r="G7" s="872" t="s">
        <v>16</v>
      </c>
      <c r="H7" s="862" t="s">
        <v>16</v>
      </c>
      <c r="I7" s="860" t="s">
        <v>16</v>
      </c>
      <c r="J7" s="508" t="s">
        <v>7</v>
      </c>
      <c r="K7" s="517" t="s">
        <v>7</v>
      </c>
      <c r="L7" s="495" t="s">
        <v>8</v>
      </c>
      <c r="M7" s="224" t="s">
        <v>8</v>
      </c>
      <c r="N7" s="224" t="s">
        <v>7</v>
      </c>
      <c r="O7" s="495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4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4" t="s">
        <v>8</v>
      </c>
      <c r="AA7" s="272" t="s">
        <v>8</v>
      </c>
      <c r="AB7" s="506" t="s">
        <v>8</v>
      </c>
      <c r="AC7" s="506" t="s">
        <v>8</v>
      </c>
      <c r="AD7" s="506" t="s">
        <v>8</v>
      </c>
      <c r="AE7" s="871" t="s">
        <v>53</v>
      </c>
    </row>
    <row r="8" spans="2:33" ht="15" customHeight="1">
      <c r="B8" s="244" t="s">
        <v>100</v>
      </c>
      <c r="C8" s="375" t="s">
        <v>21</v>
      </c>
      <c r="D8" s="517" t="s">
        <v>7</v>
      </c>
      <c r="E8" s="224" t="s">
        <v>8</v>
      </c>
      <c r="F8" s="283" t="s">
        <v>7</v>
      </c>
      <c r="G8" s="226" t="s">
        <v>7</v>
      </c>
      <c r="H8" s="226" t="s">
        <v>7</v>
      </c>
      <c r="I8" s="541" t="s">
        <v>7</v>
      </c>
      <c r="J8" s="621" t="s">
        <v>16</v>
      </c>
      <c r="K8" s="622" t="s">
        <v>16</v>
      </c>
      <c r="L8" s="582" t="s">
        <v>22</v>
      </c>
      <c r="M8" s="468" t="s">
        <v>22</v>
      </c>
      <c r="N8" s="468" t="s">
        <v>22</v>
      </c>
      <c r="O8" s="582" t="s">
        <v>22</v>
      </c>
      <c r="P8" s="276" t="s">
        <v>53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7</v>
      </c>
      <c r="W8" s="606" t="s">
        <v>8</v>
      </c>
      <c r="X8" s="917" t="s">
        <v>53</v>
      </c>
      <c r="Y8" s="859" t="s">
        <v>53</v>
      </c>
      <c r="Z8" s="872" t="s">
        <v>23</v>
      </c>
      <c r="AA8" s="1006" t="s">
        <v>23</v>
      </c>
      <c r="AB8" s="559" t="s">
        <v>16</v>
      </c>
      <c r="AC8" s="559" t="s">
        <v>16</v>
      </c>
      <c r="AD8" s="559" t="s">
        <v>16</v>
      </c>
      <c r="AE8" s="882" t="s">
        <v>7</v>
      </c>
    </row>
    <row r="9" spans="2:33" ht="15" customHeight="1">
      <c r="B9" s="244" t="s">
        <v>66</v>
      </c>
      <c r="C9" s="375" t="s">
        <v>26</v>
      </c>
      <c r="D9" s="517" t="s">
        <v>8</v>
      </c>
      <c r="E9" s="541" t="s">
        <v>14</v>
      </c>
      <c r="F9" s="731" t="s">
        <v>14</v>
      </c>
      <c r="G9" s="607" t="s">
        <v>14</v>
      </c>
      <c r="H9" s="606" t="s">
        <v>14</v>
      </c>
      <c r="I9" s="276" t="s">
        <v>6</v>
      </c>
      <c r="J9" s="623" t="s">
        <v>7</v>
      </c>
      <c r="K9" s="624" t="s">
        <v>7</v>
      </c>
      <c r="L9" s="608" t="s">
        <v>8</v>
      </c>
      <c r="M9" s="226" t="s">
        <v>8</v>
      </c>
      <c r="N9" s="226" t="s">
        <v>8</v>
      </c>
      <c r="O9" s="608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5" t="s">
        <v>8</v>
      </c>
      <c r="V9" s="579" t="s">
        <v>8</v>
      </c>
      <c r="W9" s="579" t="s">
        <v>8</v>
      </c>
      <c r="X9" s="227" t="s">
        <v>7</v>
      </c>
      <c r="Y9" s="210" t="s">
        <v>7</v>
      </c>
      <c r="Z9" s="226" t="s">
        <v>8</v>
      </c>
      <c r="AA9" s="273" t="s">
        <v>8</v>
      </c>
      <c r="AB9" s="506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>
      <c r="B10" s="242" t="s">
        <v>90</v>
      </c>
      <c r="C10" s="432" t="s">
        <v>28</v>
      </c>
      <c r="D10" s="517" t="s">
        <v>19</v>
      </c>
      <c r="E10" s="912" t="s">
        <v>6</v>
      </c>
      <c r="F10" s="731" t="s">
        <v>7</v>
      </c>
      <c r="G10" s="594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601" t="s">
        <v>19</v>
      </c>
      <c r="M10" s="594" t="s">
        <v>19</v>
      </c>
      <c r="N10" s="594" t="s">
        <v>19</v>
      </c>
      <c r="O10" s="617" t="s">
        <v>6</v>
      </c>
      <c r="P10" s="913" t="s">
        <v>19</v>
      </c>
      <c r="Q10" s="521" t="s">
        <v>7</v>
      </c>
      <c r="R10" s="204" t="s">
        <v>7</v>
      </c>
      <c r="S10" s="597" t="s">
        <v>14</v>
      </c>
      <c r="T10" s="597" t="s">
        <v>14</v>
      </c>
      <c r="U10" s="915" t="s">
        <v>14</v>
      </c>
      <c r="V10" s="829" t="s">
        <v>19</v>
      </c>
      <c r="W10" s="829" t="s">
        <v>19</v>
      </c>
      <c r="X10" s="657" t="s">
        <v>7</v>
      </c>
      <c r="Y10" s="204" t="s">
        <v>7</v>
      </c>
      <c r="Z10" s="599" t="s">
        <v>6</v>
      </c>
      <c r="AA10" s="662" t="s">
        <v>6</v>
      </c>
      <c r="AB10" s="592" t="s">
        <v>6</v>
      </c>
      <c r="AC10" s="634" t="s">
        <v>14</v>
      </c>
      <c r="AD10" s="634" t="s">
        <v>14</v>
      </c>
      <c r="AE10" s="634" t="s">
        <v>19</v>
      </c>
    </row>
    <row r="11" spans="2:33" ht="16.5" customHeight="1">
      <c r="B11" s="376" t="s">
        <v>91</v>
      </c>
      <c r="C11" s="375" t="s">
        <v>30</v>
      </c>
      <c r="D11" s="517" t="s">
        <v>14</v>
      </c>
      <c r="E11" s="903" t="s">
        <v>19</v>
      </c>
      <c r="F11" s="731" t="s">
        <v>19</v>
      </c>
      <c r="G11" s="212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681" t="s">
        <v>4</v>
      </c>
      <c r="M11" s="681" t="s">
        <v>4</v>
      </c>
      <c r="N11" s="681" t="s">
        <v>4</v>
      </c>
      <c r="O11" s="681" t="s">
        <v>4</v>
      </c>
      <c r="P11" s="681" t="s">
        <v>4</v>
      </c>
      <c r="Q11" s="511" t="s">
        <v>7</v>
      </c>
      <c r="R11" s="205" t="s">
        <v>7</v>
      </c>
      <c r="S11" s="920" t="s">
        <v>4</v>
      </c>
      <c r="T11" s="681" t="s">
        <v>4</v>
      </c>
      <c r="U11" s="920" t="s">
        <v>4</v>
      </c>
      <c r="V11" s="591" t="s">
        <v>7</v>
      </c>
      <c r="W11" s="772" t="s">
        <v>4</v>
      </c>
      <c r="X11" s="772" t="s">
        <v>4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4" t="s">
        <v>14</v>
      </c>
    </row>
    <row r="12" spans="2:33" ht="15" customHeight="1">
      <c r="B12" s="244" t="s">
        <v>92</v>
      </c>
      <c r="C12" s="375" t="s">
        <v>32</v>
      </c>
      <c r="D12" s="517" t="s">
        <v>7</v>
      </c>
      <c r="E12" s="903" t="s">
        <v>7</v>
      </c>
      <c r="F12" s="731" t="s">
        <v>7</v>
      </c>
      <c r="G12" s="562" t="s">
        <v>14</v>
      </c>
      <c r="H12" s="563" t="s">
        <v>19</v>
      </c>
      <c r="I12" s="564" t="s">
        <v>19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921" t="s">
        <v>6</v>
      </c>
      <c r="U12" s="645" t="s">
        <v>7</v>
      </c>
      <c r="V12" s="645" t="s">
        <v>7</v>
      </c>
      <c r="W12" s="790" t="s">
        <v>14</v>
      </c>
      <c r="X12" s="922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42"/>
    </row>
    <row r="13" spans="2:33" ht="15" customHeight="1">
      <c r="B13" s="246" t="s">
        <v>93</v>
      </c>
      <c r="C13" s="566" t="s">
        <v>34</v>
      </c>
      <c r="D13" s="208" t="s">
        <v>7</v>
      </c>
      <c r="E13" s="681" t="s">
        <v>4</v>
      </c>
      <c r="F13" s="733" t="s">
        <v>6</v>
      </c>
      <c r="G13" s="603" t="s">
        <v>6</v>
      </c>
      <c r="H13" s="604" t="s">
        <v>14</v>
      </c>
      <c r="I13" s="665" t="s">
        <v>14</v>
      </c>
      <c r="J13" s="627" t="s">
        <v>19</v>
      </c>
      <c r="K13" s="628" t="s">
        <v>19</v>
      </c>
      <c r="L13" s="605" t="s">
        <v>7</v>
      </c>
      <c r="M13" s="565" t="s">
        <v>7</v>
      </c>
      <c r="N13" s="565" t="s">
        <v>7</v>
      </c>
      <c r="O13" s="913" t="s">
        <v>19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6" t="s">
        <v>19</v>
      </c>
      <c r="V13" s="916" t="s">
        <v>6</v>
      </c>
      <c r="W13" s="916" t="s">
        <v>7</v>
      </c>
      <c r="X13" s="923" t="s">
        <v>19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>
      <c r="B14" s="246" t="s">
        <v>55</v>
      </c>
      <c r="C14" s="207"/>
      <c r="D14" s="896"/>
      <c r="E14" s="898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7"/>
      <c r="X14" s="895"/>
      <c r="Y14" s="896"/>
      <c r="Z14" s="898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>
      <c r="B17" s="4"/>
    </row>
    <row r="18" spans="2:31" ht="11.1" customHeigh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718">
        <f t="shared" si="0"/>
        <v>6</v>
      </c>
      <c r="J18" s="694">
        <f t="shared" si="0"/>
        <v>4</v>
      </c>
      <c r="K18" s="695">
        <f t="shared" si="0"/>
        <v>4</v>
      </c>
      <c r="L18" s="710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5</v>
      </c>
      <c r="T18" s="53">
        <f t="shared" si="0"/>
        <v>6</v>
      </c>
      <c r="U18" s="53">
        <f t="shared" si="0"/>
        <v>5</v>
      </c>
      <c r="V18" s="53">
        <f t="shared" si="0"/>
        <v>4</v>
      </c>
      <c r="W18" s="53">
        <f t="shared" si="0"/>
        <v>5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1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2</v>
      </c>
      <c r="I20" s="720">
        <f t="shared" si="4"/>
        <v>2</v>
      </c>
      <c r="J20" s="698">
        <f t="shared" si="4"/>
        <v>1</v>
      </c>
      <c r="K20" s="699">
        <f t="shared" si="4"/>
        <v>1</v>
      </c>
      <c r="L20" s="712">
        <f t="shared" si="4"/>
        <v>1</v>
      </c>
      <c r="M20" s="84">
        <f t="shared" si="4"/>
        <v>1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0</v>
      </c>
      <c r="T22" s="90">
        <f t="shared" si="6"/>
        <v>1</v>
      </c>
      <c r="U22" s="90">
        <f t="shared" si="6"/>
        <v>0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2</v>
      </c>
      <c r="F23" s="92">
        <f t="shared" si="7"/>
        <v>4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1</v>
      </c>
      <c r="P23" s="723">
        <f t="shared" si="7"/>
        <v>1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1</v>
      </c>
      <c r="U23" s="92">
        <f t="shared" si="7"/>
        <v>2</v>
      </c>
      <c r="V23" s="92">
        <f t="shared" si="7"/>
        <v>4</v>
      </c>
      <c r="W23" s="92">
        <f t="shared" si="7"/>
        <v>2</v>
      </c>
      <c r="X23" s="92">
        <f t="shared" si="7"/>
        <v>3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3.1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.15">
      <c r="C25" s="21" t="s">
        <v>4</v>
      </c>
      <c r="D25" s="709">
        <f t="shared" ref="D25:AE25" si="17">COUNTIFS(D$6:D$13,"V")</f>
        <v>0</v>
      </c>
      <c r="E25" s="717">
        <f t="shared" si="17"/>
        <v>1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725">
        <f t="shared" si="17"/>
        <v>0</v>
      </c>
      <c r="J25" s="708">
        <f t="shared" si="17"/>
        <v>0</v>
      </c>
      <c r="K25" s="709">
        <f t="shared" si="17"/>
        <v>0</v>
      </c>
      <c r="L25" s="717">
        <f t="shared" si="17"/>
        <v>1</v>
      </c>
      <c r="M25" s="94">
        <f t="shared" si="17"/>
        <v>1</v>
      </c>
      <c r="N25" s="94">
        <f t="shared" si="17"/>
        <v>1</v>
      </c>
      <c r="O25" s="94">
        <f t="shared" si="17"/>
        <v>1</v>
      </c>
      <c r="P25" s="725">
        <f t="shared" si="17"/>
        <v>1</v>
      </c>
      <c r="Q25" s="708">
        <f t="shared" si="17"/>
        <v>0</v>
      </c>
      <c r="R25" s="709">
        <f t="shared" si="17"/>
        <v>0</v>
      </c>
      <c r="S25" s="717">
        <f t="shared" si="17"/>
        <v>1</v>
      </c>
      <c r="T25" s="94">
        <f t="shared" si="17"/>
        <v>1</v>
      </c>
      <c r="U25" s="94">
        <f t="shared" si="17"/>
        <v>1</v>
      </c>
      <c r="V25" s="94">
        <f t="shared" si="17"/>
        <v>0</v>
      </c>
      <c r="W25" s="94">
        <f t="shared" si="17"/>
        <v>1</v>
      </c>
      <c r="X25" s="94">
        <f t="shared" si="17"/>
        <v>1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3.15"/>
    <row r="27" spans="2:31" ht="13.15"/>
    <row r="28" spans="2:31" ht="13.15"/>
    <row r="29" spans="2:31" ht="13.15"/>
    <row r="30" spans="2:31" ht="13.15"/>
    <row r="31" spans="2:31" ht="13.15"/>
    <row r="32" spans="2:31" ht="13.15"/>
    <row r="33" spans="2:2" ht="13.15"/>
    <row r="34" spans="2:2" s="10" customFormat="1" ht="13.15">
      <c r="B34"/>
    </row>
    <row r="35" spans="2:2" s="10" customFormat="1" ht="13.15">
      <c r="B35"/>
    </row>
    <row r="36" spans="2:2" s="10" customFormat="1" ht="13.15">
      <c r="B36"/>
    </row>
    <row r="37" spans="2:2" s="10" customFormat="1" ht="13.15">
      <c r="B37"/>
    </row>
    <row r="38" spans="2:2" s="10" customFormat="1" ht="13.15">
      <c r="B38"/>
    </row>
    <row r="39" spans="2:2" s="10" customFormat="1" ht="13.15">
      <c r="B39"/>
    </row>
    <row r="40" spans="2:2" s="10" customFormat="1" ht="13.15">
      <c r="B40"/>
    </row>
    <row r="41" spans="2:2" s="10" customFormat="1" ht="13.15">
      <c r="B41"/>
    </row>
    <row r="42" spans="2:2" s="10" customFormat="1" ht="13.15">
      <c r="B42"/>
    </row>
    <row r="43" spans="2:2" s="10" customFormat="1" ht="13.15">
      <c r="B43"/>
    </row>
    <row r="44" spans="2:2" s="10" customFormat="1" ht="13.15">
      <c r="B44"/>
    </row>
    <row r="45" spans="2:2" ht="13.1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406BA-F637-4F2C-9F82-10C094512B80}">
  <dimension ref="A1"/>
  <sheetViews>
    <sheetView workbookViewId="0"/>
  </sheetViews>
  <sheetFormatPr defaultColWidth="8.7109375" defaultRowHeight="13.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3a76498315cda9e936b533124834dacd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8b951d5ef4b1173405f3a7bd647635ed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097EB8D-B681-4214-9A40-2F012C246806}"/>
</file>

<file path=customXml/itemProps2.xml><?xml version="1.0" encoding="utf-8"?>
<ds:datastoreItem xmlns:ds="http://schemas.openxmlformats.org/officeDocument/2006/customXml" ds:itemID="{72795535-DE3F-4CE5-85C5-BD3641CD7314}"/>
</file>

<file path=customXml/itemProps3.xml><?xml version="1.0" encoding="utf-8"?>
<ds:datastoreItem xmlns:ds="http://schemas.openxmlformats.org/officeDocument/2006/customXml" ds:itemID="{54AEC4E9-D5BB-40A4-AB55-3FD90BB5A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2025-11-14T07:10:05Z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