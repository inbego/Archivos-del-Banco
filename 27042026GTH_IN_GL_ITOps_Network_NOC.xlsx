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Escritorio/"/>
    </mc:Choice>
  </mc:AlternateContent>
  <xr:revisionPtr revIDLastSave="9" documentId="8_{56442B6E-8C95-4398-B3C6-17993460068A}" xr6:coauthVersionLast="47" xr6:coauthVersionMax="47" xr10:uidLastSave="{A4007438-F2ED-4F83-8108-4EFBEFB66777}"/>
  <bookViews>
    <workbookView xWindow="-110" yWindow="-110" windowWidth="19420" windowHeight="10300" activeTab="1" xr2:uid="{00000000-000D-0000-FFFF-FFFF00000000}"/>
  </bookViews>
  <sheets>
    <sheet name="NOC" sheetId="1" r:id="rId1"/>
    <sheet name="Estudio" sheetId="3" r:id="rId2"/>
    <sheet name="Total" sheetId="2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D26" i="3" s="1"/>
  <c r="C25" i="3"/>
  <c r="C26" i="3" s="1"/>
  <c r="K22" i="3" l="1"/>
  <c r="K20" i="3"/>
</calcChain>
</file>

<file path=xl/sharedStrings.xml><?xml version="1.0" encoding="utf-8"?>
<sst xmlns="http://schemas.openxmlformats.org/spreadsheetml/2006/main" count="170" uniqueCount="40">
  <si>
    <t>Filtros aplicados: 
PAR_DYNAMIC_X_AXIS es FInicio Month
PAR_DYNAMIC_LEGEND es Ticket Type
PAR_DYNAMIC_Y_AXIS es Volume
PAR_DYNAMIC_Y1_AXIS es None
Incluido (1) Support Network (SYS_GROUPS_EXCEL.L1 Tower) + Global Network (SYS_GROUPS_EXCEL.L1 SubTower) + GTH_IN_GL_ITOps_Network_NOC (Assignment Group)
Torre es COM_GLOBALNET
Country es MX o SP
Type es Custom
Incluido (1) 2026 (Year) + Qtr 1 (Trimestre Qtr)</t>
  </si>
  <si>
    <t>FInicio Month</t>
  </si>
  <si>
    <t>Ticket Type</t>
  </si>
  <si>
    <t>Volume</t>
  </si>
  <si>
    <t>None</t>
  </si>
  <si>
    <t>2026 January</t>
  </si>
  <si>
    <t>Alert</t>
  </si>
  <si>
    <t>Catalog Task</t>
  </si>
  <si>
    <t>Change Task</t>
  </si>
  <si>
    <t>Incident</t>
  </si>
  <si>
    <t>RITM</t>
  </si>
  <si>
    <t>Support</t>
  </si>
  <si>
    <t>2026 February</t>
  </si>
  <si>
    <t>Release Task</t>
  </si>
  <si>
    <t>2026 March</t>
  </si>
  <si>
    <t>NOCAlert</t>
  </si>
  <si>
    <t>NOCCatalog Task</t>
  </si>
  <si>
    <t>NOCChange Task</t>
  </si>
  <si>
    <t>NOCIncident</t>
  </si>
  <si>
    <t>NOCRITM</t>
  </si>
  <si>
    <t>NOCSupport</t>
  </si>
  <si>
    <t>NOCRelease Task</t>
  </si>
  <si>
    <t>L1MEXAlert</t>
  </si>
  <si>
    <t>L1MEXCatalog Task</t>
  </si>
  <si>
    <t>L1MEXChange</t>
  </si>
  <si>
    <t>L1MEXChange Task</t>
  </si>
  <si>
    <t>L1MEXProblem Task</t>
  </si>
  <si>
    <t>L1MEXRelease Task</t>
  </si>
  <si>
    <t>L1MEXSupport</t>
  </si>
  <si>
    <t>L1MEXIncident</t>
  </si>
  <si>
    <t>Row Labels</t>
  </si>
  <si>
    <t>Grand Total</t>
  </si>
  <si>
    <t>Column Labels</t>
  </si>
  <si>
    <t>Sum of Volume</t>
  </si>
  <si>
    <t>TOTAL</t>
  </si>
  <si>
    <t>INCREMENTO</t>
  </si>
  <si>
    <t xml:space="preserve">ANTES </t>
  </si>
  <si>
    <t>AHORA</t>
  </si>
  <si>
    <t>L1MEX</t>
  </si>
  <si>
    <t>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</si>
</sst>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1" fillId="2" borderId="1" xfId="0" applyNumberFormat="1" applyFont="1" applyFill="1" applyBorder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maculada Benitez Gonzalez" refreshedDate="46139.526631018518" createdVersion="8" refreshedVersion="8" minRefreshableVersion="3" recordCount="41" xr:uid="{FF7F9DC2-AF82-4BF0-896E-A6107AF8DF58}">
  <cacheSource type="worksheet">
    <worksheetSource name="Table13"/>
  </cacheSource>
  <cacheFields count="4">
    <cacheField name="FInicio Month" numFmtId="0">
      <sharedItems count="3">
        <s v="2026 January"/>
        <s v="2026 February"/>
        <s v="2026 March"/>
      </sharedItems>
    </cacheField>
    <cacheField name="Ticket Type" numFmtId="0">
      <sharedItems count="15">
        <s v="NOCAlert"/>
        <s v="NOCCatalog Task"/>
        <s v="NOCChange Task"/>
        <s v="NOCIncident"/>
        <s v="NOCRITM"/>
        <s v="NOCSupport"/>
        <s v="NOCRelease Task"/>
        <s v="L1MEXAlert"/>
        <s v="L1MEXCatalog Task"/>
        <s v="L1MEXChange"/>
        <s v="L1MEXChange Task"/>
        <s v="L1MEXProblem Task"/>
        <s v="L1MEXRelease Task"/>
        <s v="L1MEXSupport"/>
        <s v="L1MEXIncident"/>
      </sharedItems>
    </cacheField>
    <cacheField name="Volume" numFmtId="3">
      <sharedItems containsSemiMixedTypes="0" containsString="0" containsNumber="1" containsInteger="1" minValue="1" maxValue="768" count="34">
        <n v="758"/>
        <n v="81"/>
        <n v="381"/>
        <n v="18"/>
        <n v="27"/>
        <n v="13"/>
        <n v="646"/>
        <n v="130"/>
        <n v="508"/>
        <n v="3"/>
        <n v="60"/>
        <n v="9"/>
        <n v="736"/>
        <n v="149"/>
        <n v="503"/>
        <n v="22"/>
        <n v="4"/>
        <n v="67"/>
        <n v="35"/>
        <n v="253"/>
        <n v="224"/>
        <n v="604"/>
        <n v="1"/>
        <n v="21"/>
        <n v="408"/>
        <n v="360"/>
        <n v="768"/>
        <n v="5"/>
        <n v="2"/>
        <n v="71"/>
        <n v="407"/>
        <n v="332"/>
        <n v="717"/>
        <n v="6"/>
      </sharedItems>
    </cacheField>
    <cacheField name="Non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x v="0"/>
    <x v="0"/>
    <m/>
  </r>
  <r>
    <x v="0"/>
    <x v="1"/>
    <x v="1"/>
    <m/>
  </r>
  <r>
    <x v="0"/>
    <x v="2"/>
    <x v="2"/>
    <m/>
  </r>
  <r>
    <x v="0"/>
    <x v="3"/>
    <x v="3"/>
    <m/>
  </r>
  <r>
    <x v="0"/>
    <x v="4"/>
    <x v="4"/>
    <m/>
  </r>
  <r>
    <x v="0"/>
    <x v="5"/>
    <x v="5"/>
    <m/>
  </r>
  <r>
    <x v="1"/>
    <x v="0"/>
    <x v="6"/>
    <m/>
  </r>
  <r>
    <x v="1"/>
    <x v="1"/>
    <x v="7"/>
    <m/>
  </r>
  <r>
    <x v="1"/>
    <x v="2"/>
    <x v="8"/>
    <m/>
  </r>
  <r>
    <x v="1"/>
    <x v="3"/>
    <x v="5"/>
    <m/>
  </r>
  <r>
    <x v="1"/>
    <x v="6"/>
    <x v="9"/>
    <m/>
  </r>
  <r>
    <x v="1"/>
    <x v="4"/>
    <x v="10"/>
    <m/>
  </r>
  <r>
    <x v="1"/>
    <x v="5"/>
    <x v="11"/>
    <m/>
  </r>
  <r>
    <x v="2"/>
    <x v="0"/>
    <x v="12"/>
    <m/>
  </r>
  <r>
    <x v="2"/>
    <x v="1"/>
    <x v="13"/>
    <m/>
  </r>
  <r>
    <x v="2"/>
    <x v="2"/>
    <x v="14"/>
    <m/>
  </r>
  <r>
    <x v="2"/>
    <x v="3"/>
    <x v="15"/>
    <m/>
  </r>
  <r>
    <x v="2"/>
    <x v="6"/>
    <x v="16"/>
    <m/>
  </r>
  <r>
    <x v="2"/>
    <x v="4"/>
    <x v="17"/>
    <m/>
  </r>
  <r>
    <x v="2"/>
    <x v="5"/>
    <x v="11"/>
    <m/>
  </r>
  <r>
    <x v="0"/>
    <x v="7"/>
    <x v="18"/>
    <m/>
  </r>
  <r>
    <x v="0"/>
    <x v="8"/>
    <x v="19"/>
    <m/>
  </r>
  <r>
    <x v="0"/>
    <x v="9"/>
    <x v="20"/>
    <m/>
  </r>
  <r>
    <x v="0"/>
    <x v="10"/>
    <x v="21"/>
    <m/>
  </r>
  <r>
    <x v="0"/>
    <x v="11"/>
    <x v="22"/>
    <m/>
  </r>
  <r>
    <x v="0"/>
    <x v="12"/>
    <x v="9"/>
    <m/>
  </r>
  <r>
    <x v="0"/>
    <x v="13"/>
    <x v="11"/>
    <m/>
  </r>
  <r>
    <x v="1"/>
    <x v="7"/>
    <x v="23"/>
    <m/>
  </r>
  <r>
    <x v="1"/>
    <x v="8"/>
    <x v="24"/>
    <m/>
  </r>
  <r>
    <x v="1"/>
    <x v="9"/>
    <x v="25"/>
    <m/>
  </r>
  <r>
    <x v="1"/>
    <x v="10"/>
    <x v="26"/>
    <m/>
  </r>
  <r>
    <x v="1"/>
    <x v="14"/>
    <x v="9"/>
    <m/>
  </r>
  <r>
    <x v="1"/>
    <x v="12"/>
    <x v="27"/>
    <m/>
  </r>
  <r>
    <x v="1"/>
    <x v="13"/>
    <x v="28"/>
    <m/>
  </r>
  <r>
    <x v="2"/>
    <x v="7"/>
    <x v="29"/>
    <m/>
  </r>
  <r>
    <x v="2"/>
    <x v="8"/>
    <x v="30"/>
    <m/>
  </r>
  <r>
    <x v="2"/>
    <x v="9"/>
    <x v="31"/>
    <m/>
  </r>
  <r>
    <x v="2"/>
    <x v="10"/>
    <x v="32"/>
    <m/>
  </r>
  <r>
    <x v="2"/>
    <x v="14"/>
    <x v="22"/>
    <m/>
  </r>
  <r>
    <x v="2"/>
    <x v="12"/>
    <x v="28"/>
    <m/>
  </r>
  <r>
    <x v="2"/>
    <x v="13"/>
    <x v="3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E54891-133C-47D7-885C-784B4B96B34D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I18" firstHeaderRow="1" firstDataRow="2" firstDataCol="1"/>
  <pivotFields count="4">
    <pivotField axis="axisRow" showAll="0">
      <items count="4">
        <item x="1"/>
        <item x="0"/>
        <item x="2"/>
        <item t="default"/>
      </items>
    </pivotField>
    <pivotField axis="axisCol" showAll="0">
      <items count="16">
        <item h="1" x="7"/>
        <item h="1" x="8"/>
        <item h="1" x="9"/>
        <item h="1" x="10"/>
        <item h="1" x="14"/>
        <item h="1" x="11"/>
        <item h="1" x="12"/>
        <item h="1" x="13"/>
        <item x="0"/>
        <item x="1"/>
        <item x="2"/>
        <item x="3"/>
        <item x="6"/>
        <item x="4"/>
        <item x="5"/>
        <item t="default"/>
      </items>
    </pivotField>
    <pivotField dataField="1" numFmtId="3" showAll="0">
      <items count="35">
        <item x="22"/>
        <item x="28"/>
        <item x="9"/>
        <item x="16"/>
        <item x="27"/>
        <item x="33"/>
        <item x="11"/>
        <item x="5"/>
        <item x="3"/>
        <item x="23"/>
        <item x="15"/>
        <item x="4"/>
        <item x="18"/>
        <item x="10"/>
        <item x="17"/>
        <item x="29"/>
        <item x="1"/>
        <item x="7"/>
        <item x="13"/>
        <item x="20"/>
        <item x="19"/>
        <item x="31"/>
        <item x="25"/>
        <item x="2"/>
        <item x="30"/>
        <item x="24"/>
        <item x="14"/>
        <item x="8"/>
        <item x="21"/>
        <item x="6"/>
        <item x="32"/>
        <item x="12"/>
        <item x="0"/>
        <item x="26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8"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Volume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AF027-F638-434C-BF41-3C77BD5D017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8" firstHeaderRow="1" firstDataRow="2" firstDataCol="1"/>
  <pivotFields count="4">
    <pivotField axis="axisRow" showAll="0">
      <items count="4">
        <item x="1"/>
        <item x="0"/>
        <item x="2"/>
        <item t="default"/>
      </items>
    </pivotField>
    <pivotField axis="axisCol" showAll="0">
      <items count="16">
        <item x="7"/>
        <item x="8"/>
        <item x="9"/>
        <item x="10"/>
        <item x="14"/>
        <item x="11"/>
        <item x="12"/>
        <item x="13"/>
        <item h="1" x="0"/>
        <item h="1" x="1"/>
        <item h="1" x="2"/>
        <item h="1" x="3"/>
        <item h="1" x="6"/>
        <item h="1" x="4"/>
        <item h="1" x="5"/>
        <item t="default"/>
      </items>
    </pivotField>
    <pivotField dataField="1" numFmtId="3" showAll="0">
      <items count="35">
        <item x="22"/>
        <item x="28"/>
        <item x="9"/>
        <item x="16"/>
        <item x="27"/>
        <item x="33"/>
        <item x="11"/>
        <item x="5"/>
        <item x="3"/>
        <item x="23"/>
        <item x="15"/>
        <item x="4"/>
        <item x="18"/>
        <item x="10"/>
        <item x="17"/>
        <item x="29"/>
        <item x="1"/>
        <item x="7"/>
        <item x="13"/>
        <item x="20"/>
        <item x="19"/>
        <item x="31"/>
        <item x="25"/>
        <item x="2"/>
        <item x="30"/>
        <item x="24"/>
        <item x="14"/>
        <item x="8"/>
        <item x="21"/>
        <item x="6"/>
        <item x="32"/>
        <item x="12"/>
        <item x="0"/>
        <item x="26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Volume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D23">
  <autoFilter ref="A3:D23" xr:uid="{00000000-0009-0000-0100-000001000000}"/>
  <tableColumns count="4">
    <tableColumn id="1" xr3:uid="{00000000-0010-0000-0000-000001000000}" name="FInicio Month"/>
    <tableColumn id="2" xr3:uid="{00000000-0010-0000-0000-000002000000}" name="Ticket Type"/>
    <tableColumn id="3" xr3:uid="{00000000-0010-0000-0000-000003000000}" name="Volume"/>
    <tableColumn id="4" xr3:uid="{00000000-0010-0000-0000-000004000000}" name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F18748-DD93-463D-AA71-56138B185B5B}" name="Table13" displayName="Table13" ref="A1:D42">
  <autoFilter ref="A1:D42" xr:uid="{76F18748-DD93-463D-AA71-56138B185B5B}"/>
  <tableColumns count="4">
    <tableColumn id="1" xr3:uid="{E78EC08E-E341-4FF2-84E8-DF9CA7B7EFD0}" name="FInicio Month"/>
    <tableColumn id="2" xr3:uid="{29387F55-AC97-4895-8D3A-C6D1C9AE3813}" name="Ticket Type"/>
    <tableColumn id="3" xr3:uid="{24786C03-0CFE-4467-9E22-60C809C71CE9}" name="Volume"/>
    <tableColumn id="4" xr3:uid="{0BA39B2C-C20E-4E52-A0E8-626DB3AB5F6D}" name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G10" sqref="G10"/>
    </sheetView>
  </sheetViews>
  <sheetFormatPr defaultRowHeight="14.5" x14ac:dyDescent="0.35"/>
  <sheetData>
    <row r="1" spans="1:4" x14ac:dyDescent="0.35">
      <c r="A1" t="s">
        <v>0</v>
      </c>
    </row>
    <row r="3" spans="1:4" x14ac:dyDescent="0.35">
      <c r="A3" t="s">
        <v>1</v>
      </c>
      <c r="B3" t="s">
        <v>2</v>
      </c>
      <c r="C3" t="s">
        <v>3</v>
      </c>
      <c r="D3" t="s">
        <v>4</v>
      </c>
    </row>
    <row r="4" spans="1:4" x14ac:dyDescent="0.35">
      <c r="A4" t="s">
        <v>5</v>
      </c>
      <c r="B4" t="s">
        <v>6</v>
      </c>
      <c r="C4" s="1">
        <v>758</v>
      </c>
    </row>
    <row r="5" spans="1:4" x14ac:dyDescent="0.35">
      <c r="A5" t="s">
        <v>5</v>
      </c>
      <c r="B5" t="s">
        <v>7</v>
      </c>
      <c r="C5" s="1">
        <v>81</v>
      </c>
    </row>
    <row r="6" spans="1:4" x14ac:dyDescent="0.35">
      <c r="A6" t="s">
        <v>5</v>
      </c>
      <c r="B6" t="s">
        <v>8</v>
      </c>
      <c r="C6" s="1">
        <v>381</v>
      </c>
    </row>
    <row r="7" spans="1:4" x14ac:dyDescent="0.35">
      <c r="A7" t="s">
        <v>5</v>
      </c>
      <c r="B7" t="s">
        <v>9</v>
      </c>
      <c r="C7" s="1">
        <v>18</v>
      </c>
    </row>
    <row r="8" spans="1:4" x14ac:dyDescent="0.35">
      <c r="A8" t="s">
        <v>5</v>
      </c>
      <c r="B8" t="s">
        <v>10</v>
      </c>
      <c r="C8" s="1">
        <v>27</v>
      </c>
    </row>
    <row r="9" spans="1:4" x14ac:dyDescent="0.35">
      <c r="A9" t="s">
        <v>5</v>
      </c>
      <c r="B9" t="s">
        <v>11</v>
      </c>
      <c r="C9" s="1">
        <v>13</v>
      </c>
    </row>
    <row r="10" spans="1:4" x14ac:dyDescent="0.35">
      <c r="A10" t="s">
        <v>12</v>
      </c>
      <c r="B10" t="s">
        <v>6</v>
      </c>
      <c r="C10" s="1">
        <v>646</v>
      </c>
    </row>
    <row r="11" spans="1:4" x14ac:dyDescent="0.35">
      <c r="A11" t="s">
        <v>12</v>
      </c>
      <c r="B11" t="s">
        <v>7</v>
      </c>
      <c r="C11" s="1">
        <v>130</v>
      </c>
    </row>
    <row r="12" spans="1:4" x14ac:dyDescent="0.35">
      <c r="A12" t="s">
        <v>12</v>
      </c>
      <c r="B12" t="s">
        <v>8</v>
      </c>
      <c r="C12" s="1">
        <v>508</v>
      </c>
    </row>
    <row r="13" spans="1:4" x14ac:dyDescent="0.35">
      <c r="A13" t="s">
        <v>12</v>
      </c>
      <c r="B13" t="s">
        <v>9</v>
      </c>
      <c r="C13" s="1">
        <v>13</v>
      </c>
    </row>
    <row r="14" spans="1:4" x14ac:dyDescent="0.35">
      <c r="A14" t="s">
        <v>12</v>
      </c>
      <c r="B14" t="s">
        <v>13</v>
      </c>
      <c r="C14" s="1">
        <v>3</v>
      </c>
    </row>
    <row r="15" spans="1:4" x14ac:dyDescent="0.35">
      <c r="A15" t="s">
        <v>12</v>
      </c>
      <c r="B15" t="s">
        <v>10</v>
      </c>
      <c r="C15" s="1">
        <v>60</v>
      </c>
    </row>
    <row r="16" spans="1:4" x14ac:dyDescent="0.35">
      <c r="A16" t="s">
        <v>12</v>
      </c>
      <c r="B16" t="s">
        <v>11</v>
      </c>
      <c r="C16" s="1">
        <v>9</v>
      </c>
    </row>
    <row r="17" spans="1:3" x14ac:dyDescent="0.35">
      <c r="A17" t="s">
        <v>14</v>
      </c>
      <c r="B17" t="s">
        <v>6</v>
      </c>
      <c r="C17" s="1">
        <v>736</v>
      </c>
    </row>
    <row r="18" spans="1:3" x14ac:dyDescent="0.35">
      <c r="A18" t="s">
        <v>14</v>
      </c>
      <c r="B18" t="s">
        <v>7</v>
      </c>
      <c r="C18" s="1">
        <v>149</v>
      </c>
    </row>
    <row r="19" spans="1:3" x14ac:dyDescent="0.35">
      <c r="A19" t="s">
        <v>14</v>
      </c>
      <c r="B19" t="s">
        <v>8</v>
      </c>
      <c r="C19" s="1">
        <v>503</v>
      </c>
    </row>
    <row r="20" spans="1:3" x14ac:dyDescent="0.35">
      <c r="A20" t="s">
        <v>14</v>
      </c>
      <c r="B20" t="s">
        <v>9</v>
      </c>
      <c r="C20" s="1">
        <v>22</v>
      </c>
    </row>
    <row r="21" spans="1:3" x14ac:dyDescent="0.35">
      <c r="A21" t="s">
        <v>14</v>
      </c>
      <c r="B21" t="s">
        <v>13</v>
      </c>
      <c r="C21" s="1">
        <v>4</v>
      </c>
    </row>
    <row r="22" spans="1:3" x14ac:dyDescent="0.35">
      <c r="A22" t="s">
        <v>14</v>
      </c>
      <c r="B22" t="s">
        <v>10</v>
      </c>
      <c r="C22" s="1">
        <v>67</v>
      </c>
    </row>
    <row r="23" spans="1:3" x14ac:dyDescent="0.35">
      <c r="A23" t="s">
        <v>14</v>
      </c>
      <c r="B23" t="s">
        <v>11</v>
      </c>
      <c r="C23" s="1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4037-5E06-4D9E-9462-3831CC28EB7D}">
  <dimension ref="A3:K26"/>
  <sheetViews>
    <sheetView tabSelected="1" topLeftCell="A7" workbookViewId="0">
      <selection activeCell="C26" sqref="C26"/>
    </sheetView>
  </sheetViews>
  <sheetFormatPr defaultRowHeight="14.5" x14ac:dyDescent="0.35"/>
  <cols>
    <col min="1" max="1" width="13.6328125" bestFit="1" customWidth="1"/>
    <col min="2" max="2" width="15.26953125" bestFit="1" customWidth="1"/>
    <col min="3" max="3" width="15.1796875" bestFit="1" customWidth="1"/>
    <col min="4" max="4" width="15.08984375" bestFit="1" customWidth="1"/>
    <col min="5" max="5" width="11.36328125" bestFit="1" customWidth="1"/>
    <col min="6" max="6" width="15.26953125" bestFit="1" customWidth="1"/>
    <col min="7" max="7" width="8.90625" bestFit="1" customWidth="1"/>
    <col min="8" max="8" width="11.26953125" bestFit="1" customWidth="1"/>
    <col min="9" max="9" width="10.7265625" bestFit="1" customWidth="1"/>
    <col min="10" max="10" width="8.6328125" bestFit="1" customWidth="1"/>
    <col min="11" max="11" width="15.1796875" bestFit="1" customWidth="1"/>
    <col min="12" max="12" width="15.08984375" bestFit="1" customWidth="1"/>
    <col min="13" max="13" width="11.36328125" bestFit="1" customWidth="1"/>
    <col min="14" max="14" width="15.26953125" bestFit="1" customWidth="1"/>
    <col min="15" max="15" width="8.90625" bestFit="1" customWidth="1"/>
    <col min="16" max="16" width="11.26953125" bestFit="1" customWidth="1"/>
    <col min="17" max="17" width="10.7265625" bestFit="1" customWidth="1"/>
  </cols>
  <sheetData>
    <row r="3" spans="1:10" x14ac:dyDescent="0.35">
      <c r="A3" s="2" t="s">
        <v>33</v>
      </c>
      <c r="B3" s="2" t="s">
        <v>32</v>
      </c>
    </row>
    <row r="4" spans="1:10" x14ac:dyDescent="0.35">
      <c r="A4" s="2" t="s">
        <v>30</v>
      </c>
      <c r="B4" t="s">
        <v>22</v>
      </c>
      <c r="C4" t="s">
        <v>23</v>
      </c>
      <c r="D4" t="s">
        <v>24</v>
      </c>
      <c r="E4" t="s">
        <v>25</v>
      </c>
      <c r="F4" t="s">
        <v>29</v>
      </c>
      <c r="G4" t="s">
        <v>26</v>
      </c>
      <c r="H4" t="s">
        <v>27</v>
      </c>
      <c r="I4" t="s">
        <v>28</v>
      </c>
      <c r="J4" t="s">
        <v>31</v>
      </c>
    </row>
    <row r="5" spans="1:10" x14ac:dyDescent="0.35">
      <c r="A5" s="3" t="s">
        <v>12</v>
      </c>
      <c r="B5" s="1">
        <v>21</v>
      </c>
      <c r="C5" s="1">
        <v>408</v>
      </c>
      <c r="D5" s="1">
        <v>360</v>
      </c>
      <c r="E5" s="1">
        <v>768</v>
      </c>
      <c r="F5" s="1">
        <v>3</v>
      </c>
      <c r="G5" s="1"/>
      <c r="H5" s="1">
        <v>5</v>
      </c>
      <c r="I5" s="1">
        <v>2</v>
      </c>
      <c r="J5" s="1">
        <v>1567</v>
      </c>
    </row>
    <row r="6" spans="1:10" x14ac:dyDescent="0.35">
      <c r="A6" s="3" t="s">
        <v>5</v>
      </c>
      <c r="B6" s="1">
        <v>35</v>
      </c>
      <c r="C6" s="1">
        <v>253</v>
      </c>
      <c r="D6" s="1">
        <v>224</v>
      </c>
      <c r="E6" s="1">
        <v>604</v>
      </c>
      <c r="F6" s="1"/>
      <c r="G6" s="1">
        <v>1</v>
      </c>
      <c r="H6" s="1">
        <v>3</v>
      </c>
      <c r="I6" s="1">
        <v>9</v>
      </c>
      <c r="J6" s="1">
        <v>1129</v>
      </c>
    </row>
    <row r="7" spans="1:10" x14ac:dyDescent="0.35">
      <c r="A7" s="3" t="s">
        <v>14</v>
      </c>
      <c r="B7" s="1">
        <v>71</v>
      </c>
      <c r="C7" s="1">
        <v>407</v>
      </c>
      <c r="D7" s="1">
        <v>332</v>
      </c>
      <c r="E7" s="1">
        <v>717</v>
      </c>
      <c r="F7" s="1">
        <v>1</v>
      </c>
      <c r="G7" s="1"/>
      <c r="H7" s="1">
        <v>2</v>
      </c>
      <c r="I7" s="1">
        <v>6</v>
      </c>
      <c r="J7" s="1">
        <v>1536</v>
      </c>
    </row>
    <row r="8" spans="1:10" x14ac:dyDescent="0.35">
      <c r="A8" s="3" t="s">
        <v>31</v>
      </c>
      <c r="B8" s="1">
        <v>127</v>
      </c>
      <c r="C8" s="1">
        <v>1068</v>
      </c>
      <c r="D8" s="1">
        <v>916</v>
      </c>
      <c r="E8" s="1">
        <v>2089</v>
      </c>
      <c r="F8" s="1">
        <v>4</v>
      </c>
      <c r="G8" s="1">
        <v>1</v>
      </c>
      <c r="H8" s="1">
        <v>10</v>
      </c>
      <c r="I8" s="1">
        <v>17</v>
      </c>
      <c r="J8" s="1">
        <v>4232</v>
      </c>
    </row>
    <row r="13" spans="1:10" x14ac:dyDescent="0.35">
      <c r="A13" s="2" t="s">
        <v>33</v>
      </c>
      <c r="B13" s="2" t="s">
        <v>32</v>
      </c>
    </row>
    <row r="14" spans="1:10" x14ac:dyDescent="0.35">
      <c r="A14" s="2" t="s">
        <v>30</v>
      </c>
      <c r="B14" t="s">
        <v>15</v>
      </c>
      <c r="C14" t="s">
        <v>16</v>
      </c>
      <c r="D14" t="s">
        <v>17</v>
      </c>
      <c r="E14" t="s">
        <v>18</v>
      </c>
      <c r="F14" t="s">
        <v>21</v>
      </c>
      <c r="G14" t="s">
        <v>19</v>
      </c>
      <c r="H14" t="s">
        <v>20</v>
      </c>
      <c r="I14" t="s">
        <v>31</v>
      </c>
    </row>
    <row r="15" spans="1:10" x14ac:dyDescent="0.35">
      <c r="A15" s="3" t="s">
        <v>12</v>
      </c>
      <c r="B15" s="1">
        <v>646</v>
      </c>
      <c r="C15" s="1">
        <v>130</v>
      </c>
      <c r="D15" s="1">
        <v>508</v>
      </c>
      <c r="E15" s="1">
        <v>13</v>
      </c>
      <c r="F15" s="1">
        <v>3</v>
      </c>
      <c r="G15" s="1">
        <v>60</v>
      </c>
      <c r="H15" s="1">
        <v>9</v>
      </c>
      <c r="I15" s="1">
        <v>1369</v>
      </c>
    </row>
    <row r="16" spans="1:10" x14ac:dyDescent="0.35">
      <c r="A16" s="3" t="s">
        <v>5</v>
      </c>
      <c r="B16" s="1">
        <v>758</v>
      </c>
      <c r="C16" s="1">
        <v>81</v>
      </c>
      <c r="D16" s="1">
        <v>381</v>
      </c>
      <c r="E16" s="1">
        <v>18</v>
      </c>
      <c r="F16" s="1"/>
      <c r="G16" s="1">
        <v>27</v>
      </c>
      <c r="H16" s="1">
        <v>13</v>
      </c>
      <c r="I16" s="1">
        <v>1278</v>
      </c>
    </row>
    <row r="17" spans="1:11" x14ac:dyDescent="0.35">
      <c r="A17" s="3" t="s">
        <v>14</v>
      </c>
      <c r="B17" s="1">
        <v>736</v>
      </c>
      <c r="C17" s="1">
        <v>149</v>
      </c>
      <c r="D17" s="1">
        <v>503</v>
      </c>
      <c r="E17" s="1">
        <v>22</v>
      </c>
      <c r="F17" s="1">
        <v>4</v>
      </c>
      <c r="G17" s="1">
        <v>67</v>
      </c>
      <c r="H17" s="1">
        <v>9</v>
      </c>
      <c r="I17" s="1">
        <v>1490</v>
      </c>
    </row>
    <row r="18" spans="1:11" x14ac:dyDescent="0.35">
      <c r="A18" s="3" t="s">
        <v>31</v>
      </c>
      <c r="B18" s="1">
        <v>2140</v>
      </c>
      <c r="C18" s="1">
        <v>360</v>
      </c>
      <c r="D18" s="1">
        <v>1392</v>
      </c>
      <c r="E18" s="1">
        <v>53</v>
      </c>
      <c r="F18" s="1">
        <v>7</v>
      </c>
      <c r="G18" s="1">
        <v>154</v>
      </c>
      <c r="H18" s="1">
        <v>31</v>
      </c>
      <c r="I18" s="1">
        <v>4137</v>
      </c>
    </row>
    <row r="20" spans="1:11" x14ac:dyDescent="0.35">
      <c r="J20" s="4" t="s">
        <v>34</v>
      </c>
      <c r="K20" s="1">
        <f>J8+I18</f>
        <v>8369</v>
      </c>
    </row>
    <row r="22" spans="1:11" x14ac:dyDescent="0.35">
      <c r="C22" s="5" t="s">
        <v>36</v>
      </c>
      <c r="D22" s="5" t="s">
        <v>37</v>
      </c>
      <c r="J22" s="4" t="s">
        <v>35</v>
      </c>
      <c r="K22">
        <f>(K20-I18)/I18</f>
        <v>1.0229635001208606</v>
      </c>
    </row>
    <row r="23" spans="1:11" x14ac:dyDescent="0.35">
      <c r="B23" s="5" t="s">
        <v>38</v>
      </c>
      <c r="C23">
        <v>3499</v>
      </c>
      <c r="D23">
        <v>4232</v>
      </c>
    </row>
    <row r="24" spans="1:11" x14ac:dyDescent="0.35">
      <c r="B24" s="5" t="s">
        <v>39</v>
      </c>
      <c r="C24">
        <v>5699</v>
      </c>
      <c r="D24">
        <v>4137</v>
      </c>
    </row>
    <row r="25" spans="1:11" x14ac:dyDescent="0.35">
      <c r="B25" s="5" t="s">
        <v>34</v>
      </c>
      <c r="C25">
        <f>SUM(C23:C24)</f>
        <v>9198</v>
      </c>
      <c r="D25">
        <f>SUM(D23:D24)</f>
        <v>8369</v>
      </c>
    </row>
    <row r="26" spans="1:11" x14ac:dyDescent="0.35">
      <c r="B26" s="5" t="s">
        <v>35</v>
      </c>
      <c r="C26">
        <f>(C25-C24)/C24</f>
        <v>0.61396736269520968</v>
      </c>
      <c r="D26">
        <f>(D25-D24)/D24</f>
        <v>1.0229635001208606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0566-08E7-475A-9F8F-6B3A3A6D1648}">
  <dimension ref="A1:D42"/>
  <sheetViews>
    <sheetView topLeftCell="A2" workbookViewId="0">
      <selection activeCell="I12" sqref="I12"/>
    </sheetView>
  </sheetViews>
  <sheetFormatPr defaultRowHeight="14.5" x14ac:dyDescent="0.35"/>
  <sheetData>
    <row r="1" spans="1:4" x14ac:dyDescent="0.35">
      <c r="A1" t="s">
        <v>1</v>
      </c>
      <c r="B1" t="s">
        <v>2</v>
      </c>
      <c r="C1" t="s">
        <v>3</v>
      </c>
      <c r="D1" t="s">
        <v>4</v>
      </c>
    </row>
    <row r="2" spans="1:4" x14ac:dyDescent="0.35">
      <c r="A2" t="s">
        <v>5</v>
      </c>
      <c r="B2" t="s">
        <v>15</v>
      </c>
      <c r="C2" s="1">
        <v>758</v>
      </c>
    </row>
    <row r="3" spans="1:4" x14ac:dyDescent="0.35">
      <c r="A3" t="s">
        <v>5</v>
      </c>
      <c r="B3" t="s">
        <v>16</v>
      </c>
      <c r="C3" s="1">
        <v>81</v>
      </c>
    </row>
    <row r="4" spans="1:4" x14ac:dyDescent="0.35">
      <c r="A4" t="s">
        <v>5</v>
      </c>
      <c r="B4" t="s">
        <v>17</v>
      </c>
      <c r="C4" s="1">
        <v>381</v>
      </c>
    </row>
    <row r="5" spans="1:4" x14ac:dyDescent="0.35">
      <c r="A5" t="s">
        <v>5</v>
      </c>
      <c r="B5" t="s">
        <v>18</v>
      </c>
      <c r="C5" s="1">
        <v>18</v>
      </c>
    </row>
    <row r="6" spans="1:4" x14ac:dyDescent="0.35">
      <c r="A6" t="s">
        <v>5</v>
      </c>
      <c r="B6" t="s">
        <v>19</v>
      </c>
      <c r="C6" s="1">
        <v>27</v>
      </c>
    </row>
    <row r="7" spans="1:4" x14ac:dyDescent="0.35">
      <c r="A7" t="s">
        <v>5</v>
      </c>
      <c r="B7" t="s">
        <v>20</v>
      </c>
      <c r="C7" s="1">
        <v>13</v>
      </c>
    </row>
    <row r="8" spans="1:4" x14ac:dyDescent="0.35">
      <c r="A8" t="s">
        <v>12</v>
      </c>
      <c r="B8" t="s">
        <v>15</v>
      </c>
      <c r="C8" s="1">
        <v>646</v>
      </c>
    </row>
    <row r="9" spans="1:4" x14ac:dyDescent="0.35">
      <c r="A9" t="s">
        <v>12</v>
      </c>
      <c r="B9" t="s">
        <v>16</v>
      </c>
      <c r="C9" s="1">
        <v>130</v>
      </c>
    </row>
    <row r="10" spans="1:4" x14ac:dyDescent="0.35">
      <c r="A10" t="s">
        <v>12</v>
      </c>
      <c r="B10" t="s">
        <v>17</v>
      </c>
      <c r="C10" s="1">
        <v>508</v>
      </c>
    </row>
    <row r="11" spans="1:4" x14ac:dyDescent="0.35">
      <c r="A11" t="s">
        <v>12</v>
      </c>
      <c r="B11" t="s">
        <v>18</v>
      </c>
      <c r="C11" s="1">
        <v>13</v>
      </c>
    </row>
    <row r="12" spans="1:4" x14ac:dyDescent="0.35">
      <c r="A12" t="s">
        <v>12</v>
      </c>
      <c r="B12" t="s">
        <v>21</v>
      </c>
      <c r="C12" s="1">
        <v>3</v>
      </c>
    </row>
    <row r="13" spans="1:4" x14ac:dyDescent="0.35">
      <c r="A13" t="s">
        <v>12</v>
      </c>
      <c r="B13" t="s">
        <v>19</v>
      </c>
      <c r="C13" s="1">
        <v>60</v>
      </c>
    </row>
    <row r="14" spans="1:4" x14ac:dyDescent="0.35">
      <c r="A14" t="s">
        <v>12</v>
      </c>
      <c r="B14" t="s">
        <v>20</v>
      </c>
      <c r="C14" s="1">
        <v>9</v>
      </c>
    </row>
    <row r="15" spans="1:4" x14ac:dyDescent="0.35">
      <c r="A15" t="s">
        <v>14</v>
      </c>
      <c r="B15" t="s">
        <v>15</v>
      </c>
      <c r="C15" s="1">
        <v>736</v>
      </c>
    </row>
    <row r="16" spans="1:4" x14ac:dyDescent="0.35">
      <c r="A16" t="s">
        <v>14</v>
      </c>
      <c r="B16" t="s">
        <v>16</v>
      </c>
      <c r="C16" s="1">
        <v>149</v>
      </c>
    </row>
    <row r="17" spans="1:3" x14ac:dyDescent="0.35">
      <c r="A17" t="s">
        <v>14</v>
      </c>
      <c r="B17" t="s">
        <v>17</v>
      </c>
      <c r="C17" s="1">
        <v>503</v>
      </c>
    </row>
    <row r="18" spans="1:3" x14ac:dyDescent="0.35">
      <c r="A18" t="s">
        <v>14</v>
      </c>
      <c r="B18" t="s">
        <v>18</v>
      </c>
      <c r="C18" s="1">
        <v>22</v>
      </c>
    </row>
    <row r="19" spans="1:3" x14ac:dyDescent="0.35">
      <c r="A19" t="s">
        <v>14</v>
      </c>
      <c r="B19" t="s">
        <v>21</v>
      </c>
      <c r="C19" s="1">
        <v>4</v>
      </c>
    </row>
    <row r="20" spans="1:3" x14ac:dyDescent="0.35">
      <c r="A20" t="s">
        <v>14</v>
      </c>
      <c r="B20" t="s">
        <v>19</v>
      </c>
      <c r="C20" s="1">
        <v>67</v>
      </c>
    </row>
    <row r="21" spans="1:3" x14ac:dyDescent="0.35">
      <c r="A21" t="s">
        <v>14</v>
      </c>
      <c r="B21" t="s">
        <v>20</v>
      </c>
      <c r="C21" s="1">
        <v>9</v>
      </c>
    </row>
    <row r="22" spans="1:3" x14ac:dyDescent="0.35">
      <c r="A22" t="s">
        <v>5</v>
      </c>
      <c r="B22" t="s">
        <v>22</v>
      </c>
      <c r="C22" s="1">
        <v>35</v>
      </c>
    </row>
    <row r="23" spans="1:3" x14ac:dyDescent="0.35">
      <c r="A23" t="s">
        <v>5</v>
      </c>
      <c r="B23" t="s">
        <v>23</v>
      </c>
      <c r="C23" s="1">
        <v>253</v>
      </c>
    </row>
    <row r="24" spans="1:3" x14ac:dyDescent="0.35">
      <c r="A24" t="s">
        <v>5</v>
      </c>
      <c r="B24" t="s">
        <v>24</v>
      </c>
      <c r="C24" s="1">
        <v>224</v>
      </c>
    </row>
    <row r="25" spans="1:3" x14ac:dyDescent="0.35">
      <c r="A25" t="s">
        <v>5</v>
      </c>
      <c r="B25" t="s">
        <v>25</v>
      </c>
      <c r="C25" s="1">
        <v>604</v>
      </c>
    </row>
    <row r="26" spans="1:3" x14ac:dyDescent="0.35">
      <c r="A26" t="s">
        <v>5</v>
      </c>
      <c r="B26" t="s">
        <v>26</v>
      </c>
      <c r="C26" s="1">
        <v>1</v>
      </c>
    </row>
    <row r="27" spans="1:3" x14ac:dyDescent="0.35">
      <c r="A27" t="s">
        <v>5</v>
      </c>
      <c r="B27" t="s">
        <v>27</v>
      </c>
      <c r="C27" s="1">
        <v>3</v>
      </c>
    </row>
    <row r="28" spans="1:3" x14ac:dyDescent="0.35">
      <c r="A28" t="s">
        <v>5</v>
      </c>
      <c r="B28" t="s">
        <v>28</v>
      </c>
      <c r="C28" s="1">
        <v>9</v>
      </c>
    </row>
    <row r="29" spans="1:3" x14ac:dyDescent="0.35">
      <c r="A29" t="s">
        <v>12</v>
      </c>
      <c r="B29" t="s">
        <v>22</v>
      </c>
      <c r="C29" s="1">
        <v>21</v>
      </c>
    </row>
    <row r="30" spans="1:3" x14ac:dyDescent="0.35">
      <c r="A30" t="s">
        <v>12</v>
      </c>
      <c r="B30" t="s">
        <v>23</v>
      </c>
      <c r="C30" s="1">
        <v>408</v>
      </c>
    </row>
    <row r="31" spans="1:3" x14ac:dyDescent="0.35">
      <c r="A31" t="s">
        <v>12</v>
      </c>
      <c r="B31" t="s">
        <v>24</v>
      </c>
      <c r="C31" s="1">
        <v>360</v>
      </c>
    </row>
    <row r="32" spans="1:3" x14ac:dyDescent="0.35">
      <c r="A32" t="s">
        <v>12</v>
      </c>
      <c r="B32" t="s">
        <v>25</v>
      </c>
      <c r="C32" s="1">
        <v>768</v>
      </c>
    </row>
    <row r="33" spans="1:3" x14ac:dyDescent="0.35">
      <c r="A33" t="s">
        <v>12</v>
      </c>
      <c r="B33" t="s">
        <v>29</v>
      </c>
      <c r="C33" s="1">
        <v>3</v>
      </c>
    </row>
    <row r="34" spans="1:3" x14ac:dyDescent="0.35">
      <c r="A34" t="s">
        <v>12</v>
      </c>
      <c r="B34" t="s">
        <v>27</v>
      </c>
      <c r="C34" s="1">
        <v>5</v>
      </c>
    </row>
    <row r="35" spans="1:3" x14ac:dyDescent="0.35">
      <c r="A35" t="s">
        <v>12</v>
      </c>
      <c r="B35" t="s">
        <v>28</v>
      </c>
      <c r="C35" s="1">
        <v>2</v>
      </c>
    </row>
    <row r="36" spans="1:3" x14ac:dyDescent="0.35">
      <c r="A36" t="s">
        <v>14</v>
      </c>
      <c r="B36" t="s">
        <v>22</v>
      </c>
      <c r="C36" s="1">
        <v>71</v>
      </c>
    </row>
    <row r="37" spans="1:3" x14ac:dyDescent="0.35">
      <c r="A37" t="s">
        <v>14</v>
      </c>
      <c r="B37" t="s">
        <v>23</v>
      </c>
      <c r="C37" s="1">
        <v>407</v>
      </c>
    </row>
    <row r="38" spans="1:3" x14ac:dyDescent="0.35">
      <c r="A38" t="s">
        <v>14</v>
      </c>
      <c r="B38" t="s">
        <v>24</v>
      </c>
      <c r="C38" s="1">
        <v>332</v>
      </c>
    </row>
    <row r="39" spans="1:3" x14ac:dyDescent="0.35">
      <c r="A39" t="s">
        <v>14</v>
      </c>
      <c r="B39" t="s">
        <v>25</v>
      </c>
      <c r="C39" s="1">
        <v>717</v>
      </c>
    </row>
    <row r="40" spans="1:3" x14ac:dyDescent="0.35">
      <c r="A40" t="s">
        <v>14</v>
      </c>
      <c r="B40" t="s">
        <v>29</v>
      </c>
      <c r="C40" s="1">
        <v>1</v>
      </c>
    </row>
    <row r="41" spans="1:3" x14ac:dyDescent="0.35">
      <c r="A41" t="s">
        <v>14</v>
      </c>
      <c r="B41" t="s">
        <v>27</v>
      </c>
      <c r="C41" s="1">
        <v>2</v>
      </c>
    </row>
    <row r="42" spans="1:3" x14ac:dyDescent="0.35">
      <c r="A42" t="s">
        <v>14</v>
      </c>
      <c r="B42" t="s">
        <v>28</v>
      </c>
      <c r="C42" s="1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NOC</vt:lpstr>
      <vt:lpstr>Estudio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Inmaculada Benitez Gonzalez</cp:lastModifiedBy>
  <dcterms:created xsi:type="dcterms:W3CDTF">2016-07-06T08:22:49Z</dcterms:created>
  <dcterms:modified xsi:type="dcterms:W3CDTF">2026-04-27T11:00:37Z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2026-04-27T10:23:37Z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ca8c9bf5-012c-44c5-b064-2fc040a74bf2</vt:lpwstr>
  </property>
  <property fmtid="{D5CDD505-2E9C-101B-9397-08002B2CF9AE}" pid="8" name="MSIP_Label_3c41c091-3cbc-4dba-8b59-ce62f19500db_ContentBits">
    <vt:lpwstr>0</vt:lpwstr>
  </property>
</Properties>
</file>