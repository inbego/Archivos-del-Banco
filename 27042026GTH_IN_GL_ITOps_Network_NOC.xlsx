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ivirsl-my.sharepoint.com/personal/inmaculada_benitez_civir_es/Documents/Documentos/Civir W/Banco 2026/NOC/Estudio Incremento/Datos 2704/"/>
    </mc:Choice>
  </mc:AlternateContent>
  <xr:revisionPtr revIDLastSave="55" documentId="8_{56442B6E-8C95-4398-B3C6-17993460068A}" xr6:coauthVersionLast="47" xr6:coauthVersionMax="47" xr10:uidLastSave="{B0968B86-6F9E-4598-B674-CC03537D3A21}"/>
  <bookViews>
    <workbookView xWindow="-110" yWindow="-110" windowWidth="19420" windowHeight="10300" activeTab="2" xr2:uid="{00000000-000D-0000-FFFF-FFFF00000000}"/>
  </bookViews>
  <sheets>
    <sheet name="NOC" sheetId="1" r:id="rId1"/>
    <sheet name="L1" sheetId="4" r:id="rId2"/>
    <sheet name="Estudio" sheetId="5" r:id="rId3"/>
    <sheet name="Total" sheetId="2" r:id="rId4"/>
  </sheets>
  <calcPr calcId="191029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5" l="1"/>
  <c r="K19" i="5"/>
  <c r="N39" i="2"/>
  <c r="N40" i="2" s="1"/>
  <c r="O39" i="2"/>
  <c r="O40" i="2" s="1"/>
</calcChain>
</file>

<file path=xl/sharedStrings.xml><?xml version="1.0" encoding="utf-8"?>
<sst xmlns="http://schemas.openxmlformats.org/spreadsheetml/2006/main" count="230" uniqueCount="44">
  <si>
    <t>Filtros aplicados: 
PAR_DYNAMIC_X_AXIS es FInicio Month
PAR_DYNAMIC_LEGEND es Ticket Type
PAR_DYNAMIC_Y_AXIS es Volume
PAR_DYNAMIC_Y1_AXIS es None
Incluido (1) Support Network (SYS_GROUPS_EXCEL.L1 Tower) + Global Network (SYS_GROUPS_EXCEL.L1 SubTower) + GTH_IN_GL_ITOps_Network_NOC (Assignment Group)
Torre es COM_GLOBALNET
Country es MX o SP
Type es Custom
Incluido (1) 2026 (Year) + Qtr 1 (Trimestre Qtr)</t>
  </si>
  <si>
    <t>FInicio Month</t>
  </si>
  <si>
    <t>Ticket Type</t>
  </si>
  <si>
    <t>Volume</t>
  </si>
  <si>
    <t>None</t>
  </si>
  <si>
    <t>2026 January</t>
  </si>
  <si>
    <t>Alert</t>
  </si>
  <si>
    <t>Catalog Task</t>
  </si>
  <si>
    <t>Change Task</t>
  </si>
  <si>
    <t>Incident</t>
  </si>
  <si>
    <t>RITM</t>
  </si>
  <si>
    <t>Support</t>
  </si>
  <si>
    <t>2026 February</t>
  </si>
  <si>
    <t>Release Task</t>
  </si>
  <si>
    <t>2026 March</t>
  </si>
  <si>
    <t>NOCAlert</t>
  </si>
  <si>
    <t>NOCCatalog Task</t>
  </si>
  <si>
    <t>NOCChange Task</t>
  </si>
  <si>
    <t>NOCIncident</t>
  </si>
  <si>
    <t>NOCRITM</t>
  </si>
  <si>
    <t>NOCSupport</t>
  </si>
  <si>
    <t>NOCRelease Task</t>
  </si>
  <si>
    <t>Row Labels</t>
  </si>
  <si>
    <t>Grand Total</t>
  </si>
  <si>
    <t>Column Labels</t>
  </si>
  <si>
    <t>Sum of Volume</t>
  </si>
  <si>
    <t>TOTAL</t>
  </si>
  <si>
    <t>INCREMENTO</t>
  </si>
  <si>
    <t xml:space="preserve">ANTES </t>
  </si>
  <si>
    <t>AHORA</t>
  </si>
  <si>
    <t>L1MEX</t>
  </si>
  <si>
    <t>NOC</t>
  </si>
  <si>
    <t>Filtros aplicados: 
PAR_DYNAMIC_X_AXIS es FInicio Month
PAR_DYNAMIC_LEGEND es Ticket Type
PAR_DYNAMIC_Y_AXIS es Volume
PAR_DYNAMIC_Y1_AXIS es None
hub es Europa
Incluido (1) Support Network (SYS_GROUPS_EXCEL.L1 Tower) + Global Network (SYS_GROUPS_EXCEL.L1 SubTower) + GTH_IN_GL_ITOps_Network_NetworkServices (Assignment Group)
Type es Custom
Incluido (1) 2026 (Year) + Qtr 1 (Trimestre Qtr)</t>
  </si>
  <si>
    <t>Change</t>
  </si>
  <si>
    <t>Problem Task</t>
  </si>
  <si>
    <t>L1Alert</t>
  </si>
  <si>
    <t>L1Catalog Task</t>
  </si>
  <si>
    <t>L1Change</t>
  </si>
  <si>
    <t>L1Change Task</t>
  </si>
  <si>
    <t>L1Incident</t>
  </si>
  <si>
    <t>L1Problem Task</t>
  </si>
  <si>
    <t>L1Release Task</t>
  </si>
  <si>
    <t>L1RITM</t>
  </si>
  <si>
    <t>L1Support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</si>
</sst>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nmaculada Benitez Gonzalez" refreshedDate="46139.762031134262" createdVersion="8" refreshedVersion="8" minRefreshableVersion="3" recordCount="44" xr:uid="{4ECE008F-BF00-4C34-BB24-3BCF2BAD6EDA}">
  <cacheSource type="worksheet">
    <worksheetSource name="Table13"/>
  </cacheSource>
  <cacheFields count="4">
    <cacheField name="FInicio Month" numFmtId="0">
      <sharedItems count="3">
        <s v="2026 January"/>
        <s v="2026 February"/>
        <s v="2026 March"/>
      </sharedItems>
    </cacheField>
    <cacheField name="Ticket Type" numFmtId="0">
      <sharedItems count="16">
        <s v="NOCAlert"/>
        <s v="NOCCatalog Task"/>
        <s v="NOCChange Task"/>
        <s v="NOCIncident"/>
        <s v="NOCRITM"/>
        <s v="NOCSupport"/>
        <s v="NOCRelease Task"/>
        <s v="L1Alert"/>
        <s v="L1Catalog Task"/>
        <s v="L1Change"/>
        <s v="L1Change Task"/>
        <s v="L1Incident"/>
        <s v="L1Problem Task"/>
        <s v="L1Release Task"/>
        <s v="L1RITM"/>
        <s v="L1Support"/>
      </sharedItems>
    </cacheField>
    <cacheField name="Volume" numFmtId="3">
      <sharedItems containsSemiMixedTypes="0" containsString="0" containsNumber="1" containsInteger="1" minValue="1" maxValue="997"/>
    </cacheField>
    <cacheField name="Non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">
  <r>
    <x v="0"/>
    <x v="0"/>
    <n v="758"/>
    <m/>
  </r>
  <r>
    <x v="0"/>
    <x v="1"/>
    <n v="81"/>
    <m/>
  </r>
  <r>
    <x v="0"/>
    <x v="2"/>
    <n v="381"/>
    <m/>
  </r>
  <r>
    <x v="0"/>
    <x v="3"/>
    <n v="18"/>
    <m/>
  </r>
  <r>
    <x v="0"/>
    <x v="4"/>
    <n v="27"/>
    <m/>
  </r>
  <r>
    <x v="0"/>
    <x v="5"/>
    <n v="13"/>
    <m/>
  </r>
  <r>
    <x v="1"/>
    <x v="0"/>
    <n v="646"/>
    <m/>
  </r>
  <r>
    <x v="1"/>
    <x v="1"/>
    <n v="130"/>
    <m/>
  </r>
  <r>
    <x v="1"/>
    <x v="2"/>
    <n v="508"/>
    <m/>
  </r>
  <r>
    <x v="1"/>
    <x v="3"/>
    <n v="13"/>
    <m/>
  </r>
  <r>
    <x v="1"/>
    <x v="6"/>
    <n v="3"/>
    <m/>
  </r>
  <r>
    <x v="1"/>
    <x v="4"/>
    <n v="60"/>
    <m/>
  </r>
  <r>
    <x v="1"/>
    <x v="5"/>
    <n v="9"/>
    <m/>
  </r>
  <r>
    <x v="2"/>
    <x v="0"/>
    <n v="736"/>
    <m/>
  </r>
  <r>
    <x v="2"/>
    <x v="1"/>
    <n v="149"/>
    <m/>
  </r>
  <r>
    <x v="2"/>
    <x v="2"/>
    <n v="503"/>
    <m/>
  </r>
  <r>
    <x v="2"/>
    <x v="3"/>
    <n v="22"/>
    <m/>
  </r>
  <r>
    <x v="2"/>
    <x v="6"/>
    <n v="4"/>
    <m/>
  </r>
  <r>
    <x v="2"/>
    <x v="4"/>
    <n v="67"/>
    <m/>
  </r>
  <r>
    <x v="2"/>
    <x v="5"/>
    <n v="9"/>
    <m/>
  </r>
  <r>
    <x v="0"/>
    <x v="7"/>
    <n v="57"/>
    <m/>
  </r>
  <r>
    <x v="0"/>
    <x v="8"/>
    <n v="526"/>
    <m/>
  </r>
  <r>
    <x v="0"/>
    <x v="9"/>
    <n v="303"/>
    <m/>
  </r>
  <r>
    <x v="0"/>
    <x v="10"/>
    <n v="813"/>
    <m/>
  </r>
  <r>
    <x v="0"/>
    <x v="11"/>
    <n v="5"/>
    <m/>
  </r>
  <r>
    <x v="0"/>
    <x v="12"/>
    <n v="1"/>
    <m/>
  </r>
  <r>
    <x v="0"/>
    <x v="13"/>
    <n v="3"/>
    <m/>
  </r>
  <r>
    <x v="0"/>
    <x v="14"/>
    <n v="390"/>
    <m/>
  </r>
  <r>
    <x v="0"/>
    <x v="15"/>
    <n v="58"/>
    <m/>
  </r>
  <r>
    <x v="1"/>
    <x v="7"/>
    <n v="86"/>
    <m/>
  </r>
  <r>
    <x v="1"/>
    <x v="8"/>
    <n v="904"/>
    <m/>
  </r>
  <r>
    <x v="1"/>
    <x v="9"/>
    <n v="476"/>
    <m/>
  </r>
  <r>
    <x v="1"/>
    <x v="10"/>
    <n v="977"/>
    <m/>
  </r>
  <r>
    <x v="1"/>
    <x v="11"/>
    <n v="10"/>
    <m/>
  </r>
  <r>
    <x v="1"/>
    <x v="13"/>
    <n v="3"/>
    <m/>
  </r>
  <r>
    <x v="1"/>
    <x v="14"/>
    <n v="655"/>
    <m/>
  </r>
  <r>
    <x v="1"/>
    <x v="15"/>
    <n v="14"/>
    <m/>
  </r>
  <r>
    <x v="2"/>
    <x v="7"/>
    <n v="190"/>
    <m/>
  </r>
  <r>
    <x v="2"/>
    <x v="8"/>
    <n v="927"/>
    <m/>
  </r>
  <r>
    <x v="2"/>
    <x v="9"/>
    <n v="503"/>
    <m/>
  </r>
  <r>
    <x v="2"/>
    <x v="10"/>
    <n v="997"/>
    <m/>
  </r>
  <r>
    <x v="2"/>
    <x v="11"/>
    <n v="2"/>
    <m/>
  </r>
  <r>
    <x v="2"/>
    <x v="14"/>
    <n v="650"/>
    <m/>
  </r>
  <r>
    <x v="2"/>
    <x v="15"/>
    <n v="2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7BF7E4-2F97-4596-8AD7-0B788E0EF80B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2:I17" firstHeaderRow="1" firstDataRow="2" firstDataCol="1"/>
  <pivotFields count="4">
    <pivotField axis="axisRow" showAll="0">
      <items count="4">
        <item x="1"/>
        <item x="0"/>
        <item x="2"/>
        <item t="default"/>
      </items>
    </pivotField>
    <pivotField axis="axisCol" showAll="0">
      <items count="17">
        <item h="1" x="7"/>
        <item h="1" x="8"/>
        <item h="1" x="9"/>
        <item h="1" x="10"/>
        <item h="1" x="11"/>
        <item h="1" x="12"/>
        <item h="1" x="13"/>
        <item h="1" x="14"/>
        <item h="1" x="15"/>
        <item x="0"/>
        <item x="1"/>
        <item x="2"/>
        <item x="3"/>
        <item x="6"/>
        <item x="4"/>
        <item x="5"/>
        <item t="default"/>
      </items>
    </pivotField>
    <pivotField dataField="1" numFmtId="3" showAll="0"/>
    <pivotField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8"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colItems>
  <dataFields count="1">
    <dataField name="Sum of Volume" fld="2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3A582B-D909-4B27-92AD-E3E51CFDDC84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K8" firstHeaderRow="1" firstDataRow="2" firstDataCol="1"/>
  <pivotFields count="4">
    <pivotField axis="axisRow" showAll="0">
      <items count="4">
        <item x="1"/>
        <item x="0"/>
        <item x="2"/>
        <item t="default"/>
      </items>
    </pivotField>
    <pivotField axis="axisCol" showAll="0">
      <items count="17">
        <item x="7"/>
        <item x="8"/>
        <item x="9"/>
        <item x="10"/>
        <item x="11"/>
        <item x="12"/>
        <item x="13"/>
        <item x="14"/>
        <item x="15"/>
        <item h="1" x="0"/>
        <item h="1" x="1"/>
        <item h="1" x="2"/>
        <item h="1" x="3"/>
        <item h="1" x="6"/>
        <item h="1" x="4"/>
        <item h="1" x="5"/>
        <item t="default"/>
      </items>
    </pivotField>
    <pivotField dataField="1" numFmtId="3" showAll="0"/>
    <pivotField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Sum of Volume" fld="2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D23">
  <autoFilter ref="A3:D23" xr:uid="{00000000-0009-0000-0100-000001000000}"/>
  <tableColumns count="4">
    <tableColumn id="1" xr3:uid="{00000000-0010-0000-0000-000001000000}" name="FInicio Month"/>
    <tableColumn id="2" xr3:uid="{00000000-0010-0000-0000-000002000000}" name="Ticket Type"/>
    <tableColumn id="3" xr3:uid="{00000000-0010-0000-0000-000003000000}" name="Volume"/>
    <tableColumn id="4" xr3:uid="{00000000-0010-0000-0000-000004000000}" name="No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D6FC2A-596C-4253-A6B7-74CF16A071D0}" name="Table14" displayName="Table14" ref="A3:D27">
  <autoFilter ref="A3:D27" xr:uid="{00000000-0009-0000-0100-000001000000}"/>
  <tableColumns count="4">
    <tableColumn id="1" xr3:uid="{0EE549AB-F06E-4A44-B42F-A915EA8D3B5B}" name="FInicio Month"/>
    <tableColumn id="2" xr3:uid="{C67DB208-2C3B-4542-A968-15E24BDA881A}" name="Ticket Type"/>
    <tableColumn id="3" xr3:uid="{DC9518AF-5177-46BF-A918-3DEA15491D12}" name="Volume"/>
    <tableColumn id="4" xr3:uid="{9EC58409-8BAE-4DCB-B6F4-F83AF301174A}" name="Non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F18748-DD93-463D-AA71-56138B185B5B}" name="Table13" displayName="Table13" ref="A1:D45">
  <autoFilter ref="A1:D45" xr:uid="{76F18748-DD93-463D-AA71-56138B185B5B}"/>
  <tableColumns count="4">
    <tableColumn id="1" xr3:uid="{E78EC08E-E341-4FF2-84E8-DF9CA7B7EFD0}" name="FInicio Month"/>
    <tableColumn id="2" xr3:uid="{29387F55-AC97-4895-8D3A-C6D1C9AE3813}" name="Ticket Type"/>
    <tableColumn id="3" xr3:uid="{24786C03-0CFE-4467-9E22-60C809C71CE9}" name="Volume"/>
    <tableColumn id="4" xr3:uid="{0BA39B2C-C20E-4E52-A0E8-626DB3AB5F6D}" name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3"/>
  <sheetViews>
    <sheetView workbookViewId="0">
      <selection activeCell="G10" sqref="G10"/>
    </sheetView>
  </sheetViews>
  <sheetFormatPr defaultRowHeight="14.5" x14ac:dyDescent="0.35"/>
  <sheetData>
    <row r="1" spans="1:4" x14ac:dyDescent="0.35">
      <c r="A1" t="s">
        <v>0</v>
      </c>
    </row>
    <row r="3" spans="1:4" x14ac:dyDescent="0.35">
      <c r="A3" t="s">
        <v>1</v>
      </c>
      <c r="B3" t="s">
        <v>2</v>
      </c>
      <c r="C3" t="s">
        <v>3</v>
      </c>
      <c r="D3" t="s">
        <v>4</v>
      </c>
    </row>
    <row r="4" spans="1:4" x14ac:dyDescent="0.35">
      <c r="A4" t="s">
        <v>5</v>
      </c>
      <c r="B4" t="s">
        <v>6</v>
      </c>
      <c r="C4" s="1">
        <v>758</v>
      </c>
    </row>
    <row r="5" spans="1:4" x14ac:dyDescent="0.35">
      <c r="A5" t="s">
        <v>5</v>
      </c>
      <c r="B5" t="s">
        <v>7</v>
      </c>
      <c r="C5" s="1">
        <v>81</v>
      </c>
    </row>
    <row r="6" spans="1:4" x14ac:dyDescent="0.35">
      <c r="A6" t="s">
        <v>5</v>
      </c>
      <c r="B6" t="s">
        <v>8</v>
      </c>
      <c r="C6" s="1">
        <v>381</v>
      </c>
    </row>
    <row r="7" spans="1:4" x14ac:dyDescent="0.35">
      <c r="A7" t="s">
        <v>5</v>
      </c>
      <c r="B7" t="s">
        <v>9</v>
      </c>
      <c r="C7" s="1">
        <v>18</v>
      </c>
    </row>
    <row r="8" spans="1:4" x14ac:dyDescent="0.35">
      <c r="A8" t="s">
        <v>5</v>
      </c>
      <c r="B8" t="s">
        <v>10</v>
      </c>
      <c r="C8" s="1">
        <v>27</v>
      </c>
    </row>
    <row r="9" spans="1:4" x14ac:dyDescent="0.35">
      <c r="A9" t="s">
        <v>5</v>
      </c>
      <c r="B9" t="s">
        <v>11</v>
      </c>
      <c r="C9" s="1">
        <v>13</v>
      </c>
    </row>
    <row r="10" spans="1:4" x14ac:dyDescent="0.35">
      <c r="A10" t="s">
        <v>12</v>
      </c>
      <c r="B10" t="s">
        <v>6</v>
      </c>
      <c r="C10" s="1">
        <v>646</v>
      </c>
    </row>
    <row r="11" spans="1:4" x14ac:dyDescent="0.35">
      <c r="A11" t="s">
        <v>12</v>
      </c>
      <c r="B11" t="s">
        <v>7</v>
      </c>
      <c r="C11" s="1">
        <v>130</v>
      </c>
    </row>
    <row r="12" spans="1:4" x14ac:dyDescent="0.35">
      <c r="A12" t="s">
        <v>12</v>
      </c>
      <c r="B12" t="s">
        <v>8</v>
      </c>
      <c r="C12" s="1">
        <v>508</v>
      </c>
    </row>
    <row r="13" spans="1:4" x14ac:dyDescent="0.35">
      <c r="A13" t="s">
        <v>12</v>
      </c>
      <c r="B13" t="s">
        <v>9</v>
      </c>
      <c r="C13" s="1">
        <v>13</v>
      </c>
    </row>
    <row r="14" spans="1:4" x14ac:dyDescent="0.35">
      <c r="A14" t="s">
        <v>12</v>
      </c>
      <c r="B14" t="s">
        <v>13</v>
      </c>
      <c r="C14" s="1">
        <v>3</v>
      </c>
    </row>
    <row r="15" spans="1:4" x14ac:dyDescent="0.35">
      <c r="A15" t="s">
        <v>12</v>
      </c>
      <c r="B15" t="s">
        <v>10</v>
      </c>
      <c r="C15" s="1">
        <v>60</v>
      </c>
    </row>
    <row r="16" spans="1:4" x14ac:dyDescent="0.35">
      <c r="A16" t="s">
        <v>12</v>
      </c>
      <c r="B16" t="s">
        <v>11</v>
      </c>
      <c r="C16" s="1">
        <v>9</v>
      </c>
    </row>
    <row r="17" spans="1:3" x14ac:dyDescent="0.35">
      <c r="A17" t="s">
        <v>14</v>
      </c>
      <c r="B17" t="s">
        <v>6</v>
      </c>
      <c r="C17" s="1">
        <v>736</v>
      </c>
    </row>
    <row r="18" spans="1:3" x14ac:dyDescent="0.35">
      <c r="A18" t="s">
        <v>14</v>
      </c>
      <c r="B18" t="s">
        <v>7</v>
      </c>
      <c r="C18" s="1">
        <v>149</v>
      </c>
    </row>
    <row r="19" spans="1:3" x14ac:dyDescent="0.35">
      <c r="A19" t="s">
        <v>14</v>
      </c>
      <c r="B19" t="s">
        <v>8</v>
      </c>
      <c r="C19" s="1">
        <v>503</v>
      </c>
    </row>
    <row r="20" spans="1:3" x14ac:dyDescent="0.35">
      <c r="A20" t="s">
        <v>14</v>
      </c>
      <c r="B20" t="s">
        <v>9</v>
      </c>
      <c r="C20" s="1">
        <v>22</v>
      </c>
    </row>
    <row r="21" spans="1:3" x14ac:dyDescent="0.35">
      <c r="A21" t="s">
        <v>14</v>
      </c>
      <c r="B21" t="s">
        <v>13</v>
      </c>
      <c r="C21" s="1">
        <v>4</v>
      </c>
    </row>
    <row r="22" spans="1:3" x14ac:dyDescent="0.35">
      <c r="A22" t="s">
        <v>14</v>
      </c>
      <c r="B22" t="s">
        <v>10</v>
      </c>
      <c r="C22" s="1">
        <v>67</v>
      </c>
    </row>
    <row r="23" spans="1:3" x14ac:dyDescent="0.35">
      <c r="A23" t="s">
        <v>14</v>
      </c>
      <c r="B23" t="s">
        <v>11</v>
      </c>
      <c r="C23" s="1">
        <v>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F776-E46A-424D-B06C-3647E207B129}">
  <dimension ref="A1:D27"/>
  <sheetViews>
    <sheetView topLeftCell="A6" workbookViewId="0">
      <selection activeCell="A4" sqref="A4:D27"/>
    </sheetView>
  </sheetViews>
  <sheetFormatPr defaultRowHeight="14.5" x14ac:dyDescent="0.35"/>
  <sheetData>
    <row r="1" spans="1:4" x14ac:dyDescent="0.35">
      <c r="A1" t="s">
        <v>32</v>
      </c>
    </row>
    <row r="3" spans="1:4" x14ac:dyDescent="0.35">
      <c r="A3" t="s">
        <v>1</v>
      </c>
      <c r="B3" t="s">
        <v>2</v>
      </c>
      <c r="C3" t="s">
        <v>3</v>
      </c>
      <c r="D3" t="s">
        <v>4</v>
      </c>
    </row>
    <row r="4" spans="1:4" x14ac:dyDescent="0.35">
      <c r="A4" t="s">
        <v>5</v>
      </c>
      <c r="B4" t="s">
        <v>6</v>
      </c>
      <c r="C4" s="1">
        <v>57</v>
      </c>
    </row>
    <row r="5" spans="1:4" x14ac:dyDescent="0.35">
      <c r="A5" t="s">
        <v>5</v>
      </c>
      <c r="B5" t="s">
        <v>7</v>
      </c>
      <c r="C5" s="1">
        <v>526</v>
      </c>
    </row>
    <row r="6" spans="1:4" x14ac:dyDescent="0.35">
      <c r="A6" t="s">
        <v>5</v>
      </c>
      <c r="B6" t="s">
        <v>33</v>
      </c>
      <c r="C6" s="1">
        <v>303</v>
      </c>
    </row>
    <row r="7" spans="1:4" x14ac:dyDescent="0.35">
      <c r="A7" t="s">
        <v>5</v>
      </c>
      <c r="B7" t="s">
        <v>8</v>
      </c>
      <c r="C7" s="1">
        <v>813</v>
      </c>
    </row>
    <row r="8" spans="1:4" x14ac:dyDescent="0.35">
      <c r="A8" t="s">
        <v>5</v>
      </c>
      <c r="B8" t="s">
        <v>9</v>
      </c>
      <c r="C8" s="1">
        <v>5</v>
      </c>
    </row>
    <row r="9" spans="1:4" x14ac:dyDescent="0.35">
      <c r="A9" t="s">
        <v>5</v>
      </c>
      <c r="B9" t="s">
        <v>34</v>
      </c>
      <c r="C9" s="1">
        <v>1</v>
      </c>
    </row>
    <row r="10" spans="1:4" x14ac:dyDescent="0.35">
      <c r="A10" t="s">
        <v>5</v>
      </c>
      <c r="B10" t="s">
        <v>13</v>
      </c>
      <c r="C10" s="1">
        <v>3</v>
      </c>
    </row>
    <row r="11" spans="1:4" x14ac:dyDescent="0.35">
      <c r="A11" t="s">
        <v>5</v>
      </c>
      <c r="B11" t="s">
        <v>10</v>
      </c>
      <c r="C11" s="1">
        <v>390</v>
      </c>
    </row>
    <row r="12" spans="1:4" x14ac:dyDescent="0.35">
      <c r="A12" t="s">
        <v>5</v>
      </c>
      <c r="B12" t="s">
        <v>11</v>
      </c>
      <c r="C12" s="1">
        <v>58</v>
      </c>
    </row>
    <row r="13" spans="1:4" x14ac:dyDescent="0.35">
      <c r="A13" t="s">
        <v>12</v>
      </c>
      <c r="B13" t="s">
        <v>6</v>
      </c>
      <c r="C13" s="1">
        <v>86</v>
      </c>
    </row>
    <row r="14" spans="1:4" x14ac:dyDescent="0.35">
      <c r="A14" t="s">
        <v>12</v>
      </c>
      <c r="B14" t="s">
        <v>7</v>
      </c>
      <c r="C14" s="1">
        <v>904</v>
      </c>
    </row>
    <row r="15" spans="1:4" x14ac:dyDescent="0.35">
      <c r="A15" t="s">
        <v>12</v>
      </c>
      <c r="B15" t="s">
        <v>33</v>
      </c>
      <c r="C15" s="1">
        <v>476</v>
      </c>
    </row>
    <row r="16" spans="1:4" x14ac:dyDescent="0.35">
      <c r="A16" t="s">
        <v>12</v>
      </c>
      <c r="B16" t="s">
        <v>8</v>
      </c>
      <c r="C16" s="1">
        <v>977</v>
      </c>
    </row>
    <row r="17" spans="1:3" x14ac:dyDescent="0.35">
      <c r="A17" t="s">
        <v>12</v>
      </c>
      <c r="B17" t="s">
        <v>9</v>
      </c>
      <c r="C17" s="1">
        <v>10</v>
      </c>
    </row>
    <row r="18" spans="1:3" x14ac:dyDescent="0.35">
      <c r="A18" t="s">
        <v>12</v>
      </c>
      <c r="B18" t="s">
        <v>13</v>
      </c>
      <c r="C18" s="1">
        <v>3</v>
      </c>
    </row>
    <row r="19" spans="1:3" x14ac:dyDescent="0.35">
      <c r="A19" t="s">
        <v>12</v>
      </c>
      <c r="B19" t="s">
        <v>10</v>
      </c>
      <c r="C19" s="1">
        <v>655</v>
      </c>
    </row>
    <row r="20" spans="1:3" x14ac:dyDescent="0.35">
      <c r="A20" t="s">
        <v>12</v>
      </c>
      <c r="B20" t="s">
        <v>11</v>
      </c>
      <c r="C20" s="1">
        <v>14</v>
      </c>
    </row>
    <row r="21" spans="1:3" x14ac:dyDescent="0.35">
      <c r="A21" t="s">
        <v>14</v>
      </c>
      <c r="B21" t="s">
        <v>6</v>
      </c>
      <c r="C21" s="1">
        <v>190</v>
      </c>
    </row>
    <row r="22" spans="1:3" x14ac:dyDescent="0.35">
      <c r="A22" t="s">
        <v>14</v>
      </c>
      <c r="B22" t="s">
        <v>7</v>
      </c>
      <c r="C22" s="1">
        <v>927</v>
      </c>
    </row>
    <row r="23" spans="1:3" x14ac:dyDescent="0.35">
      <c r="A23" t="s">
        <v>14</v>
      </c>
      <c r="B23" t="s">
        <v>33</v>
      </c>
      <c r="C23" s="1">
        <v>503</v>
      </c>
    </row>
    <row r="24" spans="1:3" x14ac:dyDescent="0.35">
      <c r="A24" t="s">
        <v>14</v>
      </c>
      <c r="B24" t="s">
        <v>8</v>
      </c>
      <c r="C24" s="1">
        <v>997</v>
      </c>
    </row>
    <row r="25" spans="1:3" x14ac:dyDescent="0.35">
      <c r="A25" t="s">
        <v>14</v>
      </c>
      <c r="B25" t="s">
        <v>9</v>
      </c>
      <c r="C25" s="1">
        <v>2</v>
      </c>
    </row>
    <row r="26" spans="1:3" x14ac:dyDescent="0.35">
      <c r="A26" t="s">
        <v>14</v>
      </c>
      <c r="B26" t="s">
        <v>10</v>
      </c>
      <c r="C26" s="1">
        <v>650</v>
      </c>
    </row>
    <row r="27" spans="1:3" x14ac:dyDescent="0.35">
      <c r="A27" t="s">
        <v>14</v>
      </c>
      <c r="B27" t="s">
        <v>11</v>
      </c>
      <c r="C27" s="1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E1685-496C-4D46-9E50-914E2277BDF3}">
  <dimension ref="A3:K21"/>
  <sheetViews>
    <sheetView tabSelected="1" workbookViewId="0">
      <selection activeCell="K21" sqref="K21"/>
    </sheetView>
  </sheetViews>
  <sheetFormatPr defaultRowHeight="14.5" x14ac:dyDescent="0.35"/>
  <cols>
    <col min="1" max="1" width="13.6328125" bestFit="1" customWidth="1"/>
    <col min="2" max="2" width="15.26953125" bestFit="1" customWidth="1"/>
    <col min="3" max="3" width="15.1796875" bestFit="1" customWidth="1"/>
    <col min="4" max="4" width="15.08984375" bestFit="1" customWidth="1"/>
    <col min="5" max="5" width="11.36328125" bestFit="1" customWidth="1"/>
    <col min="6" max="6" width="15.26953125" bestFit="1" customWidth="1"/>
    <col min="7" max="7" width="8.90625" bestFit="1" customWidth="1"/>
    <col min="8" max="8" width="11.26953125" bestFit="1" customWidth="1"/>
    <col min="9" max="9" width="10.7265625" bestFit="1" customWidth="1"/>
    <col min="10" max="10" width="9.36328125" bestFit="1" customWidth="1"/>
    <col min="11" max="11" width="10.7265625" bestFit="1" customWidth="1"/>
    <col min="12" max="12" width="15.1796875" bestFit="1" customWidth="1"/>
    <col min="13" max="13" width="15.08984375" bestFit="1" customWidth="1"/>
    <col min="14" max="14" width="11.36328125" bestFit="1" customWidth="1"/>
    <col min="15" max="15" width="15.26953125" bestFit="1" customWidth="1"/>
    <col min="16" max="16" width="8.90625" bestFit="1" customWidth="1"/>
    <col min="17" max="17" width="11.26953125" bestFit="1" customWidth="1"/>
    <col min="18" max="18" width="10.7265625" bestFit="1" customWidth="1"/>
  </cols>
  <sheetData>
    <row r="3" spans="1:11" x14ac:dyDescent="0.35">
      <c r="A3" s="2" t="s">
        <v>25</v>
      </c>
      <c r="B3" s="2" t="s">
        <v>24</v>
      </c>
    </row>
    <row r="4" spans="1:11" x14ac:dyDescent="0.35">
      <c r="A4" s="2" t="s">
        <v>22</v>
      </c>
      <c r="B4" t="s">
        <v>35</v>
      </c>
      <c r="C4" t="s">
        <v>36</v>
      </c>
      <c r="D4" t="s">
        <v>37</v>
      </c>
      <c r="E4" t="s">
        <v>38</v>
      </c>
      <c r="F4" t="s">
        <v>39</v>
      </c>
      <c r="G4" t="s">
        <v>40</v>
      </c>
      <c r="H4" t="s">
        <v>41</v>
      </c>
      <c r="I4" t="s">
        <v>42</v>
      </c>
      <c r="J4" t="s">
        <v>43</v>
      </c>
      <c r="K4" t="s">
        <v>23</v>
      </c>
    </row>
    <row r="5" spans="1:11" x14ac:dyDescent="0.35">
      <c r="A5" s="3" t="s">
        <v>12</v>
      </c>
      <c r="B5" s="1">
        <v>86</v>
      </c>
      <c r="C5" s="1">
        <v>904</v>
      </c>
      <c r="D5" s="1">
        <v>476</v>
      </c>
      <c r="E5" s="1">
        <v>977</v>
      </c>
      <c r="F5" s="1">
        <v>10</v>
      </c>
      <c r="G5" s="1"/>
      <c r="H5" s="1">
        <v>3</v>
      </c>
      <c r="I5" s="1">
        <v>655</v>
      </c>
      <c r="J5" s="1">
        <v>14</v>
      </c>
      <c r="K5" s="1">
        <v>3125</v>
      </c>
    </row>
    <row r="6" spans="1:11" x14ac:dyDescent="0.35">
      <c r="A6" s="3" t="s">
        <v>5</v>
      </c>
      <c r="B6" s="1">
        <v>57</v>
      </c>
      <c r="C6" s="1">
        <v>526</v>
      </c>
      <c r="D6" s="1">
        <v>303</v>
      </c>
      <c r="E6" s="1">
        <v>813</v>
      </c>
      <c r="F6" s="1">
        <v>5</v>
      </c>
      <c r="G6" s="1">
        <v>1</v>
      </c>
      <c r="H6" s="1">
        <v>3</v>
      </c>
      <c r="I6" s="1">
        <v>390</v>
      </c>
      <c r="J6" s="1">
        <v>58</v>
      </c>
      <c r="K6" s="1">
        <v>2156</v>
      </c>
    </row>
    <row r="7" spans="1:11" x14ac:dyDescent="0.35">
      <c r="A7" s="3" t="s">
        <v>14</v>
      </c>
      <c r="B7" s="1">
        <v>190</v>
      </c>
      <c r="C7" s="1">
        <v>927</v>
      </c>
      <c r="D7" s="1">
        <v>503</v>
      </c>
      <c r="E7" s="1">
        <v>997</v>
      </c>
      <c r="F7" s="1">
        <v>2</v>
      </c>
      <c r="G7" s="1"/>
      <c r="H7" s="1"/>
      <c r="I7" s="1">
        <v>650</v>
      </c>
      <c r="J7" s="1">
        <v>20</v>
      </c>
      <c r="K7" s="1">
        <v>3289</v>
      </c>
    </row>
    <row r="8" spans="1:11" x14ac:dyDescent="0.35">
      <c r="A8" s="3" t="s">
        <v>23</v>
      </c>
      <c r="B8" s="1">
        <v>333</v>
      </c>
      <c r="C8" s="1">
        <v>2357</v>
      </c>
      <c r="D8" s="1">
        <v>1282</v>
      </c>
      <c r="E8" s="1">
        <v>2787</v>
      </c>
      <c r="F8" s="1">
        <v>17</v>
      </c>
      <c r="G8" s="1">
        <v>1</v>
      </c>
      <c r="H8" s="1">
        <v>6</v>
      </c>
      <c r="I8" s="1">
        <v>1695</v>
      </c>
      <c r="J8" s="1">
        <v>92</v>
      </c>
      <c r="K8" s="1">
        <v>8570</v>
      </c>
    </row>
    <row r="12" spans="1:11" x14ac:dyDescent="0.35">
      <c r="A12" s="2" t="s">
        <v>25</v>
      </c>
      <c r="B12" s="2" t="s">
        <v>24</v>
      </c>
    </row>
    <row r="13" spans="1:11" x14ac:dyDescent="0.35">
      <c r="A13" s="2" t="s">
        <v>22</v>
      </c>
      <c r="B13" t="s">
        <v>15</v>
      </c>
      <c r="C13" t="s">
        <v>16</v>
      </c>
      <c r="D13" t="s">
        <v>17</v>
      </c>
      <c r="E13" t="s">
        <v>18</v>
      </c>
      <c r="F13" t="s">
        <v>21</v>
      </c>
      <c r="G13" t="s">
        <v>19</v>
      </c>
      <c r="H13" t="s">
        <v>20</v>
      </c>
      <c r="I13" t="s">
        <v>23</v>
      </c>
    </row>
    <row r="14" spans="1:11" x14ac:dyDescent="0.35">
      <c r="A14" s="3" t="s">
        <v>12</v>
      </c>
      <c r="B14" s="1">
        <v>646</v>
      </c>
      <c r="C14" s="1">
        <v>130</v>
      </c>
      <c r="D14" s="1">
        <v>508</v>
      </c>
      <c r="E14" s="1">
        <v>13</v>
      </c>
      <c r="F14" s="1">
        <v>3</v>
      </c>
      <c r="G14" s="1">
        <v>60</v>
      </c>
      <c r="H14" s="1">
        <v>9</v>
      </c>
      <c r="I14" s="1">
        <v>1369</v>
      </c>
    </row>
    <row r="15" spans="1:11" x14ac:dyDescent="0.35">
      <c r="A15" s="3" t="s">
        <v>5</v>
      </c>
      <c r="B15" s="1">
        <v>758</v>
      </c>
      <c r="C15" s="1">
        <v>81</v>
      </c>
      <c r="D15" s="1">
        <v>381</v>
      </c>
      <c r="E15" s="1">
        <v>18</v>
      </c>
      <c r="F15" s="1"/>
      <c r="G15" s="1">
        <v>27</v>
      </c>
      <c r="H15" s="1">
        <v>13</v>
      </c>
      <c r="I15" s="1">
        <v>1278</v>
      </c>
    </row>
    <row r="16" spans="1:11" x14ac:dyDescent="0.35">
      <c r="A16" s="3" t="s">
        <v>14</v>
      </c>
      <c r="B16" s="1">
        <v>736</v>
      </c>
      <c r="C16" s="1">
        <v>149</v>
      </c>
      <c r="D16" s="1">
        <v>503</v>
      </c>
      <c r="E16" s="1">
        <v>22</v>
      </c>
      <c r="F16" s="1">
        <v>4</v>
      </c>
      <c r="G16" s="1">
        <v>67</v>
      </c>
      <c r="H16" s="1">
        <v>9</v>
      </c>
      <c r="I16" s="1">
        <v>1490</v>
      </c>
    </row>
    <row r="17" spans="1:11" x14ac:dyDescent="0.35">
      <c r="A17" s="3" t="s">
        <v>23</v>
      </c>
      <c r="B17" s="1">
        <v>2140</v>
      </c>
      <c r="C17" s="1">
        <v>360</v>
      </c>
      <c r="D17" s="1">
        <v>1392</v>
      </c>
      <c r="E17" s="1">
        <v>53</v>
      </c>
      <c r="F17" s="1">
        <v>7</v>
      </c>
      <c r="G17" s="1">
        <v>154</v>
      </c>
      <c r="H17" s="1">
        <v>31</v>
      </c>
      <c r="I17" s="1">
        <v>4137</v>
      </c>
    </row>
    <row r="19" spans="1:11" x14ac:dyDescent="0.35">
      <c r="J19" t="s">
        <v>26</v>
      </c>
      <c r="K19" s="1">
        <f>K8+I17</f>
        <v>12707</v>
      </c>
    </row>
    <row r="21" spans="1:11" x14ac:dyDescent="0.35">
      <c r="J21" t="s">
        <v>27</v>
      </c>
      <c r="K21">
        <f>(K19-I17)/I17</f>
        <v>2.0715494319555234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40566-08E7-475A-9F8F-6B3A3A6D1648}">
  <dimension ref="A1:O45"/>
  <sheetViews>
    <sheetView topLeftCell="A24" workbookViewId="0">
      <selection activeCell="M35" sqref="M35:P42"/>
    </sheetView>
  </sheetViews>
  <sheetFormatPr defaultRowHeight="14.5" x14ac:dyDescent="0.35"/>
  <sheetData>
    <row r="1" spans="1:4" x14ac:dyDescent="0.35">
      <c r="A1" t="s">
        <v>1</v>
      </c>
      <c r="B1" t="s">
        <v>2</v>
      </c>
      <c r="C1" t="s">
        <v>3</v>
      </c>
      <c r="D1" t="s">
        <v>4</v>
      </c>
    </row>
    <row r="2" spans="1:4" x14ac:dyDescent="0.35">
      <c r="A2" t="s">
        <v>5</v>
      </c>
      <c r="B2" t="s">
        <v>15</v>
      </c>
      <c r="C2" s="1">
        <v>758</v>
      </c>
    </row>
    <row r="3" spans="1:4" x14ac:dyDescent="0.35">
      <c r="A3" t="s">
        <v>5</v>
      </c>
      <c r="B3" t="s">
        <v>16</v>
      </c>
      <c r="C3" s="1">
        <v>81</v>
      </c>
    </row>
    <row r="4" spans="1:4" x14ac:dyDescent="0.35">
      <c r="A4" t="s">
        <v>5</v>
      </c>
      <c r="B4" t="s">
        <v>17</v>
      </c>
      <c r="C4" s="1">
        <v>381</v>
      </c>
    </row>
    <row r="5" spans="1:4" x14ac:dyDescent="0.35">
      <c r="A5" t="s">
        <v>5</v>
      </c>
      <c r="B5" t="s">
        <v>18</v>
      </c>
      <c r="C5" s="1">
        <v>18</v>
      </c>
    </row>
    <row r="6" spans="1:4" x14ac:dyDescent="0.35">
      <c r="A6" t="s">
        <v>5</v>
      </c>
      <c r="B6" t="s">
        <v>19</v>
      </c>
      <c r="C6" s="1">
        <v>27</v>
      </c>
    </row>
    <row r="7" spans="1:4" x14ac:dyDescent="0.35">
      <c r="A7" t="s">
        <v>5</v>
      </c>
      <c r="B7" t="s">
        <v>20</v>
      </c>
      <c r="C7" s="1">
        <v>13</v>
      </c>
    </row>
    <row r="8" spans="1:4" x14ac:dyDescent="0.35">
      <c r="A8" t="s">
        <v>12</v>
      </c>
      <c r="B8" t="s">
        <v>15</v>
      </c>
      <c r="C8" s="1">
        <v>646</v>
      </c>
    </row>
    <row r="9" spans="1:4" x14ac:dyDescent="0.35">
      <c r="A9" t="s">
        <v>12</v>
      </c>
      <c r="B9" t="s">
        <v>16</v>
      </c>
      <c r="C9" s="1">
        <v>130</v>
      </c>
    </row>
    <row r="10" spans="1:4" x14ac:dyDescent="0.35">
      <c r="A10" t="s">
        <v>12</v>
      </c>
      <c r="B10" t="s">
        <v>17</v>
      </c>
      <c r="C10" s="1">
        <v>508</v>
      </c>
    </row>
    <row r="11" spans="1:4" x14ac:dyDescent="0.35">
      <c r="A11" t="s">
        <v>12</v>
      </c>
      <c r="B11" t="s">
        <v>18</v>
      </c>
      <c r="C11" s="1">
        <v>13</v>
      </c>
    </row>
    <row r="12" spans="1:4" x14ac:dyDescent="0.35">
      <c r="A12" t="s">
        <v>12</v>
      </c>
      <c r="B12" t="s">
        <v>21</v>
      </c>
      <c r="C12" s="1">
        <v>3</v>
      </c>
    </row>
    <row r="13" spans="1:4" x14ac:dyDescent="0.35">
      <c r="A13" t="s">
        <v>12</v>
      </c>
      <c r="B13" t="s">
        <v>19</v>
      </c>
      <c r="C13" s="1">
        <v>60</v>
      </c>
    </row>
    <row r="14" spans="1:4" x14ac:dyDescent="0.35">
      <c r="A14" t="s">
        <v>12</v>
      </c>
      <c r="B14" t="s">
        <v>20</v>
      </c>
      <c r="C14" s="1">
        <v>9</v>
      </c>
    </row>
    <row r="15" spans="1:4" x14ac:dyDescent="0.35">
      <c r="A15" t="s">
        <v>14</v>
      </c>
      <c r="B15" t="s">
        <v>15</v>
      </c>
      <c r="C15" s="1">
        <v>736</v>
      </c>
    </row>
    <row r="16" spans="1:4" x14ac:dyDescent="0.35">
      <c r="A16" t="s">
        <v>14</v>
      </c>
      <c r="B16" t="s">
        <v>16</v>
      </c>
      <c r="C16" s="1">
        <v>149</v>
      </c>
    </row>
    <row r="17" spans="1:3" x14ac:dyDescent="0.35">
      <c r="A17" t="s">
        <v>14</v>
      </c>
      <c r="B17" t="s">
        <v>17</v>
      </c>
      <c r="C17" s="1">
        <v>503</v>
      </c>
    </row>
    <row r="18" spans="1:3" x14ac:dyDescent="0.35">
      <c r="A18" t="s">
        <v>14</v>
      </c>
      <c r="B18" t="s">
        <v>18</v>
      </c>
      <c r="C18" s="1">
        <v>22</v>
      </c>
    </row>
    <row r="19" spans="1:3" x14ac:dyDescent="0.35">
      <c r="A19" t="s">
        <v>14</v>
      </c>
      <c r="B19" t="s">
        <v>21</v>
      </c>
      <c r="C19" s="1">
        <v>4</v>
      </c>
    </row>
    <row r="20" spans="1:3" x14ac:dyDescent="0.35">
      <c r="A20" t="s">
        <v>14</v>
      </c>
      <c r="B20" t="s">
        <v>19</v>
      </c>
      <c r="C20" s="1">
        <v>67</v>
      </c>
    </row>
    <row r="21" spans="1:3" x14ac:dyDescent="0.35">
      <c r="A21" t="s">
        <v>14</v>
      </c>
      <c r="B21" t="s">
        <v>20</v>
      </c>
      <c r="C21" s="1">
        <v>9</v>
      </c>
    </row>
    <row r="22" spans="1:3" x14ac:dyDescent="0.35">
      <c r="A22" t="s">
        <v>5</v>
      </c>
      <c r="B22" t="s">
        <v>35</v>
      </c>
      <c r="C22" s="1">
        <v>57</v>
      </c>
    </row>
    <row r="23" spans="1:3" x14ac:dyDescent="0.35">
      <c r="A23" t="s">
        <v>5</v>
      </c>
      <c r="B23" t="s">
        <v>36</v>
      </c>
      <c r="C23" s="1">
        <v>526</v>
      </c>
    </row>
    <row r="24" spans="1:3" x14ac:dyDescent="0.35">
      <c r="A24" t="s">
        <v>5</v>
      </c>
      <c r="B24" t="s">
        <v>37</v>
      </c>
      <c r="C24" s="1">
        <v>303</v>
      </c>
    </row>
    <row r="25" spans="1:3" x14ac:dyDescent="0.35">
      <c r="A25" t="s">
        <v>5</v>
      </c>
      <c r="B25" t="s">
        <v>38</v>
      </c>
      <c r="C25" s="1">
        <v>813</v>
      </c>
    </row>
    <row r="26" spans="1:3" x14ac:dyDescent="0.35">
      <c r="A26" t="s">
        <v>5</v>
      </c>
      <c r="B26" t="s">
        <v>39</v>
      </c>
      <c r="C26" s="1">
        <v>5</v>
      </c>
    </row>
    <row r="27" spans="1:3" x14ac:dyDescent="0.35">
      <c r="A27" t="s">
        <v>5</v>
      </c>
      <c r="B27" t="s">
        <v>40</v>
      </c>
      <c r="C27" s="1">
        <v>1</v>
      </c>
    </row>
    <row r="28" spans="1:3" x14ac:dyDescent="0.35">
      <c r="A28" t="s">
        <v>5</v>
      </c>
      <c r="B28" t="s">
        <v>41</v>
      </c>
      <c r="C28" s="1">
        <v>3</v>
      </c>
    </row>
    <row r="29" spans="1:3" x14ac:dyDescent="0.35">
      <c r="A29" t="s">
        <v>5</v>
      </c>
      <c r="B29" t="s">
        <v>42</v>
      </c>
      <c r="C29" s="1">
        <v>390</v>
      </c>
    </row>
    <row r="30" spans="1:3" x14ac:dyDescent="0.35">
      <c r="A30" t="s">
        <v>5</v>
      </c>
      <c r="B30" t="s">
        <v>43</v>
      </c>
      <c r="C30" s="1">
        <v>58</v>
      </c>
    </row>
    <row r="31" spans="1:3" x14ac:dyDescent="0.35">
      <c r="A31" t="s">
        <v>12</v>
      </c>
      <c r="B31" t="s">
        <v>35</v>
      </c>
      <c r="C31" s="1">
        <v>86</v>
      </c>
    </row>
    <row r="32" spans="1:3" x14ac:dyDescent="0.35">
      <c r="A32" t="s">
        <v>12</v>
      </c>
      <c r="B32" t="s">
        <v>36</v>
      </c>
      <c r="C32" s="1">
        <v>904</v>
      </c>
    </row>
    <row r="33" spans="1:15" x14ac:dyDescent="0.35">
      <c r="A33" t="s">
        <v>12</v>
      </c>
      <c r="B33" t="s">
        <v>37</v>
      </c>
      <c r="C33" s="1">
        <v>476</v>
      </c>
    </row>
    <row r="34" spans="1:15" x14ac:dyDescent="0.35">
      <c r="A34" t="s">
        <v>12</v>
      </c>
      <c r="B34" t="s">
        <v>38</v>
      </c>
      <c r="C34" s="1">
        <v>977</v>
      </c>
    </row>
    <row r="35" spans="1:15" x14ac:dyDescent="0.35">
      <c r="A35" t="s">
        <v>12</v>
      </c>
      <c r="B35" t="s">
        <v>39</v>
      </c>
      <c r="C35" s="1">
        <v>10</v>
      </c>
    </row>
    <row r="36" spans="1:15" x14ac:dyDescent="0.35">
      <c r="A36" t="s">
        <v>12</v>
      </c>
      <c r="B36" t="s">
        <v>41</v>
      </c>
      <c r="C36" s="1">
        <v>3</v>
      </c>
      <c r="N36" s="4" t="s">
        <v>28</v>
      </c>
      <c r="O36" s="4" t="s">
        <v>29</v>
      </c>
    </row>
    <row r="37" spans="1:15" x14ac:dyDescent="0.35">
      <c r="A37" t="s">
        <v>12</v>
      </c>
      <c r="B37" t="s">
        <v>42</v>
      </c>
      <c r="C37" s="1">
        <v>655</v>
      </c>
      <c r="M37" s="4" t="s">
        <v>30</v>
      </c>
      <c r="N37">
        <v>3499</v>
      </c>
      <c r="O37">
        <v>4232</v>
      </c>
    </row>
    <row r="38" spans="1:15" x14ac:dyDescent="0.35">
      <c r="A38" t="s">
        <v>12</v>
      </c>
      <c r="B38" t="s">
        <v>43</v>
      </c>
      <c r="C38" s="1">
        <v>14</v>
      </c>
      <c r="M38" s="4" t="s">
        <v>31</v>
      </c>
      <c r="N38">
        <v>5699</v>
      </c>
      <c r="O38">
        <v>4137</v>
      </c>
    </row>
    <row r="39" spans="1:15" x14ac:dyDescent="0.35">
      <c r="A39" t="s">
        <v>14</v>
      </c>
      <c r="B39" t="s">
        <v>35</v>
      </c>
      <c r="C39" s="1">
        <v>190</v>
      </c>
      <c r="M39" s="4" t="s">
        <v>26</v>
      </c>
      <c r="N39">
        <f>SUM(N37:N38)</f>
        <v>9198</v>
      </c>
      <c r="O39">
        <f>SUM(O37:O38)</f>
        <v>8369</v>
      </c>
    </row>
    <row r="40" spans="1:15" x14ac:dyDescent="0.35">
      <c r="A40" t="s">
        <v>14</v>
      </c>
      <c r="B40" t="s">
        <v>36</v>
      </c>
      <c r="C40" s="1">
        <v>927</v>
      </c>
      <c r="M40" s="4" t="s">
        <v>27</v>
      </c>
      <c r="N40">
        <f>(N39-N38)/N38</f>
        <v>0.61396736269520968</v>
      </c>
      <c r="O40">
        <f>(O39-O38)/O38</f>
        <v>1.0229635001208606</v>
      </c>
    </row>
    <row r="41" spans="1:15" x14ac:dyDescent="0.35">
      <c r="A41" t="s">
        <v>14</v>
      </c>
      <c r="B41" t="s">
        <v>37</v>
      </c>
      <c r="C41" s="1">
        <v>503</v>
      </c>
    </row>
    <row r="42" spans="1:15" x14ac:dyDescent="0.35">
      <c r="A42" t="s">
        <v>14</v>
      </c>
      <c r="B42" t="s">
        <v>38</v>
      </c>
      <c r="C42" s="1">
        <v>997</v>
      </c>
    </row>
    <row r="43" spans="1:15" x14ac:dyDescent="0.35">
      <c r="A43" t="s">
        <v>14</v>
      </c>
      <c r="B43" t="s">
        <v>39</v>
      </c>
      <c r="C43" s="1">
        <v>2</v>
      </c>
    </row>
    <row r="44" spans="1:15" x14ac:dyDescent="0.35">
      <c r="A44" t="s">
        <v>14</v>
      </c>
      <c r="B44" t="s">
        <v>42</v>
      </c>
      <c r="C44" s="1">
        <v>650</v>
      </c>
    </row>
    <row r="45" spans="1:15" x14ac:dyDescent="0.35">
      <c r="A45" t="s">
        <v>14</v>
      </c>
      <c r="B45" t="s">
        <v>43</v>
      </c>
      <c r="C45" s="1">
        <v>20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NOC</vt:lpstr>
      <vt:lpstr>L1</vt:lpstr>
      <vt:lpstr>Estudio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Power BI</dc:creator>
  <cp:lastModifiedBy>Inmaculada Benitez Gonzalez</cp:lastModifiedBy>
  <dcterms:created xsi:type="dcterms:W3CDTF">2016-07-06T08:22:49Z</dcterms:created>
  <dcterms:modified xsi:type="dcterms:W3CDTF">2026-04-27T16:20:56Z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41c091-3cbc-4dba-8b59-ce62f19500db_Enabled">
    <vt:lpwstr>true</vt:lpwstr>
  </property>
  <property fmtid="{D5CDD505-2E9C-101B-9397-08002B2CF9AE}" pid="3" name="MSIP_Label_3c41c091-3cbc-4dba-8b59-ce62f19500db_SetDate">
    <vt:lpwstr>2026-04-27T10:23:37Z</vt:lpwstr>
  </property>
  <property fmtid="{D5CDD505-2E9C-101B-9397-08002B2CF9AE}" pid="4" name="MSIP_Label_3c41c091-3cbc-4dba-8b59-ce62f19500db_Method">
    <vt:lpwstr>Privileged</vt:lpwstr>
  </property>
  <property fmtid="{D5CDD505-2E9C-101B-9397-08002B2CF9AE}" pid="5" name="MSIP_Label_3c41c091-3cbc-4dba-8b59-ce62f19500db_Name">
    <vt:lpwstr>Confidential_0_1</vt:lpwstr>
  </property>
  <property fmtid="{D5CDD505-2E9C-101B-9397-08002B2CF9AE}" pid="6" name="MSIP_Label_3c41c091-3cbc-4dba-8b59-ce62f19500db_SiteId">
    <vt:lpwstr>35595a02-4d6d-44ac-99e1-f9ab4cd872db</vt:lpwstr>
  </property>
  <property fmtid="{D5CDD505-2E9C-101B-9397-08002B2CF9AE}" pid="7" name="MSIP_Label_3c41c091-3cbc-4dba-8b59-ce62f19500db_ActionId">
    <vt:lpwstr>ca8c9bf5-012c-44c5-b064-2fc040a74bf2</vt:lpwstr>
  </property>
  <property fmtid="{D5CDD505-2E9C-101B-9397-08002B2CF9AE}" pid="8" name="MSIP_Label_3c41c091-3cbc-4dba-8b59-ce62f19500db_ContentBits">
    <vt:lpwstr>0</vt:lpwstr>
  </property>
</Properties>
</file>