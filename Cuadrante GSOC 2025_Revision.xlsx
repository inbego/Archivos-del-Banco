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Cuadrante Turnos/"/>
    </mc:Choice>
  </mc:AlternateContent>
  <xr:revisionPtr revIDLastSave="319" documentId="8_{BF395F17-8A36-4A5B-A61D-48748E8233D4}" xr6:coauthVersionLast="47" xr6:coauthVersionMax="47" xr10:uidLastSave="{EE4B5C9E-475D-4151-AF4C-5557B2119B1C}"/>
  <bookViews>
    <workbookView xWindow="-135" yWindow="-135" windowWidth="31410" windowHeight="16890" firstSheet="2" activeTab="4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" sheetId="15" r:id="rId7"/>
    <sheet name="Análisis Cuadrante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5" l="1"/>
  <c r="AH5" i="15"/>
  <c r="AH7" i="15"/>
  <c r="AH8" i="15"/>
  <c r="AH10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X23" i="13"/>
  <c r="Y23" i="13"/>
  <c r="Z23" i="13"/>
  <c r="AA23" i="13"/>
  <c r="AB23" i="13"/>
  <c r="AC23" i="13"/>
  <c r="AD23" i="13"/>
  <c r="AE23" i="13"/>
  <c r="AF23" i="13"/>
  <c r="AF20" i="13" s="1"/>
  <c r="W23" i="13"/>
  <c r="C21" i="13"/>
  <c r="D21" i="13"/>
  <c r="E21" i="13"/>
  <c r="F21" i="13"/>
  <c r="G21" i="13"/>
  <c r="H21" i="13"/>
  <c r="I21" i="13"/>
  <c r="J21" i="13"/>
  <c r="K21" i="13"/>
  <c r="L21" i="13"/>
  <c r="L20" i="13" s="1"/>
  <c r="M21" i="13"/>
  <c r="N21" i="13"/>
  <c r="O21" i="13"/>
  <c r="P21" i="13"/>
  <c r="Q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S21" i="13"/>
  <c r="K25" i="15"/>
  <c r="I3" i="17"/>
  <c r="I2" i="17"/>
  <c r="I20" i="17"/>
  <c r="I19" i="17"/>
  <c r="I18" i="17"/>
  <c r="I17" i="17"/>
  <c r="I16" i="17"/>
  <c r="I11" i="17"/>
  <c r="I12" i="17"/>
  <c r="I13" i="17"/>
  <c r="I14" i="17"/>
  <c r="I10" i="17"/>
  <c r="I38" i="17"/>
  <c r="I37" i="17"/>
  <c r="I36" i="17"/>
  <c r="I35" i="17"/>
  <c r="I34" i="17"/>
  <c r="I29" i="17"/>
  <c r="I30" i="17"/>
  <c r="I31" i="17"/>
  <c r="I32" i="17"/>
  <c r="I28" i="17"/>
  <c r="H28" i="17"/>
  <c r="E23" i="14"/>
  <c r="K74" i="17"/>
  <c r="I74" i="17"/>
  <c r="I72" i="17"/>
  <c r="I71" i="17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K20" i="15" s="1"/>
  <c r="J23" i="15"/>
  <c r="I23" i="15"/>
  <c r="H23" i="15"/>
  <c r="H20" i="15" s="1"/>
  <c r="G23" i="15"/>
  <c r="G20" i="15" s="1"/>
  <c r="F23" i="15"/>
  <c r="E23" i="15"/>
  <c r="D23" i="15"/>
  <c r="C23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G21" i="15"/>
  <c r="AF21" i="15"/>
  <c r="AF20" i="15" s="1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N20" i="15" s="1"/>
  <c r="M21" i="15"/>
  <c r="L21" i="15"/>
  <c r="K21" i="15"/>
  <c r="J21" i="15"/>
  <c r="I21" i="15"/>
  <c r="H21" i="15"/>
  <c r="G21" i="15"/>
  <c r="F21" i="15"/>
  <c r="E21" i="15"/>
  <c r="D21" i="15"/>
  <c r="C21" i="15"/>
  <c r="AG20" i="15"/>
  <c r="AE20" i="15"/>
  <c r="AD20" i="15"/>
  <c r="AC20" i="15"/>
  <c r="AB20" i="15"/>
  <c r="AA20" i="15"/>
  <c r="Z20" i="15"/>
  <c r="X20" i="15"/>
  <c r="W20" i="15"/>
  <c r="V20" i="15"/>
  <c r="U20" i="15"/>
  <c r="T20" i="15"/>
  <c r="S20" i="15"/>
  <c r="R20" i="15"/>
  <c r="Q20" i="15"/>
  <c r="P20" i="15"/>
  <c r="O20" i="15"/>
  <c r="M20" i="15"/>
  <c r="L20" i="15"/>
  <c r="J20" i="15"/>
  <c r="I20" i="15"/>
  <c r="F20" i="15"/>
  <c r="E20" i="15"/>
  <c r="C20" i="15"/>
  <c r="AG23" i="14"/>
  <c r="AG20" i="14" s="1"/>
  <c r="AG22" i="14"/>
  <c r="AG21" i="14"/>
  <c r="AF23" i="14"/>
  <c r="AE23" i="14"/>
  <c r="AE20" i="14" s="1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AF21" i="14"/>
  <c r="AE21" i="14"/>
  <c r="AD21" i="14"/>
  <c r="AD20" i="14" s="1"/>
  <c r="AC21" i="14"/>
  <c r="AC20" i="14" s="1"/>
  <c r="AB21" i="14"/>
  <c r="AA21" i="14"/>
  <c r="Z21" i="14"/>
  <c r="Y21" i="14"/>
  <c r="X21" i="14"/>
  <c r="W21" i="14"/>
  <c r="W20" i="14" s="1"/>
  <c r="V21" i="14"/>
  <c r="V20" i="14" s="1"/>
  <c r="U21" i="14"/>
  <c r="T21" i="14"/>
  <c r="S21" i="14"/>
  <c r="R21" i="14"/>
  <c r="Q21" i="14"/>
  <c r="P21" i="14"/>
  <c r="P20" i="14" s="1"/>
  <c r="O21" i="14"/>
  <c r="O20" i="14" s="1"/>
  <c r="N21" i="14"/>
  <c r="M21" i="14"/>
  <c r="L21" i="14"/>
  <c r="K21" i="14"/>
  <c r="J21" i="14"/>
  <c r="I21" i="14"/>
  <c r="I20" i="14" s="1"/>
  <c r="H21" i="14"/>
  <c r="H20" i="14" s="1"/>
  <c r="G21" i="14"/>
  <c r="F21" i="14"/>
  <c r="E21" i="14"/>
  <c r="D21" i="14"/>
  <c r="C21" i="14"/>
  <c r="AA20" i="14"/>
  <c r="U20" i="14"/>
  <c r="T20" i="14"/>
  <c r="S20" i="14"/>
  <c r="R20" i="14"/>
  <c r="Q20" i="14"/>
  <c r="J20" i="14"/>
  <c r="G20" i="14"/>
  <c r="F20" i="14"/>
  <c r="E20" i="14"/>
  <c r="D20" i="14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D20" i="13"/>
  <c r="F20" i="13"/>
  <c r="G20" i="13"/>
  <c r="H20" i="13"/>
  <c r="T20" i="13"/>
  <c r="C22" i="13"/>
  <c r="C20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H18" i="17"/>
  <c r="H17" i="17"/>
  <c r="H12" i="17"/>
  <c r="H14" i="17"/>
  <c r="H16" i="17"/>
  <c r="H13" i="17"/>
  <c r="H11" i="17"/>
  <c r="H10" i="17"/>
  <c r="H20" i="17"/>
  <c r="H37" i="17"/>
  <c r="H31" i="17"/>
  <c r="H35" i="17"/>
  <c r="H34" i="17"/>
  <c r="H30" i="17"/>
  <c r="H29" i="17"/>
  <c r="H32" i="17"/>
  <c r="H36" i="17"/>
  <c r="H38" i="17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Y20" i="15" l="1"/>
  <c r="AB20" i="14"/>
  <c r="Y20" i="14"/>
  <c r="X20" i="14"/>
  <c r="C20" i="14"/>
  <c r="D20" i="15"/>
  <c r="AF20" i="14"/>
  <c r="L20" i="14"/>
  <c r="M20" i="14"/>
  <c r="N20" i="14"/>
  <c r="K20" i="14"/>
  <c r="Z20" i="14"/>
  <c r="X20" i="13"/>
  <c r="AE20" i="13"/>
  <c r="AA20" i="13"/>
  <c r="W20" i="13"/>
  <c r="S20" i="13"/>
  <c r="V20" i="13"/>
  <c r="N20" i="13"/>
  <c r="Z20" i="13"/>
  <c r="R20" i="13"/>
  <c r="Y20" i="13"/>
  <c r="U20" i="13"/>
  <c r="Q20" i="13"/>
  <c r="M20" i="13"/>
  <c r="I20" i="13"/>
  <c r="E20" i="13"/>
  <c r="K20" i="13"/>
  <c r="J20" i="13"/>
  <c r="AB20" i="13"/>
  <c r="AD20" i="13"/>
  <c r="AC20" i="13"/>
  <c r="P20" i="13"/>
  <c r="O20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</t>
      </text>
    </comment>
    <comment ref="AB6" authorId="1" shapeId="0" xr:uid="{32F81BC9-05B3-41DD-87AB-020559C47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Tener en cuenta cambio horario
</t>
      </text>
    </comment>
    <comment ref="AA13" authorId="2" shapeId="0" xr:uid="{A38EE8CA-7E5B-4089-800E-3E4712793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
</t>
      </text>
    </comment>
  </commentList>
</comments>
</file>

<file path=xl/sharedStrings.xml><?xml version="1.0" encoding="utf-8"?>
<sst xmlns="http://schemas.openxmlformats.org/spreadsheetml/2006/main" count="4778" uniqueCount="168">
  <si>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</si>
  <si>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</si>
  <si>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</si>
  <si>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</si>
  <si>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</si>
  <si>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</si>
  <si>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</si>
  <si>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</si>
  <si>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</si>
  <si>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</si>
  <si>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</si>
  <si>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</si>
  <si>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</si>
  <si>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</si>
  <si>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</si>
  <si>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</si>
  <si>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</si>
  <si>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</si>
  <si>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</si>
  <si>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</si>
  <si>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</si>
  <si>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</si>
  <si>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</si>
  <si>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</si>
  <si>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</si>
  <si>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</si>
  <si>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</si>
  <si>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</si>
  <si>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</si>
  <si>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</si>
  <si>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</si>
  <si>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</si>
  <si>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</si>
  <si>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</si>
  <si>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</si>
  <si>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</si>
  <si>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</si>
  <si>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</si>
  <si>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</si>
  <si>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</si>
  <si>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</si>
  <si>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</si>
  <si>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</si>
  <si>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</si>
  <si>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</si>
  <si>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</si>
  <si>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</si>
  <si>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</si>
  <si>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</si>
  <si>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</si>
  <si>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</si>
  <si>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</si>
  <si>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</si>
  <si>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</si>
  <si>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</si>
  <si>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</si>
  <si>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</si>
  <si>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</si>
  <si>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</si>
  <si>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</si>
  <si>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</si>
  <si>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</si>
  <si>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</si>
  <si>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</si>
  <si>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</si>
  <si>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</si>
  <si>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</si>
  <si>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</si>
  <si>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</si>
  <si>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</si>
  <si>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</si>
  <si>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</si>
  <si>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</si>
  <si>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</si>
  <si>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</si>
  <si>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</si>
  <si>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</si>
  <si>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</si>
  <si>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</si>
  <si>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</si>
  <si>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</si>
  <si>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</si>
  <si>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>A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</si>
  <si>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</si>
  <si>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</si>
  <si>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</si>
  <si>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</si>
  <si>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</si>
  <si>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</si>
  <si>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</si>
  <si>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</si>
  <si>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</si>
  <si>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</si>
  <si>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</si>
  <si>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ENERO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</si>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</sst>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4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186690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186690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146685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146685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7</xdr:col>
      <xdr:colOff>0</xdr:colOff>
      <xdr:row>6</xdr:row>
      <xdr:rowOff>47625</xdr:rowOff>
    </xdr:from>
    <xdr:ext cx="2947858" cy="342851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</a:extLst>
        </xdr:cNvPr>
        <xdr:cNvSpPr txBox="1"/>
      </xdr:nvSpPr>
      <xdr:spPr>
        <a:xfrm>
          <a:off x="5172075" y="4429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pe Dolor Kristina" id="{0A7F2EB7-93AE-4D1B-8B1F-3BE903E54C73}" userId="S::x757832@santanderglobaltech.com::9394378e-7cb2-407f-b890-7e14ae9d513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pane="topRight" activeCell="H8" sqref="H8"/>
      <selection activeCell="A5" sqref="A5"/>
    </sheetView>
  </sheetViews>
  <sheetFormatPr defaultColWidth="0" defaultRowHeight="0" customHeight="1" zeroHeight="1"/>
  <cols>
    <col min="1" max="1" width="10.140625" style="6" bestFit="1" customWidth="1"/>
    <col min="2" max="2" width="3.85546875" style="6" customWidth="1"/>
    <col min="3" max="3" width="6.42578125" style="6" bestFit="1" customWidth="1"/>
    <col min="4" max="4" width="22.140625" style="31" bestFit="1" customWidth="1"/>
    <col min="5" max="35" width="4.7109375" style="6" customWidth="1"/>
    <col min="36" max="36" width="4" style="93" bestFit="1" customWidth="1"/>
    <col min="37" max="16384" width="0" style="6" hidden="1"/>
  </cols>
  <sheetData>
    <row r="1" spans="1:36" ht="18" customHeight="1"/>
    <row r="2" spans="1:36" ht="24" customHeight="1">
      <c r="D2" s="128"/>
      <c r="E2" s="125" t="s">
        <v>0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</row>
    <row r="3" spans="1:36" ht="18" customHeight="1">
      <c r="B3" s="32"/>
      <c r="D3" s="128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>
      <c r="D4" s="128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>
      <c r="A5" s="129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>
      <c r="A6" s="130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>
      <c r="A7" s="130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>
      <c r="A8" s="130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>
      <c r="A9" s="130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>
      <c r="A10" s="130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>
      <c r="A11" s="130"/>
      <c r="C11" s="34"/>
      <c r="D11" s="36"/>
      <c r="E11" s="135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7"/>
      <c r="AJ11" s="91"/>
    </row>
    <row r="12" spans="1:36" ht="18" customHeight="1">
      <c r="A12" s="130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>
      <c r="A13" s="130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>
      <c r="A14" s="130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>
      <c r="A15" s="130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>
      <c r="A16" s="130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>
      <c r="A17" s="130"/>
      <c r="C17" s="34"/>
      <c r="D17" s="33"/>
      <c r="E17" s="135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7"/>
    </row>
    <row r="18" spans="1:36" ht="18" customHeight="1">
      <c r="A18" s="130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>
      <c r="A19" s="130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>
      <c r="A20" s="130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>
      <c r="A21" s="130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>
      <c r="A22" s="130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>
      <c r="A23" s="130"/>
      <c r="C23" s="34"/>
      <c r="D23" s="35"/>
      <c r="E23" s="132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4"/>
    </row>
    <row r="24" spans="1:36" ht="18" customHeight="1">
      <c r="A24" s="131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/>
    <row r="27" spans="1:36" ht="18" customHeight="1">
      <c r="A27" s="122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>
      <c r="A28" s="123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>
      <c r="A29" s="123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>
      <c r="A30" s="123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>
      <c r="A31" s="123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>
      <c r="A32" s="124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workbookViewId="0">
      <selection activeCell="S5" sqref="S5"/>
    </sheetView>
  </sheetViews>
  <sheetFormatPr defaultColWidth="8.5703125" defaultRowHeight="15"/>
  <cols>
    <col min="1" max="1" width="10.140625" bestFit="1" customWidth="1"/>
    <col min="2" max="2" width="3.85546875" customWidth="1"/>
    <col min="3" max="3" width="6.42578125" bestFit="1" customWidth="1"/>
    <col min="4" max="4" width="27.5703125" customWidth="1"/>
    <col min="5" max="35" width="4.7109375" customWidth="1"/>
    <col min="36" max="36" width="4" bestFit="1" customWidth="1"/>
  </cols>
  <sheetData>
    <row r="1" spans="1:36" ht="15.75" thickBot="1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.75" thickBot="1">
      <c r="A2" s="6"/>
      <c r="B2" s="6"/>
      <c r="C2" s="6"/>
      <c r="D2" s="128"/>
      <c r="E2" s="125" t="s">
        <v>49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</row>
    <row r="3" spans="1:36">
      <c r="A3" s="6"/>
      <c r="B3" s="32"/>
      <c r="C3" s="6"/>
      <c r="D3" s="128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>
      <c r="A4" s="6"/>
      <c r="B4" s="6"/>
      <c r="C4" s="6"/>
      <c r="D4" s="128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>
      <c r="A5" s="130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>
      <c r="A6" s="130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>
      <c r="A7" s="130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>
      <c r="A8" s="130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>
      <c r="A9" s="130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>
      <c r="A10" s="130"/>
      <c r="B10" s="6"/>
      <c r="C10" s="34"/>
      <c r="D10" s="36"/>
      <c r="E10" s="135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7"/>
    </row>
    <row r="11" spans="1:36">
      <c r="A11" s="130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>
      <c r="A12" s="130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.75" thickBot="1">
      <c r="A13" s="130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.75" thickBot="1">
      <c r="A14" s="130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>
      <c r="A15" s="130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>
      <c r="A16" s="130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>
      <c r="A17" s="130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>
      <c r="A18" s="130"/>
      <c r="B18" s="6"/>
      <c r="C18" s="34"/>
      <c r="D18" s="33"/>
      <c r="E18" s="135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7"/>
    </row>
    <row r="19" spans="1:35">
      <c r="A19" s="130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>
      <c r="A20" s="130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>
      <c r="A21" s="130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>
      <c r="A22" s="130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>
      <c r="A23" s="130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>
      <c r="A24" s="130"/>
      <c r="B24" s="6"/>
      <c r="C24" s="34"/>
      <c r="E24" s="132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4"/>
    </row>
    <row r="25" spans="1:35" ht="15.75" thickBot="1">
      <c r="A25" s="131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.75" thickBot="1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85" customHeight="1">
      <c r="A28" s="122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85" customHeight="1">
      <c r="A29" s="123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85" customHeight="1">
      <c r="A30" s="123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85" customHeight="1">
      <c r="A31" s="123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>
      <c r="A32" s="123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.75" thickBot="1">
      <c r="A33" s="124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defaultColWidth="8.5703125" defaultRowHeight="15"/>
  <cols>
    <col min="2" max="2" width="25.5703125" customWidth="1"/>
    <col min="3" max="32" width="4.7109375" customWidth="1"/>
    <col min="33" max="33" width="4" style="91" bestFit="1" customWidth="1"/>
  </cols>
  <sheetData>
    <row r="1" spans="1:33" ht="15" customHeight="1">
      <c r="A1" s="6"/>
      <c r="B1" s="128"/>
      <c r="C1" s="125" t="s">
        <v>57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 spans="1:33">
      <c r="A2" s="6"/>
      <c r="B2" s="128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>
      <c r="A3" s="6"/>
      <c r="B3" s="12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>
      <c r="A9" s="34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</row>
    <row r="10" spans="1:33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>
      <c r="A15" s="34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</row>
    <row r="16" spans="1:33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>
      <c r="A19" s="34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</row>
    <row r="20" spans="1:32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>
      <c r="A21" s="34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</row>
    <row r="22" spans="1:32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75</v>
      </c>
    </row>
    <row r="35" spans="2:2">
      <c r="B35" s="28" t="s">
        <v>76</v>
      </c>
    </row>
    <row r="36" spans="2:2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K4" sqref="K4"/>
    </sheetView>
  </sheetViews>
  <sheetFormatPr defaultColWidth="8.5703125" defaultRowHeight="15"/>
  <cols>
    <col min="2" max="2" width="25.5703125" customWidth="1"/>
    <col min="3" max="33" width="4.7109375" customWidth="1"/>
    <col min="34" max="34" width="4" style="91" bestFit="1" customWidth="1"/>
  </cols>
  <sheetData>
    <row r="1" spans="1:34" ht="15" customHeight="1">
      <c r="A1" s="6"/>
      <c r="B1" s="128"/>
      <c r="C1" s="138" t="s">
        <v>78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4">
      <c r="A2" s="6"/>
      <c r="B2" s="128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>
      <c r="A3" s="6"/>
      <c r="B3" s="12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>
      <c r="A15" s="34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</row>
    <row r="16" spans="1:34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>
      <c r="AA20" s="86" t="s">
        <v>79</v>
      </c>
      <c r="AB20" s="86"/>
      <c r="AC20" s="86"/>
      <c r="AD20" s="86"/>
      <c r="AE20" s="86"/>
    </row>
    <row r="23" spans="1:33">
      <c r="B23" t="s">
        <v>65</v>
      </c>
    </row>
    <row r="24" spans="1:33">
      <c r="B24" s="5" t="s">
        <v>66</v>
      </c>
    </row>
    <row r="25" spans="1:33">
      <c r="B25" s="5" t="s">
        <v>67</v>
      </c>
    </row>
    <row r="26" spans="1:33">
      <c r="B26" s="1" t="s">
        <v>68</v>
      </c>
    </row>
    <row r="27" spans="1:33">
      <c r="B27" s="7" t="s">
        <v>69</v>
      </c>
    </row>
    <row r="28" spans="1:33">
      <c r="B28" s="3" t="s">
        <v>70</v>
      </c>
    </row>
    <row r="29" spans="1:33">
      <c r="B29" s="5" t="s">
        <v>71</v>
      </c>
    </row>
    <row r="30" spans="1:33">
      <c r="B30" s="3" t="s">
        <v>72</v>
      </c>
    </row>
    <row r="31" spans="1:33">
      <c r="B31" s="4" t="s">
        <v>73</v>
      </c>
    </row>
    <row r="32" spans="1:33">
      <c r="B32" s="25" t="s">
        <v>74</v>
      </c>
    </row>
    <row r="33" spans="2:2">
      <c r="B33" s="4" t="s">
        <v>80</v>
      </c>
    </row>
    <row r="34" spans="2:2">
      <c r="B34" s="28" t="s">
        <v>76</v>
      </c>
    </row>
    <row r="35" spans="2:2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G37"/>
  <sheetViews>
    <sheetView tabSelected="1" zoomScaleNormal="100" workbookViewId="0">
      <selection activeCell="AI23" sqref="AI23"/>
    </sheetView>
  </sheetViews>
  <sheetFormatPr defaultColWidth="8.85546875" defaultRowHeight="15"/>
  <cols>
    <col min="2" max="2" width="25.85546875" customWidth="1"/>
    <col min="3" max="32" width="4.7109375" customWidth="1"/>
    <col min="33" max="33" width="4" style="91" bestFit="1" customWidth="1"/>
  </cols>
  <sheetData>
    <row r="1" spans="1:33">
      <c r="A1" s="6"/>
      <c r="B1" s="128"/>
      <c r="C1" s="141" t="s">
        <v>81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</row>
    <row r="2" spans="1:33">
      <c r="A2" s="6"/>
      <c r="B2" s="128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3">
      <c r="A3" s="6"/>
      <c r="B3" s="12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4" si="0">COUNTIFS(C4:AF4,"&lt;&gt;"&amp;"L",C4:AF4,"&lt;&gt;"&amp;"NF",C4:AF4,"&lt;&gt;"&amp;"M/F",C4:AF4,"&lt;&gt;"&amp;"V",C4:AF4,"&lt;&gt;"&amp;"A")*8+COUNTIFS(C4:AF4,"NF")*12+COUNTIFS(C4:AF4,"M/F")*12</f>
        <v>168</v>
      </c>
    </row>
    <row r="5" spans="1:33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3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3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16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82</v>
      </c>
      <c r="W8" s="81" t="s">
        <v>82</v>
      </c>
      <c r="X8" s="81" t="s">
        <v>82</v>
      </c>
      <c r="Y8" s="81" t="s">
        <v>82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3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3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3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3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3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spans="1:33">
      <c r="A16" s="34" t="s">
        <v>28</v>
      </c>
      <c r="B16" s="33" t="s">
        <v>29</v>
      </c>
      <c r="C16" s="9" t="s">
        <v>30</v>
      </c>
      <c r="D16" s="9" t="s">
        <v>30</v>
      </c>
      <c r="E16" s="4" t="s">
        <v>61</v>
      </c>
      <c r="F16" s="4" t="s">
        <v>61</v>
      </c>
      <c r="G16" s="4" t="s">
        <v>61</v>
      </c>
      <c r="H16" s="4" t="s">
        <v>61</v>
      </c>
      <c r="I16" s="4" t="s">
        <v>61</v>
      </c>
      <c r="J16" s="28" t="s">
        <v>7</v>
      </c>
      <c r="K16" s="28" t="s">
        <v>7</v>
      </c>
      <c r="L16" s="28" t="s">
        <v>7</v>
      </c>
      <c r="M16" s="25" t="s">
        <v>11</v>
      </c>
      <c r="N16" s="25" t="s">
        <v>54</v>
      </c>
      <c r="O16" s="25" t="s">
        <v>54</v>
      </c>
      <c r="P16" s="25" t="s">
        <v>54</v>
      </c>
      <c r="Q16" s="28" t="s">
        <v>7</v>
      </c>
      <c r="R16" s="28" t="s">
        <v>7</v>
      </c>
      <c r="S16" s="4" t="s">
        <v>54</v>
      </c>
      <c r="T16" s="4" t="s">
        <v>54</v>
      </c>
      <c r="U16" s="4" t="s">
        <v>54</v>
      </c>
      <c r="V16" s="4" t="s">
        <v>54</v>
      </c>
      <c r="W16" s="4" t="s">
        <v>54</v>
      </c>
      <c r="X16" s="28" t="s">
        <v>7</v>
      </c>
      <c r="Y16" s="28" t="s">
        <v>7</v>
      </c>
      <c r="Z16" s="25" t="s">
        <v>32</v>
      </c>
      <c r="AA16" s="4" t="s">
        <v>83</v>
      </c>
      <c r="AB16" s="4" t="s">
        <v>33</v>
      </c>
      <c r="AC16" s="4" t="s">
        <v>33</v>
      </c>
      <c r="AD16" s="4" t="s">
        <v>33</v>
      </c>
      <c r="AE16" s="9" t="s">
        <v>30</v>
      </c>
      <c r="AF16" s="9" t="s">
        <v>30</v>
      </c>
    </row>
    <row r="17" spans="1:32">
      <c r="A17" s="34" t="s">
        <v>28</v>
      </c>
      <c r="B17" s="35" t="s">
        <v>60</v>
      </c>
      <c r="C17" s="28" t="s">
        <v>7</v>
      </c>
      <c r="D17" s="28" t="s">
        <v>7</v>
      </c>
      <c r="E17" s="25" t="s">
        <v>54</v>
      </c>
      <c r="F17" s="25" t="s">
        <v>54</v>
      </c>
      <c r="G17" s="25" t="s">
        <v>54</v>
      </c>
      <c r="H17" s="25" t="s">
        <v>54</v>
      </c>
      <c r="I17" s="25" t="s">
        <v>54</v>
      </c>
      <c r="J17" s="28" t="s">
        <v>7</v>
      </c>
      <c r="K17" s="28" t="s">
        <v>7</v>
      </c>
      <c r="L17" s="28" t="s">
        <v>84</v>
      </c>
      <c r="M17" s="4" t="s">
        <v>83</v>
      </c>
      <c r="N17" s="4" t="s">
        <v>83</v>
      </c>
      <c r="O17" s="4" t="s">
        <v>83</v>
      </c>
      <c r="P17" s="4" t="s">
        <v>83</v>
      </c>
      <c r="Q17" s="9" t="s">
        <v>30</v>
      </c>
      <c r="R17" s="9" t="s">
        <v>30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54</v>
      </c>
      <c r="AA17" s="4" t="s">
        <v>54</v>
      </c>
      <c r="AB17" s="17" t="s">
        <v>4</v>
      </c>
      <c r="AC17" s="17" t="s">
        <v>4</v>
      </c>
      <c r="AD17" s="17" t="s">
        <v>4</v>
      </c>
      <c r="AE17" s="28" t="s">
        <v>7</v>
      </c>
      <c r="AF17" s="28" t="s">
        <v>7</v>
      </c>
    </row>
    <row r="18" spans="1:32">
      <c r="A18" s="34" t="s">
        <v>28</v>
      </c>
      <c r="B18" s="35" t="s">
        <v>34</v>
      </c>
      <c r="C18" s="28" t="s">
        <v>7</v>
      </c>
      <c r="D18" s="28" t="s">
        <v>7</v>
      </c>
      <c r="E18" s="3" t="s">
        <v>63</v>
      </c>
      <c r="F18" s="3" t="s">
        <v>63</v>
      </c>
      <c r="G18" s="3" t="s">
        <v>63</v>
      </c>
      <c r="H18" s="3" t="s">
        <v>63</v>
      </c>
      <c r="I18" s="3" t="s">
        <v>63</v>
      </c>
      <c r="J18" s="9" t="s">
        <v>30</v>
      </c>
      <c r="K18" s="9" t="s">
        <v>30</v>
      </c>
      <c r="L18" s="28" t="s">
        <v>7</v>
      </c>
      <c r="M18" s="4" t="s">
        <v>54</v>
      </c>
      <c r="N18" s="17" t="s">
        <v>4</v>
      </c>
      <c r="O18" s="17" t="s">
        <v>4</v>
      </c>
      <c r="P18" s="17" t="s">
        <v>4</v>
      </c>
      <c r="Q18" s="28" t="s">
        <v>7</v>
      </c>
      <c r="R18" s="28" t="s">
        <v>7</v>
      </c>
      <c r="S18" s="47" t="s">
        <v>85</v>
      </c>
      <c r="T18" s="4" t="s">
        <v>83</v>
      </c>
      <c r="U18" s="4" t="s">
        <v>83</v>
      </c>
      <c r="V18" s="4" t="s">
        <v>83</v>
      </c>
      <c r="W18" s="4" t="s">
        <v>83</v>
      </c>
      <c r="X18" s="48" t="s">
        <v>86</v>
      </c>
      <c r="Y18" s="48" t="s">
        <v>86</v>
      </c>
      <c r="Z18" s="118" t="s">
        <v>7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</row>
    <row r="19" spans="1:32" ht="12" customHeight="1">
      <c r="A19" s="39"/>
      <c r="B19" s="40"/>
      <c r="C19" s="113"/>
      <c r="D19" s="113"/>
      <c r="E19" s="114"/>
      <c r="F19" s="114"/>
      <c r="G19" s="114"/>
      <c r="H19" s="114"/>
      <c r="I19" s="114"/>
      <c r="J19" s="29"/>
      <c r="K19" s="29"/>
      <c r="L19" s="29"/>
      <c r="M19" s="29"/>
      <c r="N19" s="115"/>
      <c r="O19" s="29"/>
      <c r="P19" s="29"/>
      <c r="Q19" s="113"/>
      <c r="R19" s="113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113"/>
      <c r="AF19" s="113"/>
    </row>
    <row r="20" spans="1:32">
      <c r="B20" s="111" t="s">
        <v>87</v>
      </c>
      <c r="C20" s="110">
        <f>SUM(C21:C23)</f>
        <v>4</v>
      </c>
      <c r="D20" s="110">
        <f t="shared" ref="D20:AF20" si="1">SUM(D21:D23)</f>
        <v>4</v>
      </c>
      <c r="E20" s="110">
        <f t="shared" si="1"/>
        <v>8</v>
      </c>
      <c r="F20" s="110">
        <f t="shared" si="1"/>
        <v>8</v>
      </c>
      <c r="G20" s="110">
        <f t="shared" si="1"/>
        <v>8</v>
      </c>
      <c r="H20" s="110">
        <f t="shared" si="1"/>
        <v>8</v>
      </c>
      <c r="I20" s="110">
        <f t="shared" si="1"/>
        <v>8</v>
      </c>
      <c r="J20" s="110">
        <f t="shared" si="1"/>
        <v>4</v>
      </c>
      <c r="K20" s="110">
        <f t="shared" si="1"/>
        <v>4</v>
      </c>
      <c r="L20" s="110">
        <f t="shared" si="1"/>
        <v>6</v>
      </c>
      <c r="M20" s="110">
        <f t="shared" si="1"/>
        <v>9</v>
      </c>
      <c r="N20" s="110">
        <f t="shared" si="1"/>
        <v>8</v>
      </c>
      <c r="O20" s="110">
        <f t="shared" si="1"/>
        <v>8</v>
      </c>
      <c r="P20" s="110">
        <f t="shared" si="1"/>
        <v>8</v>
      </c>
      <c r="Q20" s="110">
        <f t="shared" si="1"/>
        <v>4</v>
      </c>
      <c r="R20" s="110">
        <f t="shared" si="1"/>
        <v>4</v>
      </c>
      <c r="S20" s="110">
        <f t="shared" si="1"/>
        <v>8</v>
      </c>
      <c r="T20" s="110">
        <f t="shared" si="1"/>
        <v>9</v>
      </c>
      <c r="U20" s="110">
        <f t="shared" si="1"/>
        <v>9</v>
      </c>
      <c r="V20" s="110">
        <f t="shared" si="1"/>
        <v>8</v>
      </c>
      <c r="W20" s="110">
        <f t="shared" si="1"/>
        <v>8</v>
      </c>
      <c r="X20" s="110">
        <f t="shared" si="1"/>
        <v>4</v>
      </c>
      <c r="Y20" s="110">
        <f t="shared" si="1"/>
        <v>4</v>
      </c>
      <c r="Z20" s="110">
        <f t="shared" si="1"/>
        <v>7</v>
      </c>
      <c r="AA20" s="110">
        <f t="shared" si="1"/>
        <v>9</v>
      </c>
      <c r="AB20" s="110">
        <f t="shared" si="1"/>
        <v>7</v>
      </c>
      <c r="AC20" s="110">
        <f t="shared" si="1"/>
        <v>7</v>
      </c>
      <c r="AD20" s="110">
        <f t="shared" si="1"/>
        <v>7</v>
      </c>
      <c r="AE20" s="110">
        <f t="shared" si="1"/>
        <v>4</v>
      </c>
      <c r="AF20" s="110">
        <f t="shared" si="1"/>
        <v>4</v>
      </c>
    </row>
    <row r="21" spans="1:32">
      <c r="B21" s="111" t="s">
        <v>88</v>
      </c>
      <c r="C21" s="112">
        <f t="shared" ref="C21:R21" si="2">COUNTIF(C4:C18,"T")+COUNTIF(C4:C18,"T/G")</f>
        <v>0</v>
      </c>
      <c r="D21" s="112">
        <f t="shared" si="2"/>
        <v>0</v>
      </c>
      <c r="E21" s="112">
        <f t="shared" si="2"/>
        <v>2</v>
      </c>
      <c r="F21" s="112">
        <f t="shared" si="2"/>
        <v>2</v>
      </c>
      <c r="G21" s="112">
        <f t="shared" si="2"/>
        <v>2</v>
      </c>
      <c r="H21" s="112">
        <f t="shared" si="2"/>
        <v>2</v>
      </c>
      <c r="I21" s="112">
        <f t="shared" si="2"/>
        <v>2</v>
      </c>
      <c r="J21" s="112">
        <f t="shared" si="2"/>
        <v>0</v>
      </c>
      <c r="K21" s="112">
        <f t="shared" si="2"/>
        <v>0</v>
      </c>
      <c r="L21" s="112">
        <f t="shared" si="2"/>
        <v>2</v>
      </c>
      <c r="M21" s="112">
        <f t="shared" si="2"/>
        <v>2</v>
      </c>
      <c r="N21" s="112">
        <f t="shared" si="2"/>
        <v>2</v>
      </c>
      <c r="O21" s="112">
        <f t="shared" si="2"/>
        <v>2</v>
      </c>
      <c r="P21" s="112">
        <f t="shared" si="2"/>
        <v>2</v>
      </c>
      <c r="Q21" s="112">
        <f t="shared" si="2"/>
        <v>0</v>
      </c>
      <c r="R21" s="112">
        <f t="shared" si="2"/>
        <v>0</v>
      </c>
      <c r="S21" s="112">
        <f>COUNTIF(S4:S18,"T")+COUNTIF(S4:S18,"T/G")</f>
        <v>2</v>
      </c>
      <c r="T21" s="112">
        <f t="shared" ref="T21:AF21" si="3">COUNTIF(T4:T18,"T")+COUNTIF(T4:T18,"T/G")</f>
        <v>2</v>
      </c>
      <c r="U21" s="112">
        <f t="shared" si="3"/>
        <v>2</v>
      </c>
      <c r="V21" s="112">
        <f t="shared" si="3"/>
        <v>2</v>
      </c>
      <c r="W21" s="112">
        <f t="shared" si="3"/>
        <v>2</v>
      </c>
      <c r="X21" s="112">
        <f t="shared" si="3"/>
        <v>0</v>
      </c>
      <c r="Y21" s="112">
        <f t="shared" si="3"/>
        <v>0</v>
      </c>
      <c r="Z21" s="112">
        <f t="shared" si="3"/>
        <v>2</v>
      </c>
      <c r="AA21" s="112">
        <f t="shared" si="3"/>
        <v>2</v>
      </c>
      <c r="AB21" s="112">
        <f t="shared" si="3"/>
        <v>2</v>
      </c>
      <c r="AC21" s="112">
        <f t="shared" si="3"/>
        <v>2</v>
      </c>
      <c r="AD21" s="112">
        <f t="shared" si="3"/>
        <v>2</v>
      </c>
      <c r="AE21" s="112">
        <f t="shared" si="3"/>
        <v>0</v>
      </c>
      <c r="AF21" s="112">
        <f t="shared" si="3"/>
        <v>0</v>
      </c>
    </row>
    <row r="22" spans="1:32">
      <c r="B22" s="111" t="s">
        <v>89</v>
      </c>
      <c r="C22" s="112">
        <f t="shared" ref="C22:AF22" si="4">COUNTIF(C4:C18,"N")+COUNTIF(C4:C18,"NF")</f>
        <v>2</v>
      </c>
      <c r="D22" s="112">
        <f t="shared" si="4"/>
        <v>2</v>
      </c>
      <c r="E22" s="112">
        <f t="shared" si="4"/>
        <v>2</v>
      </c>
      <c r="F22" s="112">
        <f t="shared" si="4"/>
        <v>2</v>
      </c>
      <c r="G22" s="112">
        <f t="shared" si="4"/>
        <v>2</v>
      </c>
      <c r="H22" s="112">
        <f t="shared" si="4"/>
        <v>2</v>
      </c>
      <c r="I22" s="112">
        <f t="shared" si="4"/>
        <v>2</v>
      </c>
      <c r="J22" s="112">
        <f t="shared" si="4"/>
        <v>2</v>
      </c>
      <c r="K22" s="112">
        <f t="shared" si="4"/>
        <v>2</v>
      </c>
      <c r="L22" s="112">
        <f t="shared" si="4"/>
        <v>2</v>
      </c>
      <c r="M22" s="112">
        <f t="shared" si="4"/>
        <v>2</v>
      </c>
      <c r="N22" s="112">
        <f t="shared" si="4"/>
        <v>2</v>
      </c>
      <c r="O22" s="112">
        <f t="shared" si="4"/>
        <v>2</v>
      </c>
      <c r="P22" s="112">
        <f t="shared" si="4"/>
        <v>2</v>
      </c>
      <c r="Q22" s="112">
        <f t="shared" si="4"/>
        <v>2</v>
      </c>
      <c r="R22" s="112">
        <f t="shared" si="4"/>
        <v>2</v>
      </c>
      <c r="S22" s="112">
        <f t="shared" si="4"/>
        <v>2</v>
      </c>
      <c r="T22" s="112">
        <f t="shared" si="4"/>
        <v>2</v>
      </c>
      <c r="U22" s="112">
        <f t="shared" si="4"/>
        <v>2</v>
      </c>
      <c r="V22" s="112">
        <f t="shared" si="4"/>
        <v>2</v>
      </c>
      <c r="W22" s="112">
        <f t="shared" si="4"/>
        <v>2</v>
      </c>
      <c r="X22" s="112">
        <f>COUNTIF(X4:X18,"N")+COUNTIF(X4:X18,"NF")</f>
        <v>2</v>
      </c>
      <c r="Y22" s="112">
        <f>COUNTIF(Y4:Y18,"N")+COUNTIF(Y4:Y18,"NF")</f>
        <v>2</v>
      </c>
      <c r="Z22" s="112">
        <f t="shared" si="4"/>
        <v>2</v>
      </c>
      <c r="AA22" s="112">
        <f t="shared" si="4"/>
        <v>2</v>
      </c>
      <c r="AB22" s="112">
        <f t="shared" si="4"/>
        <v>2</v>
      </c>
      <c r="AC22" s="112">
        <f t="shared" si="4"/>
        <v>2</v>
      </c>
      <c r="AD22" s="112">
        <f t="shared" si="4"/>
        <v>2</v>
      </c>
      <c r="AE22" s="112">
        <f t="shared" si="4"/>
        <v>2</v>
      </c>
      <c r="AF22" s="112">
        <f t="shared" si="4"/>
        <v>2</v>
      </c>
    </row>
    <row r="23" spans="1:32">
      <c r="B23" s="111" t="s">
        <v>90</v>
      </c>
      <c r="C23" s="112">
        <f t="shared" ref="C23:V23" si="5">COUNTIF(C4:C18,"M/F")+COUNTIF(C4:C18,"M1")+COUNTIF(C4:C18,"M3")+COUNTIF(C4:C18,"M3/G")+COUNTIF(C4:C18,"M2")+COUNTIF(C4:C18,"M/F/G")</f>
        <v>2</v>
      </c>
      <c r="D23" s="112">
        <f t="shared" si="5"/>
        <v>2</v>
      </c>
      <c r="E23" s="112">
        <f t="shared" si="5"/>
        <v>4</v>
      </c>
      <c r="F23" s="112">
        <f t="shared" si="5"/>
        <v>4</v>
      </c>
      <c r="G23" s="112">
        <f t="shared" si="5"/>
        <v>4</v>
      </c>
      <c r="H23" s="112">
        <f t="shared" si="5"/>
        <v>4</v>
      </c>
      <c r="I23" s="112">
        <f t="shared" si="5"/>
        <v>4</v>
      </c>
      <c r="J23" s="112">
        <f t="shared" si="5"/>
        <v>2</v>
      </c>
      <c r="K23" s="112">
        <f t="shared" si="5"/>
        <v>2</v>
      </c>
      <c r="L23" s="112">
        <f t="shared" si="5"/>
        <v>2</v>
      </c>
      <c r="M23" s="112">
        <f t="shared" si="5"/>
        <v>5</v>
      </c>
      <c r="N23" s="112">
        <f t="shared" si="5"/>
        <v>4</v>
      </c>
      <c r="O23" s="112">
        <f t="shared" si="5"/>
        <v>4</v>
      </c>
      <c r="P23" s="112">
        <f t="shared" si="5"/>
        <v>4</v>
      </c>
      <c r="Q23" s="112">
        <f t="shared" si="5"/>
        <v>2</v>
      </c>
      <c r="R23" s="112">
        <f t="shared" si="5"/>
        <v>2</v>
      </c>
      <c r="S23" s="112">
        <f t="shared" si="5"/>
        <v>4</v>
      </c>
      <c r="T23" s="112">
        <f t="shared" si="5"/>
        <v>5</v>
      </c>
      <c r="U23" s="112">
        <f t="shared" si="5"/>
        <v>5</v>
      </c>
      <c r="V23" s="112">
        <f t="shared" si="5"/>
        <v>4</v>
      </c>
      <c r="W23" s="112">
        <f>COUNTIF(W4:W18,"M/F")+COUNTIF(W4:W18,"M1")+COUNTIF(W4:W18,"M3")+COUNTIF(W4:W18,"M3/G")+COUNTIF(W4:W18,"M2")+COUNTIF(W4:W18,"M/F/G")</f>
        <v>4</v>
      </c>
      <c r="X23" s="112">
        <f t="shared" ref="X23:AF23" si="6">COUNTIF(X4:X18,"M/F")+COUNTIF(X4:X18,"M1")+COUNTIF(X4:X18,"M3")+COUNTIF(X4:X18,"M3/G")+COUNTIF(X4:X18,"M2")+COUNTIF(X4:X18,"M/F/G")</f>
        <v>2</v>
      </c>
      <c r="Y23" s="112">
        <f t="shared" si="6"/>
        <v>2</v>
      </c>
      <c r="Z23" s="112">
        <f t="shared" si="6"/>
        <v>3</v>
      </c>
      <c r="AA23" s="112">
        <f t="shared" si="6"/>
        <v>5</v>
      </c>
      <c r="AB23" s="112">
        <f t="shared" si="6"/>
        <v>3</v>
      </c>
      <c r="AC23" s="112">
        <f t="shared" si="6"/>
        <v>3</v>
      </c>
      <c r="AD23" s="112">
        <f t="shared" si="6"/>
        <v>3</v>
      </c>
      <c r="AE23" s="112">
        <f t="shared" si="6"/>
        <v>2</v>
      </c>
      <c r="AF23" s="112">
        <f t="shared" si="6"/>
        <v>2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91</v>
      </c>
    </row>
    <row r="35" spans="2:2">
      <c r="B35" s="28" t="s">
        <v>76</v>
      </c>
    </row>
    <row r="36" spans="2:2">
      <c r="B36" s="17" t="s">
        <v>77</v>
      </c>
    </row>
    <row r="37" spans="2:2">
      <c r="B37" s="48" t="s">
        <v>92</v>
      </c>
    </row>
  </sheetData>
  <mergeCells count="2">
    <mergeCell ref="B1:B3"/>
    <mergeCell ref="C1:AF1"/>
  </mergeCells>
  <conditionalFormatting sqref="C21:AF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H37"/>
  <sheetViews>
    <sheetView workbookViewId="0">
      <selection activeCell="AH4" sqref="AH4"/>
    </sheetView>
  </sheetViews>
  <sheetFormatPr defaultColWidth="8.85546875" defaultRowHeight="15"/>
  <cols>
    <col min="2" max="2" width="31.140625" customWidth="1"/>
    <col min="3" max="33" width="4.7109375" customWidth="1"/>
    <col min="34" max="34" width="4" style="91" bestFit="1" customWidth="1"/>
  </cols>
  <sheetData>
    <row r="1" spans="1:34" ht="15" customHeight="1">
      <c r="A1" s="6"/>
      <c r="B1" s="128"/>
      <c r="C1" s="141" t="s">
        <v>93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</row>
    <row r="2" spans="1:34">
      <c r="A2" s="6"/>
      <c r="B2" s="128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4">
      <c r="A3" s="6"/>
      <c r="B3" s="12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4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152</v>
      </c>
    </row>
    <row r="6" spans="1:34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4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4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4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4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4">
      <c r="A13" s="34" t="s">
        <v>12</v>
      </c>
      <c r="B13" s="75" t="s">
        <v>25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28" t="s">
        <v>7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152</v>
      </c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</row>
    <row r="16" spans="1:34">
      <c r="A16" s="34" t="s">
        <v>28</v>
      </c>
      <c r="B16" s="33" t="s">
        <v>29</v>
      </c>
      <c r="C16" s="121" t="s">
        <v>54</v>
      </c>
      <c r="D16" s="121" t="s">
        <v>11</v>
      </c>
      <c r="E16" s="119" t="s">
        <v>11</v>
      </c>
      <c r="F16" s="25" t="s">
        <v>11</v>
      </c>
      <c r="G16" s="25" t="s">
        <v>11</v>
      </c>
      <c r="H16" s="28" t="s">
        <v>7</v>
      </c>
      <c r="I16" s="28" t="s">
        <v>7</v>
      </c>
      <c r="J16" s="28" t="s">
        <v>7</v>
      </c>
      <c r="K16" s="4" t="s">
        <v>54</v>
      </c>
      <c r="L16" s="4" t="s">
        <v>54</v>
      </c>
      <c r="M16" s="4" t="s">
        <v>54</v>
      </c>
      <c r="N16" s="4" t="s">
        <v>54</v>
      </c>
      <c r="O16" s="28" t="s">
        <v>7</v>
      </c>
      <c r="P16" s="28" t="s">
        <v>7</v>
      </c>
      <c r="Q16" s="4" t="s">
        <v>83</v>
      </c>
      <c r="R16" s="4" t="s">
        <v>83</v>
      </c>
      <c r="S16" s="4" t="s">
        <v>83</v>
      </c>
      <c r="T16" s="4" t="s">
        <v>83</v>
      </c>
      <c r="U16" s="4" t="s">
        <v>83</v>
      </c>
      <c r="V16" s="28" t="s">
        <v>30</v>
      </c>
      <c r="W16" s="28" t="s">
        <v>30</v>
      </c>
      <c r="X16" s="17" t="s">
        <v>4</v>
      </c>
      <c r="Y16" s="17" t="s">
        <v>4</v>
      </c>
      <c r="Z16" s="17" t="s">
        <v>4</v>
      </c>
      <c r="AA16" s="28" t="s">
        <v>7</v>
      </c>
      <c r="AB16" s="17" t="s">
        <v>4</v>
      </c>
      <c r="AC16" s="28" t="s">
        <v>7</v>
      </c>
      <c r="AD16" s="28" t="s">
        <v>7</v>
      </c>
      <c r="AE16" s="25" t="s">
        <v>11</v>
      </c>
      <c r="AF16" s="25" t="s">
        <v>32</v>
      </c>
      <c r="AG16" s="25" t="s">
        <v>32</v>
      </c>
    </row>
    <row r="17" spans="1:33">
      <c r="A17" s="34" t="s">
        <v>28</v>
      </c>
      <c r="B17" s="35" t="s">
        <v>60</v>
      </c>
      <c r="C17" s="120" t="s">
        <v>83</v>
      </c>
      <c r="D17" s="120" t="s">
        <v>83</v>
      </c>
      <c r="E17" s="4" t="s">
        <v>83</v>
      </c>
      <c r="F17" s="4" t="s">
        <v>83</v>
      </c>
      <c r="G17" s="4" t="s">
        <v>83</v>
      </c>
      <c r="H17" s="28" t="s">
        <v>30</v>
      </c>
      <c r="I17" s="28" t="s">
        <v>30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8" t="s">
        <v>7</v>
      </c>
      <c r="P17" s="28" t="s">
        <v>7</v>
      </c>
      <c r="Q17" s="4" t="s">
        <v>54</v>
      </c>
      <c r="R17" s="4" t="s">
        <v>54</v>
      </c>
      <c r="S17" s="4" t="s">
        <v>54</v>
      </c>
      <c r="T17" s="4" t="s">
        <v>54</v>
      </c>
      <c r="U17" s="4" t="s">
        <v>54</v>
      </c>
      <c r="V17" s="28" t="s">
        <v>7</v>
      </c>
      <c r="W17" s="28" t="s">
        <v>7</v>
      </c>
      <c r="X17" s="1" t="s">
        <v>32</v>
      </c>
      <c r="Y17" s="1" t="s">
        <v>32</v>
      </c>
      <c r="Z17" s="1" t="s">
        <v>33</v>
      </c>
      <c r="AA17" s="28" t="s">
        <v>84</v>
      </c>
      <c r="AB17" s="1" t="s">
        <v>32</v>
      </c>
      <c r="AC17" s="28" t="s">
        <v>30</v>
      </c>
      <c r="AD17" s="28" t="s">
        <v>30</v>
      </c>
      <c r="AE17" s="17" t="s">
        <v>4</v>
      </c>
      <c r="AF17" s="17" t="s">
        <v>4</v>
      </c>
      <c r="AG17" s="17" t="s">
        <v>4</v>
      </c>
    </row>
    <row r="18" spans="1:33">
      <c r="A18" s="34" t="s">
        <v>28</v>
      </c>
      <c r="B18" s="35" t="s">
        <v>34</v>
      </c>
      <c r="C18" s="17" t="s">
        <v>4</v>
      </c>
      <c r="D18" s="4" t="s">
        <v>54</v>
      </c>
      <c r="E18" s="4" t="s">
        <v>54</v>
      </c>
      <c r="F18" s="4" t="s">
        <v>54</v>
      </c>
      <c r="G18" s="4" t="s">
        <v>54</v>
      </c>
      <c r="H18" s="28" t="s">
        <v>7</v>
      </c>
      <c r="I18" s="28" t="s">
        <v>7</v>
      </c>
      <c r="J18" s="28" t="s">
        <v>84</v>
      </c>
      <c r="K18" s="47" t="s">
        <v>63</v>
      </c>
      <c r="L18" s="47" t="s">
        <v>63</v>
      </c>
      <c r="M18" s="47" t="s">
        <v>63</v>
      </c>
      <c r="N18" s="47" t="s">
        <v>63</v>
      </c>
      <c r="O18" s="28" t="s">
        <v>30</v>
      </c>
      <c r="P18" s="28" t="s">
        <v>30</v>
      </c>
      <c r="Q18" s="25" t="s">
        <v>11</v>
      </c>
      <c r="R18" s="25" t="s">
        <v>11</v>
      </c>
      <c r="S18" s="25" t="s">
        <v>11</v>
      </c>
      <c r="T18" s="25" t="s">
        <v>11</v>
      </c>
      <c r="U18" s="25" t="s">
        <v>11</v>
      </c>
      <c r="V18" s="28" t="s">
        <v>7</v>
      </c>
      <c r="W18" s="28" t="s">
        <v>7</v>
      </c>
      <c r="X18" s="4" t="s">
        <v>54</v>
      </c>
      <c r="Y18" s="4" t="s">
        <v>54</v>
      </c>
      <c r="Z18" s="47" t="s">
        <v>20</v>
      </c>
      <c r="AA18" s="28" t="s">
        <v>7</v>
      </c>
      <c r="AB18" s="4" t="s">
        <v>54</v>
      </c>
      <c r="AC18" s="28" t="s">
        <v>7</v>
      </c>
      <c r="AD18" s="28" t="s">
        <v>7</v>
      </c>
      <c r="AE18" s="4" t="s">
        <v>33</v>
      </c>
      <c r="AF18" s="4" t="s">
        <v>33</v>
      </c>
      <c r="AG18" s="4" t="s">
        <v>33</v>
      </c>
    </row>
    <row r="20" spans="1:33">
      <c r="B20" s="111" t="s">
        <v>87</v>
      </c>
      <c r="C20" s="110">
        <f>SUM(C21:C23)</f>
        <v>8</v>
      </c>
      <c r="D20" s="110">
        <f t="shared" ref="D20:AG20" si="1">SUM(D21:D23)</f>
        <v>9</v>
      </c>
      <c r="E20" s="110">
        <f t="shared" si="1"/>
        <v>9</v>
      </c>
      <c r="F20" s="110">
        <f t="shared" si="1"/>
        <v>9</v>
      </c>
      <c r="G20" s="110">
        <f t="shared" si="1"/>
        <v>9</v>
      </c>
      <c r="H20" s="110">
        <f t="shared" si="1"/>
        <v>4</v>
      </c>
      <c r="I20" s="110">
        <f t="shared" si="1"/>
        <v>4</v>
      </c>
      <c r="J20" s="110">
        <f t="shared" si="1"/>
        <v>6</v>
      </c>
      <c r="K20" s="110">
        <f t="shared" si="1"/>
        <v>7</v>
      </c>
      <c r="L20" s="110">
        <f t="shared" si="1"/>
        <v>7</v>
      </c>
      <c r="M20" s="110">
        <f t="shared" si="1"/>
        <v>7</v>
      </c>
      <c r="N20" s="110">
        <f t="shared" si="1"/>
        <v>8</v>
      </c>
      <c r="O20" s="110">
        <f t="shared" si="1"/>
        <v>4</v>
      </c>
      <c r="P20" s="110">
        <f t="shared" si="1"/>
        <v>4</v>
      </c>
      <c r="Q20" s="110">
        <f t="shared" si="1"/>
        <v>9</v>
      </c>
      <c r="R20" s="110">
        <f t="shared" si="1"/>
        <v>9</v>
      </c>
      <c r="S20" s="110">
        <f t="shared" si="1"/>
        <v>9</v>
      </c>
      <c r="T20" s="110">
        <f t="shared" si="1"/>
        <v>9</v>
      </c>
      <c r="U20" s="110">
        <f t="shared" si="1"/>
        <v>9</v>
      </c>
      <c r="V20" s="110">
        <f t="shared" si="1"/>
        <v>4</v>
      </c>
      <c r="W20" s="110">
        <f t="shared" si="1"/>
        <v>4</v>
      </c>
      <c r="X20" s="110">
        <f t="shared" si="1"/>
        <v>7</v>
      </c>
      <c r="Y20" s="110">
        <f t="shared" si="1"/>
        <v>7</v>
      </c>
      <c r="Z20" s="110">
        <f t="shared" si="1"/>
        <v>6</v>
      </c>
      <c r="AA20" s="110">
        <f t="shared" si="1"/>
        <v>6</v>
      </c>
      <c r="AB20" s="110">
        <f t="shared" si="1"/>
        <v>7</v>
      </c>
      <c r="AC20" s="110">
        <f t="shared" si="1"/>
        <v>4</v>
      </c>
      <c r="AD20" s="110">
        <f t="shared" si="1"/>
        <v>4</v>
      </c>
      <c r="AE20" s="110">
        <f t="shared" si="1"/>
        <v>7</v>
      </c>
      <c r="AF20" s="110">
        <f t="shared" si="1"/>
        <v>6</v>
      </c>
      <c r="AG20" s="110">
        <f t="shared" si="1"/>
        <v>6</v>
      </c>
    </row>
    <row r="21" spans="1:33">
      <c r="B21" s="111" t="s">
        <v>88</v>
      </c>
      <c r="C21" s="112">
        <f>COUNTIF(C4:C18,"T")</f>
        <v>2</v>
      </c>
      <c r="D21" s="112">
        <f t="shared" ref="D21:AG21" si="2">COUNTIF(D4:D18,"T")</f>
        <v>2</v>
      </c>
      <c r="E21" s="112">
        <f t="shared" si="2"/>
        <v>2</v>
      </c>
      <c r="F21" s="112">
        <f t="shared" si="2"/>
        <v>2</v>
      </c>
      <c r="G21" s="112">
        <f t="shared" si="2"/>
        <v>2</v>
      </c>
      <c r="H21" s="112">
        <f t="shared" si="2"/>
        <v>0</v>
      </c>
      <c r="I21" s="112">
        <f t="shared" si="2"/>
        <v>0</v>
      </c>
      <c r="J21" s="112">
        <f t="shared" si="2"/>
        <v>2</v>
      </c>
      <c r="K21" s="112">
        <f t="shared" si="2"/>
        <v>2</v>
      </c>
      <c r="L21" s="112">
        <f t="shared" si="2"/>
        <v>2</v>
      </c>
      <c r="M21" s="112">
        <f t="shared" si="2"/>
        <v>2</v>
      </c>
      <c r="N21" s="112">
        <f t="shared" si="2"/>
        <v>2</v>
      </c>
      <c r="O21" s="112">
        <f t="shared" si="2"/>
        <v>0</v>
      </c>
      <c r="P21" s="112">
        <f t="shared" si="2"/>
        <v>0</v>
      </c>
      <c r="Q21" s="112">
        <f t="shared" si="2"/>
        <v>2</v>
      </c>
      <c r="R21" s="112">
        <f t="shared" si="2"/>
        <v>2</v>
      </c>
      <c r="S21" s="112">
        <f t="shared" si="2"/>
        <v>2</v>
      </c>
      <c r="T21" s="112">
        <f t="shared" si="2"/>
        <v>2</v>
      </c>
      <c r="U21" s="112">
        <f t="shared" si="2"/>
        <v>2</v>
      </c>
      <c r="V21" s="112">
        <f t="shared" si="2"/>
        <v>0</v>
      </c>
      <c r="W21" s="112">
        <f t="shared" si="2"/>
        <v>0</v>
      </c>
      <c r="X21" s="112">
        <f t="shared" si="2"/>
        <v>2</v>
      </c>
      <c r="Y21" s="112">
        <f t="shared" si="2"/>
        <v>2</v>
      </c>
      <c r="Z21" s="112">
        <f t="shared" si="2"/>
        <v>2</v>
      </c>
      <c r="AA21" s="112">
        <f t="shared" si="2"/>
        <v>2</v>
      </c>
      <c r="AB21" s="112">
        <f t="shared" si="2"/>
        <v>2</v>
      </c>
      <c r="AC21" s="112">
        <f t="shared" si="2"/>
        <v>0</v>
      </c>
      <c r="AD21" s="112">
        <f t="shared" si="2"/>
        <v>0</v>
      </c>
      <c r="AE21" s="112">
        <f t="shared" si="2"/>
        <v>2</v>
      </c>
      <c r="AF21" s="112">
        <f t="shared" si="2"/>
        <v>2</v>
      </c>
      <c r="AG21" s="112">
        <f t="shared" si="2"/>
        <v>2</v>
      </c>
    </row>
    <row r="22" spans="1:33">
      <c r="B22" s="111" t="s">
        <v>89</v>
      </c>
      <c r="C22" s="112">
        <f t="shared" ref="C22:AG22" si="3">COUNTIF(C4:C18,"N")+COUNTIF(C4:C18,"NF")</f>
        <v>2</v>
      </c>
      <c r="D22" s="112">
        <f t="shared" si="3"/>
        <v>2</v>
      </c>
      <c r="E22" s="112">
        <f t="shared" si="3"/>
        <v>2</v>
      </c>
      <c r="F22" s="112">
        <f t="shared" si="3"/>
        <v>2</v>
      </c>
      <c r="G22" s="112">
        <f t="shared" si="3"/>
        <v>2</v>
      </c>
      <c r="H22" s="112">
        <f t="shared" si="3"/>
        <v>2</v>
      </c>
      <c r="I22" s="112">
        <f t="shared" si="3"/>
        <v>2</v>
      </c>
      <c r="J22" s="112">
        <f t="shared" si="3"/>
        <v>2</v>
      </c>
      <c r="K22" s="112">
        <f t="shared" si="3"/>
        <v>1</v>
      </c>
      <c r="L22" s="112">
        <f t="shared" si="3"/>
        <v>1</v>
      </c>
      <c r="M22" s="112">
        <f t="shared" si="3"/>
        <v>1</v>
      </c>
      <c r="N22" s="112">
        <f t="shared" si="3"/>
        <v>1</v>
      </c>
      <c r="O22" s="112">
        <f t="shared" si="3"/>
        <v>2</v>
      </c>
      <c r="P22" s="112">
        <f t="shared" si="3"/>
        <v>2</v>
      </c>
      <c r="Q22" s="112">
        <f t="shared" si="3"/>
        <v>2</v>
      </c>
      <c r="R22" s="112">
        <f t="shared" si="3"/>
        <v>2</v>
      </c>
      <c r="S22" s="112">
        <f t="shared" si="3"/>
        <v>2</v>
      </c>
      <c r="T22" s="112">
        <f t="shared" si="3"/>
        <v>2</v>
      </c>
      <c r="U22" s="112">
        <f t="shared" si="3"/>
        <v>2</v>
      </c>
      <c r="V22" s="112">
        <f t="shared" si="3"/>
        <v>2</v>
      </c>
      <c r="W22" s="112">
        <f t="shared" si="3"/>
        <v>2</v>
      </c>
      <c r="X22" s="112">
        <f t="shared" si="3"/>
        <v>2</v>
      </c>
      <c r="Y22" s="112">
        <f t="shared" si="3"/>
        <v>2</v>
      </c>
      <c r="Z22" s="112">
        <f t="shared" si="3"/>
        <v>2</v>
      </c>
      <c r="AA22" s="112">
        <f t="shared" si="3"/>
        <v>2</v>
      </c>
      <c r="AB22" s="112">
        <f t="shared" si="3"/>
        <v>2</v>
      </c>
      <c r="AC22" s="112">
        <f t="shared" si="3"/>
        <v>2</v>
      </c>
      <c r="AD22" s="112">
        <f t="shared" si="3"/>
        <v>2</v>
      </c>
      <c r="AE22" s="112">
        <f t="shared" si="3"/>
        <v>2</v>
      </c>
      <c r="AF22" s="112">
        <f t="shared" si="3"/>
        <v>2</v>
      </c>
      <c r="AG22" s="112">
        <f t="shared" si="3"/>
        <v>2</v>
      </c>
    </row>
    <row r="23" spans="1:33">
      <c r="B23" s="111" t="s">
        <v>90</v>
      </c>
      <c r="C23" s="112">
        <f>COUNTIF(C4:C18,"M/F")+COUNTIF(C4:C18,"M1")+COUNTIF(C4:C18,"M3")+COUNTIF(C4:C18,"M3/G")+COUNTIF(C4:C18,"M2")</f>
        <v>4</v>
      </c>
      <c r="D23" s="112">
        <f>COUNTIF(D4:D18,"M/F")+COUNTIF(D4:D18,"M1")+COUNTIF(D4:D18,"M3")+COUNTIF(D4:D18,"M3/G")+COUNTIF(D4:D18,"M2")</f>
        <v>5</v>
      </c>
      <c r="E23" s="112">
        <f>COUNTIF(E4:E18,"M/F")+COUNTIF(E4:E18,"M1")+COUNTIF(E4:E18,"M3")+COUNTIF(E4:E18,"M3/G")+COUNTIF(E4:E18,"M2")</f>
        <v>5</v>
      </c>
      <c r="F23" s="112">
        <f t="shared" ref="F23:AG23" si="4">COUNTIF(F4:F18,"M/F")+COUNTIF(F4:F18,"M1")+COUNTIF(F4:F18,"M3")+COUNTIF(F4:F18,"M3/G")+COUNTIF(F4:F18,"M2")</f>
        <v>5</v>
      </c>
      <c r="G23" s="112">
        <f t="shared" si="4"/>
        <v>5</v>
      </c>
      <c r="H23" s="112">
        <f t="shared" si="4"/>
        <v>2</v>
      </c>
      <c r="I23" s="112">
        <f t="shared" si="4"/>
        <v>2</v>
      </c>
      <c r="J23" s="112">
        <f t="shared" si="4"/>
        <v>2</v>
      </c>
      <c r="K23" s="112">
        <f t="shared" si="4"/>
        <v>4</v>
      </c>
      <c r="L23" s="112">
        <f t="shared" si="4"/>
        <v>4</v>
      </c>
      <c r="M23" s="112">
        <f t="shared" si="4"/>
        <v>4</v>
      </c>
      <c r="N23" s="112">
        <f t="shared" si="4"/>
        <v>5</v>
      </c>
      <c r="O23" s="112">
        <f t="shared" si="4"/>
        <v>2</v>
      </c>
      <c r="P23" s="112">
        <f t="shared" si="4"/>
        <v>2</v>
      </c>
      <c r="Q23" s="112">
        <f t="shared" si="4"/>
        <v>5</v>
      </c>
      <c r="R23" s="112">
        <f t="shared" si="4"/>
        <v>5</v>
      </c>
      <c r="S23" s="112">
        <f t="shared" si="4"/>
        <v>5</v>
      </c>
      <c r="T23" s="112">
        <f t="shared" si="4"/>
        <v>5</v>
      </c>
      <c r="U23" s="112">
        <f t="shared" si="4"/>
        <v>5</v>
      </c>
      <c r="V23" s="112">
        <f t="shared" si="4"/>
        <v>2</v>
      </c>
      <c r="W23" s="112">
        <f t="shared" si="4"/>
        <v>2</v>
      </c>
      <c r="X23" s="112">
        <f t="shared" si="4"/>
        <v>3</v>
      </c>
      <c r="Y23" s="112">
        <f t="shared" si="4"/>
        <v>3</v>
      </c>
      <c r="Z23" s="112">
        <f t="shared" si="4"/>
        <v>2</v>
      </c>
      <c r="AA23" s="112">
        <f t="shared" si="4"/>
        <v>2</v>
      </c>
      <c r="AB23" s="112">
        <f t="shared" si="4"/>
        <v>3</v>
      </c>
      <c r="AC23" s="112">
        <f t="shared" si="4"/>
        <v>2</v>
      </c>
      <c r="AD23" s="112">
        <f t="shared" si="4"/>
        <v>2</v>
      </c>
      <c r="AE23" s="112">
        <f t="shared" si="4"/>
        <v>3</v>
      </c>
      <c r="AF23" s="112">
        <f t="shared" si="4"/>
        <v>2</v>
      </c>
      <c r="AG23" s="112">
        <f t="shared" si="4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91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7"/>
  <sheetViews>
    <sheetView workbookViewId="0">
      <selection activeCell="AL9" sqref="AL9"/>
    </sheetView>
  </sheetViews>
  <sheetFormatPr defaultColWidth="8.85546875" defaultRowHeight="15"/>
  <cols>
    <col min="2" max="2" width="25.5703125" customWidth="1"/>
    <col min="3" max="33" width="4.7109375" customWidth="1"/>
    <col min="34" max="34" width="4" style="91" bestFit="1" customWidth="1"/>
  </cols>
  <sheetData>
    <row r="1" spans="1:34">
      <c r="A1" s="6"/>
      <c r="B1" s="128"/>
      <c r="C1" s="141" t="s">
        <v>94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</row>
    <row r="2" spans="1:34">
      <c r="A2" s="6"/>
      <c r="B2" s="128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>
      <c r="A3" s="6"/>
      <c r="B3" s="12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5" t="s">
        <v>14</v>
      </c>
      <c r="D4" s="1" t="s">
        <v>14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14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5" t="s">
        <v>14</v>
      </c>
      <c r="Y5" s="5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14</v>
      </c>
      <c r="O6" s="1" t="s">
        <v>14</v>
      </c>
      <c r="P6" s="1" t="s">
        <v>14</v>
      </c>
      <c r="Q6" s="1" t="s">
        <v>14</v>
      </c>
      <c r="R6" s="1" t="s">
        <v>14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1" t="s">
        <v>14</v>
      </c>
      <c r="Y7" s="1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74" t="s">
        <v>23</v>
      </c>
      <c r="C10" s="28" t="s">
        <v>7</v>
      </c>
      <c r="D10" s="28" t="s">
        <v>7</v>
      </c>
      <c r="E10" s="28" t="s">
        <v>7</v>
      </c>
      <c r="F10" s="28" t="s">
        <v>7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28" t="s">
        <v>7</v>
      </c>
      <c r="M10" s="28" t="s">
        <v>7</v>
      </c>
      <c r="N10" s="3" t="s">
        <v>16</v>
      </c>
      <c r="O10" s="3" t="s">
        <v>16</v>
      </c>
      <c r="P10" s="3" t="s">
        <v>16</v>
      </c>
      <c r="Q10" s="3" t="s">
        <v>16</v>
      </c>
      <c r="R10" s="3" t="s">
        <v>16</v>
      </c>
      <c r="S10" s="3" t="s">
        <v>17</v>
      </c>
      <c r="T10" s="3" t="s">
        <v>17</v>
      </c>
      <c r="U10" s="28" t="s">
        <v>7</v>
      </c>
      <c r="V10" s="28" t="s">
        <v>7</v>
      </c>
      <c r="W10" s="109" t="s">
        <v>4</v>
      </c>
      <c r="X10" s="28" t="s">
        <v>7</v>
      </c>
      <c r="Y10" s="28" t="s">
        <v>7</v>
      </c>
      <c r="Z10" s="28" t="s">
        <v>7</v>
      </c>
      <c r="AA10" s="28" t="s">
        <v>7</v>
      </c>
      <c r="AB10" s="3" t="s">
        <v>16</v>
      </c>
      <c r="AC10" s="3" t="s">
        <v>16</v>
      </c>
      <c r="AD10" s="3" t="s">
        <v>16</v>
      </c>
      <c r="AE10" s="3" t="s">
        <v>16</v>
      </c>
      <c r="AF10" s="3" t="s">
        <v>16</v>
      </c>
      <c r="AG10" s="3" t="s">
        <v>17</v>
      </c>
      <c r="AH10" s="91">
        <f t="shared" si="0"/>
        <v>156</v>
      </c>
    </row>
    <row r="11" spans="1:34">
      <c r="A11" s="34" t="s">
        <v>12</v>
      </c>
      <c r="B11" s="33" t="s">
        <v>52</v>
      </c>
      <c r="C11" s="5" t="s">
        <v>14</v>
      </c>
      <c r="D11" s="5" t="s">
        <v>14</v>
      </c>
      <c r="E11" s="5" t="s">
        <v>15</v>
      </c>
      <c r="F11" s="5" t="s">
        <v>15</v>
      </c>
      <c r="G11" s="28" t="s">
        <v>7</v>
      </c>
      <c r="H11" s="28" t="s">
        <v>7</v>
      </c>
      <c r="I11" s="109" t="s">
        <v>4</v>
      </c>
      <c r="J11" s="28" t="s">
        <v>7</v>
      </c>
      <c r="K11" s="28" t="s">
        <v>7</v>
      </c>
      <c r="L11" s="28" t="s">
        <v>7</v>
      </c>
      <c r="M11" s="28" t="s">
        <v>7</v>
      </c>
      <c r="N11" s="7" t="s">
        <v>20</v>
      </c>
      <c r="O11" s="7" t="s">
        <v>20</v>
      </c>
      <c r="P11" s="7" t="s">
        <v>20</v>
      </c>
      <c r="Q11" s="7" t="s">
        <v>20</v>
      </c>
      <c r="R11" s="7" t="s">
        <v>20</v>
      </c>
      <c r="S11" s="28" t="s">
        <v>7</v>
      </c>
      <c r="T11" s="28" t="s">
        <v>7</v>
      </c>
      <c r="U11" s="3" t="s">
        <v>16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17</v>
      </c>
      <c r="AA11" s="3" t="s">
        <v>17</v>
      </c>
      <c r="AB11" s="28" t="s">
        <v>7</v>
      </c>
      <c r="AC11" s="28" t="s">
        <v>7</v>
      </c>
      <c r="AD11" s="109" t="s">
        <v>4</v>
      </c>
      <c r="AE11" s="28" t="s">
        <v>7</v>
      </c>
      <c r="AF11" s="28" t="s">
        <v>7</v>
      </c>
      <c r="AG11" s="28" t="s">
        <v>7</v>
      </c>
      <c r="AH11" s="91">
        <f t="shared" si="0"/>
        <v>144</v>
      </c>
    </row>
    <row r="12" spans="1:34">
      <c r="A12" s="34" t="s">
        <v>12</v>
      </c>
      <c r="B12" s="33" t="s">
        <v>24</v>
      </c>
      <c r="C12" s="109" t="s">
        <v>4</v>
      </c>
      <c r="D12" s="28" t="s">
        <v>7</v>
      </c>
      <c r="E12" s="28" t="s">
        <v>7</v>
      </c>
      <c r="F12" s="28" t="s">
        <v>7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15</v>
      </c>
      <c r="M12" s="5" t="s">
        <v>15</v>
      </c>
      <c r="N12" s="28" t="s">
        <v>7</v>
      </c>
      <c r="O12" s="28" t="s">
        <v>7</v>
      </c>
      <c r="P12" s="109" t="s">
        <v>4</v>
      </c>
      <c r="Q12" s="28" t="s">
        <v>7</v>
      </c>
      <c r="R12" s="28" t="s">
        <v>7</v>
      </c>
      <c r="S12" s="28" t="s">
        <v>7</v>
      </c>
      <c r="T12" s="28" t="s">
        <v>7</v>
      </c>
      <c r="U12" s="7" t="s">
        <v>20</v>
      </c>
      <c r="V12" s="7" t="s">
        <v>20</v>
      </c>
      <c r="W12" s="7" t="s">
        <v>20</v>
      </c>
      <c r="X12" s="7" t="s">
        <v>20</v>
      </c>
      <c r="Y12" s="7" t="s">
        <v>20</v>
      </c>
      <c r="Z12" s="28" t="s">
        <v>7</v>
      </c>
      <c r="AA12" s="28" t="s">
        <v>7</v>
      </c>
      <c r="AB12" s="3" t="s">
        <v>16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17</v>
      </c>
      <c r="AH12" s="91">
        <f t="shared" si="0"/>
        <v>156</v>
      </c>
    </row>
    <row r="13" spans="1:34">
      <c r="A13" s="34" t="s">
        <v>12</v>
      </c>
      <c r="B13" s="75" t="s">
        <v>25</v>
      </c>
      <c r="C13" s="3" t="s">
        <v>16</v>
      </c>
      <c r="D13" s="3" t="s">
        <v>16</v>
      </c>
      <c r="E13" s="3" t="s">
        <v>17</v>
      </c>
      <c r="F13" s="3" t="s">
        <v>17</v>
      </c>
      <c r="G13" s="28" t="s">
        <v>7</v>
      </c>
      <c r="H13" s="28" t="s">
        <v>7</v>
      </c>
      <c r="I13" s="28" t="s">
        <v>7</v>
      </c>
      <c r="J13" s="109" t="s">
        <v>4</v>
      </c>
      <c r="K13" s="28" t="s">
        <v>7</v>
      </c>
      <c r="L13" s="28" t="s">
        <v>7</v>
      </c>
      <c r="M13" s="28" t="s">
        <v>7</v>
      </c>
      <c r="N13" s="3" t="s">
        <v>16</v>
      </c>
      <c r="O13" s="3" t="s">
        <v>16</v>
      </c>
      <c r="P13" s="3" t="s">
        <v>16</v>
      </c>
      <c r="Q13" s="3" t="s">
        <v>16</v>
      </c>
      <c r="R13" s="3" t="s">
        <v>16</v>
      </c>
      <c r="S13" s="3" t="s">
        <v>17</v>
      </c>
      <c r="T13" s="3" t="s">
        <v>17</v>
      </c>
      <c r="U13" s="28" t="s">
        <v>7</v>
      </c>
      <c r="V13" s="28" t="s">
        <v>7</v>
      </c>
      <c r="W13" s="28" t="s">
        <v>7</v>
      </c>
      <c r="X13" s="109" t="s">
        <v>4</v>
      </c>
      <c r="Y13" s="28" t="s">
        <v>7</v>
      </c>
      <c r="Z13" s="28" t="s">
        <v>7</v>
      </c>
      <c r="AA13" s="28" t="s">
        <v>7</v>
      </c>
      <c r="AB13" s="7" t="s">
        <v>20</v>
      </c>
      <c r="AC13" s="7" t="s">
        <v>20</v>
      </c>
      <c r="AD13" s="7" t="s">
        <v>20</v>
      </c>
      <c r="AE13" s="7" t="s">
        <v>20</v>
      </c>
      <c r="AF13" s="7" t="s">
        <v>20</v>
      </c>
      <c r="AG13" s="28" t="s">
        <v>7</v>
      </c>
      <c r="AH13" s="91">
        <f t="shared" si="0"/>
        <v>144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28" t="s">
        <v>7</v>
      </c>
      <c r="F14" s="28" t="s">
        <v>7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17</v>
      </c>
      <c r="M14" s="3" t="s">
        <v>17</v>
      </c>
      <c r="N14" s="28" t="s">
        <v>7</v>
      </c>
      <c r="O14" s="28" t="s">
        <v>7</v>
      </c>
      <c r="P14" s="28" t="s">
        <v>7</v>
      </c>
      <c r="Q14" s="109" t="s">
        <v>4</v>
      </c>
      <c r="R14" s="28" t="s">
        <v>7</v>
      </c>
      <c r="S14" s="28" t="s">
        <v>7</v>
      </c>
      <c r="T14" s="28" t="s">
        <v>7</v>
      </c>
      <c r="U14" s="3" t="s">
        <v>16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17</v>
      </c>
      <c r="AA14" s="3" t="s">
        <v>17</v>
      </c>
      <c r="AB14" s="28" t="s">
        <v>7</v>
      </c>
      <c r="AC14" s="28" t="s">
        <v>7</v>
      </c>
      <c r="AD14" s="28" t="s">
        <v>7</v>
      </c>
      <c r="AE14" s="109" t="s">
        <v>4</v>
      </c>
      <c r="AF14" s="28" t="s">
        <v>7</v>
      </c>
      <c r="AG14" s="28" t="s">
        <v>7</v>
      </c>
      <c r="AH14" s="91">
        <f t="shared" si="0"/>
        <v>144</v>
      </c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</row>
    <row r="16" spans="1:34">
      <c r="A16" s="34" t="s">
        <v>28</v>
      </c>
      <c r="B16" s="33" t="s">
        <v>29</v>
      </c>
      <c r="C16" s="28" t="s">
        <v>7</v>
      </c>
      <c r="D16" s="25" t="s">
        <v>32</v>
      </c>
      <c r="E16" s="28" t="s">
        <v>7</v>
      </c>
      <c r="F16" s="28" t="s">
        <v>7</v>
      </c>
      <c r="G16" s="4" t="s">
        <v>83</v>
      </c>
      <c r="H16" s="4" t="s">
        <v>83</v>
      </c>
      <c r="I16" s="4" t="s">
        <v>83</v>
      </c>
      <c r="J16" s="4" t="s">
        <v>83</v>
      </c>
      <c r="K16" s="4" t="s">
        <v>83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83</v>
      </c>
      <c r="AC16" s="4" t="s">
        <v>83</v>
      </c>
      <c r="AD16" s="4" t="s">
        <v>83</v>
      </c>
      <c r="AE16" s="4" t="s">
        <v>83</v>
      </c>
      <c r="AF16" s="4" t="s">
        <v>83</v>
      </c>
      <c r="AG16" s="28" t="s">
        <v>7</v>
      </c>
    </row>
    <row r="17" spans="1:33">
      <c r="A17" s="34" t="s">
        <v>28</v>
      </c>
      <c r="B17" s="35" t="s">
        <v>60</v>
      </c>
      <c r="C17" s="28" t="s">
        <v>7</v>
      </c>
      <c r="D17" s="17" t="s">
        <v>4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83</v>
      </c>
      <c r="O17" s="4" t="s">
        <v>83</v>
      </c>
      <c r="P17" s="4" t="s">
        <v>83</v>
      </c>
      <c r="Q17" s="4" t="s">
        <v>83</v>
      </c>
      <c r="R17" s="4" t="s">
        <v>83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</row>
    <row r="18" spans="1:33">
      <c r="A18" s="34" t="s">
        <v>28</v>
      </c>
      <c r="B18" s="35" t="s">
        <v>34</v>
      </c>
      <c r="C18" s="28" t="s">
        <v>84</v>
      </c>
      <c r="D18" s="4" t="s">
        <v>33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17" t="s">
        <v>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83</v>
      </c>
      <c r="V18" s="4" t="s">
        <v>83</v>
      </c>
      <c r="W18" s="4" t="s">
        <v>83</v>
      </c>
      <c r="X18" s="4" t="s">
        <v>83</v>
      </c>
      <c r="Y18" s="4" t="s">
        <v>83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</row>
    <row r="20" spans="1:33">
      <c r="B20" s="111" t="s">
        <v>87</v>
      </c>
      <c r="C20" s="110">
        <f>SUM(C21:C23)</f>
        <v>4</v>
      </c>
      <c r="D20" s="110">
        <f t="shared" ref="D20:AG20" si="1">SUM(D21:D23)</f>
        <v>4</v>
      </c>
      <c r="E20" s="110">
        <f t="shared" si="1"/>
        <v>4</v>
      </c>
      <c r="F20" s="110">
        <f t="shared" si="1"/>
        <v>4</v>
      </c>
      <c r="G20" s="110">
        <f t="shared" si="1"/>
        <v>6</v>
      </c>
      <c r="H20" s="110">
        <f t="shared" si="1"/>
        <v>6</v>
      </c>
      <c r="I20" s="110">
        <f t="shared" si="1"/>
        <v>6</v>
      </c>
      <c r="J20" s="110">
        <f t="shared" si="1"/>
        <v>6</v>
      </c>
      <c r="K20" s="110">
        <f t="shared" si="1"/>
        <v>6</v>
      </c>
      <c r="L20" s="110">
        <f t="shared" si="1"/>
        <v>4</v>
      </c>
      <c r="M20" s="110">
        <f t="shared" si="1"/>
        <v>4</v>
      </c>
      <c r="N20" s="110">
        <f t="shared" si="1"/>
        <v>6</v>
      </c>
      <c r="O20" s="110">
        <f t="shared" si="1"/>
        <v>6</v>
      </c>
      <c r="P20" s="110">
        <f t="shared" si="1"/>
        <v>6</v>
      </c>
      <c r="Q20" s="110">
        <f t="shared" si="1"/>
        <v>6</v>
      </c>
      <c r="R20" s="110">
        <f t="shared" si="1"/>
        <v>6</v>
      </c>
      <c r="S20" s="110">
        <f t="shared" si="1"/>
        <v>4</v>
      </c>
      <c r="T20" s="110">
        <f t="shared" si="1"/>
        <v>4</v>
      </c>
      <c r="U20" s="110">
        <f t="shared" si="1"/>
        <v>6</v>
      </c>
      <c r="V20" s="110">
        <f t="shared" si="1"/>
        <v>6</v>
      </c>
      <c r="W20" s="110">
        <f t="shared" si="1"/>
        <v>6</v>
      </c>
      <c r="X20" s="110">
        <f t="shared" si="1"/>
        <v>6</v>
      </c>
      <c r="Y20" s="110">
        <f t="shared" si="1"/>
        <v>6</v>
      </c>
      <c r="Z20" s="110">
        <f t="shared" si="1"/>
        <v>4</v>
      </c>
      <c r="AA20" s="110">
        <f t="shared" si="1"/>
        <v>4</v>
      </c>
      <c r="AB20" s="110">
        <f t="shared" si="1"/>
        <v>6</v>
      </c>
      <c r="AC20" s="110">
        <f t="shared" si="1"/>
        <v>6</v>
      </c>
      <c r="AD20" s="110">
        <f t="shared" si="1"/>
        <v>6</v>
      </c>
      <c r="AE20" s="110">
        <f t="shared" si="1"/>
        <v>6</v>
      </c>
      <c r="AF20" s="110">
        <f t="shared" si="1"/>
        <v>6</v>
      </c>
      <c r="AG20" s="110">
        <f t="shared" si="1"/>
        <v>4</v>
      </c>
    </row>
    <row r="21" spans="1:33">
      <c r="B21" s="111" t="s">
        <v>88</v>
      </c>
      <c r="C21" s="112">
        <f>COUNTIF(C4:C18,"T")</f>
        <v>2</v>
      </c>
      <c r="D21" s="112">
        <f t="shared" ref="D21:AG21" si="2">COUNTIF(D4:D18,"T")</f>
        <v>2</v>
      </c>
      <c r="E21" s="112">
        <f t="shared" si="2"/>
        <v>0</v>
      </c>
      <c r="F21" s="112">
        <f t="shared" si="2"/>
        <v>0</v>
      </c>
      <c r="G21" s="112">
        <f t="shared" si="2"/>
        <v>2</v>
      </c>
      <c r="H21" s="112">
        <f t="shared" si="2"/>
        <v>2</v>
      </c>
      <c r="I21" s="112">
        <f t="shared" si="2"/>
        <v>2</v>
      </c>
      <c r="J21" s="112">
        <f t="shared" si="2"/>
        <v>2</v>
      </c>
      <c r="K21" s="112">
        <f t="shared" si="2"/>
        <v>2</v>
      </c>
      <c r="L21" s="112">
        <f t="shared" si="2"/>
        <v>0</v>
      </c>
      <c r="M21" s="112">
        <f t="shared" si="2"/>
        <v>0</v>
      </c>
      <c r="N21" s="112">
        <f t="shared" si="2"/>
        <v>2</v>
      </c>
      <c r="O21" s="112">
        <f t="shared" si="2"/>
        <v>2</v>
      </c>
      <c r="P21" s="112">
        <f t="shared" si="2"/>
        <v>2</v>
      </c>
      <c r="Q21" s="112">
        <f t="shared" si="2"/>
        <v>2</v>
      </c>
      <c r="R21" s="112">
        <f t="shared" si="2"/>
        <v>2</v>
      </c>
      <c r="S21" s="112">
        <f t="shared" si="2"/>
        <v>0</v>
      </c>
      <c r="T21" s="112">
        <f t="shared" si="2"/>
        <v>0</v>
      </c>
      <c r="U21" s="112">
        <f t="shared" si="2"/>
        <v>2</v>
      </c>
      <c r="V21" s="112">
        <f t="shared" si="2"/>
        <v>2</v>
      </c>
      <c r="W21" s="112">
        <f t="shared" si="2"/>
        <v>2</v>
      </c>
      <c r="X21" s="112">
        <f t="shared" si="2"/>
        <v>2</v>
      </c>
      <c r="Y21" s="112">
        <f t="shared" si="2"/>
        <v>2</v>
      </c>
      <c r="Z21" s="112">
        <f t="shared" si="2"/>
        <v>0</v>
      </c>
      <c r="AA21" s="112">
        <f t="shared" si="2"/>
        <v>0</v>
      </c>
      <c r="AB21" s="112">
        <f t="shared" si="2"/>
        <v>2</v>
      </c>
      <c r="AC21" s="112">
        <f t="shared" si="2"/>
        <v>2</v>
      </c>
      <c r="AD21" s="112">
        <f t="shared" si="2"/>
        <v>2</v>
      </c>
      <c r="AE21" s="112">
        <f t="shared" si="2"/>
        <v>2</v>
      </c>
      <c r="AF21" s="112">
        <f t="shared" si="2"/>
        <v>2</v>
      </c>
      <c r="AG21" s="112">
        <f t="shared" si="2"/>
        <v>0</v>
      </c>
    </row>
    <row r="22" spans="1:33">
      <c r="B22" s="111" t="s">
        <v>89</v>
      </c>
      <c r="C22" s="112">
        <f t="shared" ref="C22:AG22" si="3">COUNTIF(C4:C18,"N")+COUNTIF(C4:C18,"NF")</f>
        <v>2</v>
      </c>
      <c r="D22" s="112">
        <f t="shared" si="3"/>
        <v>2</v>
      </c>
      <c r="E22" s="112">
        <f t="shared" si="3"/>
        <v>2</v>
      </c>
      <c r="F22" s="112">
        <f t="shared" si="3"/>
        <v>2</v>
      </c>
      <c r="G22" s="112">
        <f t="shared" si="3"/>
        <v>2</v>
      </c>
      <c r="H22" s="112">
        <f t="shared" si="3"/>
        <v>2</v>
      </c>
      <c r="I22" s="112">
        <f t="shared" si="3"/>
        <v>2</v>
      </c>
      <c r="J22" s="112">
        <f t="shared" si="3"/>
        <v>2</v>
      </c>
      <c r="K22" s="112">
        <f t="shared" si="3"/>
        <v>2</v>
      </c>
      <c r="L22" s="112">
        <f t="shared" si="3"/>
        <v>2</v>
      </c>
      <c r="M22" s="112">
        <f t="shared" si="3"/>
        <v>2</v>
      </c>
      <c r="N22" s="112">
        <f t="shared" si="3"/>
        <v>2</v>
      </c>
      <c r="O22" s="112">
        <f t="shared" si="3"/>
        <v>2</v>
      </c>
      <c r="P22" s="112">
        <f t="shared" si="3"/>
        <v>2</v>
      </c>
      <c r="Q22" s="112">
        <f t="shared" si="3"/>
        <v>2</v>
      </c>
      <c r="R22" s="112">
        <f t="shared" si="3"/>
        <v>2</v>
      </c>
      <c r="S22" s="112">
        <f t="shared" si="3"/>
        <v>2</v>
      </c>
      <c r="T22" s="112">
        <f t="shared" si="3"/>
        <v>2</v>
      </c>
      <c r="U22" s="112">
        <f t="shared" si="3"/>
        <v>2</v>
      </c>
      <c r="V22" s="112">
        <f t="shared" si="3"/>
        <v>2</v>
      </c>
      <c r="W22" s="112">
        <f t="shared" si="3"/>
        <v>2</v>
      </c>
      <c r="X22" s="112">
        <f t="shared" si="3"/>
        <v>2</v>
      </c>
      <c r="Y22" s="112">
        <f t="shared" si="3"/>
        <v>2</v>
      </c>
      <c r="Z22" s="112">
        <f t="shared" si="3"/>
        <v>2</v>
      </c>
      <c r="AA22" s="112">
        <f t="shared" si="3"/>
        <v>2</v>
      </c>
      <c r="AB22" s="112">
        <f t="shared" si="3"/>
        <v>2</v>
      </c>
      <c r="AC22" s="112">
        <f t="shared" si="3"/>
        <v>2</v>
      </c>
      <c r="AD22" s="112">
        <f t="shared" si="3"/>
        <v>2</v>
      </c>
      <c r="AE22" s="112">
        <f t="shared" si="3"/>
        <v>2</v>
      </c>
      <c r="AF22" s="112">
        <f t="shared" si="3"/>
        <v>2</v>
      </c>
      <c r="AG22" s="112">
        <f t="shared" si="3"/>
        <v>2</v>
      </c>
    </row>
    <row r="23" spans="1:33">
      <c r="B23" s="111" t="s">
        <v>90</v>
      </c>
      <c r="C23" s="112">
        <f>COUNTIF(C4:C18,"M/F")+COUNTIF(C4:C18,"M1")+COUNTIF(C4:C18,"M3")+COUNTIF(C4:C18,"M3/G")+COUNTIF(C4:C18,"M2")</f>
        <v>0</v>
      </c>
      <c r="D23" s="112">
        <f>COUNTIF(D4:D18,"M/F")+COUNTIF(D4:D18,"M1")+COUNTIF(D4:D18,"M3")+COUNTIF(D4:D18,"M3/G")+COUNTIF(D4:D18,"M2")</f>
        <v>0</v>
      </c>
      <c r="E23" s="112">
        <f>COUNTIF(E4:E18,"M1")+COUNTIF(E4:E18,"NF")</f>
        <v>2</v>
      </c>
      <c r="F23" s="112">
        <f t="shared" ref="F23:AG23" si="4">COUNTIF(F4:F18,"M/F")+COUNTIF(F4:F18,"M1")+COUNTIF(F4:F18,"M3")+COUNTIF(F4:F18,"M3/G")+COUNTIF(F4:F18,"M2")</f>
        <v>2</v>
      </c>
      <c r="G23" s="112">
        <f t="shared" si="4"/>
        <v>2</v>
      </c>
      <c r="H23" s="112">
        <f t="shared" si="4"/>
        <v>2</v>
      </c>
      <c r="I23" s="112">
        <f t="shared" si="4"/>
        <v>2</v>
      </c>
      <c r="J23" s="112">
        <f t="shared" si="4"/>
        <v>2</v>
      </c>
      <c r="K23" s="112">
        <f t="shared" si="4"/>
        <v>2</v>
      </c>
      <c r="L23" s="112">
        <f t="shared" si="4"/>
        <v>2</v>
      </c>
      <c r="M23" s="112">
        <f t="shared" si="4"/>
        <v>2</v>
      </c>
      <c r="N23" s="112">
        <f t="shared" si="4"/>
        <v>2</v>
      </c>
      <c r="O23" s="112">
        <f t="shared" si="4"/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5" spans="1:33">
      <c r="B25" t="s">
        <v>65</v>
      </c>
      <c r="K25">
        <f>576/8</f>
        <v>72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91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74"/>
  <sheetViews>
    <sheetView showGridLines="0" topLeftCell="A16" zoomScale="115" zoomScaleNormal="115" workbookViewId="0">
      <selection activeCell="P28" sqref="P28"/>
    </sheetView>
  </sheetViews>
  <sheetFormatPr defaultColWidth="11.42578125" defaultRowHeight="15"/>
  <cols>
    <col min="1" max="1" width="1.85546875" customWidth="1"/>
    <col min="2" max="3" width="2.85546875" customWidth="1"/>
    <col min="4" max="4" width="10.42578125" customWidth="1"/>
    <col min="5" max="5" width="3.7109375" customWidth="1"/>
    <col min="6" max="6" width="3.42578125" customWidth="1"/>
    <col min="7" max="7" width="8.5703125" bestFit="1" customWidth="1"/>
    <col min="8" max="8" width="7.5703125" customWidth="1"/>
    <col min="9" max="9" width="8.42578125" customWidth="1"/>
    <col min="10" max="62" width="3.7109375" customWidth="1"/>
    <col min="63" max="63" width="5" customWidth="1"/>
    <col min="64" max="64" width="4.140625" customWidth="1"/>
  </cols>
  <sheetData>
    <row r="2" spans="4:64">
      <c r="G2" s="101" t="s">
        <v>95</v>
      </c>
      <c r="I2" s="102">
        <f>1800*10</f>
        <v>18000</v>
      </c>
    </row>
    <row r="3" spans="4:64">
      <c r="G3" s="101" t="s">
        <v>96</v>
      </c>
      <c r="I3" s="102">
        <f>366*6*8</f>
        <v>17568</v>
      </c>
    </row>
    <row r="6" spans="4:64">
      <c r="F6" s="95"/>
    </row>
    <row r="7" spans="4:64">
      <c r="D7" s="102"/>
      <c r="E7" s="102"/>
      <c r="F7" s="95"/>
    </row>
    <row r="8" spans="4:64">
      <c r="D8" s="102"/>
      <c r="E8" s="102"/>
      <c r="F8" s="95"/>
    </row>
    <row r="9" spans="4:64">
      <c r="D9" s="102"/>
      <c r="E9" s="102"/>
      <c r="F9" s="95"/>
      <c r="G9" s="99" t="s">
        <v>97</v>
      </c>
      <c r="H9" s="99" t="s">
        <v>98</v>
      </c>
      <c r="I9" s="99" t="s">
        <v>99</v>
      </c>
      <c r="J9" s="99" t="s">
        <v>100</v>
      </c>
      <c r="K9" s="99" t="s">
        <v>101</v>
      </c>
      <c r="L9" s="99" t="s">
        <v>102</v>
      </c>
      <c r="M9" s="99" t="s">
        <v>103</v>
      </c>
      <c r="N9" s="99" t="s">
        <v>104</v>
      </c>
      <c r="O9" s="99" t="s">
        <v>105</v>
      </c>
      <c r="P9" s="99" t="s">
        <v>106</v>
      </c>
      <c r="Q9" s="99" t="s">
        <v>107</v>
      </c>
      <c r="R9" s="99" t="s">
        <v>108</v>
      </c>
      <c r="S9" s="99" t="s">
        <v>109</v>
      </c>
      <c r="T9" s="99" t="s">
        <v>110</v>
      </c>
      <c r="U9" s="99" t="s">
        <v>111</v>
      </c>
      <c r="V9" s="99" t="s">
        <v>112</v>
      </c>
      <c r="W9" s="99" t="s">
        <v>113</v>
      </c>
      <c r="X9" s="99" t="s">
        <v>114</v>
      </c>
      <c r="Y9" s="99" t="s">
        <v>115</v>
      </c>
      <c r="Z9" s="99" t="s">
        <v>116</v>
      </c>
      <c r="AA9" s="99" t="s">
        <v>117</v>
      </c>
      <c r="AB9" s="99" t="s">
        <v>118</v>
      </c>
      <c r="AC9" s="99" t="s">
        <v>119</v>
      </c>
      <c r="AD9" s="99" t="s">
        <v>120</v>
      </c>
      <c r="AE9" s="99" t="s">
        <v>121</v>
      </c>
      <c r="AF9" s="99" t="s">
        <v>122</v>
      </c>
      <c r="AG9" s="99" t="s">
        <v>123</v>
      </c>
      <c r="AH9" s="99" t="s">
        <v>124</v>
      </c>
      <c r="AI9" s="99" t="s">
        <v>125</v>
      </c>
      <c r="AJ9" s="99" t="s">
        <v>126</v>
      </c>
      <c r="AK9" s="99" t="s">
        <v>127</v>
      </c>
      <c r="AL9" s="99" t="s">
        <v>128</v>
      </c>
      <c r="AM9" s="99" t="s">
        <v>129</v>
      </c>
      <c r="AN9" s="99" t="s">
        <v>130</v>
      </c>
      <c r="AO9" s="99" t="s">
        <v>131</v>
      </c>
      <c r="AP9" s="99" t="s">
        <v>132</v>
      </c>
      <c r="AQ9" s="99" t="s">
        <v>133</v>
      </c>
      <c r="AR9" s="99" t="s">
        <v>134</v>
      </c>
      <c r="AS9" s="99" t="s">
        <v>135</v>
      </c>
      <c r="AT9" s="99" t="s">
        <v>136</v>
      </c>
      <c r="AU9" s="99" t="s">
        <v>137</v>
      </c>
      <c r="AV9" s="99" t="s">
        <v>138</v>
      </c>
      <c r="AW9" s="99" t="s">
        <v>139</v>
      </c>
      <c r="AX9" s="99" t="s">
        <v>140</v>
      </c>
      <c r="AY9" s="99" t="s">
        <v>141</v>
      </c>
      <c r="AZ9" s="99" t="s">
        <v>142</v>
      </c>
      <c r="BA9" s="99" t="s">
        <v>143</v>
      </c>
      <c r="BB9" s="99" t="s">
        <v>144</v>
      </c>
      <c r="BC9" s="99" t="s">
        <v>145</v>
      </c>
      <c r="BD9" s="99" t="s">
        <v>146</v>
      </c>
      <c r="BE9" s="99" t="s">
        <v>147</v>
      </c>
      <c r="BF9" s="99" t="s">
        <v>148</v>
      </c>
      <c r="BG9" s="99" t="s">
        <v>149</v>
      </c>
      <c r="BH9" s="99" t="s">
        <v>150</v>
      </c>
      <c r="BI9" s="99" t="s">
        <v>151</v>
      </c>
      <c r="BJ9" s="99" t="s">
        <v>152</v>
      </c>
      <c r="BK9" s="106" t="s">
        <v>153</v>
      </c>
      <c r="BL9" s="106" t="s">
        <v>154</v>
      </c>
    </row>
    <row r="10" spans="4:64">
      <c r="D10" s="102"/>
      <c r="E10" s="102"/>
      <c r="F10" s="95"/>
      <c r="G10" s="97" t="s">
        <v>155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>
      <c r="D11" s="102"/>
      <c r="E11" s="102"/>
      <c r="F11" s="95"/>
      <c r="G11" s="97" t="s">
        <v>156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>
      <c r="D12" s="102"/>
      <c r="E12" s="102"/>
      <c r="F12" s="95"/>
      <c r="G12" s="97" t="s">
        <v>157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>
      <c r="D13" s="102"/>
      <c r="E13" s="102"/>
      <c r="F13" s="95"/>
      <c r="G13" s="97" t="s">
        <v>158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>
      <c r="D14" s="102"/>
      <c r="E14" s="102"/>
      <c r="F14" s="95"/>
      <c r="G14" s="97" t="s">
        <v>159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>
      <c r="D16" s="102"/>
      <c r="E16" s="102"/>
      <c r="F16" s="95"/>
      <c r="G16" s="97" t="s">
        <v>160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>
      <c r="G17" s="97" t="s">
        <v>161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>
      <c r="G18" s="97" t="s">
        <v>162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>
      <c r="G19" s="97" t="s">
        <v>163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>
      <c r="G20" s="97" t="s">
        <v>164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>
      <c r="G22" s="101" t="s">
        <v>165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>
      <c r="G23" s="101" t="s">
        <v>166</v>
      </c>
      <c r="H23">
        <f>AVERAGE(H10:H20)</f>
        <v>849.6</v>
      </c>
    </row>
    <row r="27" spans="7:64">
      <c r="G27" s="99" t="s">
        <v>97</v>
      </c>
      <c r="H27" s="99" t="s">
        <v>98</v>
      </c>
      <c r="I27" s="99" t="s">
        <v>99</v>
      </c>
      <c r="J27" s="99" t="s">
        <v>100</v>
      </c>
      <c r="K27" s="99" t="s">
        <v>101</v>
      </c>
      <c r="L27" s="99" t="s">
        <v>102</v>
      </c>
      <c r="M27" s="99" t="s">
        <v>103</v>
      </c>
      <c r="N27" s="99" t="s">
        <v>104</v>
      </c>
      <c r="O27" s="99" t="s">
        <v>105</v>
      </c>
      <c r="P27" s="99" t="s">
        <v>106</v>
      </c>
      <c r="Q27" s="99" t="s">
        <v>107</v>
      </c>
      <c r="R27" s="99" t="s">
        <v>108</v>
      </c>
      <c r="S27" s="99" t="s">
        <v>109</v>
      </c>
      <c r="T27" s="99" t="s">
        <v>110</v>
      </c>
      <c r="U27" s="99" t="s">
        <v>111</v>
      </c>
      <c r="V27" s="99" t="s">
        <v>112</v>
      </c>
      <c r="W27" s="99" t="s">
        <v>113</v>
      </c>
      <c r="X27" s="99" t="s">
        <v>114</v>
      </c>
      <c r="Y27" s="99" t="s">
        <v>115</v>
      </c>
      <c r="Z27" s="99" t="s">
        <v>116</v>
      </c>
      <c r="AA27" s="99" t="s">
        <v>117</v>
      </c>
      <c r="AB27" s="99" t="s">
        <v>118</v>
      </c>
      <c r="AC27" s="99" t="s">
        <v>119</v>
      </c>
      <c r="AD27" s="99" t="s">
        <v>120</v>
      </c>
      <c r="AE27" s="99" t="s">
        <v>121</v>
      </c>
      <c r="AF27" s="99" t="s">
        <v>122</v>
      </c>
      <c r="AG27" s="99" t="s">
        <v>123</v>
      </c>
      <c r="AH27" s="99" t="s">
        <v>124</v>
      </c>
      <c r="AI27" s="99" t="s">
        <v>125</v>
      </c>
      <c r="AJ27" s="99" t="s">
        <v>126</v>
      </c>
      <c r="AK27" s="99" t="s">
        <v>127</v>
      </c>
      <c r="AL27" s="99" t="s">
        <v>128</v>
      </c>
      <c r="AM27" s="99" t="s">
        <v>129</v>
      </c>
      <c r="AN27" s="99" t="s">
        <v>130</v>
      </c>
      <c r="AO27" s="99" t="s">
        <v>131</v>
      </c>
      <c r="AP27" s="99" t="s">
        <v>132</v>
      </c>
      <c r="AQ27" s="99" t="s">
        <v>133</v>
      </c>
      <c r="AR27" s="99" t="s">
        <v>134</v>
      </c>
      <c r="AS27" s="99" t="s">
        <v>135</v>
      </c>
      <c r="AT27" s="99" t="s">
        <v>136</v>
      </c>
      <c r="AU27" s="99" t="s">
        <v>137</v>
      </c>
      <c r="AV27" s="99" t="s">
        <v>138</v>
      </c>
      <c r="AW27" s="99" t="s">
        <v>139</v>
      </c>
      <c r="AX27" s="99" t="s">
        <v>140</v>
      </c>
      <c r="AY27" s="99" t="s">
        <v>141</v>
      </c>
      <c r="AZ27" s="99" t="s">
        <v>142</v>
      </c>
      <c r="BA27" s="99" t="s">
        <v>143</v>
      </c>
      <c r="BB27" s="99" t="s">
        <v>144</v>
      </c>
      <c r="BC27" s="99" t="s">
        <v>145</v>
      </c>
      <c r="BD27" s="99" t="s">
        <v>146</v>
      </c>
      <c r="BE27" s="99" t="s">
        <v>147</v>
      </c>
      <c r="BF27" s="99" t="s">
        <v>148</v>
      </c>
      <c r="BG27" s="99" t="s">
        <v>149</v>
      </c>
      <c r="BH27" s="99" t="s">
        <v>150</v>
      </c>
      <c r="BI27" s="99" t="s">
        <v>151</v>
      </c>
      <c r="BJ27" s="99" t="s">
        <v>152</v>
      </c>
      <c r="BK27" s="106" t="s">
        <v>153</v>
      </c>
      <c r="BL27" s="106" t="s">
        <v>154</v>
      </c>
    </row>
    <row r="28" spans="7:64">
      <c r="G28" s="97" t="s">
        <v>155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>
      <c r="G29" s="97" t="s">
        <v>156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>
      <c r="G30" s="97" t="s">
        <v>157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>
      <c r="G31" s="97" t="s">
        <v>158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>
      <c r="G32" s="97" t="s">
        <v>159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>
      <c r="G34" s="97" t="s">
        <v>160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>
      <c r="G35" s="97" t="s">
        <v>161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>
      <c r="G36" s="97" t="s">
        <v>162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>
      <c r="G37" s="97" t="s">
        <v>163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>
      <c r="G38" s="97" t="s">
        <v>164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>
      <c r="G40" s="101" t="s">
        <v>165</v>
      </c>
      <c r="H40">
        <f>SUM(H28:H38)</f>
        <v>17424</v>
      </c>
    </row>
    <row r="41" spans="7:64">
      <c r="G41" s="101" t="s">
        <v>166</v>
      </c>
      <c r="H41">
        <f>AVERAGE(H28:H38)</f>
        <v>1742.4</v>
      </c>
      <c r="K41" s="104" t="s">
        <v>167</v>
      </c>
    </row>
    <row r="48" spans="7:64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>
      <c r="I71">
        <f>23*10</f>
        <v>230</v>
      </c>
    </row>
    <row r="72" spans="9:11">
      <c r="I72">
        <f>8*52</f>
        <v>416</v>
      </c>
    </row>
    <row r="74" spans="9:11">
      <c r="I74">
        <f>I72-I71</f>
        <v>186</v>
      </c>
      <c r="K74" s="116">
        <f>I74/10</f>
        <v>18.600000000000001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05be82777fdc7fdf29882453c6c6a7cb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4ba72682a79310710f916577017439ba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5FA03-0D71-42C1-B384-265EE4FF1786}"/>
</file>

<file path=customXml/itemProps2.xml><?xml version="1.0" encoding="utf-8"?>
<ds:datastoreItem xmlns:ds="http://schemas.openxmlformats.org/officeDocument/2006/customXml" ds:itemID="{AC14FB83-56DB-46B1-A14A-5242E72CEA54}"/>
</file>

<file path=customXml/itemProps3.xml><?xml version="1.0" encoding="utf-8"?>
<ds:datastoreItem xmlns:ds="http://schemas.openxmlformats.org/officeDocument/2006/customXml" ds:itemID="{1EECE65D-B437-4372-9E5B-6949431F5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Muñoz Valle Adrian</cp:lastModifiedBy>
  <cp:revision/>
  <dcterms:created xsi:type="dcterms:W3CDTF">2025-06-10T09:39:58Z</dcterms:created>
  <dcterms:modified xsi:type="dcterms:W3CDTF">2025-11-21T08:52:25Z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