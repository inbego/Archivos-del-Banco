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comments11.xml" ContentType="application/vnd.openxmlformats-officedocument.spreadsheetml.comments+xml"/>
  <Override PartName="/xl/threadedComments/threadedComment9.xml" ContentType="application/vnd.ms-excel.threadedcomments+xml"/>
  <Override PartName="/xl/comments12.xml" ContentType="application/vnd.openxmlformats-officedocument.spreadsheetml.comments+xml"/>
  <Override PartName="/xl/threadedComments/threadedComment10.xml" ContentType="application/vnd.ms-excel.threadedcomments+xml"/>
  <Override PartName="/xl/comments13.xml" ContentType="application/vnd.openxmlformats-officedocument.spreadsheetml.comments+xml"/>
  <Override PartName="/xl/threadedComments/threadedComment11.xml" ContentType="application/vnd.ms-excel.threadedcomments+xml"/>
  <Override PartName="/xl/comments14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NaaS-Batch3/Shared Documents/General/Reportes/7.3 ABBA Dashboard/"/>
    </mc:Choice>
  </mc:AlternateContent>
  <xr:revisionPtr revIDLastSave="519" documentId="13_ncr:1_{57950AB5-139C-494F-9031-452E08CC404C}" xr6:coauthVersionLast="47" xr6:coauthVersionMax="47" xr10:uidLastSave="{049F5E7A-66F3-47B5-A8C5-EAF2B458E750}"/>
  <bookViews>
    <workbookView xWindow="-9720" yWindow="-21720" windowWidth="51840" windowHeight="21120" tabRatio="532" firstSheet="11" activeTab="16" xr2:uid="{00000000-000D-0000-FFFF-FFFF00000000}"/>
  </bookViews>
  <sheets>
    <sheet name="SLA Contrato" sheetId="6" state="hidden" r:id="rId1"/>
    <sheet name="New_Dashboard" sheetId="5" state="hidden" r:id="rId2"/>
    <sheet name="Definition" sheetId="2" state="hidden" r:id="rId3"/>
    <sheet name="Dashboard_Sep_17" sheetId="1" state="hidden" r:id="rId4"/>
    <sheet name="Totales" sheetId="4" state="hidden" r:id="rId5"/>
    <sheet name="Enero" sheetId="12" r:id="rId6"/>
    <sheet name="Febrero" sheetId="13" r:id="rId7"/>
    <sheet name="Marzo" sheetId="15" r:id="rId8"/>
    <sheet name="Abril" sheetId="16" r:id="rId9"/>
    <sheet name="Mayo" sheetId="17" r:id="rId10"/>
    <sheet name="Junio" sheetId="19" r:id="rId11"/>
    <sheet name="Julio" sheetId="20" r:id="rId12"/>
    <sheet name="Agosto" sheetId="21" r:id="rId13"/>
    <sheet name="Septiembre" sheetId="23" r:id="rId14"/>
    <sheet name="Octubre" sheetId="24" r:id="rId15"/>
    <sheet name="Noviembre" sheetId="26" r:id="rId16"/>
    <sheet name="Diciembre" sheetId="2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27" l="1"/>
  <c r="AG9" i="27" l="1"/>
  <c r="AG10" i="27"/>
  <c r="AG13" i="27"/>
  <c r="B21" i="27"/>
  <c r="B22" i="27" s="1"/>
  <c r="C21" i="27"/>
  <c r="C22" i="27" s="1"/>
  <c r="C23" i="27" s="1"/>
  <c r="D21" i="27"/>
  <c r="D22" i="27" s="1"/>
  <c r="D23" i="27" s="1"/>
  <c r="E21" i="27"/>
  <c r="F21" i="27"/>
  <c r="F22" i="27" s="1"/>
  <c r="F23" i="27" s="1"/>
  <c r="G21" i="27"/>
  <c r="G22" i="27" s="1"/>
  <c r="G23" i="27" s="1"/>
  <c r="G24" i="27" s="1"/>
  <c r="H21" i="27"/>
  <c r="H22" i="27" s="1"/>
  <c r="H23" i="27" s="1"/>
  <c r="H24" i="27" s="1"/>
  <c r="I21" i="27"/>
  <c r="I22" i="27" s="1"/>
  <c r="J21" i="27"/>
  <c r="J22" i="27" s="1"/>
  <c r="K21" i="27"/>
  <c r="K22" i="27" s="1"/>
  <c r="L21" i="27"/>
  <c r="L22" i="27" s="1"/>
  <c r="M21" i="27"/>
  <c r="M22" i="27" s="1"/>
  <c r="N21" i="27"/>
  <c r="N22" i="27" s="1"/>
  <c r="O21" i="27"/>
  <c r="O22" i="27" s="1"/>
  <c r="P21" i="27"/>
  <c r="P22" i="27" s="1"/>
  <c r="Q21" i="27"/>
  <c r="Q22" i="27" s="1"/>
  <c r="R21" i="27"/>
  <c r="S21" i="27"/>
  <c r="T21" i="27"/>
  <c r="U21" i="27"/>
  <c r="U22" i="27" s="1"/>
  <c r="V21" i="27"/>
  <c r="V22" i="27" s="1"/>
  <c r="W21" i="27"/>
  <c r="X21" i="27"/>
  <c r="X22" i="27" s="1"/>
  <c r="Y21" i="27"/>
  <c r="Y22" i="27" s="1"/>
  <c r="Z21" i="27"/>
  <c r="Z22" i="27" s="1"/>
  <c r="AA21" i="27"/>
  <c r="AA22" i="27" s="1"/>
  <c r="AB21" i="27"/>
  <c r="AB22" i="27" s="1"/>
  <c r="AC21" i="27"/>
  <c r="AD21" i="27"/>
  <c r="AD22" i="27" s="1"/>
  <c r="AD23" i="27" s="1"/>
  <c r="AD24" i="27" s="1"/>
  <c r="AE21" i="27"/>
  <c r="AE22" i="27" s="1"/>
  <c r="AE23" i="27" s="1"/>
  <c r="AE24" i="27" s="1"/>
  <c r="AF21" i="27"/>
  <c r="AF22" i="27" s="1"/>
  <c r="AF23" i="27" s="1"/>
  <c r="E22" i="27"/>
  <c r="E24" i="27" s="1"/>
  <c r="R22" i="27"/>
  <c r="R23" i="27" s="1"/>
  <c r="R24" i="27" s="1"/>
  <c r="S22" i="27"/>
  <c r="S23" i="27" s="1"/>
  <c r="S24" i="27" s="1"/>
  <c r="T22" i="27"/>
  <c r="T23" i="27" s="1"/>
  <c r="W22" i="27"/>
  <c r="AC22" i="27"/>
  <c r="AC23" i="27" s="1"/>
  <c r="E23" i="27"/>
  <c r="Z21" i="26"/>
  <c r="Z22" i="26" s="1"/>
  <c r="Z23" i="26" s="1"/>
  <c r="Y22" i="26"/>
  <c r="AF6" i="26"/>
  <c r="AF9" i="26"/>
  <c r="AF10" i="26"/>
  <c r="AF13" i="26"/>
  <c r="AC24" i="27" l="1"/>
  <c r="X23" i="27"/>
  <c r="X24" i="27" s="1"/>
  <c r="W24" i="27"/>
  <c r="W23" i="27"/>
  <c r="V23" i="27"/>
  <c r="V24" i="27" s="1"/>
  <c r="Q24" i="27"/>
  <c r="Q23" i="27"/>
  <c r="L24" i="27"/>
  <c r="L23" i="27"/>
  <c r="K23" i="27"/>
  <c r="K24" i="27" s="1"/>
  <c r="AG11" i="27"/>
  <c r="J23" i="27"/>
  <c r="J24" i="27" s="1"/>
  <c r="I23" i="27"/>
  <c r="I24" i="27"/>
  <c r="AB24" i="27"/>
  <c r="AB23" i="27"/>
  <c r="P23" i="27"/>
  <c r="P24" i="27" s="1"/>
  <c r="AA23" i="27"/>
  <c r="AA24" i="27" s="1"/>
  <c r="O23" i="27"/>
  <c r="O24" i="27" s="1"/>
  <c r="Z23" i="27"/>
  <c r="Z24" i="27" s="1"/>
  <c r="N23" i="27"/>
  <c r="N24" i="27" s="1"/>
  <c r="AG22" i="27"/>
  <c r="B23" i="27"/>
  <c r="U23" i="27"/>
  <c r="U24" i="27"/>
  <c r="AG21" i="27"/>
  <c r="AF24" i="27"/>
  <c r="T24" i="27"/>
  <c r="F24" i="27"/>
  <c r="Y23" i="27"/>
  <c r="Y24" i="27" s="1"/>
  <c r="M23" i="27"/>
  <c r="M24" i="27" s="1"/>
  <c r="C24" i="27"/>
  <c r="D24" i="27"/>
  <c r="B24" i="27"/>
  <c r="Z24" i="26"/>
  <c r="AF11" i="26"/>
  <c r="AG24" i="27" l="1"/>
  <c r="AG7" i="27" s="1"/>
  <c r="AG23" i="27"/>
  <c r="AE21" i="26"/>
  <c r="AD21" i="26"/>
  <c r="AC21" i="26"/>
  <c r="AB21" i="26"/>
  <c r="AA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AE21" i="24"/>
  <c r="AF21" i="24"/>
  <c r="AD21" i="24"/>
  <c r="AC21" i="24"/>
  <c r="AC22" i="24" s="1"/>
  <c r="AB21" i="24"/>
  <c r="AB22" i="24" s="1"/>
  <c r="AA21" i="24"/>
  <c r="Z21" i="24"/>
  <c r="Z22" i="24" s="1"/>
  <c r="Z23" i="24" s="1"/>
  <c r="Y21" i="24"/>
  <c r="X21" i="24"/>
  <c r="X22" i="24" s="1"/>
  <c r="X23" i="24" s="1"/>
  <c r="W21" i="24"/>
  <c r="W22" i="24" s="1"/>
  <c r="V21" i="24"/>
  <c r="V22" i="24" s="1"/>
  <c r="U21" i="24"/>
  <c r="U22" i="24" s="1"/>
  <c r="T21" i="24"/>
  <c r="S21" i="24"/>
  <c r="R21" i="24"/>
  <c r="R22" i="24" s="1"/>
  <c r="R23" i="24" s="1"/>
  <c r="Q21" i="24"/>
  <c r="Q22" i="24" s="1"/>
  <c r="P21" i="24"/>
  <c r="P22" i="24" s="1"/>
  <c r="O21" i="24"/>
  <c r="N21" i="24"/>
  <c r="M21" i="24"/>
  <c r="M22" i="24" s="1"/>
  <c r="M23" i="24" s="1"/>
  <c r="L21" i="24"/>
  <c r="L22" i="24" s="1"/>
  <c r="L23" i="24" s="1"/>
  <c r="K21" i="24"/>
  <c r="K22" i="24" s="1"/>
  <c r="J21" i="24"/>
  <c r="J22" i="24" s="1"/>
  <c r="I21" i="24"/>
  <c r="I22" i="24" s="1"/>
  <c r="H21" i="24"/>
  <c r="G21" i="24"/>
  <c r="F21" i="24"/>
  <c r="E21" i="24"/>
  <c r="E22" i="24" s="1"/>
  <c r="D21" i="24"/>
  <c r="D22" i="24" s="1"/>
  <c r="C21" i="24"/>
  <c r="B21" i="24"/>
  <c r="AG13" i="24"/>
  <c r="AG10" i="24"/>
  <c r="AG9" i="24"/>
  <c r="AG6" i="24"/>
  <c r="AF13" i="23"/>
  <c r="T21" i="23"/>
  <c r="X21" i="23"/>
  <c r="W21" i="23"/>
  <c r="V21" i="23"/>
  <c r="U21" i="23"/>
  <c r="U22" i="23" s="1"/>
  <c r="S21" i="23"/>
  <c r="R21" i="23"/>
  <c r="Q21" i="23"/>
  <c r="P21" i="23"/>
  <c r="L21" i="23"/>
  <c r="L22" i="23" s="1"/>
  <c r="L23" i="23" s="1"/>
  <c r="K21" i="23"/>
  <c r="J21" i="23"/>
  <c r="J22" i="23" s="1"/>
  <c r="J23" i="23" s="1"/>
  <c r="I21" i="23"/>
  <c r="H21" i="23"/>
  <c r="G21" i="23"/>
  <c r="G22" i="23" s="1"/>
  <c r="G23" i="23" s="1"/>
  <c r="F21" i="23"/>
  <c r="F22" i="23" s="1"/>
  <c r="F23" i="23" s="1"/>
  <c r="E21" i="23"/>
  <c r="D21" i="23"/>
  <c r="D22" i="23" s="1"/>
  <c r="D23" i="23" s="1"/>
  <c r="C21" i="23"/>
  <c r="B21" i="23"/>
  <c r="AG8" i="27" l="1"/>
  <c r="AF21" i="26"/>
  <c r="B22" i="26"/>
  <c r="J22" i="26"/>
  <c r="J23" i="26" s="1"/>
  <c r="R22" i="26"/>
  <c r="R23" i="26" s="1"/>
  <c r="C22" i="26"/>
  <c r="C23" i="26" s="1"/>
  <c r="K22" i="26"/>
  <c r="K23" i="26" s="1"/>
  <c r="S22" i="26"/>
  <c r="S23" i="26" s="1"/>
  <c r="AA22" i="26"/>
  <c r="AA23" i="26" s="1"/>
  <c r="D22" i="26"/>
  <c r="D23" i="26" s="1"/>
  <c r="L22" i="26"/>
  <c r="L23" i="26" s="1"/>
  <c r="T22" i="26"/>
  <c r="T23" i="26" s="1"/>
  <c r="AB22" i="26"/>
  <c r="AB23" i="26" s="1"/>
  <c r="E22" i="26"/>
  <c r="E23" i="26" s="1"/>
  <c r="M22" i="26"/>
  <c r="M23" i="26" s="1"/>
  <c r="M24" i="26" s="1"/>
  <c r="U22" i="26"/>
  <c r="U23" i="26" s="1"/>
  <c r="AC22" i="26"/>
  <c r="AC23" i="26" s="1"/>
  <c r="F22" i="26"/>
  <c r="F23" i="26" s="1"/>
  <c r="N22" i="26"/>
  <c r="N23" i="26" s="1"/>
  <c r="V22" i="26"/>
  <c r="V23" i="26" s="1"/>
  <c r="AD22" i="26"/>
  <c r="AD23" i="26" s="1"/>
  <c r="G22" i="26"/>
  <c r="G23" i="26" s="1"/>
  <c r="O22" i="26"/>
  <c r="O23" i="26" s="1"/>
  <c r="W22" i="26"/>
  <c r="W23" i="26" s="1"/>
  <c r="AE22" i="26"/>
  <c r="AE23" i="26" s="1"/>
  <c r="H22" i="26"/>
  <c r="H23" i="26" s="1"/>
  <c r="P22" i="26"/>
  <c r="P23" i="26" s="1"/>
  <c r="X22" i="26"/>
  <c r="X23" i="26" s="1"/>
  <c r="I22" i="26"/>
  <c r="I23" i="26" s="1"/>
  <c r="Q22" i="26"/>
  <c r="Q23" i="26" s="1"/>
  <c r="Q24" i="26" s="1"/>
  <c r="AE22" i="24"/>
  <c r="AE23" i="24" s="1"/>
  <c r="W23" i="24"/>
  <c r="W24" i="24" s="1"/>
  <c r="AG11" i="24"/>
  <c r="R24" i="24"/>
  <c r="F22" i="24"/>
  <c r="F23" i="24" s="1"/>
  <c r="AD22" i="24"/>
  <c r="AD23" i="24" s="1"/>
  <c r="K23" i="24"/>
  <c r="K24" i="24" s="1"/>
  <c r="O24" i="24"/>
  <c r="E23" i="24"/>
  <c r="E24" i="24" s="1"/>
  <c r="Q23" i="24"/>
  <c r="Q24" i="24" s="1"/>
  <c r="AC23" i="24"/>
  <c r="AC24" i="24" s="1"/>
  <c r="I23" i="24"/>
  <c r="I24" i="24" s="1"/>
  <c r="U23" i="24"/>
  <c r="U24" i="24" s="1"/>
  <c r="J23" i="24"/>
  <c r="J24" i="24"/>
  <c r="V23" i="24"/>
  <c r="V24" i="24" s="1"/>
  <c r="D23" i="24"/>
  <c r="D24" i="24" s="1"/>
  <c r="P23" i="24"/>
  <c r="P24" i="24" s="1"/>
  <c r="AB23" i="24"/>
  <c r="AB24" i="24" s="1"/>
  <c r="AG21" i="24"/>
  <c r="Y22" i="24"/>
  <c r="Y23" i="24" s="1"/>
  <c r="B22" i="24"/>
  <c r="N22" i="24"/>
  <c r="N23" i="24" s="1"/>
  <c r="X24" i="24"/>
  <c r="C22" i="24"/>
  <c r="C23" i="24" s="1"/>
  <c r="AA22" i="24"/>
  <c r="AA23" i="24" s="1"/>
  <c r="M24" i="24"/>
  <c r="Z24" i="24"/>
  <c r="L24" i="24"/>
  <c r="O22" i="24"/>
  <c r="O23" i="24" s="1"/>
  <c r="G22" i="24"/>
  <c r="G23" i="24" s="1"/>
  <c r="S22" i="24"/>
  <c r="S23" i="24" s="1"/>
  <c r="AF22" i="24"/>
  <c r="AF23" i="24" s="1"/>
  <c r="H22" i="24"/>
  <c r="H23" i="24" s="1"/>
  <c r="T22" i="24"/>
  <c r="T23" i="24" s="1"/>
  <c r="AE21" i="23"/>
  <c r="AA21" i="23"/>
  <c r="AB21" i="23"/>
  <c r="AB22" i="23" s="1"/>
  <c r="AB23" i="23" s="1"/>
  <c r="AB24" i="23" s="1"/>
  <c r="AC21" i="23"/>
  <c r="AC22" i="23" s="1"/>
  <c r="AC23" i="23" s="1"/>
  <c r="AD21" i="23"/>
  <c r="AD22" i="23" s="1"/>
  <c r="AD23" i="23" s="1"/>
  <c r="AD24" i="23" s="1"/>
  <c r="Z21" i="23"/>
  <c r="Z22" i="23" s="1"/>
  <c r="Z23" i="23" s="1"/>
  <c r="Z24" i="23" s="1"/>
  <c r="AF6" i="23"/>
  <c r="Y21" i="23"/>
  <c r="AF9" i="23"/>
  <c r="AF10" i="23"/>
  <c r="M21" i="23"/>
  <c r="M22" i="23" s="1"/>
  <c r="M23" i="23" s="1"/>
  <c r="N21" i="23"/>
  <c r="N22" i="23" s="1"/>
  <c r="N23" i="23" s="1"/>
  <c r="O21" i="23"/>
  <c r="O22" i="23" s="1"/>
  <c r="O23" i="23" s="1"/>
  <c r="K22" i="23"/>
  <c r="K23" i="23" s="1"/>
  <c r="U23" i="23"/>
  <c r="U24" i="23" s="1"/>
  <c r="J24" i="23"/>
  <c r="V22" i="23"/>
  <c r="V23" i="23" s="1"/>
  <c r="S22" i="23"/>
  <c r="S23" i="23" s="1"/>
  <c r="H24" i="23"/>
  <c r="K24" i="23"/>
  <c r="W22" i="23"/>
  <c r="W23" i="23" s="1"/>
  <c r="Q22" i="23"/>
  <c r="Q23" i="23" s="1"/>
  <c r="L24" i="23"/>
  <c r="H22" i="23"/>
  <c r="H23" i="23" s="1"/>
  <c r="X22" i="23"/>
  <c r="X23" i="23" s="1"/>
  <c r="F24" i="23"/>
  <c r="R22" i="23"/>
  <c r="R23" i="23" s="1"/>
  <c r="E22" i="23"/>
  <c r="E23" i="23" s="1"/>
  <c r="I22" i="23"/>
  <c r="I23" i="23" s="1"/>
  <c r="G24" i="23"/>
  <c r="N24" i="23"/>
  <c r="D24" i="23"/>
  <c r="Y22" i="23"/>
  <c r="Y23" i="23" s="1"/>
  <c r="B22" i="23"/>
  <c r="C22" i="23"/>
  <c r="C23" i="23" s="1"/>
  <c r="P22" i="23"/>
  <c r="P23" i="23" s="1"/>
  <c r="S24" i="26" l="1"/>
  <c r="O24" i="26"/>
  <c r="W24" i="26"/>
  <c r="F24" i="26"/>
  <c r="AB24" i="26"/>
  <c r="T24" i="26"/>
  <c r="D24" i="26"/>
  <c r="L24" i="26"/>
  <c r="U24" i="26"/>
  <c r="E24" i="26"/>
  <c r="AE24" i="26"/>
  <c r="AC24" i="26"/>
  <c r="G24" i="26"/>
  <c r="X24" i="26"/>
  <c r="C24" i="26"/>
  <c r="AD24" i="26"/>
  <c r="K24" i="26"/>
  <c r="P24" i="26"/>
  <c r="R24" i="26"/>
  <c r="V24" i="26"/>
  <c r="J24" i="26"/>
  <c r="I24" i="26"/>
  <c r="B23" i="26"/>
  <c r="H24" i="26"/>
  <c r="N24" i="26"/>
  <c r="AA24" i="26"/>
  <c r="AE24" i="24"/>
  <c r="H24" i="24"/>
  <c r="AF24" i="24"/>
  <c r="S24" i="24"/>
  <c r="AD24" i="24"/>
  <c r="N24" i="24"/>
  <c r="G24" i="24"/>
  <c r="F24" i="24"/>
  <c r="Y24" i="24"/>
  <c r="B23" i="24"/>
  <c r="AG22" i="24"/>
  <c r="AA24" i="24"/>
  <c r="T24" i="24"/>
  <c r="C24" i="24"/>
  <c r="AE22" i="23"/>
  <c r="AE23" i="23" s="1"/>
  <c r="AE24" i="23" s="1"/>
  <c r="AA22" i="23"/>
  <c r="AA23" i="23" s="1"/>
  <c r="AA24" i="23" s="1"/>
  <c r="AC24" i="23"/>
  <c r="AF11" i="23"/>
  <c r="T22" i="23"/>
  <c r="T23" i="23" s="1"/>
  <c r="AF21" i="23"/>
  <c r="M24" i="23"/>
  <c r="Q24" i="23"/>
  <c r="W24" i="23"/>
  <c r="E24" i="23"/>
  <c r="Y24" i="23"/>
  <c r="I24" i="23"/>
  <c r="T24" i="23"/>
  <c r="X24" i="23"/>
  <c r="S24" i="23"/>
  <c r="R24" i="23"/>
  <c r="P24" i="23"/>
  <c r="V24" i="23"/>
  <c r="B23" i="23"/>
  <c r="O24" i="23"/>
  <c r="C24" i="23"/>
  <c r="B24" i="26" l="1"/>
  <c r="AG23" i="24"/>
  <c r="B24" i="24"/>
  <c r="AG24" i="24" s="1"/>
  <c r="AF22" i="23"/>
  <c r="AF23" i="23"/>
  <c r="B24" i="23"/>
  <c r="AF24" i="23" s="1"/>
  <c r="AF7" i="23" s="1"/>
  <c r="AG7" i="24" l="1"/>
  <c r="AG8" i="24"/>
  <c r="AF8" i="23"/>
  <c r="AG13" i="21"/>
  <c r="AC21" i="21"/>
  <c r="AC22" i="21" s="1"/>
  <c r="AC23" i="21" s="1"/>
  <c r="AB21" i="21"/>
  <c r="AA21" i="21"/>
  <c r="Z21" i="21"/>
  <c r="Z22" i="21" s="1"/>
  <c r="Z23" i="21" s="1"/>
  <c r="Y21" i="21"/>
  <c r="Y22" i="21" s="1"/>
  <c r="Y23" i="21" s="1"/>
  <c r="X21" i="21"/>
  <c r="W21" i="21"/>
  <c r="W22" i="21" s="1"/>
  <c r="W23" i="21" s="1"/>
  <c r="V21" i="21"/>
  <c r="V22" i="21" s="1"/>
  <c r="V23" i="21" s="1"/>
  <c r="U21" i="21"/>
  <c r="T21" i="21"/>
  <c r="T22" i="21" s="1"/>
  <c r="T23" i="21" s="1"/>
  <c r="S21" i="21"/>
  <c r="R21" i="21"/>
  <c r="Q21" i="21"/>
  <c r="P21" i="21"/>
  <c r="N21" i="21"/>
  <c r="M21" i="21"/>
  <c r="M22" i="21" s="1"/>
  <c r="M23" i="21" s="1"/>
  <c r="L21" i="21"/>
  <c r="L22" i="21" s="1"/>
  <c r="K21" i="21"/>
  <c r="K22" i="21" s="1"/>
  <c r="K23" i="21" s="1"/>
  <c r="J21" i="21"/>
  <c r="J22" i="21" s="1"/>
  <c r="J23" i="21" s="1"/>
  <c r="I21" i="21"/>
  <c r="H21" i="21"/>
  <c r="G21" i="21"/>
  <c r="F21" i="21"/>
  <c r="E21" i="21"/>
  <c r="D21" i="21"/>
  <c r="C21" i="21"/>
  <c r="B21" i="21"/>
  <c r="B22" i="21" s="1"/>
  <c r="B23" i="21" s="1"/>
  <c r="AG6" i="21"/>
  <c r="U22" i="20"/>
  <c r="U23" i="20" s="1"/>
  <c r="U21" i="20"/>
  <c r="T23" i="20"/>
  <c r="T22" i="20"/>
  <c r="T21" i="20"/>
  <c r="AD21" i="21" l="1"/>
  <c r="AE21" i="21"/>
  <c r="AF21" i="21"/>
  <c r="AF22" i="21" s="1"/>
  <c r="AF23" i="21" s="1"/>
  <c r="AG9" i="21"/>
  <c r="O21" i="21"/>
  <c r="AG10" i="21"/>
  <c r="AG11" i="21" s="1"/>
  <c r="L23" i="21"/>
  <c r="Q22" i="21"/>
  <c r="Q23" i="21" s="1"/>
  <c r="T24" i="21"/>
  <c r="AA22" i="21"/>
  <c r="AA23" i="21" s="1"/>
  <c r="AB22" i="21"/>
  <c r="AB23" i="21" s="1"/>
  <c r="C22" i="21"/>
  <c r="C23" i="21" s="1"/>
  <c r="D22" i="21"/>
  <c r="D23" i="21" s="1"/>
  <c r="P22" i="21"/>
  <c r="P23" i="21" s="1"/>
  <c r="AC24" i="21"/>
  <c r="E22" i="21"/>
  <c r="E23" i="21" s="1"/>
  <c r="H22" i="21"/>
  <c r="H23" i="21" s="1"/>
  <c r="Z24" i="21"/>
  <c r="N22" i="21"/>
  <c r="N23" i="21" s="1"/>
  <c r="W24" i="21"/>
  <c r="Y24" i="21"/>
  <c r="F22" i="21"/>
  <c r="F23" i="21" s="1"/>
  <c r="R22" i="21"/>
  <c r="R23" i="21" s="1"/>
  <c r="AD22" i="21"/>
  <c r="AD23" i="21" s="1"/>
  <c r="B24" i="21"/>
  <c r="V24" i="21"/>
  <c r="M24" i="21"/>
  <c r="G22" i="21"/>
  <c r="G23" i="21" s="1"/>
  <c r="S22" i="21"/>
  <c r="S23" i="21" s="1"/>
  <c r="AE22" i="21"/>
  <c r="AE23" i="21" s="1"/>
  <c r="I22" i="21"/>
  <c r="I23" i="21" s="1"/>
  <c r="U22" i="21"/>
  <c r="U23" i="21" s="1"/>
  <c r="J24" i="21"/>
  <c r="L24" i="21"/>
  <c r="K24" i="21"/>
  <c r="X22" i="21"/>
  <c r="X23" i="21" s="1"/>
  <c r="T24" i="20"/>
  <c r="AF24" i="21" l="1"/>
  <c r="AG21" i="21"/>
  <c r="O22" i="21"/>
  <c r="AG22" i="21" s="1"/>
  <c r="N24" i="21"/>
  <c r="Q24" i="21"/>
  <c r="H24" i="21"/>
  <c r="E24" i="21"/>
  <c r="AB24" i="21"/>
  <c r="D24" i="21"/>
  <c r="X24" i="21"/>
  <c r="P24" i="21"/>
  <c r="AA24" i="21"/>
  <c r="F24" i="21"/>
  <c r="C24" i="21"/>
  <c r="U24" i="21"/>
  <c r="I24" i="21"/>
  <c r="AE24" i="21"/>
  <c r="S24" i="21"/>
  <c r="G24" i="21"/>
  <c r="AD24" i="21"/>
  <c r="R24" i="21"/>
  <c r="AG6" i="20"/>
  <c r="AG13" i="20"/>
  <c r="AF21" i="20"/>
  <c r="AF22" i="20" s="1"/>
  <c r="AF23" i="20" s="1"/>
  <c r="AE21" i="20"/>
  <c r="AD21" i="20"/>
  <c r="AD22" i="20" s="1"/>
  <c r="AD23" i="20" s="1"/>
  <c r="AC21" i="20"/>
  <c r="AC22" i="20" s="1"/>
  <c r="AC23" i="20" s="1"/>
  <c r="AB21" i="20"/>
  <c r="AB22" i="20" s="1"/>
  <c r="AB23" i="20" s="1"/>
  <c r="AA21" i="20"/>
  <c r="AA22" i="20" s="1"/>
  <c r="AA23" i="20" s="1"/>
  <c r="Z21" i="20"/>
  <c r="Z22" i="20" s="1"/>
  <c r="Z23" i="20" s="1"/>
  <c r="Y21" i="20"/>
  <c r="Y22" i="20" s="1"/>
  <c r="Y23" i="20" s="1"/>
  <c r="X21" i="20"/>
  <c r="X22" i="20" s="1"/>
  <c r="X23" i="20" s="1"/>
  <c r="W21" i="20"/>
  <c r="W22" i="20" s="1"/>
  <c r="W23" i="20" s="1"/>
  <c r="V21" i="20"/>
  <c r="V22" i="20" s="1"/>
  <c r="V23" i="20" s="1"/>
  <c r="S21" i="20"/>
  <c r="Q21" i="20"/>
  <c r="Q22" i="20" s="1"/>
  <c r="Q23" i="20" s="1"/>
  <c r="P21" i="20"/>
  <c r="P22" i="20" s="1"/>
  <c r="P23" i="20" s="1"/>
  <c r="O21" i="20"/>
  <c r="O22" i="20" s="1"/>
  <c r="O23" i="20" s="1"/>
  <c r="N21" i="20"/>
  <c r="N22" i="20" s="1"/>
  <c r="N23" i="20" s="1"/>
  <c r="M21" i="20"/>
  <c r="M22" i="20" s="1"/>
  <c r="M23" i="20" s="1"/>
  <c r="L21" i="20"/>
  <c r="L22" i="20" s="1"/>
  <c r="L23" i="20" s="1"/>
  <c r="K21" i="20"/>
  <c r="K22" i="20" s="1"/>
  <c r="K23" i="20" s="1"/>
  <c r="I21" i="20"/>
  <c r="H21" i="20"/>
  <c r="H22" i="20" s="1"/>
  <c r="H23" i="20" s="1"/>
  <c r="G21" i="20"/>
  <c r="G22" i="20" s="1"/>
  <c r="G23" i="20" s="1"/>
  <c r="F21" i="20"/>
  <c r="F22" i="20" s="1"/>
  <c r="F23" i="20" s="1"/>
  <c r="E21" i="20"/>
  <c r="E22" i="20" s="1"/>
  <c r="E23" i="20" s="1"/>
  <c r="D21" i="20"/>
  <c r="D22" i="20" s="1"/>
  <c r="D23" i="20" s="1"/>
  <c r="C21" i="20"/>
  <c r="C22" i="20" s="1"/>
  <c r="C23" i="20" s="1"/>
  <c r="B21" i="20"/>
  <c r="B22" i="20" s="1"/>
  <c r="B23" i="20" s="1"/>
  <c r="AG10" i="20"/>
  <c r="AG9" i="20"/>
  <c r="O23" i="21" l="1"/>
  <c r="AG23" i="21" s="1"/>
  <c r="G24" i="20"/>
  <c r="H24" i="20"/>
  <c r="AF24" i="20"/>
  <c r="U24" i="20"/>
  <c r="S22" i="20"/>
  <c r="S23" i="20" s="1"/>
  <c r="AG11" i="20"/>
  <c r="I22" i="20"/>
  <c r="I23" i="20" s="1"/>
  <c r="E24" i="20"/>
  <c r="Q24" i="20"/>
  <c r="AC24" i="20"/>
  <c r="F24" i="20"/>
  <c r="AD24" i="20"/>
  <c r="AE22" i="20"/>
  <c r="AE23" i="20" s="1"/>
  <c r="N24" i="20"/>
  <c r="Z24" i="20"/>
  <c r="O24" i="20"/>
  <c r="AA24" i="20"/>
  <c r="D24" i="20"/>
  <c r="P24" i="20"/>
  <c r="AB24" i="20"/>
  <c r="V24" i="20"/>
  <c r="W24" i="20"/>
  <c r="L24" i="20"/>
  <c r="M24" i="20"/>
  <c r="B24" i="20"/>
  <c r="C24" i="20"/>
  <c r="K24" i="20"/>
  <c r="X24" i="20"/>
  <c r="Y24" i="20"/>
  <c r="O24" i="21" l="1"/>
  <c r="AG24" i="21" s="1"/>
  <c r="AG7" i="21" s="1"/>
  <c r="AE24" i="20"/>
  <c r="R21" i="20"/>
  <c r="R22" i="20" s="1"/>
  <c r="R23" i="20" s="1"/>
  <c r="J21" i="20"/>
  <c r="I24" i="20"/>
  <c r="S24" i="20"/>
  <c r="AG8" i="21" l="1"/>
  <c r="R24" i="20"/>
  <c r="J22" i="20"/>
  <c r="AG21" i="20"/>
  <c r="J23" i="20" l="1"/>
  <c r="AG23" i="20" s="1"/>
  <c r="AG22" i="20"/>
  <c r="E27" i="19"/>
  <c r="AF10" i="19"/>
  <c r="V21" i="19"/>
  <c r="U21" i="19"/>
  <c r="AF6" i="19"/>
  <c r="Y22" i="19"/>
  <c r="Y23" i="19" s="1"/>
  <c r="P22" i="19"/>
  <c r="P23" i="19" s="1"/>
  <c r="O22" i="19"/>
  <c r="O23" i="19" s="1"/>
  <c r="G22" i="19"/>
  <c r="G23" i="19" s="1"/>
  <c r="AE21" i="19"/>
  <c r="AE22" i="19" s="1"/>
  <c r="AE23" i="19" s="1"/>
  <c r="AD21" i="19"/>
  <c r="AD22" i="19" s="1"/>
  <c r="AD23" i="19" s="1"/>
  <c r="AC21" i="19"/>
  <c r="AC22" i="19" s="1"/>
  <c r="AC23" i="19" s="1"/>
  <c r="AB21" i="19"/>
  <c r="AB22" i="19" s="1"/>
  <c r="AB23" i="19" s="1"/>
  <c r="AA21" i="19"/>
  <c r="AA22" i="19" s="1"/>
  <c r="Z21" i="19"/>
  <c r="Z22" i="19" s="1"/>
  <c r="Y21" i="19"/>
  <c r="X21" i="19"/>
  <c r="X22" i="19" s="1"/>
  <c r="X23" i="19" s="1"/>
  <c r="W21" i="19"/>
  <c r="W22" i="19" s="1"/>
  <c r="W23" i="19" s="1"/>
  <c r="T21" i="19"/>
  <c r="T22" i="19" s="1"/>
  <c r="T23" i="19" s="1"/>
  <c r="S21" i="19"/>
  <c r="S22" i="19" s="1"/>
  <c r="R21" i="19"/>
  <c r="R22" i="19" s="1"/>
  <c r="Q21" i="19"/>
  <c r="P21" i="19"/>
  <c r="O21" i="19"/>
  <c r="N21" i="19"/>
  <c r="N22" i="19" s="1"/>
  <c r="N23" i="19" s="1"/>
  <c r="M21" i="19"/>
  <c r="M22" i="19" s="1"/>
  <c r="M23" i="19" s="1"/>
  <c r="L21" i="19"/>
  <c r="L22" i="19" s="1"/>
  <c r="L23" i="19" s="1"/>
  <c r="K21" i="19"/>
  <c r="K22" i="19" s="1"/>
  <c r="J21" i="19"/>
  <c r="J22" i="19" s="1"/>
  <c r="I21" i="19"/>
  <c r="I22" i="19" s="1"/>
  <c r="I23" i="19" s="1"/>
  <c r="H21" i="19"/>
  <c r="G21" i="19"/>
  <c r="F21" i="19"/>
  <c r="F22" i="19" s="1"/>
  <c r="F23" i="19" s="1"/>
  <c r="E21" i="19"/>
  <c r="E22" i="19" s="1"/>
  <c r="E23" i="19" s="1"/>
  <c r="D21" i="19"/>
  <c r="D22" i="19" s="1"/>
  <c r="D23" i="19" s="1"/>
  <c r="C21" i="19"/>
  <c r="C22" i="19" s="1"/>
  <c r="B21" i="19"/>
  <c r="B22" i="19" s="1"/>
  <c r="AF9" i="19"/>
  <c r="AG6" i="17"/>
  <c r="AG9" i="17"/>
  <c r="AG10" i="17"/>
  <c r="AG11" i="17"/>
  <c r="AG13" i="17"/>
  <c r="Q22" i="17"/>
  <c r="Q23" i="17" s="1"/>
  <c r="AF21" i="17"/>
  <c r="AF22" i="17" s="1"/>
  <c r="AF23" i="17" s="1"/>
  <c r="AE21" i="17"/>
  <c r="AD21" i="17"/>
  <c r="AD22" i="17" s="1"/>
  <c r="AD23" i="17" s="1"/>
  <c r="AC21" i="17"/>
  <c r="AC22" i="17" s="1"/>
  <c r="AC23" i="17" s="1"/>
  <c r="AA21" i="17"/>
  <c r="AA22" i="17" s="1"/>
  <c r="AA23" i="17" s="1"/>
  <c r="Z21" i="17"/>
  <c r="Z22" i="17" s="1"/>
  <c r="Z23" i="17" s="1"/>
  <c r="Y21" i="17"/>
  <c r="Y22" i="17" s="1"/>
  <c r="Y23" i="17" s="1"/>
  <c r="X21" i="17"/>
  <c r="X22" i="17" s="1"/>
  <c r="X23" i="17" s="1"/>
  <c r="W21" i="17"/>
  <c r="W22" i="17" s="1"/>
  <c r="W23" i="17" s="1"/>
  <c r="V21" i="17"/>
  <c r="U21" i="17"/>
  <c r="U22" i="17" s="1"/>
  <c r="U23" i="17" s="1"/>
  <c r="T21" i="17"/>
  <c r="T22" i="17" s="1"/>
  <c r="T23" i="17" s="1"/>
  <c r="S21" i="17"/>
  <c r="R21" i="17"/>
  <c r="R22" i="17" s="1"/>
  <c r="R23" i="17" s="1"/>
  <c r="Q21" i="17"/>
  <c r="P21" i="17"/>
  <c r="P22" i="17" s="1"/>
  <c r="O21" i="17"/>
  <c r="N21" i="17"/>
  <c r="N22" i="17" s="1"/>
  <c r="M21" i="17"/>
  <c r="M22" i="17" s="1"/>
  <c r="M23" i="17" s="1"/>
  <c r="L21" i="17"/>
  <c r="L22" i="17" s="1"/>
  <c r="K21" i="17"/>
  <c r="K22" i="17" s="1"/>
  <c r="J21" i="17"/>
  <c r="J22" i="17" s="1"/>
  <c r="I21" i="17"/>
  <c r="F21" i="17"/>
  <c r="F22" i="17" s="1"/>
  <c r="F23" i="17" s="1"/>
  <c r="E21" i="17"/>
  <c r="E22" i="17" s="1"/>
  <c r="E23" i="17" s="1"/>
  <c r="D21" i="17"/>
  <c r="D22" i="17" s="1"/>
  <c r="D23" i="17" s="1"/>
  <c r="B21" i="17"/>
  <c r="B22" i="17" s="1"/>
  <c r="D21" i="16"/>
  <c r="E21" i="16"/>
  <c r="F21" i="16"/>
  <c r="G21" i="16"/>
  <c r="H21" i="16"/>
  <c r="H22" i="16" s="1"/>
  <c r="H23" i="16" s="1"/>
  <c r="I21" i="16"/>
  <c r="J21" i="16"/>
  <c r="K21" i="16"/>
  <c r="K22" i="16" s="1"/>
  <c r="K23" i="16" s="1"/>
  <c r="L21" i="16"/>
  <c r="L22" i="16" s="1"/>
  <c r="M21" i="16"/>
  <c r="M22" i="16" s="1"/>
  <c r="N21" i="16"/>
  <c r="O21" i="16"/>
  <c r="O22" i="16" s="1"/>
  <c r="O23" i="16" s="1"/>
  <c r="O24" i="16" s="1"/>
  <c r="P21" i="16"/>
  <c r="Q21" i="16"/>
  <c r="R21" i="16"/>
  <c r="S21" i="16"/>
  <c r="S22" i="16" s="1"/>
  <c r="S23" i="16" s="1"/>
  <c r="T21" i="16"/>
  <c r="T22" i="16" s="1"/>
  <c r="U21" i="16"/>
  <c r="U22" i="16" s="1"/>
  <c r="U23" i="16" s="1"/>
  <c r="V21" i="16"/>
  <c r="V22" i="16" s="1"/>
  <c r="W21" i="16"/>
  <c r="X21" i="16"/>
  <c r="Y21" i="16"/>
  <c r="Z21" i="16"/>
  <c r="Z22" i="16" s="1"/>
  <c r="AA21" i="16"/>
  <c r="AB21" i="16"/>
  <c r="AC21" i="16"/>
  <c r="AD21" i="16"/>
  <c r="AE21" i="16"/>
  <c r="D22" i="16"/>
  <c r="G22" i="16"/>
  <c r="N22" i="16"/>
  <c r="N23" i="16" s="1"/>
  <c r="N24" i="16" s="1"/>
  <c r="Q22" i="16"/>
  <c r="Q24" i="16" s="1"/>
  <c r="W22" i="16"/>
  <c r="X22" i="16"/>
  <c r="X23" i="16" s="1"/>
  <c r="AA22" i="16"/>
  <c r="AA23" i="16" s="1"/>
  <c r="AA24" i="16" s="1"/>
  <c r="AB22" i="16"/>
  <c r="AB23" i="16" s="1"/>
  <c r="AB24" i="16" s="1"/>
  <c r="D23" i="16"/>
  <c r="G23" i="16"/>
  <c r="Q23" i="16"/>
  <c r="G24" i="16"/>
  <c r="J24" i="20" l="1"/>
  <c r="AG24" i="20" s="1"/>
  <c r="AG7" i="20" s="1"/>
  <c r="Y24" i="19"/>
  <c r="U22" i="19"/>
  <c r="U23" i="19" s="1"/>
  <c r="X24" i="19"/>
  <c r="V22" i="19"/>
  <c r="AF13" i="19"/>
  <c r="Q22" i="19"/>
  <c r="Q23" i="19" s="1"/>
  <c r="P24" i="19"/>
  <c r="G24" i="19"/>
  <c r="I24" i="19"/>
  <c r="H22" i="19"/>
  <c r="H23" i="19" s="1"/>
  <c r="AF11" i="19"/>
  <c r="AA23" i="19"/>
  <c r="AA24" i="19" s="1"/>
  <c r="S23" i="19"/>
  <c r="S24" i="19" s="1"/>
  <c r="O24" i="19"/>
  <c r="W24" i="19"/>
  <c r="AE24" i="19"/>
  <c r="C24" i="19"/>
  <c r="C23" i="19"/>
  <c r="K23" i="19"/>
  <c r="K24" i="19" s="1"/>
  <c r="B23" i="19"/>
  <c r="B24" i="19"/>
  <c r="J23" i="19"/>
  <c r="J24" i="19" s="1"/>
  <c r="R23" i="19"/>
  <c r="R24" i="19" s="1"/>
  <c r="Z23" i="19"/>
  <c r="Z24" i="19"/>
  <c r="D24" i="19"/>
  <c r="L24" i="19"/>
  <c r="T24" i="19"/>
  <c r="AB24" i="19"/>
  <c r="E24" i="19"/>
  <c r="M24" i="19"/>
  <c r="AC24" i="19"/>
  <c r="F24" i="19"/>
  <c r="N24" i="19"/>
  <c r="AD24" i="19"/>
  <c r="AF21" i="19"/>
  <c r="H21" i="17"/>
  <c r="H22" i="17" s="1"/>
  <c r="H23" i="17" s="1"/>
  <c r="C21" i="17"/>
  <c r="C22" i="17" s="1"/>
  <c r="C23" i="17" s="1"/>
  <c r="T24" i="17"/>
  <c r="U24" i="17"/>
  <c r="S22" i="17"/>
  <c r="S23" i="17" s="1"/>
  <c r="Z24" i="17"/>
  <c r="AF24" i="17"/>
  <c r="AA24" i="17"/>
  <c r="I22" i="17"/>
  <c r="I23" i="17" s="1"/>
  <c r="AC24" i="17"/>
  <c r="F24" i="17"/>
  <c r="R24" i="17"/>
  <c r="AD24" i="17"/>
  <c r="O22" i="17"/>
  <c r="O23" i="17" s="1"/>
  <c r="AE22" i="17"/>
  <c r="AE23" i="17" s="1"/>
  <c r="C24" i="17"/>
  <c r="K23" i="17"/>
  <c r="K24" i="17" s="1"/>
  <c r="J23" i="17"/>
  <c r="J24" i="17" s="1"/>
  <c r="L23" i="17"/>
  <c r="L24" i="17" s="1"/>
  <c r="V22" i="17"/>
  <c r="V23" i="17" s="1"/>
  <c r="B23" i="17"/>
  <c r="B24" i="17" s="1"/>
  <c r="N23" i="17"/>
  <c r="N24" i="17" s="1"/>
  <c r="W24" i="17"/>
  <c r="X24" i="17"/>
  <c r="M24" i="17"/>
  <c r="Y24" i="17"/>
  <c r="D24" i="17"/>
  <c r="E24" i="17"/>
  <c r="P23" i="17"/>
  <c r="P24" i="17" s="1"/>
  <c r="Q24" i="17"/>
  <c r="AE22" i="16"/>
  <c r="AE23" i="16" s="1"/>
  <c r="AD24" i="16"/>
  <c r="AC24" i="16"/>
  <c r="AD22" i="16"/>
  <c r="AD23" i="16" s="1"/>
  <c r="AC22" i="16"/>
  <c r="AC23" i="16" s="1"/>
  <c r="Z23" i="16"/>
  <c r="Z24" i="16"/>
  <c r="Y22" i="16"/>
  <c r="Y23" i="16" s="1"/>
  <c r="X24" i="16"/>
  <c r="W23" i="16"/>
  <c r="W24" i="16" s="1"/>
  <c r="V24" i="16"/>
  <c r="V23" i="16"/>
  <c r="U24" i="16"/>
  <c r="S24" i="16"/>
  <c r="T23" i="16"/>
  <c r="T24" i="16"/>
  <c r="R22" i="16"/>
  <c r="R23" i="16" s="1"/>
  <c r="P22" i="16"/>
  <c r="P23" i="16" s="1"/>
  <c r="M23" i="16"/>
  <c r="M24" i="16" s="1"/>
  <c r="L23" i="16"/>
  <c r="L24" i="16"/>
  <c r="K24" i="16"/>
  <c r="J22" i="16"/>
  <c r="J23" i="16" s="1"/>
  <c r="I22" i="16"/>
  <c r="I23" i="16" s="1"/>
  <c r="H24" i="16"/>
  <c r="E24" i="16"/>
  <c r="E22" i="16"/>
  <c r="E23" i="16" s="1"/>
  <c r="F22" i="16"/>
  <c r="F23" i="16" s="1"/>
  <c r="D24" i="16"/>
  <c r="C21" i="16"/>
  <c r="B21" i="16"/>
  <c r="AF13" i="16"/>
  <c r="AF10" i="16"/>
  <c r="AF9" i="16"/>
  <c r="AF6" i="16"/>
  <c r="AF21" i="15"/>
  <c r="AF22" i="15" s="1"/>
  <c r="AB21" i="15"/>
  <c r="AB22" i="15" s="1"/>
  <c r="AC21" i="15"/>
  <c r="AD21" i="15"/>
  <c r="AE21" i="15"/>
  <c r="AC22" i="15"/>
  <c r="AC24" i="15" s="1"/>
  <c r="AD22" i="15"/>
  <c r="AD24" i="15" s="1"/>
  <c r="AE22" i="15"/>
  <c r="AE24" i="15" s="1"/>
  <c r="AC23" i="15"/>
  <c r="AD23" i="15"/>
  <c r="AE23" i="15"/>
  <c r="AA21" i="15"/>
  <c r="AA22" i="15" s="1"/>
  <c r="Z21" i="15"/>
  <c r="AG8" i="20" l="1"/>
  <c r="V23" i="19"/>
  <c r="AF23" i="19" s="1"/>
  <c r="V24" i="19"/>
  <c r="U24" i="19"/>
  <c r="AF22" i="19"/>
  <c r="Q24" i="19"/>
  <c r="H24" i="19"/>
  <c r="AB21" i="17"/>
  <c r="I24" i="17"/>
  <c r="G21" i="17"/>
  <c r="H24" i="17"/>
  <c r="AE24" i="17"/>
  <c r="O24" i="17"/>
  <c r="S24" i="17"/>
  <c r="V24" i="17"/>
  <c r="AE24" i="16"/>
  <c r="Y24" i="16"/>
  <c r="R24" i="16"/>
  <c r="P24" i="16"/>
  <c r="J24" i="16"/>
  <c r="I24" i="16"/>
  <c r="F24" i="16"/>
  <c r="C22" i="16"/>
  <c r="C23" i="16" s="1"/>
  <c r="B22" i="16"/>
  <c r="B23" i="16" s="1"/>
  <c r="AF11" i="16"/>
  <c r="AF21" i="16"/>
  <c r="AF23" i="15"/>
  <c r="AF24" i="15"/>
  <c r="AB23" i="15"/>
  <c r="AB24" i="15" s="1"/>
  <c r="AA24" i="15"/>
  <c r="AA23" i="15"/>
  <c r="Z22" i="15"/>
  <c r="Z23" i="15" s="1"/>
  <c r="V21" i="15"/>
  <c r="V22" i="15" s="1"/>
  <c r="V23" i="15" s="1"/>
  <c r="W21" i="15"/>
  <c r="W22" i="15" s="1"/>
  <c r="W23" i="15" s="1"/>
  <c r="X21" i="15"/>
  <c r="X22" i="15"/>
  <c r="X23" i="15"/>
  <c r="X24" i="15"/>
  <c r="U21" i="15"/>
  <c r="U22" i="15" s="1"/>
  <c r="S21" i="15"/>
  <c r="S22" i="15"/>
  <c r="S23" i="15"/>
  <c r="S24" i="15"/>
  <c r="R21" i="15"/>
  <c r="R22" i="15"/>
  <c r="R23" i="15" s="1"/>
  <c r="M21" i="15"/>
  <c r="M22" i="15"/>
  <c r="M23" i="15"/>
  <c r="M24" i="15"/>
  <c r="L21" i="15"/>
  <c r="L22" i="15"/>
  <c r="L23" i="15"/>
  <c r="L24" i="15"/>
  <c r="K21" i="15"/>
  <c r="K22" i="15" s="1"/>
  <c r="I21" i="15"/>
  <c r="I22" i="15" s="1"/>
  <c r="J21" i="15"/>
  <c r="J22" i="15" s="1"/>
  <c r="G21" i="15"/>
  <c r="F21" i="15"/>
  <c r="E21" i="15"/>
  <c r="E22" i="15" s="1"/>
  <c r="D21" i="15"/>
  <c r="D22" i="15" s="1"/>
  <c r="C21" i="15"/>
  <c r="C22" i="15" s="1"/>
  <c r="C23" i="15" s="1"/>
  <c r="B21" i="15"/>
  <c r="B22" i="15" s="1"/>
  <c r="B23" i="15" s="1"/>
  <c r="AF24" i="19" l="1"/>
  <c r="AF8" i="19" s="1"/>
  <c r="AB22" i="17"/>
  <c r="AB23" i="17" s="1"/>
  <c r="AG21" i="17"/>
  <c r="G22" i="17"/>
  <c r="C24" i="16"/>
  <c r="B24" i="16"/>
  <c r="AF23" i="16"/>
  <c r="AF22" i="16"/>
  <c r="Z24" i="15"/>
  <c r="Y21" i="15"/>
  <c r="Y22" i="15" s="1"/>
  <c r="Y23" i="15" s="1"/>
  <c r="Y24" i="15" s="1"/>
  <c r="W24" i="15"/>
  <c r="V24" i="15"/>
  <c r="U23" i="15"/>
  <c r="U24" i="15" s="1"/>
  <c r="T21" i="15"/>
  <c r="T22" i="15" s="1"/>
  <c r="T23" i="15" s="1"/>
  <c r="T24" i="15" s="1"/>
  <c r="R24" i="15"/>
  <c r="Q21" i="15"/>
  <c r="Q22" i="15" s="1"/>
  <c r="Q23" i="15" s="1"/>
  <c r="O21" i="15"/>
  <c r="O22" i="15" s="1"/>
  <c r="AG13" i="15"/>
  <c r="O23" i="15"/>
  <c r="O24" i="15" s="1"/>
  <c r="N21" i="15"/>
  <c r="N22" i="15" s="1"/>
  <c r="N23" i="15" s="1"/>
  <c r="K23" i="15"/>
  <c r="K24" i="15" s="1"/>
  <c r="AG6" i="15"/>
  <c r="D23" i="15"/>
  <c r="D24" i="15" s="1"/>
  <c r="E23" i="15"/>
  <c r="E24" i="15" s="1"/>
  <c r="AG10" i="15"/>
  <c r="J23" i="15"/>
  <c r="J24" i="15" s="1"/>
  <c r="I23" i="15"/>
  <c r="I24" i="15" s="1"/>
  <c r="AG9" i="15"/>
  <c r="B24" i="15"/>
  <c r="F22" i="15"/>
  <c r="F23" i="15" s="1"/>
  <c r="C24" i="15"/>
  <c r="G22" i="15"/>
  <c r="G23" i="15" s="1"/>
  <c r="AF7" i="19" l="1"/>
  <c r="AB24" i="17"/>
  <c r="G23" i="17"/>
  <c r="AG22" i="17"/>
  <c r="AF24" i="16"/>
  <c r="AF7" i="16" s="1"/>
  <c r="P21" i="15"/>
  <c r="Q24" i="15"/>
  <c r="N24" i="15"/>
  <c r="H21" i="15"/>
  <c r="AG11" i="15"/>
  <c r="G24" i="15"/>
  <c r="F24" i="15"/>
  <c r="AG23" i="17" l="1"/>
  <c r="G24" i="17"/>
  <c r="AG24" i="17" s="1"/>
  <c r="AG7" i="17" s="1"/>
  <c r="AF8" i="16"/>
  <c r="P22" i="15"/>
  <c r="P23" i="15" s="1"/>
  <c r="H22" i="15"/>
  <c r="AG21" i="15"/>
  <c r="AG8" i="17" l="1"/>
  <c r="P24" i="15"/>
  <c r="H23" i="15"/>
  <c r="AG22" i="15"/>
  <c r="AC21" i="13"/>
  <c r="AC22" i="13"/>
  <c r="AC23" i="13" s="1"/>
  <c r="AC24" i="13" l="1"/>
  <c r="AG23" i="15"/>
  <c r="H24" i="15"/>
  <c r="AG24" i="15" s="1"/>
  <c r="AG7" i="15" s="1"/>
  <c r="AB21" i="13"/>
  <c r="AB22" i="13" s="1"/>
  <c r="AB23" i="13" s="1"/>
  <c r="AG8" i="15" l="1"/>
  <c r="AB24" i="13"/>
  <c r="AA21" i="13" l="1"/>
  <c r="Z21" i="13"/>
  <c r="Z22" i="13"/>
  <c r="Z23" i="13" s="1"/>
  <c r="Y21" i="13"/>
  <c r="Y22" i="13"/>
  <c r="Y23" i="13" s="1"/>
  <c r="Y24" i="13" s="1"/>
  <c r="V21" i="13"/>
  <c r="W21" i="13"/>
  <c r="X21" i="13"/>
  <c r="X22" i="13" s="1"/>
  <c r="X23" i="13" s="1"/>
  <c r="V22" i="13"/>
  <c r="V23" i="13" s="1"/>
  <c r="T21" i="13"/>
  <c r="T22" i="13"/>
  <c r="T23" i="13" s="1"/>
  <c r="T24" i="13" s="1"/>
  <c r="S21" i="13"/>
  <c r="S22" i="13" s="1"/>
  <c r="R21" i="13"/>
  <c r="R22" i="13" s="1"/>
  <c r="O21" i="13"/>
  <c r="O22" i="13" s="1"/>
  <c r="O23" i="13" s="1"/>
  <c r="O24" i="13" s="1"/>
  <c r="P21" i="13"/>
  <c r="Q21" i="13"/>
  <c r="Q22" i="13" s="1"/>
  <c r="P22" i="13"/>
  <c r="P23" i="13" s="1"/>
  <c r="P24" i="13" s="1"/>
  <c r="N21" i="13"/>
  <c r="N22" i="13" s="1"/>
  <c r="L21" i="13"/>
  <c r="L22" i="13" s="1"/>
  <c r="L23" i="13" s="1"/>
  <c r="K21" i="13"/>
  <c r="H21" i="13"/>
  <c r="H22" i="13" s="1"/>
  <c r="I21" i="13"/>
  <c r="I22" i="13" s="1"/>
  <c r="J21" i="13"/>
  <c r="J22" i="13" s="1"/>
  <c r="J23" i="13" s="1"/>
  <c r="J24" i="13" s="1"/>
  <c r="G21" i="13"/>
  <c r="G22" i="13" s="1"/>
  <c r="F21" i="13"/>
  <c r="F22" i="13" s="1"/>
  <c r="F23" i="13" s="1"/>
  <c r="E21" i="13"/>
  <c r="E22" i="13" s="1"/>
  <c r="C21" i="13"/>
  <c r="C22" i="13" s="1"/>
  <c r="C23" i="13" s="1"/>
  <c r="AF21" i="12"/>
  <c r="AF22" i="12" s="1"/>
  <c r="AE21" i="12"/>
  <c r="AE22" i="12" s="1"/>
  <c r="AD21" i="12"/>
  <c r="AD22" i="12" s="1"/>
  <c r="AD23" i="12" s="1"/>
  <c r="AD24" i="12" s="1"/>
  <c r="AC21" i="12"/>
  <c r="AC22" i="12" s="1"/>
  <c r="AB21" i="12"/>
  <c r="AB22" i="12" s="1"/>
  <c r="Y21" i="12"/>
  <c r="Y22" i="12" s="1"/>
  <c r="Z21" i="12"/>
  <c r="Z22" i="12" s="1"/>
  <c r="AA21" i="12"/>
  <c r="AA22" i="12" s="1"/>
  <c r="X21" i="12"/>
  <c r="W21" i="12"/>
  <c r="W22" i="12" s="1"/>
  <c r="W23" i="12" s="1"/>
  <c r="V21" i="12"/>
  <c r="V22" i="12" s="1"/>
  <c r="V23" i="12" s="1"/>
  <c r="V24" i="12" s="1"/>
  <c r="R21" i="12"/>
  <c r="R22" i="12" s="1"/>
  <c r="S21" i="12"/>
  <c r="S22" i="12" s="1"/>
  <c r="T21" i="12"/>
  <c r="T22" i="12" s="1"/>
  <c r="Q21" i="12"/>
  <c r="Q22" i="12" s="1"/>
  <c r="Q23" i="12" s="1"/>
  <c r="P21" i="12"/>
  <c r="P22" i="12"/>
  <c r="P23" i="12" s="1"/>
  <c r="O21" i="12"/>
  <c r="O22" i="12"/>
  <c r="O23" i="12" s="1"/>
  <c r="O24" i="12" s="1"/>
  <c r="N21" i="12"/>
  <c r="K21" i="12"/>
  <c r="K22" i="12" s="1"/>
  <c r="L21" i="12"/>
  <c r="L22" i="12" s="1"/>
  <c r="M21" i="12"/>
  <c r="M22" i="12" s="1"/>
  <c r="I21" i="12"/>
  <c r="I22" i="12" s="1"/>
  <c r="D21" i="12"/>
  <c r="D22" i="12" s="1"/>
  <c r="E21" i="12"/>
  <c r="F21" i="12"/>
  <c r="F22" i="12" s="1"/>
  <c r="G21" i="12"/>
  <c r="G22" i="12" s="1"/>
  <c r="C21" i="12"/>
  <c r="C22" i="12" s="1"/>
  <c r="C23" i="12" s="1"/>
  <c r="B21" i="12"/>
  <c r="V24" i="13" l="1"/>
  <c r="W22" i="13"/>
  <c r="W23" i="13" s="1"/>
  <c r="X24" i="13"/>
  <c r="AA22" i="13"/>
  <c r="AA23" i="13" s="1"/>
  <c r="Z24" i="13"/>
  <c r="AD13" i="13"/>
  <c r="U21" i="13"/>
  <c r="U22" i="13"/>
  <c r="U23" i="13" s="1"/>
  <c r="S23" i="13"/>
  <c r="S24" i="13"/>
  <c r="R23" i="13"/>
  <c r="R24" i="13" s="1"/>
  <c r="Q23" i="13"/>
  <c r="Q24" i="13"/>
  <c r="N23" i="13"/>
  <c r="N24" i="13" s="1"/>
  <c r="M21" i="13"/>
  <c r="L24" i="13"/>
  <c r="K22" i="13"/>
  <c r="K23" i="13" s="1"/>
  <c r="AA23" i="12"/>
  <c r="AA24" i="12" s="1"/>
  <c r="Z23" i="12"/>
  <c r="Z24" i="12" s="1"/>
  <c r="X22" i="12"/>
  <c r="X23" i="12" s="1"/>
  <c r="I23" i="13"/>
  <c r="I24" i="13" s="1"/>
  <c r="H23" i="13"/>
  <c r="H24" i="13" s="1"/>
  <c r="G23" i="13"/>
  <c r="G24" i="13"/>
  <c r="F24" i="13"/>
  <c r="E23" i="13"/>
  <c r="E24" i="13"/>
  <c r="D21" i="13"/>
  <c r="AD6" i="13"/>
  <c r="AD10" i="13"/>
  <c r="C24" i="13"/>
  <c r="B21" i="13"/>
  <c r="AD9" i="13"/>
  <c r="AF23" i="12"/>
  <c r="AF24" i="12" s="1"/>
  <c r="AE23" i="12"/>
  <c r="AE24" i="12" s="1"/>
  <c r="AC23" i="12"/>
  <c r="AC24" i="12" s="1"/>
  <c r="AB23" i="12"/>
  <c r="AB24" i="12" s="1"/>
  <c r="Y23" i="12"/>
  <c r="Y24" i="12"/>
  <c r="W24" i="12"/>
  <c r="U21" i="12"/>
  <c r="U22" i="12" s="1"/>
  <c r="U23" i="12" s="1"/>
  <c r="U24" i="12" s="1"/>
  <c r="T23" i="12"/>
  <c r="T24" i="12" s="1"/>
  <c r="S23" i="12"/>
  <c r="S24" i="12" s="1"/>
  <c r="R23" i="12"/>
  <c r="R24" i="12" s="1"/>
  <c r="Q24" i="12"/>
  <c r="P24" i="12"/>
  <c r="N22" i="12"/>
  <c r="N23" i="12" s="1"/>
  <c r="M23" i="12"/>
  <c r="M24" i="12" s="1"/>
  <c r="L23" i="12"/>
  <c r="L24" i="12" s="1"/>
  <c r="K23" i="12"/>
  <c r="K24" i="12" s="1"/>
  <c r="J21" i="12"/>
  <c r="I23" i="12"/>
  <c r="I24" i="12" s="1"/>
  <c r="H21" i="12"/>
  <c r="H22" i="12" s="1"/>
  <c r="H23" i="12" s="1"/>
  <c r="F23" i="12"/>
  <c r="F24" i="12" s="1"/>
  <c r="G23" i="12"/>
  <c r="G24" i="12" s="1"/>
  <c r="D23" i="12"/>
  <c r="D24" i="12" s="1"/>
  <c r="E22" i="12"/>
  <c r="E23" i="12" s="1"/>
  <c r="C24" i="12"/>
  <c r="AG6" i="12"/>
  <c r="AG10" i="12"/>
  <c r="AG13" i="12"/>
  <c r="AG9" i="12"/>
  <c r="B22" i="12"/>
  <c r="B22" i="13" l="1"/>
  <c r="B23" i="13" s="1"/>
  <c r="B24" i="13" s="1"/>
  <c r="AD21" i="13"/>
  <c r="W24" i="13"/>
  <c r="K24" i="13"/>
  <c r="AA24" i="13"/>
  <c r="U24" i="13"/>
  <c r="M22" i="13"/>
  <c r="M23" i="13" s="1"/>
  <c r="AG22" i="12"/>
  <c r="X24" i="12"/>
  <c r="D22" i="13"/>
  <c r="D23" i="13" s="1"/>
  <c r="D24" i="13" s="1"/>
  <c r="AD11" i="13"/>
  <c r="N24" i="12"/>
  <c r="J22" i="12"/>
  <c r="H24" i="12"/>
  <c r="AG21" i="12"/>
  <c r="E24" i="12"/>
  <c r="AG11" i="12"/>
  <c r="B23" i="12"/>
  <c r="M24" i="13" l="1"/>
  <c r="AD22" i="13"/>
  <c r="AD23" i="13"/>
  <c r="AD24" i="13"/>
  <c r="AD7" i="13" s="1"/>
  <c r="J23" i="12"/>
  <c r="J24" i="12" s="1"/>
  <c r="B24" i="12"/>
  <c r="AD8" i="13" l="1"/>
  <c r="AG24" i="12"/>
  <c r="AG7" i="12" s="1"/>
  <c r="AG23" i="12"/>
  <c r="AG8" i="12" l="1"/>
  <c r="AW7" i="1"/>
  <c r="AO8" i="1"/>
  <c r="AO9" i="1"/>
  <c r="AO10" i="1"/>
  <c r="AO7" i="1"/>
  <c r="AG8" i="1"/>
  <c r="AG9" i="1"/>
  <c r="AG10" i="1"/>
  <c r="AG7" i="1"/>
  <c r="Y8" i="1"/>
  <c r="Y9" i="1"/>
  <c r="Y10" i="1"/>
  <c r="Y7" i="1"/>
  <c r="Q8" i="1"/>
  <c r="Q9" i="1"/>
  <c r="Q10" i="1"/>
  <c r="Q7" i="1"/>
  <c r="AW9" i="1"/>
  <c r="AW10" i="1"/>
  <c r="AW8" i="1"/>
  <c r="AF22" i="26"/>
  <c r="AF8" i="26" s="1"/>
  <c r="AF23" i="26"/>
  <c r="Y23" i="26"/>
  <c r="Y24" i="26"/>
  <c r="AF24" i="26" s="1"/>
  <c r="AF7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Fernandez Ramirez,G,Gema,JSW2 R</author>
  </authors>
  <commentList>
    <comment ref="AC11" authorId="0" shapeId="0" xr:uid="{00000000-0006-0000-0400-000001000000}">
      <text>
        <r>
          <rPr>
            <sz val="9"/>
            <color indexed="81"/>
            <rFont val="Tahoma"/>
            <family val="2"/>
          </rPr>
          <t>Notificación de circuito fuera de TOP BT como TOP BT.</t>
        </r>
      </text>
    </comment>
    <comment ref="AH11" authorId="0" shapeId="0" xr:uid="{00000000-0006-0000-0400-000002000000}">
      <text>
        <r>
          <rPr>
            <sz val="9"/>
            <color indexed="81"/>
            <rFont val="Tahoma"/>
            <family val="2"/>
          </rPr>
          <t>Dashboard día 11/11 a las 14h se incluye con impacto el circuito RT-MIAMI to RT-CL1_LYR, no hubo impacto en el circuito por lo que debería aparecer en amarillo y no en rojo.</t>
        </r>
      </text>
    </comment>
    <comment ref="AJ11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1-Update de notificación por circuito RT-CL1_APO-RT-NY. Circuito Down y se comunica con estado incorrecto. 
2-Se incluye contacto erróneo en notificación.
</t>
        </r>
      </text>
    </comment>
    <comment ref="AL11" authorId="0" shapeId="0" xr:uid="{00000000-0006-0000-0400-000004000000}">
      <text>
        <r>
          <rPr>
            <sz val="9"/>
            <color indexed="81"/>
            <rFont val="Tahoma"/>
            <family val="2"/>
          </rPr>
          <t>Durante el comité de incidencias se comenta que: No se envía UPDATE una vez finalizada la intervención de cambio de equipo SA01-BE. Por parte de BT se confirma que a las 2:06h MIM de BT para GSNET, conectado a la call, informa a foro de dirección de Produban del éxito de la intervención. A las 7:35h se envia UPDATE confirmando que el servicio se mantiene estable.</t>
        </r>
      </text>
    </comment>
    <comment ref="AQ11" authorId="0" shapeId="0" xr:uid="{00000000-0006-0000-0400-000005000000}">
      <text>
        <r>
          <rPr>
            <sz val="9"/>
            <color indexed="81"/>
            <rFont val="Tahoma"/>
            <family val="2"/>
          </rPr>
          <t>Notificación RSCFITA-R1 to RT-CANN. Error al cumplimentar la entidad (se pone N0 cuando es SC).</t>
        </r>
      </text>
    </comment>
    <comment ref="S14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Fernandez Ramirez,G,Gema,JSW2 R:</t>
        </r>
        <r>
          <rPr>
            <sz val="9"/>
            <color indexed="81"/>
            <rFont val="Tahoma"/>
            <family val="2"/>
          </rPr>
          <t xml:space="preserve">
Incidencia de Prolexic</t>
        </r>
      </text>
    </comment>
    <comment ref="U14" authorId="0" shapeId="0" xr:uid="{00000000-0006-0000-0400-000007000000}">
      <text>
        <r>
          <rPr>
            <sz val="9"/>
            <color indexed="81"/>
            <rFont val="Tahoma"/>
            <family val="2"/>
          </rPr>
          <t>1- 1 circuito de la masiva de Colt no incluido en la masiva, se gestionó por separado, realmente tenia una tramo de Colt y sí se vio afectado.
2- Saturación de línea en GBMITA, se reclama gestión por parte de BT. BT revisa pero no informa.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0" shapeId="0" xr:uid="{00000000-0006-0000-0400-000008000000}">
      <text>
        <r>
          <rPr>
            <sz val="9"/>
            <color indexed="81"/>
            <rFont val="Tahoma"/>
            <family val="2"/>
          </rPr>
          <t>Proporcionamos demasiada información (no relevante).</t>
        </r>
      </text>
    </comment>
    <comment ref="AD14" authorId="0" shapeId="0" xr:uid="{00000000-0006-0000-0400-000009000000}">
      <text>
        <r>
          <rPr>
            <sz val="9"/>
            <color indexed="81"/>
            <rFont val="Tahoma"/>
            <family val="2"/>
          </rPr>
          <t>RT-NY to RT-MIAMI - Interface en error-disable desde las 4:19h nos reclaman en dos ocasiones y desbloqueamos a las 7:35h.</t>
        </r>
      </text>
    </comment>
    <comment ref="S15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Gestión de incidencia de Extensores de Canal con cisco.</t>
        </r>
      </text>
    </comment>
    <comment ref="Z15" authorId="0" shapeId="0" xr:uid="{00000000-0006-0000-0400-00000B000000}">
      <text>
        <r>
          <rPr>
            <sz val="9"/>
            <color indexed="81"/>
            <rFont val="Tahoma"/>
            <family val="2"/>
          </rPr>
          <t xml:space="preserve">Proveedor asiste sin material a incidencia en Uruguay
</t>
        </r>
      </text>
    </comment>
    <comment ref="AC15" authorId="0" shapeId="0" xr:uid="{00000000-0006-0000-0400-00000C000000}">
      <text>
        <r>
          <rPr>
            <sz val="9"/>
            <color indexed="81"/>
            <rFont val="Tahoma"/>
            <family val="2"/>
          </rPr>
          <t xml:space="preserve">Circuito RT-Boadilla - RT-NY recupera y CNCC nos informa de la recuperación.
</t>
        </r>
      </text>
    </comment>
    <comment ref="AL15" authorId="0" shapeId="0" xr:uid="{00000000-0006-0000-0400-00000D000000}">
      <text>
        <r>
          <rPr>
            <sz val="9"/>
            <color indexed="81"/>
            <rFont val="Tahoma"/>
            <family val="2"/>
          </rPr>
          <t xml:space="preserve">RBLACKHOLE-BE - CRQ000004903003 - Intervención a cargo de L1 no realizada. </t>
        </r>
      </text>
    </comment>
    <comment ref="AQ15" authorId="0" shapeId="0" xr:uid="{00000000-0006-0000-0400-00000E000000}">
      <text>
        <r>
          <rPr>
            <sz val="9"/>
            <color indexed="81"/>
            <rFont val="Tahoma"/>
            <family val="2"/>
          </rPr>
          <t>Borrado de alarmas en Spectrum como parte del proceso de gestión.</t>
        </r>
      </text>
    </comment>
    <comment ref="AR15" authorId="0" shapeId="0" xr:uid="{00000000-0006-0000-0400-00000F000000}">
      <text>
        <r>
          <rPr>
            <sz val="9"/>
            <color indexed="81"/>
            <rFont val="Tahoma"/>
            <family val="2"/>
          </rPr>
          <t>Llamada durante la noche a CNCC para confirmar la realización de una tarea solicitada por México.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5" authorId="0" shapeId="0" xr:uid="{00000000-0006-0000-0400-000010000000}">
      <text>
        <r>
          <rPr>
            <sz val="10"/>
            <color theme="1"/>
            <rFont val="Calibri"/>
            <family val="2"/>
            <scheme val="minor"/>
          </rPr>
          <t>Falta de actualización en incidencia Internet Access VDC Frankfurt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Ballester Gurrea,MA R</author>
    <author>Ramirez Sanchez,D,David,JSW1E R</author>
  </authors>
  <commentList>
    <comment ref="D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No cumple el KCI 30 por la incidencia - CDLV Chile  - sangs-pud73-baw-am //Latency // UP *** BT CASE: 7833529</t>
        </r>
      </text>
    </comment>
    <comment ref="G8" authorId="1" shapeId="0" xr:uid="{00000000-0006-0000-0500-000002000000}">
      <text>
        <r>
          <rPr>
            <sz val="9"/>
            <color indexed="81"/>
            <rFont val="Tahoma"/>
            <family val="2"/>
          </rPr>
          <t xml:space="preserve">Amarillo por que no se cumple el KCI 30 por la incidencia Issue, Chile // UP //  BT CASE ***7835350”. David Hughes nos reportó la incidencia 18:59 GMT+2 y la notificación de Apertura se realizó a las 19:36 GMT+2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tc={C5929C06-3945-4A1B-BD6D-4A70C0048415}</author>
    <author>tc={F5DCE12E-26AC-4822-BF72-5A65F40FD40B}</author>
    <author>tc={221FB526-B324-40EC-A373-4241ED9DA646}</author>
    <author>tc={365EC9A8-BF72-4379-AEA0-E3C22CD5463C}</author>
    <author>tc={40E9B849-A1D8-4314-93CA-DF9454A026DF}</author>
    <author>tc={AAB90E90-54B8-4B71-A1BA-29D620E047F9}</author>
    <author>tc={DA95D46D-69EA-4C18-9DA9-A68C84C26A6D}</author>
    <author>tc={F35B4E33-4527-4C51-8895-293FAE3C5C78}</author>
    <author>tc={9BBD8096-FAFB-4DFE-A39D-4E4285B477C1}</author>
    <author>tc={E972324F-90AF-4C8B-9BD9-4AA09E17752F}</author>
    <author>tc={789DA1D3-08A1-46B1-947D-163FD0F38378}</author>
    <author>tc={83B61022-8F03-4242-BF71-F8C897D1733F}</author>
  </authors>
  <commentList>
    <comment ref="H16" authorId="0" shapeId="0" xr:uid="{C5929C06-3945-4A1B-BD6D-4A70C00484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Chile // ASWREPCDLV_ASWREPCLCPQS // Down // INC050106117 (P5) - Impact: NO</t>
      </text>
    </comment>
    <comment ref="J16" authorId="1" shapeId="0" xr:uid="{F5DCE12E-26AC-4822-BF72-5A65F40FD4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Campus // Tena // ESTJCS11 // Down // INC050174848 (P5) - Impact: Pending
Aperture Incident // GSNET Campus // Tena // ESTJCS03 // Down // INC050174776 (P5) - Impact: N/A
Aperture Incident // GSNET Campus // Tena // ERTJRG01 // Down // INC050174454 (P5) - Impact: Pending
Aperture Incident // GSNET Campus // Tena // ERTJRG11 // Down // INC050174450 (P5) - Impact: N/A</t>
      </text>
    </comment>
    <comment ref="L16" authorId="2" shapeId="0" xr:uid="{221FB526-B324-40EC-A373-4241ED9DA6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Mexico // DSWDRTX2_DSWIXCS01 // Up // Saturation // INC050254580 (P5) - Impact: Pending
Aperture Incident // GSNET International // Office CIB - Singapore // SDWGS-SGP-SGP-CIB-EDG-02 // Down // INC050252262 (P5) - Impact: NO
Aperture Incident // GSNET International // Office CIB - Singapore // SDWGS-SGP-SGP-CIB-EDG-01 // Down // INC050252264 (P5) - Impact: NO</t>
      </text>
    </comment>
    <comment ref="U16" authorId="3" shapeId="0" xr:uid="{365EC9A8-BF72-4379-AEA0-E3C22CD54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Office SCF - Paris // BSAN-FRA-PAR-MW-U-000022 // Up // Latency // INC050526597 (P5) - Impact: NO</t>
      </text>
    </comment>
    <comment ref="V16" authorId="4" shapeId="0" xr:uid="{40E9B849-A1D8-4314-93CA-DF9454A026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IX Spain // ASWIXBE01_ASWIXCS01_BT // Down // INC050569901 (P5) - Impact: Pending
Aperture Incident // GSNET Campus // Abelias // CEABELIAS2 to VCIXCN1_NEW // Up // INC050560758 (P5) - Impact: Pending</t>
      </text>
    </comment>
    <comment ref="W16" authorId="5" shapeId="0" xr:uid="{AAB90E90-54B8-4B71-A1BA-29D620E047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Office CIB - Singapore_BK // BSAN-SGP-SGP-MW-U-000127 // Up // Latency // INC050554465 (P5) - Impact: 0
Aperture Incident // GSNET International // Argentina - Antequera // BSAN-ARG-BUE-MW-U-000001 // Up // Latency // INC050557886 (P5) - Impact: Pending</t>
      </text>
    </comment>
    <comment ref="X16" authorId="6" shapeId="0" xr:uid="{DA95D46D-69EA-4C18-9DA9-A68C84C26A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Mexico // DSWDRTX2_DSWIXCS01 // Up // INC050596612 (P5) - Impact: Pending</t>
      </text>
    </comment>
    <comment ref="Y16" authorId="7" shapeId="0" xr:uid="{F35B4E33-4527-4C51-8895-293FAE3C5C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Office PCN - Luca de Tena // BSAN-ESP-MAD-MW-U-000081 // Up // Latency // INC050673884 (P5) - Impact: NO
Aperture Incident // GSNET Campus // SANTA BARBARA // CESB1 to VCIXCN1_NEW // Down // INC050672027 (P5) - Impact: YES
Aperture Incident // GSNET Campus // JOSEFA VALCARCEL 34-36 // CEJOSEFA2 // Up // Flaps // INC050672061 (P5) - Impact: Pending
Aperture Incident // GSNET Data // DR Mexico // DSWDRTX2_DSWIXCS01 // Up // Saturation // INC050661648 (P5) - Impact: NO</t>
      </text>
    </comment>
    <comment ref="AA16" authorId="8" shapeId="0" xr:uid="{9BBD8096-FAFB-4DFE-A39D-4E4285B477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Chile // ASWREPCLCPQS_DISDRBCEBO2 // Up // INC050728407 (P5) - Impact: Pending
Aperture Incident // GSNET International // Colombia BSN - Triara // SDWGS-COL-COT-COO-EDG-01 // Up // Discards // INC050727745 (P5) - Impact: Pending</t>
      </text>
    </comment>
    <comment ref="AB16" authorId="9" shapeId="0" xr:uid="{E972324F-90AF-4C8B-9BD9-4AA09E1775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Office CIB - Milano // SDWGS-ITA-MIL-CIB-EDG-04 // Down // INC050751921 (P5) - Impact: NO</t>
      </text>
    </comment>
    <comment ref="AE16" authorId="10" shapeId="0" xr:uid="{789DA1D3-08A1-46B1-947D-163FD0F383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Office BPI - Geneva // BSAN-CHE-GVA-MW-U-000006 // Up // Latency // INC050867150 (P5) - Impact: NO</t>
      </text>
    </comment>
    <comment ref="AF16" authorId="11" shapeId="0" xr:uid="{83B61022-8F03-4242-BF71-F8C897D173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Corp. DC - Boadilla Oeste // BSAN-ESP-BOO-MW-M-000016 // Up // INC050899310 (P5) - Impact: Pending
Aperture Incident // GSNET International // Corp. DC - Cantabria Norte // BSAN-ESP-SCN-MW-B-000020 // Up // INC050900641 (P5) - Impact: NO
Aperture Incident // GSNET International // Corp. DC - Boadilla Este // BSAN-ESP-BOE-MW-M-000015 // Up // INC050900231 (P5) - Impact: N
Aperture Incident // GSNET International // Colombia BSN - Triara // BSAN-COL-COT-MW-U-000083 // Up // Latency // INC050903597 (P5) - Impact: Pending
Aperture Incident // GSNET Internet // AS Spain // RTSAME01 // Up // INC050904989 (P5) - Impact: NO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tc={DF161A35-82FA-4F38-BF27-E28C0A0180D3}</author>
    <author>tc={3F8473C2-2977-47DB-9AB0-5192137CEEFA}</author>
    <author>tc={8AEAF76C-7994-4415-B0C9-81A4C87B3F3D}</author>
    <author>tc={0FE3CB2E-EFCC-4E86-953C-EF3978C75665}</author>
    <author>tc={BFA64F15-EA76-4F41-8DC2-7C3563D45FD4}</author>
    <author>tc={34FD1C67-0D49-431A-8270-680BA4BDB6AE}</author>
    <author>tc={D5F8C307-B1B3-45A4-8CD8-86B68ACA86CE}</author>
    <author>tc={D51DB944-1373-4E91-9CAF-02C718514223}</author>
  </authors>
  <commentList>
    <comment ref="B16" authorId="0" shapeId="0" xr:uid="{DF161A35-82FA-4F38-BF27-E28C0A0180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Internacional  // Corp. DC - Chile Apoquindo // SDWGS-CHL-APO-COD-EDG-01 // Down // INC050952212 (P5) - Impact: NO</t>
      </text>
    </comment>
    <comment ref="C16" authorId="1" shapeId="0" xr:uid="{3F8473C2-2977-47DB-9AB0-5192137CEE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Campus // JOSEFA VALCARCEL 34-36 // CEJOSEFA2 to VCIXCN1_NEW // Down // INC050966598 (P5) - Impact: N/A</t>
      </text>
    </comment>
    <comment ref="K16" authorId="2" shapeId="0" xr:uid="{8AEAF76C-7994-4415-B0C9-81A4C87B3F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URY - Pocitos // SDWGS-URY-POC-COO-EDG-02 // Up // INC051231111 (P5) - Impact: Pending</t>
      </text>
    </comment>
    <comment ref="U16" authorId="3" shapeId="0" xr:uid="{0FE3CB2E-EFCC-4E86-953C-EF3978C756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Campus // PARIS // ASWPPARD01, ASWPPARD02, ASWPPARD03, ASWPPARD04, ASWPPARD05 // Down // INC051597949 (P5) - Impact: N/A
Aperture Incident // GSNET International // Office SCF - Paris // SDWGS-FRA-PAR-SCF-EDG-01 // Down // INC051597620 (P5) - Impact: NO
Aperture Incident // GSNET International // Office SCF - Paris // SDWGS-FRA-PAR-SCF-EDG-02 // Down // INC051597612 (P5) - Impact: NO
Aperture Incident // GSNET International // Office SCF - Paris // SDWGS-FRA-PAR-SCF-EDG-01 // Down // INC051599005 (P5) - Impact: YES
Aperture Incident // GSNET International // Office SCF - Paris // SDWGS-FRA-PAR-SCF-EDG-02 // Down // INC051599016 (P5) - Impact: YES
Aperture Incident // GSNET International // Corp. DC – Carlton Park DC1 // BSAN-GBR-LC1-MW-B-000051 // Down // INC051597950 (P5) - Impact: NO
Aperture Incident // GSNET Data // DR Mexico // DSWDRTX1_DSWIXCN01 // Up // Saturation // INC051630739 (P5) - Impact: NO</t>
      </text>
    </comment>
    <comment ref="V16" authorId="4" shapeId="0" xr:uid="{BFA64F15-EA76-4F41-8DC2-7C3563D45F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Campus // Tena // CRTCSEA1 // Up // INC051642375 (P5) - Impact: N/A</t>
      </text>
    </comment>
    <comment ref="W16" authorId="5" shapeId="0" xr:uid="{34FD1C67-0D49-431A-8270-680BA4BDB6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Mexico // DISDRQRTCN2 // Down // INC051690146 (P5) - Impact: NO</t>
      </text>
    </comment>
    <comment ref="Y16" authorId="6" shapeId="0" xr:uid="{D5F8C307-B1B3-45A4-8CD8-86B68ACA86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Amsterdam 2 // SDWGS-NLD-AMS2-AZU-EDG-02 // Up // INC051777222 (P5) - Impact: NO</t>
      </text>
    </comment>
    <comment ref="AC16" authorId="7" shapeId="0" xr:uid="{D51DB944-1373-4E91-9CAF-02C7185142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Corp. DC - Cantabria Norte // BSAN-ESP-SCN-MW-M-000020 // Up // Flaps // INC051917365 (P5) - Impact: NO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tc={EDFA26D8-B028-4102-8705-9964D4D19E25}</author>
    <author>tc={F584C864-CEA1-4164-8BE5-5C4F43641748}</author>
    <author>tc={8FB0566F-7CA8-4008-AC22-CC07FFFC2EA2}</author>
    <author>tc={65B8E54B-D96D-43CA-B503-116411C20A20}</author>
    <author>tc={868A9057-CB32-4DF9-97CD-EB6687A83F1C}</author>
    <author>tc={FEADCADB-79EA-4766-9BFC-E01BA101D8C5}</author>
    <author>tc={CC78554C-AFDB-4F52-B2C1-1CA17AAF99BF}</author>
    <author>tc={4C203407-987F-431A-87AA-4C059770C0EC}</author>
    <author>tc={7000D1D2-DED0-4741-B32D-CE00269DE8F0}</author>
    <author>tc={ACB87D4D-5BD6-4194-B66F-E2755D71FFD2}</author>
  </authors>
  <commentList>
    <comment ref="F16" authorId="0" shapeId="0" xr:uid="{EDFA26D8-B028-4102-8705-9964D4D19E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Campus // SCF_46 Cartagena // sancfs-scf46-rt1 // Down // INC052072399 (P5) - Impact: N/A
Aperture Incident // GSNET Campus // SCF_43 Albacete // sancfs-scf43-rt1 // Down // INC052071312 (P5) - Impact: N/A
Aperture Incident // GSNET International // Corp. DC - CDLV Chile // BSAN-CHI-SCL-MW-M-000072 // Up // Latency // INC052105591 (P5) - Impact: NO</t>
      </text>
    </comment>
    <comment ref="G16" authorId="1" shapeId="0" xr:uid="{F584C864-CEA1-4164-8BE5-5C4F436417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CNF // SDWGS-ESP-BOABE-CNF-EDG-01 // Up // INC052114897 (P5) - Impact: NO</t>
      </text>
    </comment>
    <comment ref="H16" authorId="2" shapeId="0" xr:uid="{8FB0566F-7CA8-4008-AC22-CC07FFFC2E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Chile // ASWREPCLCPQN_DISDRBCECN2 // Down // INC052160522 (P5) - Impact: NO
Aperture Incident // GSNET Data // DR Chile // ASWREPCLCPQS_DISDRBCEBO2 // Down // INC052164480 (P5) - Impact: NO</t>
      </text>
    </comment>
    <comment ref="N16" authorId="3" shapeId="0" xr:uid="{65B8E54B-D96D-43CA-B503-116411C20A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Argentina - Antequera // SDWGS-ARG-BUEANT-COO-EDG-01 // Down // INC052380790 (P5) - Impact: Pending
Aperture Incident // GSNET International // Argentina - Juan Garay // SDWGS-ARG-BUEGAR-COO-EDG-01 // Down // INC052380792 (P5) - Impact: NO</t>
      </text>
    </comment>
    <comment ref="S16" authorId="4" shapeId="0" xr:uid="{868A9057-CB32-4DF9-97CD-EB6687A83F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Corp. DC - Chile Apoquindo // SDWGS-NLD-AMS2-AZU-EDG-01 // Up // INC052578511 (P5) - Impact: NO
Aperture Incident // GSNET Internet // AS Spain // RTSACS01 // Up // INC052554427 (P5) - Impact: NO
Aperture Incident // GSNET Campus // CGS // VCIXBE1_NEW // Up // INC052551809 (P5) - Impact: YES</t>
      </text>
    </comment>
    <comment ref="T16" authorId="5" shapeId="0" xr:uid="{FEADCADB-79EA-4766-9BFC-E01BA101D8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Colombia BSN - Triara // SDWGS-COL-COT-COO-EDG-01 // Up // Saturation // INC052623290 (P5) - Impact: NO
Aperture Incident // GSNET Data // DR Chile // ASWREPCLCPQS_DISDRBCEBO2 // Down // INC052616360 (P5) - Impact: Pending
Aperture Incident // GSNET Campus // CTC // VCIXCN1_NEW to CEABELIAS2 // Up // INC052601319 (P5) - Impact: NO
Aperture Incident // GSNET Campus // CTC // VCIXCN1_NEW to CEJOSEFA2 // Up // INC052601318 (P5) - Impact: NO
Aperture Incident // GSNET Campus // CTC // VCIXCN1_NEW to CESB1 // Up // INC052601331 (P5) - Impact: NO</t>
      </text>
    </comment>
    <comment ref="X16" authorId="6" shapeId="0" xr:uid="{CC78554C-AFDB-4F52-B2C1-1CA17AAF99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Colombia BSN - Triara // SDWGS-COL-COT-COO-EDG-01 // Up // Discards // INC052714846 (P5) - Impact: NO</t>
      </text>
    </comment>
    <comment ref="Z16" authorId="7" shapeId="0" xr:uid="{4C203407-987F-431A-87AA-4C059770C0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AWS Dublin // SDWGS-IRL-DUB-AWS-EDG-01 // Up // Discards // INC052818922 (P5) - Impact: NO</t>
      </text>
    </comment>
    <comment ref="AB16" authorId="8" shapeId="0" xr:uid="{7000D1D2-DED0-4741-B32D-CE00269DE8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IX Spain // ASWIXBO01 // Down // INC052911076 (P5) - Impact: NO
Aperture Incident // GSNET International // Corp. DC - Querétaro CTOS2 // BSAN-MEX-CT2-MW-M-000037 // Up // HSRP // INC052913627 (P5) - Impact: NO</t>
      </text>
    </comment>
    <comment ref="AD16" authorId="9" shapeId="0" xr:uid="{ACB87D4D-5BD6-4194-B66F-E2755D71FF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Amsterdam // SDWGS-NLD-AMS-AZU-EDG-01 - Santander // Up // INC052988117 (P5) - Impact: Pending
Aperture Incident // GSNET Cloud // Azure Amsterdam // SDWGS-NLD-AMS-AZU-EDG-02 // Up // INC052989064 (P5) - Impact: Pending
Aperture Incident // GSNET Cloud // Azure Amsterdam 2 // SDWGS-NLD-AMS2-AZU-EDG-02 - CTO // Down // INC052988313 (P5) - Impact: Pending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tc={96B04B74-452D-4A27-A9A0-026EB77451B7}</author>
    <author>tc={6632B600-DC7A-4A6D-9953-049FE1522C73}</author>
    <author>tc={C5936D9E-C549-4A6D-95B7-02FEB3817A07}</author>
    <author>tc={C3AED126-11B0-4A62-BBE5-8FCA19A208EB}</author>
    <author>tc={3B80B406-AA46-4A23-959C-8FFB56F2D6ED}</author>
    <author>tc={88400520-D986-4A5B-BBFF-AD32D6B2DCCA}</author>
    <author>tc={0511D47C-8FBF-4AA8-A0E2-BF108625D96F}</author>
    <author>tc={3FA08E1E-F147-498B-AF82-E8AD580E545F}</author>
    <author>tc={13A40DA1-D7F4-464B-A58D-FF374FD916FF}</author>
    <author>tc={8F4F4F42-6654-4322-B6FC-80276A707597}</author>
    <author>tc={68011815-17E9-4DC6-BE78-99EFB07F242C}</author>
  </authors>
  <commentList>
    <comment ref="D16" authorId="0" shapeId="0" xr:uid="{96B04B74-452D-4A27-A9A0-026EB77451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Corp. DC - Cantabria Sur // BSAN-ESP-SCS-MW-M-000021 // Up // Latency // INC053152470 (P5) - Impact: NO
Aperture Incident // GSNET Data // DR Chile // RTREPCLCPQS // Down // INC053164987 (P5) - Impact: NO
</t>
      </text>
    </comment>
    <comment ref="E16" authorId="1" shapeId="0" xr:uid="{6632B600-DC7A-4A6D-9953-049FE1522C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Mexico // DSWDRTX2_DSWIXCS01 // Down // INC053174753 (P5) - Impact: NO</t>
      </text>
    </comment>
    <comment ref="K16" authorId="2" shapeId="0" xr:uid="{C5936D9E-C549-4A6D-95B7-02FEB3817A0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Chile // ASWREPCLCPQS_DISDRBCEBO2 // Down // INC053389525 (P5) - Impact: NO
Aperture Incident // GSNET Campus // SCF_46 Cartagena // sancfs-scf46-rt1 // Up // INC053400831 (P5) - Impact: NO
</t>
      </text>
    </comment>
    <comment ref="O16" authorId="3" shapeId="0" xr:uid="{C3AED126-11B0-4A62-BBE5-8FCA19A208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Colombia BSN - Triara // BSAN-COL-COT-MW-U-000083 // Up // Discards // INC053552697 (P5) - Impact: NO
Aperture Incident // GSNET Campus // Tena // ERTJRG11 // Down // INC053546048 (P5) - Impact: N/A</t>
      </text>
    </comment>
    <comment ref="P16" authorId="4" shapeId="0" xr:uid="{3B80B406-AA46-4A23-959C-8FFB56F2D6E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Campus // JOSEFA VALCARCEL 34-36 // CEJOSEFA1 to VCIXCN1_NEW // Up // INC053585155 (P5) - Impact: NO </t>
      </text>
    </comment>
    <comment ref="Q16" authorId="5" shapeId="0" xr:uid="{88400520-D986-4A5B-BBFF-AD32D6B2DC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SCF - DEU - Frankfurt // SDWGS-DEU-FRA-COD-EDG-01 // Up // Saturation // INC053635589 (P5) - Impact: NO</t>
      </text>
    </comment>
    <comment ref="R16" authorId="6" shapeId="0" xr:uid="{0511D47C-8FBF-4AA8-A0E2-BF108625D9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Washington (Virginia) // SDWGS-USA-VIR-AZU-EDG-01 - Chile // Up // Discards // INC053612302 (P5) - Impact: NO</t>
      </text>
    </comment>
    <comment ref="W16" authorId="7" shapeId="0" xr:uid="{3FA08E1E-F147-498B-AF82-E8AD580E54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Bahamas- Nassau // SDWGS-BHS-NAS-COO-EDG-02 // Down // INC053817111 (P5) - Impact: Pending
Aperture Incident // GSNET Data // DR Mexico // DSWDRTX2_DSWIXCS01 // Down // INC053815417 (P5) - Impact: Pending</t>
      </text>
    </comment>
    <comment ref="X16" authorId="8" shapeId="0" xr:uid="{13A40DA1-D7F4-464B-A58D-FF374FD91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Internet // AS Spain // RTSACN01 // Down // INC053846078 (P5) - Impact: NO</t>
      </text>
    </comment>
    <comment ref="AC16" authorId="9" shapeId="0" xr:uid="{8F4F4F42-6654-4322-B6FC-80276A7075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Día afectado por masiva de corte eléctrico en Europa</t>
      </text>
    </comment>
    <comment ref="AD16" authorId="10" shapeId="0" xr:uid="{68011815-17E9-4DC6-BE78-99EFB07F24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Día afectado por masiva de corte eléctrico en Europa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tc={0AA50879-2ACD-4B52-92B3-2EDB0113C3E6}</author>
    <author>tc={A8C7A6C3-0CB3-4C84-AB84-80A0E53678C8}</author>
    <author>tc={0863F643-8475-4455-9F5C-4C6328DD5B15}</author>
    <author>tc={0414A712-0C57-4121-9055-B0E15918D899}</author>
    <author>tc={81E323E0-C916-40D0-BF96-A248936403C2}</author>
    <author>tc={25E72663-5652-477D-9EC9-89AE33097D1D}</author>
    <author>tc={9A51E7AE-0A48-44B7-81EC-DCAABDB77E45}</author>
    <author>tc={32D5BAC8-92CB-44D5-BF13-DF1280827991}</author>
  </authors>
  <commentList>
    <comment ref="G16" authorId="0" shapeId="0" xr:uid="{0AA50879-2ACD-4B52-92B3-2EDB0113C3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Corp. DC - Boadilla Este // BSAN-ESP-BOE-MW-B-000015 // Down // INC054264340 (P5) - Impact: NO</t>
      </text>
    </comment>
    <comment ref="K16" authorId="1" shapeId="0" xr:uid="{A8C7A6C3-0CB3-4C84-AB84-80A0E53678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Poland - Jawczyce // BSAN-POL-JWY-MW-U-000101 // Up // INC054423593 (P5) - Impact: NO</t>
      </text>
    </comment>
    <comment ref="R16" authorId="2" shapeId="0" xr:uid="{0863F643-8475-4455-9F5C-4C6328DD5B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Mexico // DSWDRTX2_DSWIXCS01 // Down // INC054662408 (P5) - Impact: YES -  Fuera de KCI</t>
      </text>
    </comment>
    <comment ref="T16" authorId="3" shapeId="0" xr:uid="{0414A712-0C57-4121-9055-B0E15918D8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SCF - FRA - Paris // BSAN-FRA-PAR-MW-U-000022 // Up // Latency // INC054719924 (P5) - Impact: NO ///// Aperture Incident // GSNET Campus // Abelias // CSAAUSD1 // Down // Device Down // INC054728093 (P5) - Impact: NO</t>
      </text>
    </comment>
    <comment ref="AA16" authorId="4" shapeId="0" xr:uid="{81E323E0-C916-40D0-BF96-A248936403C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Campus // Abelias // CEABELIAS2 to VCIXCN1_NEW // Up // Flaps // INC054951829 (P5) - Impact: NO
Aperture Incident // GSNET Campus // SANTA BARBARA // CESB1 to VCIXCN1_NEW // Up // Flaps // INC054955249 (P5) - Impact: NO
</t>
      </text>
    </comment>
    <comment ref="AC16" authorId="5" shapeId="0" xr:uid="{25E72663-5652-477D-9EC9-89AE33097D1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AWS Virginia - Arg // SANGS-AWS02-VIRARG-US - AWS Virginia - Arg // Down // INC055021105 (P5) - Impact: NO
</t>
      </text>
    </comment>
    <comment ref="AE16" authorId="6" shapeId="0" xr:uid="{9A51E7AE-0A48-44B7-81EC-DCAABDB77E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AWS Dublin // SDWGS-IRL-DUB-AWS-EDG-01 - Wealth // Up // Discards // INC055076992 (P5) - Impact: NO</t>
      </text>
    </comment>
    <comment ref="AF16" authorId="7" shapeId="0" xr:uid="{32D5BAC8-92CB-44D5-BF13-DF12808279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Chile // ASWREPCLCPQN_DISDRBCECN2 // Down // INC055109977 (P5) - Impact: NO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tc={354266BD-92EA-4090-9D40-75E49EA0DCFD}</author>
    <author>tc={08FB50EB-77F3-4959-94C1-BD08C51F740B}</author>
    <author>tc={1E035C87-5089-452E-A5A5-A9B910BF278E}</author>
    <author>tc={8B5D51FE-533C-43B5-B6F9-41C256F6FC0D}</author>
    <author>tc={2C216F97-2259-4525-84DB-C02BE3E45FAE}</author>
  </authors>
  <commentList>
    <comment ref="F16" authorId="0" shapeId="0" xr:uid="{354266BD-92EA-4090-9D40-75E49EA0DC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Campus // JOSEFA VALCARCEL 34-36 // CEJOSEFA2 // Down // INC055308985 (P5) - Impact: YES
Aperture Incident // GSNET Campus // Salia // CECESC1 to VCIXCN1_NEW // Down // INC055309178 (P5) - Impact: YES
Aperture Incident // GSNET Campus // SANTA BARBARA // CESB1 to VCIXCN1_NEW // Down // INC055309144 (P5) - Impact: YES
Aperture Incident // GSNET Campus // Abelias // CEABELIAS2 to VCIXCN1_NEW // Down // INC055308971 (P5) - Impact: YES
Aperture Incident // GSNET International // IX Spain // ASWIXBO01_ASWIXCN01_TLF // Down // INC055308974 (P5) - Impact: YES
Aperture Incident // GSNET Internet // AS Spain // RTSACN01 // Down // INC055308959 (P5) - Impact: YES
Aperture Incident // GSNET Data // DR Chile // ASWREPCLCPQN_DISDRBCECN2 // Down // INC055308965 (P5) - Impact: YES
Aperture Incident // GSNET Cloud // Azure Washington (Virginia) // SDWGS-USA-VIR-AZU-EDG-02 - - // Down // INC055309609 (P5) - Impact: NO
Aperture Incident // GSNET Cloud // Azure Washington (Virginia) // SDWGS-USA-VIR-AZU-EDG-01 // Down // INC055310144 (P5) - Impact: NO
</t>
      </text>
    </comment>
    <comment ref="H16" authorId="1" shapeId="0" xr:uid="{08FB50EB-77F3-4959-94C1-BD08C51F740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Amsterdam // SDWGS-NLD-AMS-AZU-EDG-01 - Multiple Entities // Down // Accelerated Networking // INC055306573 (P5) - Impact: NO
</t>
      </text>
    </comment>
    <comment ref="L16" authorId="2" shapeId="0" xr:uid="{1E035C87-5089-452E-A5A5-A9B910BF27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Internet // AS Spain // RTSABO01 // Down // INC055516911 (P5) - Impact: NO
Aperture Incident // Campus Conectivity // JOSEFA VALCARCEL 34-36 // CEJOSEFA1 to VCIXCN1_NEW // Down // INC055516926 (P5) - Impact: YES
Aperture Incident // Campus Conectivity // Abelias // CEABELIAS1 to VCIXBE1_NEW // Down // INC055517023 (P5) - Impact: YES
Aperture Incident // GSNET International // IX Spain // ASWIXBO01_ASWIXCN01_BT // Up // INC055524968 (P5) - Impact: YES
Aperture Incident // GSNET International // Bahamas- Nassau // SDWGS-BHS-NAS-COO-EDG-01 // Down // INC055543064 (P5) - Impact: NO
Aperture Incident // GSNET Cloud // Azure Amsterdam // SDWGS-NLD-AMS-AZU-EDG-01 - Chile // Up // Saturation // INC055544643 (P5) - Impact: NO</t>
      </text>
    </comment>
    <comment ref="M16" authorId="3" shapeId="0" xr:uid="{8B5D51FE-533C-43B5-B6F9-41C256F6FC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Amsterdam 2 // SDWGS-NLD-AMS2-AZU-EDG-02 - Tu100008 // Up // Outbound Utilization // INC055560888 (P5) - Impact: NO</t>
      </text>
    </comment>
    <comment ref="AE16" authorId="4" shapeId="0" xr:uid="{2C216F97-2259-4525-84DB-C02BE3E45F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Incident // Campus Conectivity // Salia // CECESC1 // Down // INC056156642 (P5) - Impact: Pending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tc={A3816159-3E9E-4F77-B9A8-1A98F4C2684F}</author>
    <author>tc={0D17ABA7-BD7E-4EC8-96B4-8536F3C6D79D}</author>
  </authors>
  <commentList>
    <comment ref="AD16" authorId="0" shapeId="0" xr:uid="{A3816159-3E9E-4F77-B9A8-1A98F4C268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Campus Conectivity // Abelias // CEABELIAS2 to VCIXCN1_NEW // Down // INC057065557 (P5) - Impact: Pending
Aperture Incident // GSNET International // Corp. DC - Cantabria Norte // BSAN-ESP-SCN-MW-M-000020 // Down // INC057066020 (P5) - Impact: NO
Aperture Incident // GSNET Internet // AS Spain // RTSACN01 // Down // INC057065391 (P5) - Impact: YES
Aperture Incident // Campus Conectivity // JOSEFA VALCARCEL 34-36 // CEJOSEFA2 // Down // INC057065354 (P5) - Impact: Pending</t>
      </text>
    </comment>
    <comment ref="AF16" authorId="1" shapeId="0" xr:uid="{0D17ABA7-BD7E-4EC8-96B4-8536F3C6D7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Campus Conectivity // Abelias // CEABELIAS2 to VCIXCN1_NEW // Down // INC057065557 (P5) - Impact: Pending
Aperture Incident // GSNET International // Corp. DC - Cantabria Norte // BSAN-ESP-SCN-MW-M-000020 // Down // INC057066020 (P5) - Impact: NO
Aperture Incident // GSNET Internet // AS Spain // RTSACN01 // Down // INC057065391 (P5) - Impact: YES
Aperture Incident // Campus Conectivity // JOSEFA VALCARCEL 34-36 // CEJOSEFA2 // Down // INC057065354 (P5) - Impact: Pending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tc={9CC43179-A845-4F6C-998F-E0C8DA8A8CE6}</author>
    <author>tc={C5AF3565-E4EE-4325-8EAF-B021C242294E}</author>
    <author>tc={DEB91869-E754-4D83-A994-9BCA129771F8}</author>
    <author>tc={191D6C26-C64A-4102-8927-D303AE8BD016}</author>
    <author>tc={1E0C1CA7-990D-49AE-934B-24FC9988D283}</author>
    <author>tc={B10C4F2D-0A8E-4AD9-B7FA-4F7F8E56CFDB}</author>
    <author>tc={6EA6B8F3-968A-4038-8F39-DD4D79A1D2EC}</author>
    <author>tc={AD7802AF-3CB7-46CC-B7DA-A1BFAE49353D}</author>
  </authors>
  <commentList>
    <comment ref="B16" authorId="0" shapeId="0" xr:uid="{9CC43179-A845-4F6C-998F-E0C8DA8A8C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USA - Richardson (TX) // BSAN-USA-RIN-MW-U-000059 - - // Up // Latency  // INC057169176 (P5) - Impact: NO</t>
      </text>
    </comment>
    <comment ref="F16" authorId="1" shapeId="0" xr:uid="{C5AF3565-E4EE-4325-8EAF-B021C24229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Amsterdam // SDWGS-NLD-AMS-AZU-EDG-01 - Portugal // Up // Saturation // INC057276476 (P5) - Impact: NO</t>
      </text>
    </comment>
    <comment ref="S16" authorId="2" shapeId="0" xr:uid="{DEB91869-E754-4D83-A994-9BCA129771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Office SCF - Warsaw // BSAN-POL-WAW-MW-U-000129 // Up // Latency // INC057629196 (P5) - Impact: Pending
</t>
      </text>
    </comment>
    <comment ref="T16" authorId="3" shapeId="0" xr:uid="{191D6C26-C64A-4102-8927-D303AE8BD01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Colombia BSN - Triara // BSAN-COL-COT-MW-U-000083 // Up // Saturation // INC057701559 (P5) - Impact: Pending
</t>
      </text>
    </comment>
    <comment ref="U16" authorId="4" shapeId="0" xr:uid="{1E0C1CA7-990D-49AE-934B-24FC9988D2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Mexico // DSWDRTX2_DSWIXCS01 // Down // INC057723860 (P5) - Impact: Pending</t>
      </text>
    </comment>
    <comment ref="V16" authorId="5" shapeId="0" xr:uid="{B10C4F2D-0A8E-4AD9-B7FA-4F7F8E56CF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Chile // ASWREPCDLV_ASWREPCLCPQS // Down // INC057756391 (P5) - Impact: NO</t>
      </text>
    </comment>
    <comment ref="X16" authorId="6" shapeId="0" xr:uid="{6EA6B8F3-968A-4038-8F39-DD4D79A1D2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Amsterdam 2 // SDWGS-NLD-AMS2-AZU-EDG-02 - SDS - Tu100002 // Up // Saturation // INC057796113 (P5) - Impact: NO
Aperture Incident // GSNET Cloud // Azure Amsterdam 2 // SDWGS-NLD-AMS2-AZU-EDG-02 // Up // INC057823170 (P5) - Impact: Pending
Aperture Incident // GSNET Cloud // Azure Poland // SANGS-AZU02-POLAMS1-EU // Down // INC057823318 (P5) - Impact: Pending</t>
      </text>
    </comment>
    <comment ref="AB16" authorId="7" shapeId="0" xr:uid="{AD7802AF-3CB7-46CC-B7DA-A1BFAE4935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Washington (Virginia) // SDWGS-USA-VIR-AZU-EDG-02 - Pagonxt -  // Up // INC057933349 (P5) - Impact: NO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tc={858A11DA-B431-417D-8262-2D3C2D6BDEFE}</author>
    <author>tc={D1EE9F62-3070-4DF6-A940-AEE29A5384B8}</author>
    <author>tc={C078DA61-1DC9-474B-854F-6398FBDF12EE}</author>
    <author>tc={604DCA9B-C296-4357-8680-901F067D309F}</author>
    <author>tc={A55626F9-60A1-4796-8A6C-7055159A7F54}</author>
  </authors>
  <commentList>
    <comment ref="E16" authorId="0" shapeId="0" xr:uid="{858A11DA-B431-417D-8262-2D3C2D6BDE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Campus Conectivity // CGS // RSBOAD31A // Up // INC058185990 (P5) - Impact: NO
Aperture Incident // GSNET Data // DR Mexico // DSWDRTX1_DSWIXCN01 // Down // INC058157061 (P5) - Impact: Pending
Aperture Incident // GSNET International // IX Spain // ASWIXBE01_ASWIXCS01_BT // Up // Flaps // INC058157102 (P5) - Impact: NO</t>
      </text>
    </comment>
    <comment ref="F16" authorId="1" shapeId="0" xr:uid="{D1EE9F62-3070-4DF6-A940-AEE29A5384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Corp. DC - Boadilla Este // BSAN-ESP-BOE-MW-M-000015 // Down // INC058194201 (P5) - Impact: Pending</t>
      </text>
    </comment>
    <comment ref="J16" authorId="2" shapeId="0" xr:uid="{C078DA61-1DC9-474B-854F-6398FBDF12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Branches Connectivity // SCF_36 Palma de Mallorca // sancfs-scf36-rt1 // Down // INC058311384 (P5) - Impact: Pending</t>
      </text>
    </comment>
    <comment ref="O16" authorId="3" shapeId="0" xr:uid="{604DCA9B-C296-4357-8680-901F067D30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Colombia BSN - Triara // BSAN-COL-COT-MW-U-000083 // Down // INC058501114 (P5) - Impact: Pending</t>
      </text>
    </comment>
    <comment ref="X16" authorId="4" shapeId="0" xr:uid="{A55626F9-60A1-4796-8A6C-7055159A7F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Campus Conectivity // Konecta // SKONECTA2 to VCIXCN1_NEW // Down // INC058775416 (P5) - Impact: Pending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tc={99C0FF69-8923-4B2F-9A74-7CBDF9AB395D}</author>
    <author>tc={E8A8B7EE-1D84-4C5F-8C3D-3855217E6171}</author>
    <author>tc={4391DB2E-F319-485C-888D-000F5E5AFE29}</author>
    <author>tc={6D8F9C5E-8F29-4D58-83B8-189396DE97BB}</author>
    <author>tc={F61F4E71-A739-4873-811F-B0BFCA0C1551}</author>
  </authors>
  <commentList>
    <comment ref="C16" authorId="0" shapeId="0" xr:uid="{99C0FF69-8923-4B2F-9A74-7CBDF9AB39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IX Spain // ASWIXBE01_ASWIXCS01_BT // Down // INC059098736 (P5) - Impact: No</t>
      </text>
    </comment>
    <comment ref="G16" authorId="1" shapeId="0" xr:uid="{E8A8B7EE-1D84-4C5F-8C3D-3855217E61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IX Spain // ASWIXBO01_ASWIXCN01_BT // Up // INC059209679 (P5) - Impact: NO
Aperture Incident // GSNET Internet // AS Spain // ASWSABO01 // Up // INC059232437 (P5) - Impact: Pending</t>
      </text>
    </comment>
    <comment ref="K16" authorId="2" shapeId="0" xr:uid="{4391DB2E-F319-485C-888D-000F5E5AFE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Data // DR Mexico // DSWDRTX1_DSWIXCN01 // Down // INC059356810 (P5) - Impact: Pending
</t>
      </text>
    </comment>
    <comment ref="P16" authorId="3" shapeId="0" xr:uid="{6D8F9C5E-8F29-4D58-83B8-189396DE97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Uruguay - Pando // BSAN-URY-PDO-MW-U-000104 // Up // Latency // INC059499000 (P5) - Impact: Pending</t>
      </text>
    </comment>
    <comment ref="Z16" authorId="4" shapeId="0" xr:uid="{F61F4E71-A739-4873-811F-B0BFCA0C15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Amsterdam // SDWGS-NLD-AMS-AZU-EDG-02 - Cyber - Tu1000014 // Up // INC059836438 (P5) - Impact: NO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tc={0B0396C9-5631-48CC-9431-17FE799A7988}</author>
    <author>tc={205493D0-DD22-4503-8D8F-B4C546515337}</author>
    <author>tc={8C6F53E0-1CFC-4F1F-A0C7-8FA32AD972CB}</author>
    <author>tc={4FA689B6-2659-4F42-A597-7F2F0B635DB9}</author>
  </authors>
  <commentList>
    <comment ref="B16" authorId="0" shapeId="0" xr:uid="{0B0396C9-5631-48CC-9431-17FE799A79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Uruguay - Pando // SDWGS-URY-PAN-COO-EDG-02 // Up // INC060061708 (P5) - Impact: Pending</t>
      </text>
    </comment>
    <comment ref="E16" authorId="1" shapeId="0" xr:uid="{205493D0-DD22-4503-8D8F-B4C54651533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AWS Dublin 2 // SDWGS-IRL-DUB2-AWS-EDG-01 - Global Cards - Tu100002 // Up // Saturation // INC060122852 (P5) - Impact: NO 04/11
</t>
      </text>
    </comment>
    <comment ref="F16" authorId="2" shapeId="0" xr:uid="{8C6F53E0-1CFC-4F1F-A0C7-8FA32AD972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Campus Conectivity // SANTA BARBARA // CESB1 to VCIXCN1_NEW  // Up // INC060180090 (P5) - Impact: NO
 </t>
      </text>
    </comment>
    <comment ref="S16" authorId="3" shapeId="0" xr:uid="{4FA689B6-2659-4F42-A597-7F2F0B635D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Campus Conectivity // REMOTO TERCERO // rsecuritas1 // Up // INC060572259 (P5) - Impact: NO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tc={A34021F6-F45F-41CC-AD82-4D4857DA5F61}</author>
    <author>tc={AE0A997D-C2DE-49A5-8398-3D05571CFC56}</author>
    <author>tc={B2A850D8-EF22-4ED4-9024-EF0B0CD51D30}</author>
  </authors>
  <commentList>
    <comment ref="C16" authorId="0" shapeId="0" xr:uid="{A34021F6-F45F-41CC-AD82-4D4857DA5F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Campus Conectivity // Abelias // CEABELIAS2 to VCIXCN1_NEW// Up // INC061044346 (P5) - Impact: NO – FUERA DE KCI</t>
      </text>
    </comment>
    <comment ref="E16" authorId="1" shapeId="0" xr:uid="{AE0A997D-C2DE-49A5-8398-3D05571CFC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International // Corp. DC - Chile Apoquindo // BSAN-CHL-LCO-MW-M-000009 // Up // Latency // INC061129009 (P5) - Impact: Pending
</t>
      </text>
    </comment>
    <comment ref="R16" authorId="2" shapeId="0" xr:uid="{B2A850D8-EF22-4ED4-9024-EF0B0CD51D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Aperture Incident // GSNET Cloud // Azure Sao Paulo // SDWGS-BRA-SAO-AZU-EDG-01 - Chile - Tu100002   // Up // Saturation // INC061499055 (P5) - Impact: NO
Aperture Incident // GSNET Internet // AS Spain // RTSABE01 // Up // Saturation // INC061566545 (P5) - Impact: NO</t>
      </text>
    </comment>
  </commentList>
</comments>
</file>

<file path=xl/sharedStrings.xml><?xml version="1.0" encoding="utf-8"?>
<sst xmlns="http://schemas.openxmlformats.org/spreadsheetml/2006/main" count="1442" uniqueCount="216">
  <si>
    <t>Ref#</t>
  </si>
  <si>
    <t>Service Level Name</t>
  </si>
  <si>
    <t>Description</t>
  </si>
  <si>
    <t>SLA Classification</t>
  </si>
  <si>
    <t>Service Level Target</t>
  </si>
  <si>
    <t>Measurement Window</t>
  </si>
  <si>
    <t>Service Credits</t>
  </si>
  <si>
    <t>Método de medición</t>
  </si>
  <si>
    <t>Acción</t>
  </si>
  <si>
    <t>3A-SLA-16</t>
  </si>
  <si>
    <t>Incident Reaction Time</t>
  </si>
  <si>
    <t xml:space="preserve">Priority  Zero (MI) </t>
  </si>
  <si>
    <t>KPI</t>
  </si>
  <si>
    <t>10 min</t>
  </si>
  <si>
    <t>Monthly</t>
  </si>
  <si>
    <t>N/A</t>
  </si>
  <si>
    <t>El ticketing es automático</t>
  </si>
  <si>
    <t>Eliminar</t>
  </si>
  <si>
    <t>3A-SLA-17</t>
  </si>
  <si>
    <t>Priority  One</t>
  </si>
  <si>
    <t>3A-SLA-18</t>
  </si>
  <si>
    <t xml:space="preserve">Priority  Two </t>
  </si>
  <si>
    <t>15 min</t>
  </si>
  <si>
    <t>3A-SLA-19</t>
  </si>
  <si>
    <t>Priority  Three</t>
  </si>
  <si>
    <t>3A-SLA-20</t>
  </si>
  <si>
    <t>Priority  Four</t>
  </si>
  <si>
    <t>3A-SLA-10</t>
  </si>
  <si>
    <t>Notification of incidents to agreed timescale (30 minutes)</t>
  </si>
  <si>
    <t>Gsnet Site</t>
  </si>
  <si>
    <t>Cuando se abre Aperture ya se trabaja</t>
  </si>
  <si>
    <t>3A-SLA-21</t>
  </si>
  <si>
    <t>Incident Management</t>
  </si>
  <si>
    <t>Envío de Aperture desde caída</t>
  </si>
  <si>
    <t>KCI-15</t>
  </si>
  <si>
    <t>3A-SLA-22</t>
  </si>
  <si>
    <t>3A-SLA-23</t>
  </si>
  <si>
    <t>1 hour -&gt; 15 min</t>
  </si>
  <si>
    <t>3A-SLA-24</t>
  </si>
  <si>
    <t>1 hour</t>
  </si>
  <si>
    <t>KCI-60</t>
  </si>
  <si>
    <t>3A-SLA-25</t>
  </si>
  <si>
    <t>3A-SLA-6</t>
  </si>
  <si>
    <t>Incident Update Frequency - Percentage within agreed time</t>
  </si>
  <si>
    <t>Priority  One - 60 minutes</t>
  </si>
  <si>
    <t>Update de los Aperture</t>
  </si>
  <si>
    <t>3A-SLA-7</t>
  </si>
  <si>
    <t>Priority  Two - 120 minutes</t>
  </si>
  <si>
    <t>KCI-120</t>
  </si>
  <si>
    <t>3A-SLA-8</t>
  </si>
  <si>
    <t>Priority  Three - 180 minutes</t>
  </si>
  <si>
    <t>KCI-180</t>
  </si>
  <si>
    <t>3A-SLA-9</t>
  </si>
  <si>
    <t>Priority  Four - 240 minutes</t>
  </si>
  <si>
    <t>KCI-240</t>
  </si>
  <si>
    <t>3A-SLA-1</t>
  </si>
  <si>
    <t>Site Availability</t>
  </si>
  <si>
    <t>GSNET - Design Class 1 (Private / Private)</t>
  </si>
  <si>
    <t>SecurePlus</t>
  </si>
  <si>
    <t>99.95%</t>
  </si>
  <si>
    <t>25% of one month's WAN rental charge of failing site</t>
  </si>
  <si>
    <t>Reporte mensual + cruce con los RFO</t>
  </si>
  <si>
    <t>Mantener</t>
  </si>
  <si>
    <t>3A-SLA-2</t>
  </si>
  <si>
    <t>GSNET - Design Class 2 (Private / Internet)</t>
  </si>
  <si>
    <t>Access Backup</t>
  </si>
  <si>
    <t>99.9%</t>
  </si>
  <si>
    <t>3A-SLA-3</t>
  </si>
  <si>
    <t>GSNET - Design Class 3 (Private)</t>
  </si>
  <si>
    <t>Standard</t>
  </si>
  <si>
    <t>99.85%</t>
  </si>
  <si>
    <t>3A-SLA-4</t>
  </si>
  <si>
    <t>GSNET - Design Class 4 (Internet / Internet)</t>
  </si>
  <si>
    <t>3A-SLA-5</t>
  </si>
  <si>
    <t>GSNET - Design Class 5 (Internet)</t>
  </si>
  <si>
    <t>3A-SLA-11</t>
  </si>
  <si>
    <t>Incident - % ticket attendant</t>
  </si>
  <si>
    <r>
      <rPr>
        <sz val="8"/>
        <rFont val="Calibri"/>
        <family val="2"/>
      </rPr>
      <t>≤</t>
    </r>
    <r>
      <rPr>
        <sz val="8"/>
        <rFont val="Calibri Light"/>
        <family val="2"/>
        <scheme val="major"/>
      </rPr>
      <t xml:space="preserve"> 1%</t>
    </r>
  </si>
  <si>
    <t>Herramienta de ticketing</t>
  </si>
  <si>
    <r>
      <t xml:space="preserve">Cambiar a </t>
    </r>
    <r>
      <rPr>
        <sz val="8"/>
        <color theme="0"/>
        <rFont val="Calibri"/>
        <family val="2"/>
      </rPr>
      <t>≤ y ≥</t>
    </r>
  </si>
  <si>
    <t>3A-SLA-12</t>
  </si>
  <si>
    <t>≤ 5%</t>
  </si>
  <si>
    <t>3A-SLA-13</t>
  </si>
  <si>
    <t>≤ 10%</t>
  </si>
  <si>
    <t>3A-SLA-14</t>
  </si>
  <si>
    <t>≤ 35%</t>
  </si>
  <si>
    <t>3A-SLA-15</t>
  </si>
  <si>
    <r>
      <rPr>
        <sz val="8"/>
        <rFont val="Calibri"/>
        <family val="2"/>
      </rPr>
      <t>≥</t>
    </r>
    <r>
      <rPr>
        <sz val="8"/>
        <rFont val="Calibri Light"/>
        <family val="2"/>
        <scheme val="major"/>
      </rPr>
      <t xml:space="preserve"> 49%</t>
    </r>
  </si>
  <si>
    <t>3A-SLA-26</t>
  </si>
  <si>
    <t>Change Request Assesment Response</t>
  </si>
  <si>
    <t>Type 1</t>
  </si>
  <si>
    <t>Abrir como petición</t>
  </si>
  <si>
    <t>3A-SLA-27</t>
  </si>
  <si>
    <t>Type 2</t>
  </si>
  <si>
    <t>1 dia</t>
  </si>
  <si>
    <t>3A-SLA-28</t>
  </si>
  <si>
    <t>Type 3</t>
  </si>
  <si>
    <t>3A-SLA-29</t>
  </si>
  <si>
    <t>Change Request Resolution</t>
  </si>
  <si>
    <t>48 hours</t>
  </si>
  <si>
    <t>Cómo medir tiempo no-BT, siempre en ventana</t>
  </si>
  <si>
    <t>3A-SLA-30</t>
  </si>
  <si>
    <t>Change Request Resoution</t>
  </si>
  <si>
    <t>7 days</t>
  </si>
  <si>
    <t>3A-SLA-31</t>
  </si>
  <si>
    <t>TBA</t>
  </si>
  <si>
    <t>No medible</t>
  </si>
  <si>
    <t>3A-SLA-32</t>
  </si>
  <si>
    <t>New Project</t>
  </si>
  <si>
    <t>Request Types</t>
  </si>
  <si>
    <t>Type 1: No impact expected in the service. It requires low charge of work. Doesn’t need works out of hours.</t>
  </si>
  <si>
    <t xml:space="preserve">Type 2: Reduced impact expected in the service. Could need some work out of hours with approvals. </t>
  </si>
  <si>
    <t xml:space="preserve">Type 3: Reduced impact expected in the service. Could need many works out of hours with the participation of other teams and may be delivered in phases </t>
  </si>
  <si>
    <t>Definiciones</t>
  </si>
  <si>
    <t>Definition</t>
  </si>
  <si>
    <t>¿Cómo?</t>
  </si>
  <si>
    <t>Tiempo en marcar la incidencia como vista (ACK)</t>
  </si>
  <si>
    <t>Tiempo en iniciar el proceso de resolución, a partir del ACK</t>
  </si>
  <si>
    <t>Incident tickets attributed per Priority classification</t>
  </si>
  <si>
    <t>Severity</t>
  </si>
  <si>
    <t>Definition propuesta</t>
  </si>
  <si>
    <t>Priority Level Zero</t>
  </si>
  <si>
    <t>Incidents related to serious events involving general unavailability in multiple applications and systems that support critical business processes that has a material impact on Santander and its customers</t>
  </si>
  <si>
    <t>Caída masiva de toda la red de Santander (incomunicación de todos los sites) o deterioro que impida el funcionamiento a nivel global</t>
  </si>
  <si>
    <t>Priority Level One</t>
  </si>
  <si>
    <t>Incidents with critical priority that are not Priority Zero, such as a critical service outage that primarily impacts the internal operation of Santander</t>
  </si>
  <si>
    <t>Caída parcial de la red de Santander (incomunicación de varios sites) o deterioro que impida el funcionamiento a nivel regional</t>
  </si>
  <si>
    <t>Priority Level Two</t>
  </si>
  <si>
    <t>Incidents with high priority, such as a major service outage that primarily impacts the internal operation of Santander</t>
  </si>
  <si>
    <t>Caída de un site completo o deterioro que impida su funcionamiento a nivel local</t>
  </si>
  <si>
    <t>Priority Level Three</t>
  </si>
  <si>
    <t>Incidents with moderate priority, such as a medium service outage where a workaround is typically available</t>
  </si>
  <si>
    <t>Caída de un acceso en sites redundados, deterioro del servicio en un site concreto</t>
  </si>
  <si>
    <t>Priority Level Four</t>
  </si>
  <si>
    <t>Incidents with low priority, such as a minor non service impacting network outage</t>
  </si>
  <si>
    <t>Resto de incidencias sin impacto crítico</t>
  </si>
  <si>
    <t>Monitoring</t>
  </si>
  <si>
    <t>Target</t>
  </si>
  <si>
    <t>Alarm Volume</t>
  </si>
  <si>
    <t>Volume of alarms received in the Customer Monitoring System, with duration greater than 5 minutes</t>
  </si>
  <si>
    <t>Notificable Alarm Vol.</t>
  </si>
  <si>
    <t>Volume of Notificable Alarms with duration greater than 5 minutes</t>
  </si>
  <si>
    <t>Monitor-15</t>
  </si>
  <si>
    <t xml:space="preserve">Percentage of  alarms, considered in the "Alarm volume", acknowleged by BT engineer in the first 15 minutes </t>
  </si>
  <si>
    <t>Monitor-30</t>
  </si>
  <si>
    <t>Percentage of Notifiable Alarms properly notified to the customer in the first 60 minutes</t>
  </si>
  <si>
    <t>KCI-90</t>
  </si>
  <si>
    <t>Percentage of Notifiable Alarms properly notified to the customer in the first 90 minutes</t>
  </si>
  <si>
    <t>Notification Errors</t>
  </si>
  <si>
    <t>Volume of errors notified by the customer, in the Notification Process.</t>
  </si>
  <si>
    <t>Customer Voice</t>
  </si>
  <si>
    <t>CSAT-Changes(CAB)</t>
  </si>
  <si>
    <t>Customer satisfied with the participation of BT during the Changes committee.</t>
  </si>
  <si>
    <t>Ok/No OK</t>
  </si>
  <si>
    <t>CSAT Incidents</t>
  </si>
  <si>
    <t>Customer satisfied with the participation of BT during the Incidents committee.</t>
  </si>
  <si>
    <t>Customer complaints</t>
  </si>
  <si>
    <t>Voume of complaints notified by the customer related to incident management.</t>
  </si>
  <si>
    <t>Volume Incidents open</t>
  </si>
  <si>
    <t>Volume of incidents open by the team.</t>
  </si>
  <si>
    <t>Volume Incidents resolved</t>
  </si>
  <si>
    <t>Volume of incidents resolved by the team.</t>
  </si>
  <si>
    <t>Monitoring/ Incident Management</t>
  </si>
  <si>
    <t>Monitor-10</t>
  </si>
  <si>
    <t xml:space="preserve">Percentage of  alarms acknowleged in Customer Monitoring System  by BT engineer in the first 10 minutes </t>
  </si>
  <si>
    <t xml:space="preserve">Percentage of  alarms acknowleged in Customer Monitoring System  by BT engineer in the first 30 minutes </t>
  </si>
  <si>
    <t>Managed Incidents</t>
  </si>
  <si>
    <t>Percentage of  alarms managed by BT ( Trouble Ticket Field)</t>
  </si>
  <si>
    <t>Percentage of Notifiable Alarms properly notified to the customer in the first 15 minutes</t>
  </si>
  <si>
    <t>KCI-30</t>
  </si>
  <si>
    <t>Percentage of Notifiable Alarms properly notified to the customer in the first 30 minutes</t>
  </si>
  <si>
    <t>Incidents claimed by the CNCC</t>
  </si>
  <si>
    <t>Volume of incidents claimed by the CNCC. Alarms wth Duration higher than 10 minutes and not acknowledged by BT</t>
  </si>
  <si>
    <t>Customer Perception</t>
  </si>
  <si>
    <t>Perception of the customer with Monitoring/Incident Management</t>
  </si>
  <si>
    <t>Change Management</t>
  </si>
  <si>
    <t>PWs impact &gt; estimation</t>
  </si>
  <si>
    <t>Volume of PWs with impact higher than estimated</t>
  </si>
  <si>
    <t>Perception of the customer with Change Management</t>
  </si>
  <si>
    <t xml:space="preserve">Daily Dashboard </t>
  </si>
  <si>
    <t>CSAT Incidents(La V 8:30)</t>
  </si>
  <si>
    <t>Customer satisfied with the participation of BT during the Committee.</t>
  </si>
  <si>
    <t>CSAT BT service (L a V 9:10)</t>
  </si>
  <si>
    <t>Customer satisfied with the participation of BT during the  Committee.</t>
  </si>
  <si>
    <t>Dahsboard ABBA</t>
  </si>
  <si>
    <t>October</t>
  </si>
  <si>
    <t>November</t>
  </si>
  <si>
    <t>Week</t>
  </si>
  <si>
    <t>Average</t>
  </si>
  <si>
    <t>OK</t>
  </si>
  <si>
    <t>NO OK</t>
  </si>
  <si>
    <t>Volume of incidents open</t>
  </si>
  <si>
    <t>Volume of incidents resolved</t>
  </si>
  <si>
    <t>total
ENE</t>
  </si>
  <si>
    <t>Alarm Volume (NetCool)</t>
  </si>
  <si>
    <t>Notificable Alarm Vol. (Aperture)</t>
  </si>
  <si>
    <t>Notificaciones correo (TOTALES)</t>
  </si>
  <si>
    <t>Notificaciones Revised</t>
  </si>
  <si>
    <t>Revised %</t>
  </si>
  <si>
    <t>Incidents claimed</t>
  </si>
  <si>
    <t xml:space="preserve">Alarm Clearance </t>
  </si>
  <si>
    <t>SevOne</t>
  </si>
  <si>
    <t>KCI-Out</t>
  </si>
  <si>
    <t>total
FEB</t>
  </si>
  <si>
    <t>total
MAR</t>
  </si>
  <si>
    <t>total
ABR</t>
  </si>
  <si>
    <t xml:space="preserve"> </t>
  </si>
  <si>
    <t>total
MAY</t>
  </si>
  <si>
    <t>total
JUN</t>
  </si>
  <si>
    <t>total
JUL</t>
  </si>
  <si>
    <t>total
AGO</t>
  </si>
  <si>
    <t>¡</t>
  </si>
  <si>
    <t>total
SEP</t>
  </si>
  <si>
    <t>total
OCT</t>
  </si>
  <si>
    <t>total
NOV</t>
  </si>
  <si>
    <t>total
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</si>
</sst>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Verdana"/>
      <family val="2"/>
    </font>
    <font>
      <b/>
      <sz val="8"/>
      <color theme="0"/>
      <name val="Verdana"/>
      <family val="2"/>
    </font>
    <font>
      <b/>
      <sz val="8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8"/>
      <name val="Calibri Light"/>
      <family val="2"/>
      <scheme val="major"/>
    </font>
    <font>
      <sz val="8"/>
      <name val="Calibri"/>
      <family val="2"/>
    </font>
    <font>
      <sz val="8"/>
      <color rgb="FFFF0000"/>
      <name val="Calibri Light"/>
      <family val="2"/>
      <scheme val="maj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rgb="FF00B0F0"/>
      </bottom>
      <diagonal/>
    </border>
    <border>
      <left style="medium">
        <color rgb="FF00B0F0"/>
      </left>
      <right style="dotted">
        <color rgb="FF00B0F0"/>
      </right>
      <top style="medium">
        <color rgb="FF00B0F0"/>
      </top>
      <bottom style="dotted">
        <color rgb="FF00B0F0"/>
      </bottom>
      <diagonal/>
    </border>
    <border>
      <left style="dotted">
        <color rgb="FF00B0F0"/>
      </left>
      <right style="dotted">
        <color rgb="FF00B0F0"/>
      </right>
      <top style="medium">
        <color rgb="FF00B0F0"/>
      </top>
      <bottom style="dotted">
        <color rgb="FF00B0F0"/>
      </bottom>
      <diagonal/>
    </border>
    <border>
      <left style="dotted">
        <color rgb="FF00B0F0"/>
      </left>
      <right style="medium">
        <color rgb="FF00B0F0"/>
      </right>
      <top style="medium">
        <color rgb="FF00B0F0"/>
      </top>
      <bottom style="dotted">
        <color rgb="FF00B0F0"/>
      </bottom>
      <diagonal/>
    </border>
    <border>
      <left style="medium">
        <color rgb="FF00B0F0"/>
      </left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/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 style="medium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 style="thick">
        <color rgb="FF00B0F0"/>
      </right>
      <top style="dotted">
        <color rgb="FF00B0F0"/>
      </top>
      <bottom style="dotted">
        <color rgb="FF00B0F0"/>
      </bottom>
      <diagonal/>
    </border>
    <border>
      <left style="medium">
        <color rgb="FF00B0F0"/>
      </left>
      <right/>
      <top style="dotted">
        <color rgb="FF00B0F0"/>
      </top>
      <bottom style="dotted">
        <color rgb="FF00B0F0"/>
      </bottom>
      <diagonal/>
    </border>
    <border>
      <left style="thick">
        <color theme="8" tint="0.39997558519241921"/>
      </left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 style="thick">
        <color theme="8" tint="0.39997558519241921"/>
      </right>
      <top style="dotted">
        <color rgb="FF00B0F0"/>
      </top>
      <bottom style="dotted">
        <color rgb="FF00B0F0"/>
      </bottom>
      <diagonal/>
    </border>
    <border>
      <left/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7" borderId="0" applyNumberFormat="0" applyBorder="0" applyAlignment="0" applyProtection="0"/>
    <xf numFmtId="0" fontId="10" fillId="41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25" fillId="13" borderId="0" applyNumberFormat="0" applyBorder="0" applyAlignment="0" applyProtection="0"/>
    <xf numFmtId="0" fontId="28" fillId="15" borderId="32" applyNumberFormat="0" applyAlignment="0" applyProtection="0"/>
    <xf numFmtId="0" fontId="30" fillId="16" borderId="35" applyNumberFormat="0" applyAlignment="0" applyProtection="0"/>
    <xf numFmtId="0" fontId="32" fillId="0" borderId="0" applyNumberFormat="0" applyFill="0" applyBorder="0" applyAlignment="0" applyProtection="0"/>
    <xf numFmtId="0" fontId="24" fillId="12" borderId="0" applyNumberFormat="0" applyBorder="0" applyAlignment="0" applyProtection="0"/>
    <xf numFmtId="0" fontId="21" fillId="0" borderId="29" applyNumberFormat="0" applyFill="0" applyAlignment="0" applyProtection="0"/>
    <xf numFmtId="0" fontId="22" fillId="0" borderId="30" applyNumberFormat="0" applyFill="0" applyAlignment="0" applyProtection="0"/>
    <xf numFmtId="0" fontId="23" fillId="0" borderId="31" applyNumberFormat="0" applyFill="0" applyAlignment="0" applyProtection="0"/>
    <xf numFmtId="0" fontId="23" fillId="0" borderId="0" applyNumberFormat="0" applyFill="0" applyBorder="0" applyAlignment="0" applyProtection="0"/>
    <xf numFmtId="0" fontId="26" fillId="14" borderId="32" applyNumberFormat="0" applyAlignment="0" applyProtection="0"/>
    <xf numFmtId="0" fontId="29" fillId="0" borderId="34" applyNumberFormat="0" applyFill="0" applyAlignment="0" applyProtection="0"/>
    <xf numFmtId="0" fontId="1" fillId="17" borderId="36" applyNumberFormat="0" applyFont="0" applyAlignment="0" applyProtection="0"/>
    <xf numFmtId="0" fontId="27" fillId="15" borderId="33" applyNumberFormat="0" applyAlignment="0" applyProtection="0"/>
    <xf numFmtId="0" fontId="3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5" fillId="0" borderId="0"/>
    <xf numFmtId="0" fontId="36" fillId="0" borderId="0"/>
    <xf numFmtId="0" fontId="37" fillId="0" borderId="0"/>
    <xf numFmtId="0" fontId="35" fillId="0" borderId="0"/>
    <xf numFmtId="0" fontId="38" fillId="0" borderId="0"/>
    <xf numFmtId="0" fontId="35" fillId="0" borderId="0"/>
    <xf numFmtId="0" fontId="35" fillId="0" borderId="0"/>
  </cellStyleXfs>
  <cellXfs count="161">
    <xf numFmtId="0" fontId="0" fillId="0" borderId="0" xfId="0"/>
    <xf numFmtId="0" fontId="0" fillId="0" borderId="2" xfId="0" applyBorder="1"/>
    <xf numFmtId="0" fontId="4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5" borderId="5" xfId="0" applyFont="1" applyFill="1" applyBorder="1" applyAlignment="1">
      <alignment horizontal="left"/>
    </xf>
    <xf numFmtId="0" fontId="0" fillId="5" borderId="6" xfId="0" applyFill="1" applyBorder="1"/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5" borderId="10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10" fontId="0" fillId="6" borderId="6" xfId="1" applyNumberFormat="1" applyFont="1" applyFill="1" applyBorder="1" applyAlignment="1">
      <alignment horizontal="center"/>
    </xf>
    <xf numFmtId="10" fontId="0" fillId="7" borderId="6" xfId="1" applyNumberFormat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7" xfId="1" applyFont="1" applyFill="1" applyBorder="1" applyAlignment="1">
      <alignment horizontal="center"/>
    </xf>
    <xf numFmtId="10" fontId="0" fillId="7" borderId="11" xfId="0" applyNumberFormat="1" applyFill="1" applyBorder="1" applyAlignment="1">
      <alignment horizontal="center"/>
    </xf>
    <xf numFmtId="10" fontId="0" fillId="7" borderId="6" xfId="0" applyNumberFormat="1" applyFill="1" applyBorder="1" applyAlignment="1">
      <alignment horizontal="center"/>
    </xf>
    <xf numFmtId="10" fontId="0" fillId="6" borderId="7" xfId="1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10" fontId="0" fillId="7" borderId="7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10" fontId="0" fillId="5" borderId="6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5" fillId="4" borderId="15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9" fontId="0" fillId="0" borderId="6" xfId="0" applyNumberForma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5" fillId="4" borderId="10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5" fillId="4" borderId="10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12" fillId="9" borderId="18" xfId="2" applyFont="1" applyFill="1" applyBorder="1" applyAlignment="1">
      <alignment horizontal="center" vertical="center" wrapText="1"/>
    </xf>
    <xf numFmtId="0" fontId="12" fillId="9" borderId="18" xfId="2" applyFont="1" applyFill="1" applyBorder="1" applyAlignment="1">
      <alignment horizontal="left" vertical="center" wrapText="1" indent="1"/>
    </xf>
    <xf numFmtId="0" fontId="13" fillId="0" borderId="18" xfId="2" applyFont="1" applyBorder="1" applyAlignment="1">
      <alignment horizontal="center" vertical="center" wrapText="1"/>
    </xf>
    <xf numFmtId="0" fontId="13" fillId="0" borderId="17" xfId="2" applyFont="1" applyBorder="1" applyAlignment="1">
      <alignment horizontal="left" vertical="center" wrapText="1" indent="1"/>
    </xf>
    <xf numFmtId="0" fontId="13" fillId="0" borderId="18" xfId="2" applyFont="1" applyBorder="1" applyAlignment="1">
      <alignment horizontal="left" vertical="center" wrapText="1" indent="1"/>
    </xf>
    <xf numFmtId="10" fontId="13" fillId="0" borderId="18" xfId="1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0" fontId="13" fillId="0" borderId="17" xfId="1" applyNumberFormat="1" applyFont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 wrapText="1"/>
    </xf>
    <xf numFmtId="10" fontId="13" fillId="0" borderId="18" xfId="2" applyNumberFormat="1" applyFont="1" applyBorder="1" applyAlignment="1">
      <alignment horizontal="center" vertical="center" wrapText="1"/>
    </xf>
    <xf numFmtId="0" fontId="13" fillId="0" borderId="0" xfId="0" applyFont="1"/>
    <xf numFmtId="9" fontId="13" fillId="0" borderId="18" xfId="2" applyNumberFormat="1" applyFont="1" applyBorder="1" applyAlignment="1">
      <alignment horizontal="center" vertical="center" wrapText="1"/>
    </xf>
    <xf numFmtId="9" fontId="13" fillId="0" borderId="17" xfId="2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18" xfId="2" applyFont="1" applyBorder="1" applyAlignment="1">
      <alignment horizontal="left" vertical="center" wrapText="1" indent="1"/>
    </xf>
    <xf numFmtId="10" fontId="13" fillId="0" borderId="17" xfId="2" applyNumberFormat="1" applyFont="1" applyBorder="1" applyAlignment="1">
      <alignment horizontal="center" vertical="center" wrapText="1"/>
    </xf>
    <xf numFmtId="0" fontId="12" fillId="9" borderId="18" xfId="2" applyFont="1" applyFill="1" applyBorder="1" applyAlignment="1">
      <alignment horizontal="left" vertical="center" wrapText="1"/>
    </xf>
    <xf numFmtId="0" fontId="0" fillId="0" borderId="0" xfId="0" applyAlignment="1">
      <alignment horizontal="left" indent="1"/>
    </xf>
    <xf numFmtId="0" fontId="12" fillId="9" borderId="18" xfId="2" applyFont="1" applyFill="1" applyBorder="1" applyAlignment="1">
      <alignment vertical="center" wrapText="1"/>
    </xf>
    <xf numFmtId="0" fontId="13" fillId="0" borderId="17" xfId="2" applyFont="1" applyBorder="1" applyAlignment="1">
      <alignment vertical="center" wrapText="1"/>
    </xf>
    <xf numFmtId="0" fontId="13" fillId="0" borderId="18" xfId="2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7" fillId="9" borderId="17" xfId="0" applyFont="1" applyFill="1" applyBorder="1" applyAlignment="1">
      <alignment horizontal="left" indent="1"/>
    </xf>
    <xf numFmtId="0" fontId="18" fillId="0" borderId="18" xfId="0" applyFont="1" applyBorder="1" applyAlignment="1">
      <alignment horizontal="left" vertical="center" wrapText="1" indent="1"/>
    </xf>
    <xf numFmtId="0" fontId="18" fillId="0" borderId="17" xfId="0" applyFont="1" applyBorder="1" applyAlignment="1">
      <alignment horizontal="left" vertical="center" wrapText="1" indent="1"/>
    </xf>
    <xf numFmtId="0" fontId="16" fillId="0" borderId="0" xfId="0" applyFont="1"/>
    <xf numFmtId="0" fontId="13" fillId="0" borderId="19" xfId="2" applyFont="1" applyBorder="1" applyAlignment="1">
      <alignment horizontal="center" vertical="center" wrapText="1"/>
    </xf>
    <xf numFmtId="9" fontId="13" fillId="0" borderId="19" xfId="2" applyNumberFormat="1" applyFont="1" applyBorder="1" applyAlignment="1">
      <alignment horizontal="center" vertical="center" wrapText="1"/>
    </xf>
    <xf numFmtId="0" fontId="13" fillId="0" borderId="19" xfId="2" applyFont="1" applyBorder="1" applyAlignment="1">
      <alignment horizontal="left" vertical="center" wrapText="1" indent="1"/>
    </xf>
    <xf numFmtId="0" fontId="13" fillId="0" borderId="19" xfId="2" applyFont="1" applyBorder="1" applyAlignment="1">
      <alignment vertical="center" wrapText="1"/>
    </xf>
    <xf numFmtId="0" fontId="13" fillId="0" borderId="20" xfId="2" applyFont="1" applyBorder="1" applyAlignment="1">
      <alignment horizontal="center" vertical="center" wrapText="1"/>
    </xf>
    <xf numFmtId="9" fontId="13" fillId="0" borderId="20" xfId="2" applyNumberFormat="1" applyFont="1" applyBorder="1" applyAlignment="1">
      <alignment horizontal="center" vertical="center" wrapText="1"/>
    </xf>
    <xf numFmtId="0" fontId="13" fillId="0" borderId="20" xfId="2" applyFont="1" applyBorder="1" applyAlignment="1">
      <alignment horizontal="left" vertical="center" wrapText="1" indent="1"/>
    </xf>
    <xf numFmtId="0" fontId="19" fillId="10" borderId="18" xfId="2" applyFont="1" applyFill="1" applyBorder="1" applyAlignment="1">
      <alignment horizontal="center" vertical="center" wrapText="1"/>
    </xf>
    <xf numFmtId="0" fontId="19" fillId="10" borderId="17" xfId="2" applyFont="1" applyFill="1" applyBorder="1" applyAlignment="1">
      <alignment horizontal="left" vertical="center" wrapText="1" indent="1"/>
    </xf>
    <xf numFmtId="0" fontId="19" fillId="10" borderId="18" xfId="2" applyFont="1" applyFill="1" applyBorder="1" applyAlignment="1">
      <alignment horizontal="left" vertical="center" wrapText="1" indent="1"/>
    </xf>
    <xf numFmtId="0" fontId="19" fillId="10" borderId="17" xfId="2" applyFont="1" applyFill="1" applyBorder="1" applyAlignment="1">
      <alignment horizontal="center" vertical="center" wrapText="1"/>
    </xf>
    <xf numFmtId="9" fontId="19" fillId="10" borderId="17" xfId="2" applyNumberFormat="1" applyFont="1" applyFill="1" applyBorder="1" applyAlignment="1">
      <alignment horizontal="center" vertical="center" wrapText="1"/>
    </xf>
    <xf numFmtId="0" fontId="19" fillId="10" borderId="17" xfId="2" applyFont="1" applyFill="1" applyBorder="1" applyAlignment="1">
      <alignment vertical="center" wrapText="1"/>
    </xf>
    <xf numFmtId="9" fontId="19" fillId="6" borderId="19" xfId="2" applyNumberFormat="1" applyFont="1" applyFill="1" applyBorder="1" applyAlignment="1">
      <alignment horizontal="center" vertical="center" wrapText="1"/>
    </xf>
    <xf numFmtId="0" fontId="19" fillId="6" borderId="18" xfId="2" applyFont="1" applyFill="1" applyBorder="1" applyAlignment="1">
      <alignment vertical="center" wrapText="1"/>
    </xf>
    <xf numFmtId="0" fontId="19" fillId="6" borderId="17" xfId="2" applyFont="1" applyFill="1" applyBorder="1" applyAlignment="1">
      <alignment vertical="center" wrapText="1"/>
    </xf>
    <xf numFmtId="0" fontId="14" fillId="0" borderId="21" xfId="0" applyFont="1" applyBorder="1" applyAlignment="1">
      <alignment horizontal="left"/>
    </xf>
    <xf numFmtId="0" fontId="13" fillId="0" borderId="22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left"/>
    </xf>
    <xf numFmtId="0" fontId="13" fillId="0" borderId="27" xfId="0" applyFont="1" applyBorder="1" applyAlignment="1">
      <alignment horizontal="left" vertical="center" wrapText="1" inden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9" fillId="11" borderId="18" xfId="2" applyFont="1" applyFill="1" applyBorder="1" applyAlignment="1">
      <alignment horizontal="center" vertical="center" wrapText="1"/>
    </xf>
    <xf numFmtId="0" fontId="19" fillId="11" borderId="17" xfId="2" applyFont="1" applyFill="1" applyBorder="1" applyAlignment="1">
      <alignment horizontal="left" vertical="center" wrapText="1" indent="1"/>
    </xf>
    <xf numFmtId="0" fontId="19" fillId="11" borderId="17" xfId="2" applyFont="1" applyFill="1" applyBorder="1" applyAlignment="1">
      <alignment horizontal="center" vertical="center" wrapText="1"/>
    </xf>
    <xf numFmtId="9" fontId="19" fillId="11" borderId="17" xfId="2" applyNumberFormat="1" applyFont="1" applyFill="1" applyBorder="1" applyAlignment="1">
      <alignment horizontal="center" vertical="center" wrapText="1"/>
    </xf>
    <xf numFmtId="0" fontId="19" fillId="11" borderId="17" xfId="2" applyFont="1" applyFill="1" applyBorder="1" applyAlignment="1">
      <alignment vertical="center" wrapText="1"/>
    </xf>
    <xf numFmtId="0" fontId="34" fillId="0" borderId="0" xfId="0" applyFont="1"/>
    <xf numFmtId="10" fontId="34" fillId="8" borderId="0" xfId="0" applyNumberFormat="1" applyFont="1" applyFill="1" applyAlignment="1">
      <alignment horizontal="center" vertical="center"/>
    </xf>
    <xf numFmtId="0" fontId="34" fillId="9" borderId="0" xfId="0" applyFont="1" applyFill="1" applyAlignment="1">
      <alignment horizontal="right"/>
    </xf>
    <xf numFmtId="164" fontId="19" fillId="9" borderId="0" xfId="0" applyNumberFormat="1" applyFont="1" applyFill="1" applyAlignment="1">
      <alignment horizontal="center"/>
    </xf>
    <xf numFmtId="10" fontId="34" fillId="0" borderId="17" xfId="0" applyNumberFormat="1" applyFont="1" applyBorder="1" applyAlignment="1">
      <alignment horizontal="center"/>
    </xf>
    <xf numFmtId="10" fontId="34" fillId="0" borderId="17" xfId="0" applyNumberFormat="1" applyFont="1" applyBorder="1" applyAlignment="1">
      <alignment horizontal="center" vertical="center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" fontId="19" fillId="9" borderId="0" xfId="0" applyNumberFormat="1" applyFont="1" applyFill="1" applyAlignment="1">
      <alignment horizontal="center" wrapText="1"/>
    </xf>
    <xf numFmtId="17" fontId="19" fillId="42" borderId="0" xfId="0" applyNumberFormat="1" applyFont="1" applyFill="1" applyAlignment="1">
      <alignment horizontal="center" wrapText="1"/>
    </xf>
    <xf numFmtId="0" fontId="19" fillId="9" borderId="0" xfId="0" applyFont="1" applyFill="1" applyAlignment="1">
      <alignment horizontal="right"/>
    </xf>
    <xf numFmtId="0" fontId="0" fillId="0" borderId="16" xfId="0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9" fontId="9" fillId="0" borderId="17" xfId="1" applyFont="1" applyBorder="1" applyAlignment="1" applyProtection="1">
      <alignment horizontal="center" vertical="center"/>
    </xf>
    <xf numFmtId="10" fontId="9" fillId="0" borderId="17" xfId="1" applyNumberFormat="1" applyFont="1" applyBorder="1" applyAlignment="1" applyProtection="1">
      <alignment horizontal="center" vertical="center"/>
    </xf>
    <xf numFmtId="10" fontId="9" fillId="0" borderId="17" xfId="0" applyNumberFormat="1" applyFont="1" applyBorder="1" applyAlignment="1">
      <alignment horizontal="center"/>
    </xf>
    <xf numFmtId="10" fontId="9" fillId="0" borderId="17" xfId="0" applyNumberFormat="1" applyFont="1" applyBorder="1" applyAlignment="1">
      <alignment horizontal="center" vertical="center"/>
    </xf>
    <xf numFmtId="0" fontId="39" fillId="43" borderId="15" xfId="0" applyFont="1" applyFill="1" applyBorder="1" applyAlignment="1">
      <alignment vertical="center"/>
    </xf>
    <xf numFmtId="0" fontId="40" fillId="44" borderId="10" xfId="0" applyFont="1" applyFill="1" applyBorder="1" applyAlignment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39" fillId="43" borderId="0" xfId="0" applyFont="1" applyFill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>
      <alignment horizontal="left" vertical="center"/>
    </xf>
    <xf numFmtId="1" fontId="9" fillId="0" borderId="17" xfId="0" applyNumberFormat="1" applyFont="1" applyBorder="1" applyAlignment="1">
      <alignment horizontal="center" vertical="center"/>
    </xf>
    <xf numFmtId="0" fontId="41" fillId="45" borderId="17" xfId="0" applyFont="1" applyFill="1" applyBorder="1" applyAlignment="1">
      <alignment horizontal="center" vertical="center"/>
    </xf>
    <xf numFmtId="1" fontId="9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10" fontId="40" fillId="8" borderId="0" xfId="0" applyNumberFormat="1" applyFont="1" applyFill="1" applyAlignment="1">
      <alignment horizontal="center" vertical="center"/>
    </xf>
    <xf numFmtId="0" fontId="0" fillId="3" borderId="16" xfId="0" applyFill="1" applyBorder="1" applyAlignment="1">
      <alignment vertical="center"/>
    </xf>
    <xf numFmtId="0" fontId="0" fillId="0" borderId="0" xfId="0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9" fontId="42" fillId="0" borderId="20" xfId="0" applyNumberFormat="1" applyFont="1" applyBorder="1" applyAlignment="1">
      <alignment horizontal="center" vertical="center"/>
    </xf>
    <xf numFmtId="10" fontId="42" fillId="0" borderId="2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5" borderId="15" xfId="0" applyFont="1" applyFill="1" applyBorder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5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10" fontId="9" fillId="0" borderId="17" xfId="1" applyNumberFormat="1" applyFont="1" applyBorder="1" applyAlignment="1" applyProtection="1">
      <alignment horizontal="center" vertical="center"/>
    </xf>
    <xf numFmtId="10" fontId="9" fillId="0" borderId="17" xfId="0" applyNumberFormat="1" applyFont="1" applyBorder="1" applyAlignment="1">
      <alignment horizontal="center" vertical="center"/>
    </xf>
  </cellXfs>
  <cellStyles count="49">
    <cellStyle name="%" xfId="2" xr:uid="{00000000-0005-0000-0000-000000000000}"/>
    <cellStyle name="20% - Accent1" xfId="3" xr:uid="{00000000-0005-0000-0000-000001000000}"/>
    <cellStyle name="20% - Accent2" xfId="4" xr:uid="{00000000-0005-0000-0000-000002000000}"/>
    <cellStyle name="20% - Accent3" xfId="5" xr:uid="{00000000-0005-0000-0000-000003000000}"/>
    <cellStyle name="20% - Accent4" xfId="6" xr:uid="{00000000-0005-0000-0000-000004000000}"/>
    <cellStyle name="20% - Accent5" xfId="7" xr:uid="{00000000-0005-0000-0000-000005000000}"/>
    <cellStyle name="20% - Accent6" xfId="8" xr:uid="{00000000-0005-0000-0000-000006000000}"/>
    <cellStyle name="40% - Accent1" xfId="9" xr:uid="{00000000-0005-0000-0000-000007000000}"/>
    <cellStyle name="40% - Accent2" xfId="10" xr:uid="{00000000-0005-0000-0000-000008000000}"/>
    <cellStyle name="40% - Accent3" xfId="11" xr:uid="{00000000-0005-0000-0000-000009000000}"/>
    <cellStyle name="40% - Accent4" xfId="12" xr:uid="{00000000-0005-0000-0000-00000A000000}"/>
    <cellStyle name="40% - Accent5" xfId="13" xr:uid="{00000000-0005-0000-0000-00000B000000}"/>
    <cellStyle name="40% - Accent6" xfId="14" xr:uid="{00000000-0005-0000-0000-00000C000000}"/>
    <cellStyle name="60% - Accent1" xfId="15" xr:uid="{00000000-0005-0000-0000-00000D000000}"/>
    <cellStyle name="60% - Accent2" xfId="16" xr:uid="{00000000-0005-0000-0000-00000E000000}"/>
    <cellStyle name="60% - Accent3" xfId="17" xr:uid="{00000000-0005-0000-0000-00000F000000}"/>
    <cellStyle name="60% - Accent4" xfId="18" xr:uid="{00000000-0005-0000-0000-000010000000}"/>
    <cellStyle name="60% - Accent5" xfId="19" xr:uid="{00000000-0005-0000-0000-000011000000}"/>
    <cellStyle name="60% - Accent6" xfId="20" xr:uid="{00000000-0005-0000-0000-000012000000}"/>
    <cellStyle name="Accent1" xfId="21" xr:uid="{00000000-0005-0000-0000-000013000000}"/>
    <cellStyle name="Accent2" xfId="22" xr:uid="{00000000-0005-0000-0000-000014000000}"/>
    <cellStyle name="Accent3" xfId="23" xr:uid="{00000000-0005-0000-0000-000015000000}"/>
    <cellStyle name="Accent4" xfId="24" xr:uid="{00000000-0005-0000-0000-000016000000}"/>
    <cellStyle name="Accent5" xfId="25" xr:uid="{00000000-0005-0000-0000-000017000000}"/>
    <cellStyle name="Accent6" xfId="26" xr:uid="{00000000-0005-0000-0000-000018000000}"/>
    <cellStyle name="Bad" xfId="27" xr:uid="{00000000-0005-0000-0000-000019000000}"/>
    <cellStyle name="Calculation" xfId="28" xr:uid="{00000000-0005-0000-0000-00001A000000}"/>
    <cellStyle name="Check Cell" xfId="29" xr:uid="{00000000-0005-0000-0000-00001B000000}"/>
    <cellStyle name="Explanatory Text" xfId="30" xr:uid="{00000000-0005-0000-0000-00001C000000}"/>
    <cellStyle name="Good" xfId="31" xr:uid="{00000000-0005-0000-0000-00001D000000}"/>
    <cellStyle name="Heading 1" xfId="32" xr:uid="{00000000-0005-0000-0000-00001E000000}"/>
    <cellStyle name="Heading 2" xfId="33" xr:uid="{00000000-0005-0000-0000-00001F000000}"/>
    <cellStyle name="Heading 3" xfId="34" xr:uid="{00000000-0005-0000-0000-000020000000}"/>
    <cellStyle name="Heading 4" xfId="35" xr:uid="{00000000-0005-0000-0000-000021000000}"/>
    <cellStyle name="Input" xfId="36" xr:uid="{00000000-0005-0000-0000-000022000000}"/>
    <cellStyle name="Linked Cell" xfId="37" xr:uid="{00000000-0005-0000-0000-000023000000}"/>
    <cellStyle name="Normal" xfId="0" builtinId="0"/>
    <cellStyle name="Normal 2" xfId="43" xr:uid="{00000000-0005-0000-0000-000025000000}"/>
    <cellStyle name="Normal 2 2" xfId="45" xr:uid="{00000000-0005-0000-0000-000026000000}"/>
    <cellStyle name="Normal 3" xfId="42" xr:uid="{00000000-0005-0000-0000-000027000000}"/>
    <cellStyle name="Normal 4" xfId="44" xr:uid="{00000000-0005-0000-0000-000028000000}"/>
    <cellStyle name="Normal 4 2" xfId="47" xr:uid="{4252EEFD-00B3-464D-ACDE-838B91A6CEC6}"/>
    <cellStyle name="Normal 5" xfId="46" xr:uid="{00000000-0005-0000-0000-000029000000}"/>
    <cellStyle name="Normal 5 2" xfId="48" xr:uid="{1807A876-06B5-4C85-B9C8-E0025E46EA3C}"/>
    <cellStyle name="Note" xfId="38" xr:uid="{00000000-0005-0000-0000-00002A000000}"/>
    <cellStyle name="Output" xfId="39" xr:uid="{00000000-0005-0000-0000-00002B000000}"/>
    <cellStyle name="Porcentaje" xfId="1" builtinId="5"/>
    <cellStyle name="Title" xfId="40" xr:uid="{00000000-0005-0000-0000-00002D000000}"/>
    <cellStyle name="Warning Text" xfId="41" xr:uid="{00000000-0005-0000-0000-00002E000000}"/>
  </cellStyles>
  <dxfs count="20"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Totales!#REF!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Totales!#REF!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Totales!#REF!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86-43E9-B899-50C6E0F75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109600"/>
        <c:axId val="424106856"/>
      </c:barChart>
      <c:catAx>
        <c:axId val="42410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6856"/>
        <c:crosses val="autoZero"/>
        <c:auto val="1"/>
        <c:lblAlgn val="ctr"/>
        <c:lblOffset val="100"/>
        <c:noMultiLvlLbl val="1"/>
      </c:catAx>
      <c:valAx>
        <c:axId val="42410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6 últimos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Totales!$B$3</c:f>
              <c:strCache>
                <c:ptCount val="1"/>
                <c:pt idx="0">
                  <c:v>KCI-30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Totales!$O$1:$T$1</c:f>
              <c:numCache>
                <c:formatCode>mmm\-yy</c:formatCode>
                <c:ptCount val="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</c:numCache>
            </c:numRef>
          </c:cat>
          <c:val>
            <c:numRef>
              <c:f>Totales!$O$3:$T$3</c:f>
              <c:numCache>
                <c:formatCode>0.00%</c:formatCode>
                <c:ptCount val="6"/>
                <c:pt idx="0">
                  <c:v>0.95967741935483875</c:v>
                </c:pt>
                <c:pt idx="1">
                  <c:v>0.96264367816091956</c:v>
                </c:pt>
                <c:pt idx="2">
                  <c:v>0.92741935483870963</c:v>
                </c:pt>
                <c:pt idx="3">
                  <c:v>1</c:v>
                </c:pt>
                <c:pt idx="4">
                  <c:v>0.92472903225806447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1-46FA-A6E4-50921E4A2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106464"/>
        <c:axId val="424103720"/>
      </c:lineChart>
      <c:dateAx>
        <c:axId val="424106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3720"/>
        <c:crosses val="autoZero"/>
        <c:auto val="1"/>
        <c:lblOffset val="100"/>
        <c:baseTimeUnit val="months"/>
      </c:dateAx>
      <c:valAx>
        <c:axId val="424103720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KCI-30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Totales!$B$7</c:f>
              <c:strCache>
                <c:ptCount val="1"/>
                <c:pt idx="0">
                  <c:v>KCI-30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Totales!$C$5:$AZ$5</c:f>
              <c:numCache>
                <c:formatCode>dd/mm</c:formatCode>
                <c:ptCount val="50"/>
                <c:pt idx="0">
                  <c:v>43976</c:v>
                </c:pt>
                <c:pt idx="1">
                  <c:v>43977</c:v>
                </c:pt>
                <c:pt idx="2">
                  <c:v>43978</c:v>
                </c:pt>
                <c:pt idx="3">
                  <c:v>43979</c:v>
                </c:pt>
                <c:pt idx="4">
                  <c:v>43980</c:v>
                </c:pt>
                <c:pt idx="5">
                  <c:v>43981</c:v>
                </c:pt>
                <c:pt idx="6">
                  <c:v>43982</c:v>
                </c:pt>
                <c:pt idx="7">
                  <c:v>43983</c:v>
                </c:pt>
                <c:pt idx="8">
                  <c:v>43984</c:v>
                </c:pt>
                <c:pt idx="9">
                  <c:v>43985</c:v>
                </c:pt>
                <c:pt idx="10">
                  <c:v>43986</c:v>
                </c:pt>
                <c:pt idx="11">
                  <c:v>43987</c:v>
                </c:pt>
                <c:pt idx="12">
                  <c:v>43988</c:v>
                </c:pt>
                <c:pt idx="13">
                  <c:v>43989</c:v>
                </c:pt>
                <c:pt idx="14">
                  <c:v>43990</c:v>
                </c:pt>
                <c:pt idx="15">
                  <c:v>43991</c:v>
                </c:pt>
                <c:pt idx="16">
                  <c:v>43992</c:v>
                </c:pt>
                <c:pt idx="17">
                  <c:v>43993</c:v>
                </c:pt>
                <c:pt idx="18">
                  <c:v>43994</c:v>
                </c:pt>
                <c:pt idx="19">
                  <c:v>43995</c:v>
                </c:pt>
                <c:pt idx="20">
                  <c:v>43996</c:v>
                </c:pt>
                <c:pt idx="21">
                  <c:v>43997</c:v>
                </c:pt>
                <c:pt idx="22">
                  <c:v>43998</c:v>
                </c:pt>
                <c:pt idx="23">
                  <c:v>43999</c:v>
                </c:pt>
                <c:pt idx="24">
                  <c:v>44000</c:v>
                </c:pt>
                <c:pt idx="25">
                  <c:v>44001</c:v>
                </c:pt>
                <c:pt idx="26">
                  <c:v>44002</c:v>
                </c:pt>
                <c:pt idx="27">
                  <c:v>44003</c:v>
                </c:pt>
                <c:pt idx="28">
                  <c:v>44004</c:v>
                </c:pt>
                <c:pt idx="29">
                  <c:v>44005</c:v>
                </c:pt>
                <c:pt idx="30">
                  <c:v>44006</c:v>
                </c:pt>
                <c:pt idx="31">
                  <c:v>44007</c:v>
                </c:pt>
                <c:pt idx="32">
                  <c:v>44008</c:v>
                </c:pt>
                <c:pt idx="33">
                  <c:v>44009</c:v>
                </c:pt>
                <c:pt idx="34">
                  <c:v>44010</c:v>
                </c:pt>
                <c:pt idx="35">
                  <c:v>44011</c:v>
                </c:pt>
                <c:pt idx="36">
                  <c:v>44012</c:v>
                </c:pt>
                <c:pt idx="37">
                  <c:v>44013</c:v>
                </c:pt>
                <c:pt idx="38">
                  <c:v>44014</c:v>
                </c:pt>
                <c:pt idx="39">
                  <c:v>44015</c:v>
                </c:pt>
                <c:pt idx="40">
                  <c:v>44016</c:v>
                </c:pt>
                <c:pt idx="41">
                  <c:v>44017</c:v>
                </c:pt>
                <c:pt idx="42">
                  <c:v>44018</c:v>
                </c:pt>
                <c:pt idx="43">
                  <c:v>44019</c:v>
                </c:pt>
                <c:pt idx="44">
                  <c:v>44020</c:v>
                </c:pt>
                <c:pt idx="45">
                  <c:v>44021</c:v>
                </c:pt>
                <c:pt idx="46">
                  <c:v>44022</c:v>
                </c:pt>
                <c:pt idx="47">
                  <c:v>44023</c:v>
                </c:pt>
                <c:pt idx="48">
                  <c:v>44024</c:v>
                </c:pt>
                <c:pt idx="49">
                  <c:v>44025</c:v>
                </c:pt>
              </c:numCache>
            </c:numRef>
          </c:cat>
          <c:val>
            <c:numRef>
              <c:f>Totales!$C$7:$AZ$7</c:f>
              <c:numCache>
                <c:formatCode>0.00%</c:formatCode>
                <c:ptCount val="50"/>
                <c:pt idx="0">
                  <c:v>1</c:v>
                </c:pt>
                <c:pt idx="1">
                  <c:v>0.75</c:v>
                </c:pt>
                <c:pt idx="2">
                  <c:v>1</c:v>
                </c:pt>
                <c:pt idx="3">
                  <c:v>1</c:v>
                </c:pt>
                <c:pt idx="4">
                  <c:v>0.66659999999999997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5-45BC-8EF0-2712CBC81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108816"/>
        <c:axId val="424109208"/>
      </c:lineChart>
      <c:dateAx>
        <c:axId val="424108816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9208"/>
        <c:crosses val="autoZero"/>
        <c:auto val="1"/>
        <c:lblOffset val="100"/>
        <c:baseTimeUnit val="days"/>
      </c:dateAx>
      <c:valAx>
        <c:axId val="424109208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0</xdr:rowOff>
    </xdr:from>
    <xdr:to>
      <xdr:col>9</xdr:col>
      <xdr:colOff>19049</xdr:colOff>
      <xdr:row>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609598</xdr:colOff>
      <xdr:row>3</xdr:row>
      <xdr:rowOff>128587</xdr:rowOff>
    </xdr:from>
    <xdr:to>
      <xdr:col>19</xdr:col>
      <xdr:colOff>200024</xdr:colOff>
      <xdr:row>3</xdr:row>
      <xdr:rowOff>2871787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609599</xdr:colOff>
      <xdr:row>8</xdr:row>
      <xdr:rowOff>90487</xdr:rowOff>
    </xdr:from>
    <xdr:to>
      <xdr:col>19</xdr:col>
      <xdr:colOff>247650</xdr:colOff>
      <xdr:row>27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  <a:ext uri="{147F2762-F138-4A5C-976F-8EAC2B608ADB}">
              <a16:predDERef xmlns:a16="http://schemas.microsoft.com/office/drawing/2014/main" pre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rillo Mariano" id="{754BCC30-D4E2-4AC8-87E2-E6BA731E072D}" userId="S::x424149@santanderglobaltech.com::bc092c67-c2fd-4ddc-93ac-804f433adc72" providerId="AD"/>
  <person displayName="Muñoz Valle Adrian" id="{4364335B-4393-4351-A8C9-4C0398427C2E}" userId="S::x743472@santanderglobaltech.com::793f26f2-85b9-4385-87c8-83ed6a415fe9" providerId="AD"/>
  <person displayName="Sape Dolor Kristina" id="{640B5FAF-DFBB-4860-A6F1-E6E9098AEB2E}" userId="S::x757832@santanderglobaltech.com::9394378e-7cb2-407f-b890-7e14ae9d513f" providerId="AD"/>
  <person displayName="Hinojosa Alonso Victor" id="{800D18CE-5F2C-4412-AFB5-5EC8C6D5809C}" userId="S::x811072@santanderglobaltech.com::4a3a34e6-ae55-44f7-83d1-ef89f92d0ce9" providerId="AD"/>
  <person displayName="Ruiz Diez Oscar" id="{50AF8A06-3E31-4F72-BCF6-BB3510625F9B}" userId="S::x891361@santanderglobaltech.com::79a121cf-e59f-4595-b1df-5fc20a79e9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5-01-08T08:19:02.42" personId="{50AF8A06-3E31-4F72-BCF6-BB3510625F9B}" id="{C5929C06-3945-4A1B-BD6D-4A70C0048415}">
    <text>Aperture Incident // GSNET Data // DR Chile // ASWREPCDLV_ASWREPCLCPQS // Down // INC050106117 (P5) - Impact: NO</text>
  </threadedComment>
  <threadedComment ref="J16" dT="2025-01-10T06:23:21.14" personId="{50AF8A06-3E31-4F72-BCF6-BB3510625F9B}" id="{F5DCE12E-26AC-4822-BF72-5A65F40FD40B}">
    <text>Aperture Incident // GSNET Campus // Tena // ESTJCS11 // Down // INC050174848 (P5) - Impact: Pending
Aperture Incident // GSNET Campus // Tena // ESTJCS03 // Down // INC050174776 (P5) - Impact: N/A
Aperture Incident // GSNET Campus // Tena // ERTJRG01 // Down // INC050174454 (P5) - Impact: Pending
Aperture Incident // GSNET Campus // Tena // ERTJRG11 // Down // INC050174450 (P5) - Impact: N/A</text>
  </threadedComment>
  <threadedComment ref="L16" dT="2025-01-13T07:49:39.29" personId="{50AF8A06-3E31-4F72-BCF6-BB3510625F9B}" id="{221FB526-B324-40EC-A373-4241ED9DA646}">
    <text>Aperture Incident // GSNET Data // DR Mexico // DSWDRTX2_DSWIXCS01 // Up // Saturation // INC050254580 (P5) - Impact: Pending
Aperture Incident // GSNET International // Office CIB - Singapore // SDWGS-SGP-SGP-CIB-EDG-02 // Down // INC050252262 (P5) - Impact: NO
Aperture Incident // GSNET International // Office CIB - Singapore // SDWGS-SGP-SGP-CIB-EDG-01 // Down // INC050252264 (P5) - Impact: NO</text>
  </threadedComment>
  <threadedComment ref="U16" dT="2025-01-21T07:22:10.61" personId="{50AF8A06-3E31-4F72-BCF6-BB3510625F9B}" id="{365EC9A8-BF72-4379-AEA0-E3C22CD5463C}">
    <text>Aperture Incident // GSNET International // Office SCF - Paris // BSAN-FRA-PAR-MW-U-000022 // Up // Latency // INC050526597 (P5) - Impact: NO</text>
  </threadedComment>
  <threadedComment ref="V16" dT="2025-01-22T08:24:12.94" personId="{50AF8A06-3E31-4F72-BCF6-BB3510625F9B}" id="{40E9B849-A1D8-4314-93CA-DF9454A026DF}">
    <text>Aperture Incident // GSNET International // IX Spain // ASWIXBE01_ASWIXCS01_BT // Down // INC050569901 (P5) - Impact: Pending
Aperture Incident // GSNET Campus // Abelias // CEABELIAS2 to VCIXCN1_NEW // Up // INC050560758 (P5) - Impact: Pending</text>
  </threadedComment>
  <threadedComment ref="W16" dT="2025-01-23T07:21:20.16" personId="{50AF8A06-3E31-4F72-BCF6-BB3510625F9B}" id="{AAB90E90-54B8-4B71-A1BA-29D620E047F9}">
    <text>Aperture Incident // GSNET International // Office CIB - Singapore_BK // BSAN-SGP-SGP-MW-U-000127 // Up // Latency // INC050554465 (P5) - Impact: 0
Aperture Incident // GSNET International // Argentina - Antequera // BSAN-ARG-BUE-MW-U-000001 // Up // Latency // INC050557886 (P5) - Impact: Pending</text>
  </threadedComment>
  <threadedComment ref="X16" dT="2025-01-24T07:28:04.16" personId="{50AF8A06-3E31-4F72-BCF6-BB3510625F9B}" id="{DA95D46D-69EA-4C18-9DA9-A68C84C26A6D}">
    <text>Aperture Incident // GSNET Data // DR Mexico // DSWDRTX2_DSWIXCS01 // Up // INC050596612 (P5) - Impact: Pending</text>
  </threadedComment>
  <threadedComment ref="Y16" dT="2025-01-27T07:07:01.86" personId="{50AF8A06-3E31-4F72-BCF6-BB3510625F9B}" id="{F35B4E33-4527-4C51-8895-293FAE3C5C78}">
    <text>Aperture Incident // GSNET International // Office PCN - Luca de Tena // BSAN-ESP-MAD-MW-U-000081 // Up // Latency // INC050673884 (P5) - Impact: NO
Aperture Incident // GSNET Campus // SANTA BARBARA // CESB1 to VCIXCN1_NEW // Down // INC050672027 (P5) - Impact: YES
Aperture Incident // GSNET Campus // JOSEFA VALCARCEL 34-36 // CEJOSEFA2 // Up // Flaps // INC050672061 (P5) - Impact: Pending
Aperture Incident // GSNET Data // DR Mexico // DSWDRTX2_DSWIXCS01 // Up // Saturation // INC050661648 (P5) - Impact: NO</text>
  </threadedComment>
  <threadedComment ref="AA16" dT="2025-01-27T07:06:56.92" personId="{50AF8A06-3E31-4F72-BCF6-BB3510625F9B}" id="{9BBD8096-FAFB-4DFE-A39D-4E4285B477C1}">
    <text>Aperture Incident // GSNET Data // DR Chile // ASWREPCLCPQS_DISDRBCEBO2 // Up // INC050728407 (P5) - Impact: Pending
Aperture Incident // GSNET International // Colombia BSN - Triara // SDWGS-COL-COT-COO-EDG-01 // Up // Discards // INC050727745 (P5) - Impact: Pending</text>
  </threadedComment>
  <threadedComment ref="AB16" dT="2025-01-28T07:35:26.60" personId="{50AF8A06-3E31-4F72-BCF6-BB3510625F9B}" id="{E972324F-90AF-4C8B-9BD9-4AA09E17752F}">
    <text>Aperture Incident // GSNET International // Office CIB - Milano // SDWGS-ITA-MIL-CIB-EDG-04 // Down // INC050751921 (P5) - Impact: NO</text>
  </threadedComment>
  <threadedComment ref="AE16" dT="2025-02-03T07:19:25.18" personId="{50AF8A06-3E31-4F72-BCF6-BB3510625F9B}" id="{789DA1D3-08A1-46B1-947D-163FD0F38378}">
    <text>Aperture Incident // GSNET International // Office BPI - Geneva // BSAN-CHE-GVA-MW-U-000006 // Up // Latency // INC050867150 (P5) - Impact: NO</text>
  </threadedComment>
  <threadedComment ref="AF16" dT="2025-02-03T07:18:48.77" personId="{50AF8A06-3E31-4F72-BCF6-BB3510625F9B}" id="{83B61022-8F03-4242-BF71-F8C897D1733F}">
    <text>Aperture Incident // GSNET International // Corp. DC - Boadilla Oeste // BSAN-ESP-BOO-MW-M-000016 // Up // INC050899310 (P5) - Impact: Pending
Aperture Incident // GSNET International // Corp. DC - Cantabria Norte // BSAN-ESP-SCN-MW-B-000020 // Up // INC050900641 (P5) - Impact: NO
Aperture Incident // GSNET International // Corp. DC - Boadilla Este // BSAN-ESP-BOE-MW-M-000015 // Up // INC050900231 (P5) - Impact: N
Aperture Incident // GSNET International // Colombia BSN - Triara // BSAN-COL-COT-MW-U-000083 // Up // Latency // INC050903597 (P5) - Impact: Pending
Aperture Incident // GSNET Internet // AS Spain // RTSAME01 // Up // INC050904989 (P5) - Impact: NO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6" dT="2025-02-03T07:26:19.54" personId="{50AF8A06-3E31-4F72-BCF6-BB3510625F9B}" id="{DF161A35-82FA-4F38-BF27-E28C0A0180D3}">
    <text>Aperture Incident // GSNET Internacional  // Corp. DC - Chile Apoquindo // SDWGS-CHL-APO-COD-EDG-01 // Down // INC050952212 (P5) - Impact: NO</text>
  </threadedComment>
  <threadedComment ref="C16" dT="2025-02-03T07:25:57.60" personId="{50AF8A06-3E31-4F72-BCF6-BB3510625F9B}" id="{3F8473C2-2977-47DB-9AB0-5192137CEEFA}">
    <text>Aperture Incident // GSNET Campus // JOSEFA VALCARCEL 34-36 // CEJOSEFA2 to VCIXCN1_NEW // Down // INC050966598 (P5) - Impact: N/A</text>
  </threadedComment>
  <threadedComment ref="K16" dT="2025-02-11T07:56:25.00" personId="{50AF8A06-3E31-4F72-BCF6-BB3510625F9B}" id="{8AEAF76C-7994-4415-B0C9-81A4C87B3F3D}">
    <text>Aperture Incident // GSNET International // URY - Pocitos // SDWGS-URY-POC-COO-EDG-02 // Up // INC051231111 (P5) - Impact: Pending</text>
  </threadedComment>
  <threadedComment ref="U16" dT="2025-02-21T08:23:07.22" personId="{50AF8A06-3E31-4F72-BCF6-BB3510625F9B}" id="{0FE3CB2E-EFCC-4E86-953C-EF3978C75665}">
    <text>Aperture Incident // GSNET Campus // PARIS // ASWPPARD01, ASWPPARD02, ASWPPARD03, ASWPPARD04, ASWPPARD05 // Down // INC051597949 (P5) - Impact: N/A
Aperture Incident // GSNET International // Office SCF - Paris // SDWGS-FRA-PAR-SCF-EDG-01 // Down // INC051597620 (P5) - Impact: NO
Aperture Incident // GSNET International // Office SCF - Paris // SDWGS-FRA-PAR-SCF-EDG-02 // Down // INC051597612 (P5) - Impact: NO
Aperture Incident // GSNET International // Office SCF - Paris // SDWGS-FRA-PAR-SCF-EDG-01 // Down // INC051599005 (P5) - Impact: YES
Aperture Incident // GSNET International // Office SCF - Paris // SDWGS-FRA-PAR-SCF-EDG-02 // Down // INC051599016 (P5) - Impact: YES
Aperture Incident // GSNET International // Corp. DC – Carlton Park DC1 // BSAN-GBR-LC1-MW-B-000051 // Down // INC051597950 (P5) - Impact: NO
Aperture Incident // GSNET Data // DR Mexico // DSWDRTX1_DSWIXCN01 // Up // Saturation // INC051630739 (P5) - Impact: NO</text>
  </threadedComment>
  <threadedComment ref="V16" dT="2025-02-24T07:13:17.56" personId="{50AF8A06-3E31-4F72-BCF6-BB3510625F9B}" id="{BFA64F15-EA76-4F41-8DC2-7C3563D45FD4}">
    <text>Aperture Incident // GSNET Campus // Tena // CRTCSEA1 // Up // INC051642375 (P5) - Impact: N/A</text>
  </threadedComment>
  <threadedComment ref="W16" dT="2025-02-24T07:10:13.42" personId="{50AF8A06-3E31-4F72-BCF6-BB3510625F9B}" id="{34FD1C67-0D49-431A-8270-680BA4BDB6AE}">
    <text>Aperture Incident // GSNET Data // DR Mexico // DISDRQRTCN2 // Down // INC051690146 (P5) - Impact: NO</text>
  </threadedComment>
  <threadedComment ref="Y16" dT="2025-02-25T07:07:18.66" personId="{50AF8A06-3E31-4F72-BCF6-BB3510625F9B}" id="{D5F8C307-B1B3-45A4-8CD8-86B68ACA86CE}">
    <text>Aperture Incident // GSNET Cloud // Azure Amsterdam 2 // SDWGS-NLD-AMS2-AZU-EDG-02 // Up // INC051777222 (P5) - Impact: NO</text>
  </threadedComment>
  <threadedComment ref="AC16" dT="2025-03-03T06:04:23.55" personId="{754BCC30-D4E2-4AC8-87E2-E6BA731E072D}" id="{D51DB944-1373-4E91-9CAF-02C718514223}">
    <text>Aperture Incident // GSNET International // Corp. DC - Cantabria Norte // BSAN-ESP-SCN-MW-M-000020 // Up // Flaps // INC051917365 (P5) - Impact: NO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6" dT="2025-03-06T10:52:57.35" personId="{754BCC30-D4E2-4AC8-87E2-E6BA731E072D}" id="{EDFA26D8-B028-4102-8705-9964D4D19E25}">
    <text>Aperture Incident // GSNET Campus // SCF_46 Cartagena // sancfs-scf46-rt1 // Down // INC052072399 (P5) - Impact: N/A
Aperture Incident // GSNET Campus // SCF_43 Albacete // sancfs-scf43-rt1 // Down // INC052071312 (P5) - Impact: N/A
Aperture Incident // GSNET International // Corp. DC - CDLV Chile // BSAN-CHI-SCL-MW-M-000072 // Up // Latency // INC052105591 (P5) - Impact: NO</text>
  </threadedComment>
  <threadedComment ref="G16" dT="2025-03-07T10:57:11.45" personId="{754BCC30-D4E2-4AC8-87E2-E6BA731E072D}" id="{F584C864-CEA1-4164-8BE5-5C4F43641748}">
    <text>Aperture Incident // GSNET International // CNF // SDWGS-ESP-BOABE-CNF-EDG-01 // Up // INC052114897 (P5) - Impact: NO</text>
  </threadedComment>
  <threadedComment ref="H16" dT="2025-03-10T08:06:21.75" personId="{50AF8A06-3E31-4F72-BCF6-BB3510625F9B}" id="{8FB0566F-7CA8-4008-AC22-CC07FFFC2EA2}">
    <text>Aperture Incident // GSNET Data // DR Chile // ASWREPCLCPQN_DISDRBCECN2 // Down // INC052160522 (P5) - Impact: NO
Aperture Incident // GSNET Data // DR Chile // ASWREPCLCPQS_DISDRBCEBO2 // Down // INC052164480 (P5) - Impact: NO</text>
  </threadedComment>
  <threadedComment ref="N16" dT="2025-03-14T07:42:45.11" personId="{50AF8A06-3E31-4F72-BCF6-BB3510625F9B}" id="{65B8E54B-D96D-43CA-B503-116411C20A20}">
    <text>Aperture Incident // GSNET International // Argentina - Antequera // SDWGS-ARG-BUEANT-COO-EDG-01 // Down // INC052380790 (P5) - Impact: Pending
Aperture Incident // GSNET International // Argentina - Juan Garay // SDWGS-ARG-BUEGAR-COO-EDG-01 // Down // INC052380792 (P5) - Impact: NO</text>
  </threadedComment>
  <threadedComment ref="S16" dT="2025-03-19T08:37:21.45" personId="{50AF8A06-3E31-4F72-BCF6-BB3510625F9B}" id="{868A9057-CB32-4DF9-97CD-EB6687A83F1C}">
    <text>Aperture Incident // GSNET International // Corp. DC - Chile Apoquindo // SDWGS-NLD-AMS2-AZU-EDG-01 // Up // INC052578511 (P5) - Impact: NO
Aperture Incident // GSNET Internet // AS Spain // RTSACS01 // Up // INC052554427 (P5) - Impact: NO
Aperture Incident // GSNET Campus // CGS // VCIXBE1_NEW // Up // INC052551809 (P5) - Impact: YES</text>
  </threadedComment>
  <threadedComment ref="T16" dT="2025-03-20T08:58:55.39" personId="{50AF8A06-3E31-4F72-BCF6-BB3510625F9B}" id="{FEADCADB-79EA-4766-9BFC-E01BA101D8C5}">
    <text>Aperture Incident // GSNET International // Colombia BSN - Triara // SDWGS-COL-COT-COO-EDG-01 // Up // Saturation // INC052623290 (P5) - Impact: NO
Aperture Incident // GSNET Data // DR Chile // ASWREPCLCPQS_DISDRBCEBO2 // Down // INC052616360 (P5) - Impact: Pending
Aperture Incident // GSNET Campus // CTC // VCIXCN1_NEW to CEABELIAS2 // Up // INC052601319 (P5) - Impact: NO
Aperture Incident // GSNET Campus // CTC // VCIXCN1_NEW to CEJOSEFA2 // Up // INC052601318 (P5) - Impact: NO
Aperture Incident // GSNET Campus // CTC // VCIXCN1_NEW to CESB1 // Up // INC052601331 (P5) - Impact: NO</text>
  </threadedComment>
  <threadedComment ref="X16" dT="2025-03-24T07:45:03.23" personId="{50AF8A06-3E31-4F72-BCF6-BB3510625F9B}" id="{CC78554C-AFDB-4F52-B2C1-1CA17AAF99BF}">
    <text>Aperture Incident // GSNET International // Colombia BSN - Triara // SDWGS-COL-COT-COO-EDG-01 // Up // Discards // INC052714846 (P5) - Impact: NO</text>
  </threadedComment>
  <threadedComment ref="Z16" dT="2025-03-26T11:00:42.87" personId="{50AF8A06-3E31-4F72-BCF6-BB3510625F9B}" id="{4C203407-987F-431A-87AA-4C059770C0EC}">
    <text>Aperture Incident // GSNET Cloud // AWS Dublin // SDWGS-IRL-DUB-AWS-EDG-01 // Up // Discards // INC052818922 (P5) - Impact: NO</text>
  </threadedComment>
  <threadedComment ref="AB16" dT="2025-03-28T09:45:35.71" personId="{754BCC30-D4E2-4AC8-87E2-E6BA731E072D}" id="{7000D1D2-DED0-4741-B32D-CE00269DE8F0}">
    <text>Aperture Incident // GSNET International // IX Spain // ASWIXBO01 // Down // INC052911076 (P5) - Impact: NO
Aperture Incident // GSNET International // Corp. DC - Querétaro CTOS2 // BSAN-MEX-CT2-MW-M-000037 // Up // HSRP // INC052913627 (P5) - Impact: NO</text>
  </threadedComment>
  <threadedComment ref="AD16" dT="2025-03-31T06:54:47.56" personId="{50AF8A06-3E31-4F72-BCF6-BB3510625F9B}" id="{ACB87D4D-5BD6-4194-B66F-E2755D71FFD2}">
    <text>Aperture Incident // GSNET Cloud // Azure Amsterdam // SDWGS-NLD-AMS-AZU-EDG-01 - Santander // Up // INC052988117 (P5) - Impact: Pending
Aperture Incident // GSNET Cloud // Azure Amsterdam // SDWGS-NLD-AMS-AZU-EDG-02 // Up // INC052989064 (P5) - Impact: Pending
Aperture Incident // GSNET Cloud // Azure Amsterdam 2 // SDWGS-NLD-AMS2-AZU-EDG-02 - CTO // Down // INC052988313 (P5) - Impact: Pending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6" dT="2025-04-04T07:51:54.34" personId="{754BCC30-D4E2-4AC8-87E2-E6BA731E072D}" id="{96B04B74-452D-4A27-A9A0-026EB77451B7}">
    <text xml:space="preserve">Aperture Incident // GSNET International // Corp. DC - Cantabria Sur // BSAN-ESP-SCS-MW-M-000021 // Up // Latency // INC053152470 (P5) - Impact: NO
Aperture Incident // GSNET Data // DR Chile // RTREPCLCPQS // Down // INC053164987 (P5) - Impact: NO
</text>
  </threadedComment>
  <threadedComment ref="E16" dT="2025-04-07T05:21:15.85" personId="{754BCC30-D4E2-4AC8-87E2-E6BA731E072D}" id="{6632B600-DC7A-4A6D-9953-049FE1522C73}">
    <text>Aperture Incident // GSNET Data // DR Mexico // DSWDRTX2_DSWIXCS01 // Down // INC053174753 (P5) - Impact: NO</text>
  </threadedComment>
  <threadedComment ref="K16" dT="2025-04-11T11:38:29.77" personId="{754BCC30-D4E2-4AC8-87E2-E6BA731E072D}" id="{C5936D9E-C549-4A6D-95B7-02FEB3817A07}">
    <text xml:space="preserve">Aperture Incident // GSNET Data // DR Chile // ASWREPCLCPQS_DISDRBCEBO2 // Down // INC053389525 (P5) - Impact: NO
Aperture Incident // GSNET Campus // SCF_46 Cartagena // sancfs-scf46-rt1 // Up // INC053400831 (P5) - Impact: NO
</text>
  </threadedComment>
  <threadedComment ref="O16" dT="2025-04-15T10:25:32.11" personId="{754BCC30-D4E2-4AC8-87E2-E6BA731E072D}" id="{C3AED126-11B0-4A62-BBE5-8FCA19A208EB}">
    <text>Aperture Incident // GSNET International // Colombia BSN - Triara // BSAN-COL-COT-MW-U-000083 // Up // Discards // INC053552697 (P5) - Impact: NO
Aperture Incident // GSNET Campus // Tena // ERTJRG11 // Down // INC053546048 (P5) - Impact: N/A</text>
  </threadedComment>
  <threadedComment ref="P16" dT="2025-04-16T08:57:53.37" personId="{754BCC30-D4E2-4AC8-87E2-E6BA731E072D}" id="{3B80B406-AA46-4A23-959C-8FFB56F2D6ED}">
    <text xml:space="preserve">Aperture Incident // GSNET Campus // JOSEFA VALCARCEL 34-36 // CEJOSEFA1 to VCIXCN1_NEW // Up // INC053585155 (P5) - Impact: NO </text>
  </threadedComment>
  <threadedComment ref="Q16" dT="2025-04-21T10:14:38.33" personId="{754BCC30-D4E2-4AC8-87E2-E6BA731E072D}" id="{88400520-D986-4A5B-BBFF-AD32D6B2DCCA}">
    <text>Aperture Incident // GSNET International // SCF - DEU - Frankfurt // SDWGS-DEU-FRA-COD-EDG-01 // Up // Saturation // INC053635589 (P5) - Impact: NO</text>
  </threadedComment>
  <threadedComment ref="R16" dT="2025-04-21T10:32:44.82" personId="{754BCC30-D4E2-4AC8-87E2-E6BA731E072D}" id="{0511D47C-8FBF-4AA8-A0E2-BF108625D96F}">
    <text>Aperture Incident // GSNET Cloud // Azure Washington (Virginia) // SDWGS-USA-VIR-AZU-EDG-01 - Chile // Up // Discards // INC053612302 (P5) - Impact: NO</text>
  </threadedComment>
  <threadedComment ref="W16" dT="2025-04-23T10:36:34.84" personId="{754BCC30-D4E2-4AC8-87E2-E6BA731E072D}" id="{3FA08E1E-F147-498B-AF82-E8AD580E545F}">
    <text>Aperture Incident // GSNET International // Bahamas- Nassau // SDWGS-BHS-NAS-COO-EDG-02 // Down // INC053817111 (P5) - Impact: Pending
Aperture Incident // GSNET Data // DR Mexico // DSWDRTX2_DSWIXCS01 // Down // INC053815417 (P5) - Impact: Pending</text>
  </threadedComment>
  <threadedComment ref="X16" dT="2025-04-24T10:54:35.43" personId="{754BCC30-D4E2-4AC8-87E2-E6BA731E072D}" id="{13A40DA1-D7F4-464B-A58D-FF374FD916FF}">
    <text>Aperture Incident // GSNET Internet // AS Spain // RTSACN01 // Down // INC053846078 (P5) - Impact: NO</text>
  </threadedComment>
  <threadedComment ref="AC16" dT="2025-04-30T13:10:34.48" personId="{754BCC30-D4E2-4AC8-87E2-E6BA731E072D}" id="{8F4F4F42-6654-4322-B6FC-80276A707597}">
    <text>Día afectado por masiva de corte eléctrico en Europa</text>
  </threadedComment>
  <threadedComment ref="AD16" dT="2025-04-30T13:10:34.48" personId="{754BCC30-D4E2-4AC8-87E2-E6BA731E072D}" id="{68011815-17E9-4DC6-BE78-99EFB07F242C}">
    <text>Día afectado por masiva de corte eléctrico en Europa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6" dT="2025-05-08T10:46:27.93" personId="{4364335B-4393-4351-A8C9-4C0398427C2E}" id="{0AA50879-2ACD-4B52-92B3-2EDB0113C3E6}">
    <text>Aperture Incident // GSNET International // Corp. DC - Boadilla Este // BSAN-ESP-BOE-MW-B-000015 // Down // INC054264340 (P5) - Impact: NO</text>
  </threadedComment>
  <threadedComment ref="K16" dT="2025-05-12T09:13:48.18" personId="{754BCC30-D4E2-4AC8-87E2-E6BA731E072D}" id="{A8C7A6C3-0CB3-4C84-AB84-80A0E53678C8}">
    <text>Aperture Incident // GSNET International // Poland - Jawczyce // BSAN-POL-JWY-MW-U-000101 // Up // INC054423593 (P5) - Impact: NO</text>
  </threadedComment>
  <threadedComment ref="R16" dT="2025-05-19T12:43:08.32" personId="{4364335B-4393-4351-A8C9-4C0398427C2E}" id="{0863F643-8475-4455-9F5C-4C6328DD5B15}">
    <text>Aperture Incident // GSNET Data // DR Mexico // DSWDRTX2_DSWIXCS01 // Down // INC054662408 (P5) - Impact: YES -  Fuera de KCI</text>
  </threadedComment>
  <threadedComment ref="T16" dT="2025-05-20T09:16:14.34" personId="{4364335B-4393-4351-A8C9-4C0398427C2E}" id="{0414A712-0C57-4121-9055-B0E15918D899}">
    <text>Aperture Incident // GSNET International // SCF - FRA - Paris // BSAN-FRA-PAR-MW-U-000022 // Up // Latency // INC054719924 (P5) - Impact: NO ///// Aperture Incident // GSNET Campus // Abelias // CSAAUSD1 // Down // Device Down // INC054728093 (P5) - Impact: NO</text>
  </threadedComment>
  <threadedComment ref="AA16" dT="2025-05-27T07:28:59.89" personId="{754BCC30-D4E2-4AC8-87E2-E6BA731E072D}" id="{81E323E0-C916-40D0-BF96-A248936403C2}">
    <text xml:space="preserve">Aperture Incident // GSNET Campus // Abelias // CEABELIAS2 to VCIXCN1_NEW // Up // Flaps // INC054951829 (P5) - Impact: NO
Aperture Incident // GSNET Campus // SANTA BARBARA // CESB1 to VCIXCN1_NEW // Up // Flaps // INC054955249 (P5) - Impact: NO
</text>
  </threadedComment>
  <threadedComment ref="AC16" dT="2025-05-30T09:40:10.17" personId="{754BCC30-D4E2-4AC8-87E2-E6BA731E072D}" id="{25E72663-5652-477D-9EC9-89AE33097D1D}">
    <text xml:space="preserve">Aperture Incident // GSNET Cloud // AWS Virginia - Arg // SANGS-AWS02-VIRARG-US - AWS Virginia - Arg // Down // INC055021105 (P5) - Impact: NO
</text>
  </threadedComment>
  <threadedComment ref="AE16" dT="2025-06-02T08:43:13.56" personId="{4364335B-4393-4351-A8C9-4C0398427C2E}" id="{9A51E7AE-0A48-44B7-81EC-DCAABDB77E45}">
    <text>Aperture Incident // GSNET Cloud // AWS Dublin // SDWGS-IRL-DUB-AWS-EDG-01 - Wealth // Up // Discards // INC055076992 (P5) - Impact: NO</text>
  </threadedComment>
  <threadedComment ref="AF16" dT="2025-06-02T08:43:38.11" personId="{4364335B-4393-4351-A8C9-4C0398427C2E}" id="{32D5BAC8-92CB-44D5-BF13-DF1280827991}">
    <text>Aperture Incident // GSNET Data // DR Chile // ASWREPCLCPQN_DISDRBCECN2 // Down // INC055109977 (P5) - Impact: NO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16" dT="2025-06-09T11:59:47.72" personId="{4364335B-4393-4351-A8C9-4C0398427C2E}" id="{354266BD-92EA-4090-9D40-75E49EA0DCFD}">
    <text xml:space="preserve">Aperture Incident // GSNET Campus // JOSEFA VALCARCEL 34-36 // CEJOSEFA2 // Down // INC055308985 (P5) - Impact: YES
Aperture Incident // GSNET Campus // Salia // CECESC1 to VCIXCN1_NEW // Down // INC055309178 (P5) - Impact: YES
Aperture Incident // GSNET Campus // SANTA BARBARA // CESB1 to VCIXCN1_NEW // Down // INC055309144 (P5) - Impact: YES
Aperture Incident // GSNET Campus // Abelias // CEABELIAS2 to VCIXCN1_NEW // Down // INC055308971 (P5) - Impact: YES
Aperture Incident // GSNET International // IX Spain // ASWIXBO01_ASWIXCN01_TLF // Down // INC055308974 (P5) - Impact: YES
Aperture Incident // GSNET Internet // AS Spain // RTSACN01 // Down // INC055308959 (P5) - Impact: YES
Aperture Incident // GSNET Data // DR Chile // ASWREPCLCPQN_DISDRBCECN2 // Down // INC055308965 (P5) - Impact: YES
Aperture Incident // GSNET Cloud // Azure Washington (Virginia) // SDWGS-USA-VIR-AZU-EDG-02 - - // Down // INC055309609 (P5) - Impact: NO
Aperture Incident // GSNET Cloud // Azure Washington (Virginia) // SDWGS-USA-VIR-AZU-EDG-01 // Down // INC055310144 (P5) - Impact: NO
</text>
  </threadedComment>
  <threadedComment ref="H16" dT="2025-06-10T14:31:00.53" personId="{4364335B-4393-4351-A8C9-4C0398427C2E}" id="{08FB50EB-77F3-4959-94C1-BD08C51F740B}">
    <text xml:space="preserve">Aperture Incident // GSNET Cloud // Azure Amsterdam // SDWGS-NLD-AMS-AZU-EDG-01 - Multiple Entities // Down // Accelerated Networking // INC055306573 (P5) - Impact: NO
</text>
  </threadedComment>
  <threadedComment ref="L16" dT="2025-06-13T07:56:16.60" personId="{4364335B-4393-4351-A8C9-4C0398427C2E}" id="{1E035C87-5089-452E-A5A5-A9B910BF278E}">
    <text>Aperture Incident // GSNET Internet // AS Spain // RTSABO01 // Down // INC055516911 (P5) - Impact: NO
Aperture Incident // Campus Conectivity // JOSEFA VALCARCEL 34-36 // CEJOSEFA1 to VCIXCN1_NEW // Down // INC055516926 (P5) - Impact: YES
Aperture Incident // Campus Conectivity // Abelias // CEABELIAS1 to VCIXBE1_NEW // Down // INC055517023 (P5) - Impact: YES
Aperture Incident // GSNET International // IX Spain // ASWIXBO01_ASWIXCN01_BT // Up // INC055524968 (P5) - Impact: YES
Aperture Incident // GSNET International // Bahamas- Nassau // SDWGS-BHS-NAS-COO-EDG-01 // Down // INC055543064 (P5) - Impact: NO
Aperture Incident // GSNET Cloud // Azure Amsterdam // SDWGS-NLD-AMS-AZU-EDG-01 - Chile // Up // Saturation // INC055544643 (P5) - Impact: NO</text>
  </threadedComment>
  <threadedComment ref="M16" dT="2025-06-13T07:56:27.41" personId="{4364335B-4393-4351-A8C9-4C0398427C2E}" id="{8B5D51FE-533C-43B5-B6F9-41C256F6FC0D}">
    <text>Aperture Incident // GSNET Cloud // Azure Amsterdam 2 // SDWGS-NLD-AMS2-AZU-EDG-02 - Tu100008 // Up // Outbound Utilization // INC055560888 (P5) - Impact: NO</text>
  </threadedComment>
  <threadedComment ref="AE16" dT="2025-07-01T09:40:57.17" personId="{754BCC30-D4E2-4AC8-87E2-E6BA731E072D}" id="{2C216F97-2259-4525-84DB-C02BE3E45FAE}">
    <text>Aperture Incident Incident // Campus Conectivity // Salia // CECESC1 // Down // INC056156642 (P5) - Impact: Pending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D16" dT="2025-07-30T10:23:13.62" personId="{640B5FAF-DFBB-4860-A6F1-E6E9098AEB2E}" id="{A3816159-3E9E-4F77-B9A8-1A98F4C2684F}">
    <text>Aperture Incident // Campus Conectivity // Abelias // CEABELIAS2 to VCIXCN1_NEW // Down // INC057065557 (P5) - Impact: Pending
Aperture Incident // GSNET International // Corp. DC - Cantabria Norte // BSAN-ESP-SCN-MW-M-000020 // Down // INC057066020 (P5) - Impact: NO
Aperture Incident // GSNET Internet // AS Spain // RTSACN01 // Down // INC057065391 (P5) - Impact: YES
Aperture Incident // Campus Conectivity // JOSEFA VALCARCEL 34-36 // CEJOSEFA2 // Down // INC057065354 (P5) - Impact: Pending</text>
  </threadedComment>
  <threadedComment ref="AF16" dT="2025-07-30T10:23:13.62" personId="{640B5FAF-DFBB-4860-A6F1-E6E9098AEB2E}" id="{0D17ABA7-BD7E-4EC8-96B4-8536F3C6D79D}">
    <text>Aperture Incident // Campus Conectivity // Abelias // CEABELIAS2 to VCIXCN1_NEW // Down // INC057065557 (P5) - Impact: Pending
Aperture Incident // GSNET International // Corp. DC - Cantabria Norte // BSAN-ESP-SCN-MW-M-000020 // Down // INC057066020 (P5) - Impact: NO
Aperture Incident // GSNET Internet // AS Spain // RTSACN01 // Down // INC057065391 (P5) - Impact: YES
Aperture Incident // Campus Conectivity // JOSEFA VALCARCEL 34-36 // CEJOSEFA2 // Down // INC057065354 (P5) - Impact: Pending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16" dT="2025-08-04T07:47:05.48" personId="{640B5FAF-DFBB-4860-A6F1-E6E9098AEB2E}" id="{9CC43179-A845-4F6C-998F-E0C8DA8A8CE6}">
    <text>Aperture Incident // GSNET International // USA - Richardson (TX) // BSAN-USA-RIN-MW-U-000059 - - // Up // Latency  // INC057169176 (P5) - Impact: NO</text>
  </threadedComment>
  <threadedComment ref="F16" dT="2025-08-06T10:31:33.62" personId="{640B5FAF-DFBB-4860-A6F1-E6E9098AEB2E}" id="{C5AF3565-E4EE-4325-8EAF-B021C242294E}">
    <text>Aperture Incident // GSNET Cloud // Azure Amsterdam // SDWGS-NLD-AMS-AZU-EDG-01 - Portugal // Up // Saturation // INC057276476 (P5) - Impact: NO</text>
  </threadedComment>
  <threadedComment ref="S16" dT="2025-08-22T11:53:28.61" personId="{640B5FAF-DFBB-4860-A6F1-E6E9098AEB2E}" id="{DEB91869-E754-4D83-A994-9BCA129771F8}">
    <text xml:space="preserve">Aperture Incident // GSNET International // Office SCF - Warsaw // BSAN-POL-WAW-MW-U-000129 // Up // Latency // INC057629196 (P5) - Impact: Pending
</text>
  </threadedComment>
  <threadedComment ref="T16" dT="2025-08-22T11:54:02.32" personId="{640B5FAF-DFBB-4860-A6F1-E6E9098AEB2E}" id="{191D6C26-C64A-4102-8927-D303AE8BD016}">
    <text xml:space="preserve">Aperture Incident // GSNET International // Colombia BSN - Triara // BSAN-COL-COT-MW-U-000083 // Up // Saturation // INC057701559 (P5) - Impact: Pending
</text>
  </threadedComment>
  <threadedComment ref="U16" dT="2025-08-22T11:52:20.09" personId="{640B5FAF-DFBB-4860-A6F1-E6E9098AEB2E}" id="{1E0C1CA7-990D-49AE-934B-24FC9988D283}">
    <text>Aperture Incident // GSNET Data // DR Mexico // DSWDRTX2_DSWIXCS01 // Down // INC057723860 (P5) - Impact: Pending</text>
  </threadedComment>
  <threadedComment ref="V16" dT="2025-08-22T11:52:57.98" personId="{640B5FAF-DFBB-4860-A6F1-E6E9098AEB2E}" id="{B10C4F2D-0A8E-4AD9-B7FA-4F7F8E56CFDB}">
    <text>Aperture Incident // GSNET Data // DR Chile // ASWREPCDLV_ASWREPCLCPQS // Down // INC057756391 (P5) - Impact: NO</text>
  </threadedComment>
  <threadedComment ref="X16" dT="2025-08-25T11:23:04.68" personId="{640B5FAF-DFBB-4860-A6F1-E6E9098AEB2E}" id="{6EA6B8F3-968A-4038-8F39-DD4D79A1D2EC}">
    <text>Aperture Incident // GSNET Cloud // Azure Amsterdam 2 // SDWGS-NLD-AMS2-AZU-EDG-02 - SDS - Tu100002 // Up // Saturation // INC057796113 (P5) - Impact: NO
Aperture Incident // GSNET Cloud // Azure Amsterdam 2 // SDWGS-NLD-AMS2-AZU-EDG-02 // Up // INC057823170 (P5) - Impact: Pending
Aperture Incident // GSNET Cloud // Azure Poland // SANGS-AZU02-POLAMS1-EU // Down // INC057823318 (P5) - Impact: Pending</text>
  </threadedComment>
  <threadedComment ref="AB16" dT="2025-08-29T10:03:16.61" personId="{640B5FAF-DFBB-4860-A6F1-E6E9098AEB2E}" id="{AD7802AF-3CB7-46CC-B7DA-A1BFAE49353D}">
    <text>Aperture Incident // GSNET Cloud // Azure Washington (Virginia) // SDWGS-USA-VIR-AZU-EDG-02 - Pagonxt -  // Up // INC057933349 (P5) - Impact: NO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16" dT="2025-09-05T10:45:50.71" personId="{640B5FAF-DFBB-4860-A6F1-E6E9098AEB2E}" id="{858A11DA-B431-417D-8262-2D3C2D6BDEFE}">
    <text>Aperture Incident // Campus Conectivity // CGS // RSBOAD31A // Up // INC058185990 (P5) - Impact: NO
Aperture Incident // GSNET Data // DR Mexico // DSWDRTX1_DSWIXCN01 // Down // INC058157061 (P5) - Impact: Pending
Aperture Incident // GSNET International // IX Spain // ASWIXBE01_ASWIXCS01_BT // Up // Flaps // INC058157102 (P5) - Impact: NO</text>
  </threadedComment>
  <threadedComment ref="F16" dT="2025-09-08T13:17:46.85" personId="{640B5FAF-DFBB-4860-A6F1-E6E9098AEB2E}" id="{D1EE9F62-3070-4DF6-A940-AEE29A5384B8}">
    <text>Aperture Incident // GSNET International // Corp. DC - Boadilla Este // BSAN-ESP-BOE-MW-M-000015 // Down // INC058194201 (P5) - Impact: Pending</text>
  </threadedComment>
  <threadedComment ref="J16" dT="2025-09-10T11:55:04.02" personId="{640B5FAF-DFBB-4860-A6F1-E6E9098AEB2E}" id="{C078DA61-1DC9-474B-854F-6398FBDF12EE}">
    <text>Aperture Incident // Branches Connectivity // SCF_36 Palma de Mallorca // sancfs-scf36-rt1 // Down // INC058311384 (P5) - Impact: Pending</text>
  </threadedComment>
  <threadedComment ref="O16" dT="2025-09-15T10:06:12.11" personId="{640B5FAF-DFBB-4860-A6F1-E6E9098AEB2E}" id="{604DCA9B-C296-4357-8680-901F067D309F}">
    <text>Aperture Incident // GSNET International // Colombia BSN - Triara // BSAN-COL-COT-MW-U-000083 // Down // INC058501114 (P5) - Impact: Pending</text>
  </threadedComment>
  <threadedComment ref="X16" dT="2025-09-24T11:23:09.55" personId="{640B5FAF-DFBB-4860-A6F1-E6E9098AEB2E}" id="{A55626F9-60A1-4796-8A6C-7055159A7F54}">
    <text>Aperture Incident // Campus Conectivity // Konecta // SKONECTA2 to VCIXCN1_NEW // Down // INC058775416 (P5) - Impact: Pending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C16" dT="2025-10-08T07:59:59.87" personId="{800D18CE-5F2C-4412-AFB5-5EC8C6D5809C}" id="{99C0FF69-8923-4B2F-9A74-7CBDF9AB395D}">
    <text>Aperture Incident // GSNET International // IX Spain // ASWIXBE01_ASWIXCS01_BT // Down // INC059098736 (P5) - Impact: No</text>
  </threadedComment>
  <threadedComment ref="G16" dT="2025-10-08T07:25:35.79" personId="{800D18CE-5F2C-4412-AFB5-5EC8C6D5809C}" id="{E8A8B7EE-1D84-4C5F-8C3D-3855217E6171}">
    <text>Aperture Incident // GSNET International // IX Spain // ASWIXBO01_ASWIXCN01_BT // Up // INC059209679 (P5) - Impact: NO
Aperture Incident // GSNET Internet // AS Spain // ASWSABO01 // Up // INC059232437 (P5) - Impact: Pending</text>
  </threadedComment>
  <threadedComment ref="K16" dT="2025-10-13T14:56:23.77" personId="{640B5FAF-DFBB-4860-A6F1-E6E9098AEB2E}" id="{4391DB2E-F319-485C-888D-000F5E5AFE29}">
    <text xml:space="preserve">Aperture Incident // GSNET Data // DR Mexico // DSWDRTX1_DSWIXCN01 // Down // INC059356810 (P5) - Impact: Pending
</text>
  </threadedComment>
  <threadedComment ref="P16" dT="2025-10-16T11:46:20.54" personId="{640B5FAF-DFBB-4860-A6F1-E6E9098AEB2E}" id="{6D8F9C5E-8F29-4D58-83B8-189396DE97BB}">
    <text>Aperture Incident // GSNET International // Uruguay - Pando // BSAN-URY-PDO-MW-U-000104 // Up // Latency // INC059499000 (P5) - Impact: Pending</text>
  </threadedComment>
  <threadedComment ref="Z16" dT="2025-10-27T16:45:21.85" personId="{640B5FAF-DFBB-4860-A6F1-E6E9098AEB2E}" id="{F61F4E71-A739-4873-811F-B0BFCA0C1551}">
    <text>Aperture Incident // GSNET Cloud // Azure Amsterdam // SDWGS-NLD-AMS-AZU-EDG-02 - Cyber - Tu1000014 // Up // INC059836438 (P5) - Impact: NO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16" dT="2025-11-03T16:00:09.33" personId="{4364335B-4393-4351-A8C9-4C0398427C2E}" id="{0B0396C9-5631-48CC-9431-17FE799A7988}">
    <text>Aperture Incident // GSNET International // Uruguay - Pando // SDWGS-URY-PAN-COO-EDG-02 // Up // INC060061708 (P5) - Impact: Pending</text>
  </threadedComment>
  <threadedComment ref="E16" dT="2025-11-11T09:23:18.78" personId="{4364335B-4393-4351-A8C9-4C0398427C2E}" id="{205493D0-DD22-4503-8D8F-B4C546515337}">
    <text xml:space="preserve">Aperture Incident // GSNET Cloud // AWS Dublin 2 // SDWGS-IRL-DUB2-AWS-EDG-01 - Global Cards - Tu100002 // Up // Saturation // INC060122852 (P5) - Impact: NO 04/11
</text>
  </threadedComment>
  <threadedComment ref="F16" dT="2025-12-02T11:25:15.69" personId="{640B5FAF-DFBB-4860-A6F1-E6E9098AEB2E}" id="{8C6F53E0-1CFC-4F1F-A0C7-8FA32AD972CB}">
    <text xml:space="preserve">Aperture Incident // Campus Conectivity // SANTA BARBARA // CESB1 to VCIXCN1_NEW  // Up // INC060180090 (P5) - Impact: NO
 </text>
  </threadedComment>
  <threadedComment ref="S16" dT="2025-11-19T11:14:06.95" personId="{800D18CE-5F2C-4412-AFB5-5EC8C6D5809C}" id="{4FA689B6-2659-4F42-A597-7F2F0B635DB9}">
    <text>Aperture Incident // Campus Conectivity // REMOTO TERCERO // rsecuritas1 // Up // INC060572259 (P5) - Impact: NO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C16" dT="2025-12-03T11:39:13.87" personId="{4364335B-4393-4351-A8C9-4C0398427C2E}" id="{A34021F6-F45F-41CC-AD82-4D4857DA5F61}">
    <text>Aperture Incident // Campus Conectivity // Abelias // CEABELIAS2 to VCIXCN1_NEW// Up // INC061044346 (P5) - Impact: NO – FUERA DE KCI</text>
  </threadedComment>
  <threadedComment ref="E16" dT="2025-12-09T10:39:41.82" personId="{4364335B-4393-4351-A8C9-4C0398427C2E}" id="{AE0A997D-C2DE-49A5-8398-3D05571CFC56}">
    <text xml:space="preserve">Aperture Incident // GSNET International // Corp. DC - Chile Apoquindo // BSAN-CHL-LCO-MW-M-000009 // Up // Latency // INC061129009 (P5) - Impact: Pending
</text>
  </threadedComment>
  <threadedComment ref="R16" dT="2025-12-22T13:04:28.58" personId="{800D18CE-5F2C-4412-AFB5-5EC8C6D5809C}" id="{B2A850D8-EF22-4ED4-9024-EF0B0CD51D30}">
    <text>Aperture Incident // GSNET Cloud // Azure Sao Paulo // SDWGS-BRA-SAO-AZU-EDG-01 - Chile - Tu100002   // Up // Saturation // INC061499055 (P5) - Impact: NO
Aperture Incident // GSNET Internet // AS Spain // RTSABE01 // Up // Saturation // INC061566545 (P5) - Impact: NO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"/>
  <sheetViews>
    <sheetView showGridLines="0" zoomScaleNormal="100" workbookViewId="0">
      <pane ySplit="1" topLeftCell="A2" activePane="bottomLeft" state="frozen"/>
      <selection activeCell="C13" sqref="C13"/>
      <selection pane="bottomLeft" activeCell="C13" sqref="C13"/>
    </sheetView>
  </sheetViews>
  <sheetFormatPr baseColWidth="10" defaultColWidth="9.44140625" defaultRowHeight="10.199999999999999" x14ac:dyDescent="0.2"/>
  <cols>
    <col min="1" max="1" width="11.44140625" style="68" bestFit="1" customWidth="1"/>
    <col min="2" max="2" width="40" style="66" customWidth="1"/>
    <col min="3" max="3" width="34.44140625" style="66" bestFit="1" customWidth="1"/>
    <col min="4" max="4" width="12.44140625" style="67" customWidth="1"/>
    <col min="5" max="5" width="13.5546875" style="67" customWidth="1"/>
    <col min="6" max="6" width="12.44140625" style="67" customWidth="1"/>
    <col min="7" max="7" width="18.5546875" style="66" bestFit="1" customWidth="1"/>
    <col min="8" max="8" width="28.5546875" style="66" customWidth="1"/>
    <col min="9" max="9" width="38" style="76" customWidth="1"/>
    <col min="10" max="16384" width="9.44140625" style="62"/>
  </cols>
  <sheetData>
    <row r="1" spans="1:9" s="67" customFormat="1" ht="30.75" customHeight="1" x14ac:dyDescent="0.3">
      <c r="A1" s="52" t="s">
        <v>0</v>
      </c>
      <c r="B1" s="71" t="s">
        <v>1</v>
      </c>
      <c r="C1" s="71" t="s">
        <v>2</v>
      </c>
      <c r="D1" s="52" t="s">
        <v>3</v>
      </c>
      <c r="E1" s="52" t="s">
        <v>4</v>
      </c>
      <c r="F1" s="52" t="s">
        <v>5</v>
      </c>
      <c r="G1" s="53" t="s">
        <v>6</v>
      </c>
      <c r="H1" s="53" t="s">
        <v>7</v>
      </c>
      <c r="I1" s="73" t="s">
        <v>8</v>
      </c>
    </row>
    <row r="2" spans="1:9" s="80" customFormat="1" x14ac:dyDescent="0.2">
      <c r="A2" s="88" t="s">
        <v>9</v>
      </c>
      <c r="B2" s="89" t="s">
        <v>10</v>
      </c>
      <c r="C2" s="90" t="s">
        <v>11</v>
      </c>
      <c r="D2" s="91" t="s">
        <v>12</v>
      </c>
      <c r="E2" s="92" t="s">
        <v>13</v>
      </c>
      <c r="F2" s="91" t="s">
        <v>14</v>
      </c>
      <c r="G2" s="89" t="s">
        <v>15</v>
      </c>
      <c r="H2" s="89" t="s">
        <v>16</v>
      </c>
      <c r="I2" s="93" t="s">
        <v>17</v>
      </c>
    </row>
    <row r="3" spans="1:9" s="80" customFormat="1" x14ac:dyDescent="0.2">
      <c r="A3" s="88" t="s">
        <v>18</v>
      </c>
      <c r="B3" s="89" t="s">
        <v>10</v>
      </c>
      <c r="C3" s="90" t="s">
        <v>19</v>
      </c>
      <c r="D3" s="91" t="s">
        <v>12</v>
      </c>
      <c r="E3" s="92" t="s">
        <v>13</v>
      </c>
      <c r="F3" s="91" t="s">
        <v>14</v>
      </c>
      <c r="G3" s="89" t="s">
        <v>15</v>
      </c>
      <c r="H3" s="89" t="s">
        <v>16</v>
      </c>
      <c r="I3" s="93" t="s">
        <v>17</v>
      </c>
    </row>
    <row r="4" spans="1:9" s="80" customFormat="1" x14ac:dyDescent="0.2">
      <c r="A4" s="88" t="s">
        <v>20</v>
      </c>
      <c r="B4" s="89" t="s">
        <v>10</v>
      </c>
      <c r="C4" s="90" t="s">
        <v>21</v>
      </c>
      <c r="D4" s="91" t="s">
        <v>12</v>
      </c>
      <c r="E4" s="92" t="s">
        <v>22</v>
      </c>
      <c r="F4" s="91" t="s">
        <v>14</v>
      </c>
      <c r="G4" s="89" t="s">
        <v>15</v>
      </c>
      <c r="H4" s="89" t="s">
        <v>16</v>
      </c>
      <c r="I4" s="93" t="s">
        <v>17</v>
      </c>
    </row>
    <row r="5" spans="1:9" s="80" customFormat="1" x14ac:dyDescent="0.2">
      <c r="A5" s="88" t="s">
        <v>23</v>
      </c>
      <c r="B5" s="89" t="s">
        <v>10</v>
      </c>
      <c r="C5" s="90" t="s">
        <v>24</v>
      </c>
      <c r="D5" s="91" t="s">
        <v>12</v>
      </c>
      <c r="E5" s="92" t="s">
        <v>22</v>
      </c>
      <c r="F5" s="91" t="s">
        <v>14</v>
      </c>
      <c r="G5" s="89" t="s">
        <v>15</v>
      </c>
      <c r="H5" s="89" t="s">
        <v>16</v>
      </c>
      <c r="I5" s="93" t="s">
        <v>17</v>
      </c>
    </row>
    <row r="6" spans="1:9" s="80" customFormat="1" x14ac:dyDescent="0.2">
      <c r="A6" s="88" t="s">
        <v>25</v>
      </c>
      <c r="B6" s="89" t="s">
        <v>10</v>
      </c>
      <c r="C6" s="89" t="s">
        <v>26</v>
      </c>
      <c r="D6" s="91" t="s">
        <v>12</v>
      </c>
      <c r="E6" s="92" t="s">
        <v>22</v>
      </c>
      <c r="F6" s="91" t="s">
        <v>14</v>
      </c>
      <c r="G6" s="89" t="s">
        <v>15</v>
      </c>
      <c r="H6" s="89" t="s">
        <v>16</v>
      </c>
      <c r="I6" s="93" t="s">
        <v>17</v>
      </c>
    </row>
    <row r="7" spans="1:9" s="80" customFormat="1" x14ac:dyDescent="0.2">
      <c r="A7" s="109" t="s">
        <v>27</v>
      </c>
      <c r="B7" s="108" t="s">
        <v>28</v>
      </c>
      <c r="C7" s="108" t="s">
        <v>29</v>
      </c>
      <c r="D7" s="109" t="s">
        <v>12</v>
      </c>
      <c r="E7" s="110">
        <v>1</v>
      </c>
      <c r="F7" s="109" t="s">
        <v>14</v>
      </c>
      <c r="G7" s="108" t="s">
        <v>15</v>
      </c>
      <c r="H7" s="108" t="s">
        <v>30</v>
      </c>
      <c r="I7" s="111" t="s">
        <v>17</v>
      </c>
    </row>
    <row r="8" spans="1:9" x14ac:dyDescent="0.2">
      <c r="A8" s="81" t="s">
        <v>31</v>
      </c>
      <c r="B8" s="83" t="s">
        <v>32</v>
      </c>
      <c r="C8" s="83" t="s">
        <v>11</v>
      </c>
      <c r="D8" s="81" t="s">
        <v>12</v>
      </c>
      <c r="E8" s="82" t="s">
        <v>22</v>
      </c>
      <c r="F8" s="81" t="s">
        <v>14</v>
      </c>
      <c r="G8" s="83" t="s">
        <v>15</v>
      </c>
      <c r="H8" s="83" t="s">
        <v>33</v>
      </c>
      <c r="I8" s="84" t="s">
        <v>34</v>
      </c>
    </row>
    <row r="9" spans="1:9" x14ac:dyDescent="0.2">
      <c r="A9" s="81" t="s">
        <v>35</v>
      </c>
      <c r="B9" s="83" t="s">
        <v>32</v>
      </c>
      <c r="C9" s="83" t="s">
        <v>19</v>
      </c>
      <c r="D9" s="81" t="s">
        <v>12</v>
      </c>
      <c r="E9" s="82" t="s">
        <v>22</v>
      </c>
      <c r="F9" s="81" t="s">
        <v>14</v>
      </c>
      <c r="G9" s="83" t="s">
        <v>15</v>
      </c>
      <c r="H9" s="83" t="s">
        <v>33</v>
      </c>
      <c r="I9" s="84" t="s">
        <v>34</v>
      </c>
    </row>
    <row r="10" spans="1:9" x14ac:dyDescent="0.2">
      <c r="A10" s="81" t="s">
        <v>36</v>
      </c>
      <c r="B10" s="83" t="s">
        <v>32</v>
      </c>
      <c r="C10" s="83" t="s">
        <v>21</v>
      </c>
      <c r="D10" s="81" t="s">
        <v>12</v>
      </c>
      <c r="E10" s="94" t="s">
        <v>37</v>
      </c>
      <c r="F10" s="81" t="s">
        <v>14</v>
      </c>
      <c r="G10" s="83" t="s">
        <v>15</v>
      </c>
      <c r="H10" s="83" t="s">
        <v>33</v>
      </c>
      <c r="I10" s="84" t="s">
        <v>34</v>
      </c>
    </row>
    <row r="11" spans="1:9" x14ac:dyDescent="0.2">
      <c r="A11" s="81" t="s">
        <v>38</v>
      </c>
      <c r="B11" s="83" t="s">
        <v>32</v>
      </c>
      <c r="C11" s="83" t="s">
        <v>24</v>
      </c>
      <c r="D11" s="81" t="s">
        <v>12</v>
      </c>
      <c r="E11" s="82" t="s">
        <v>39</v>
      </c>
      <c r="F11" s="81" t="s">
        <v>14</v>
      </c>
      <c r="G11" s="83" t="s">
        <v>15</v>
      </c>
      <c r="H11" s="83" t="s">
        <v>33</v>
      </c>
      <c r="I11" s="84" t="s">
        <v>40</v>
      </c>
    </row>
    <row r="12" spans="1:9" x14ac:dyDescent="0.2">
      <c r="A12" s="85" t="s">
        <v>41</v>
      </c>
      <c r="B12" s="87" t="s">
        <v>32</v>
      </c>
      <c r="C12" s="87" t="s">
        <v>26</v>
      </c>
      <c r="D12" s="85" t="s">
        <v>12</v>
      </c>
      <c r="E12" s="86" t="s">
        <v>39</v>
      </c>
      <c r="F12" s="85" t="s">
        <v>14</v>
      </c>
      <c r="G12" s="87" t="s">
        <v>15</v>
      </c>
      <c r="H12" s="87" t="s">
        <v>33</v>
      </c>
      <c r="I12" s="84" t="s">
        <v>40</v>
      </c>
    </row>
    <row r="13" spans="1:9" x14ac:dyDescent="0.2">
      <c r="A13" s="54" t="s">
        <v>42</v>
      </c>
      <c r="B13" s="56" t="s">
        <v>43</v>
      </c>
      <c r="C13" s="56" t="s">
        <v>44</v>
      </c>
      <c r="D13" s="54" t="s">
        <v>12</v>
      </c>
      <c r="E13" s="61">
        <v>0.95</v>
      </c>
      <c r="F13" s="54" t="s">
        <v>14</v>
      </c>
      <c r="G13" s="56" t="s">
        <v>15</v>
      </c>
      <c r="H13" s="56" t="s">
        <v>45</v>
      </c>
      <c r="I13" s="75" t="s">
        <v>40</v>
      </c>
    </row>
    <row r="14" spans="1:9" x14ac:dyDescent="0.2">
      <c r="A14" s="54" t="s">
        <v>46</v>
      </c>
      <c r="B14" s="56" t="s">
        <v>43</v>
      </c>
      <c r="C14" s="56" t="s">
        <v>47</v>
      </c>
      <c r="D14" s="54" t="s">
        <v>12</v>
      </c>
      <c r="E14" s="61">
        <v>0.95</v>
      </c>
      <c r="F14" s="54" t="s">
        <v>14</v>
      </c>
      <c r="G14" s="56" t="s">
        <v>15</v>
      </c>
      <c r="H14" s="56" t="s">
        <v>45</v>
      </c>
      <c r="I14" s="75" t="s">
        <v>48</v>
      </c>
    </row>
    <row r="15" spans="1:9" x14ac:dyDescent="0.2">
      <c r="A15" s="54" t="s">
        <v>49</v>
      </c>
      <c r="B15" s="56" t="s">
        <v>43</v>
      </c>
      <c r="C15" s="56" t="s">
        <v>50</v>
      </c>
      <c r="D15" s="54" t="s">
        <v>12</v>
      </c>
      <c r="E15" s="61">
        <v>0.95</v>
      </c>
      <c r="F15" s="54" t="s">
        <v>14</v>
      </c>
      <c r="G15" s="56" t="s">
        <v>15</v>
      </c>
      <c r="H15" s="56" t="s">
        <v>45</v>
      </c>
      <c r="I15" s="75" t="s">
        <v>51</v>
      </c>
    </row>
    <row r="16" spans="1:9" x14ac:dyDescent="0.2">
      <c r="A16" s="60" t="s">
        <v>52</v>
      </c>
      <c r="B16" s="55" t="s">
        <v>43</v>
      </c>
      <c r="C16" s="55" t="s">
        <v>53</v>
      </c>
      <c r="D16" s="60" t="s">
        <v>12</v>
      </c>
      <c r="E16" s="70">
        <v>0.95</v>
      </c>
      <c r="F16" s="60" t="s">
        <v>14</v>
      </c>
      <c r="G16" s="55" t="s">
        <v>15</v>
      </c>
      <c r="H16" s="55" t="s">
        <v>45</v>
      </c>
      <c r="I16" s="74" t="s">
        <v>54</v>
      </c>
    </row>
    <row r="18" spans="1:9" s="58" customFormat="1" ht="20.399999999999999" x14ac:dyDescent="0.3">
      <c r="A18" s="54" t="s">
        <v>55</v>
      </c>
      <c r="B18" s="55" t="s">
        <v>56</v>
      </c>
      <c r="C18" s="56" t="s">
        <v>57</v>
      </c>
      <c r="D18" s="54" t="s">
        <v>58</v>
      </c>
      <c r="E18" s="57" t="s">
        <v>59</v>
      </c>
      <c r="F18" s="54" t="s">
        <v>14</v>
      </c>
      <c r="G18" s="56" t="s">
        <v>60</v>
      </c>
      <c r="H18" s="56" t="s">
        <v>61</v>
      </c>
      <c r="I18" s="75" t="s">
        <v>62</v>
      </c>
    </row>
    <row r="19" spans="1:9" s="58" customFormat="1" ht="20.399999999999999" x14ac:dyDescent="0.3">
      <c r="A19" s="54" t="s">
        <v>63</v>
      </c>
      <c r="B19" s="55" t="s">
        <v>56</v>
      </c>
      <c r="C19" s="56" t="s">
        <v>64</v>
      </c>
      <c r="D19" s="54" t="s">
        <v>65</v>
      </c>
      <c r="E19" s="57" t="s">
        <v>66</v>
      </c>
      <c r="F19" s="54" t="s">
        <v>14</v>
      </c>
      <c r="G19" s="56" t="s">
        <v>60</v>
      </c>
      <c r="H19" s="56" t="s">
        <v>61</v>
      </c>
      <c r="I19" s="75" t="s">
        <v>62</v>
      </c>
    </row>
    <row r="20" spans="1:9" s="58" customFormat="1" ht="20.399999999999999" x14ac:dyDescent="0.3">
      <c r="A20" s="54" t="s">
        <v>67</v>
      </c>
      <c r="B20" s="55" t="s">
        <v>56</v>
      </c>
      <c r="C20" s="56" t="s">
        <v>68</v>
      </c>
      <c r="D20" s="54" t="s">
        <v>69</v>
      </c>
      <c r="E20" s="57" t="s">
        <v>70</v>
      </c>
      <c r="F20" s="54" t="s">
        <v>14</v>
      </c>
      <c r="G20" s="56" t="s">
        <v>60</v>
      </c>
      <c r="H20" s="56" t="s">
        <v>61</v>
      </c>
      <c r="I20" s="75" t="s">
        <v>62</v>
      </c>
    </row>
    <row r="21" spans="1:9" s="58" customFormat="1" ht="20.399999999999999" x14ac:dyDescent="0.3">
      <c r="A21" s="54" t="s">
        <v>71</v>
      </c>
      <c r="B21" s="55" t="s">
        <v>56</v>
      </c>
      <c r="C21" s="56" t="s">
        <v>72</v>
      </c>
      <c r="D21" s="54" t="s">
        <v>65</v>
      </c>
      <c r="E21" s="57" t="s">
        <v>70</v>
      </c>
      <c r="F21" s="54" t="s">
        <v>14</v>
      </c>
      <c r="G21" s="56" t="s">
        <v>60</v>
      </c>
      <c r="H21" s="56" t="s">
        <v>61</v>
      </c>
      <c r="I21" s="75" t="s">
        <v>62</v>
      </c>
    </row>
    <row r="22" spans="1:9" s="58" customFormat="1" ht="20.399999999999999" x14ac:dyDescent="0.3">
      <c r="A22" s="60" t="s">
        <v>73</v>
      </c>
      <c r="B22" s="55" t="s">
        <v>56</v>
      </c>
      <c r="C22" s="55" t="s">
        <v>74</v>
      </c>
      <c r="D22" s="60" t="s">
        <v>69</v>
      </c>
      <c r="E22" s="59">
        <v>0.98</v>
      </c>
      <c r="F22" s="60" t="s">
        <v>14</v>
      </c>
      <c r="G22" s="55" t="s">
        <v>60</v>
      </c>
      <c r="H22" s="55" t="s">
        <v>61</v>
      </c>
      <c r="I22" s="74" t="s">
        <v>62</v>
      </c>
    </row>
    <row r="23" spans="1:9" customFormat="1" ht="14.4" x14ac:dyDescent="0.3"/>
    <row r="24" spans="1:9" x14ac:dyDescent="0.2">
      <c r="A24" s="54" t="s">
        <v>75</v>
      </c>
      <c r="B24" s="56" t="s">
        <v>76</v>
      </c>
      <c r="C24" s="56" t="s">
        <v>11</v>
      </c>
      <c r="D24" s="54" t="s">
        <v>12</v>
      </c>
      <c r="E24" s="63" t="s">
        <v>77</v>
      </c>
      <c r="F24" s="54" t="s">
        <v>14</v>
      </c>
      <c r="G24" s="56" t="s">
        <v>15</v>
      </c>
      <c r="H24" s="56" t="s">
        <v>78</v>
      </c>
      <c r="I24" s="95" t="s">
        <v>79</v>
      </c>
    </row>
    <row r="25" spans="1:9" x14ac:dyDescent="0.2">
      <c r="A25" s="54" t="s">
        <v>80</v>
      </c>
      <c r="B25" s="56" t="s">
        <v>76</v>
      </c>
      <c r="C25" s="56" t="s">
        <v>19</v>
      </c>
      <c r="D25" s="54" t="s">
        <v>12</v>
      </c>
      <c r="E25" s="63" t="s">
        <v>81</v>
      </c>
      <c r="F25" s="54" t="s">
        <v>14</v>
      </c>
      <c r="G25" s="56" t="s">
        <v>15</v>
      </c>
      <c r="H25" s="56" t="s">
        <v>78</v>
      </c>
      <c r="I25" s="95" t="s">
        <v>79</v>
      </c>
    </row>
    <row r="26" spans="1:9" x14ac:dyDescent="0.2">
      <c r="A26" s="54" t="s">
        <v>82</v>
      </c>
      <c r="B26" s="56" t="s">
        <v>76</v>
      </c>
      <c r="C26" s="56" t="s">
        <v>21</v>
      </c>
      <c r="D26" s="54" t="s">
        <v>12</v>
      </c>
      <c r="E26" s="63" t="s">
        <v>83</v>
      </c>
      <c r="F26" s="54" t="s">
        <v>14</v>
      </c>
      <c r="G26" s="56" t="s">
        <v>15</v>
      </c>
      <c r="H26" s="56" t="s">
        <v>78</v>
      </c>
      <c r="I26" s="95" t="s">
        <v>79</v>
      </c>
    </row>
    <row r="27" spans="1:9" x14ac:dyDescent="0.2">
      <c r="A27" s="54" t="s">
        <v>84</v>
      </c>
      <c r="B27" s="56" t="s">
        <v>76</v>
      </c>
      <c r="C27" s="56" t="s">
        <v>24</v>
      </c>
      <c r="D27" s="54" t="s">
        <v>12</v>
      </c>
      <c r="E27" s="63" t="s">
        <v>85</v>
      </c>
      <c r="F27" s="54" t="s">
        <v>14</v>
      </c>
      <c r="G27" s="56" t="s">
        <v>15</v>
      </c>
      <c r="H27" s="56" t="s">
        <v>78</v>
      </c>
      <c r="I27" s="95" t="s">
        <v>79</v>
      </c>
    </row>
    <row r="28" spans="1:9" x14ac:dyDescent="0.2">
      <c r="A28" s="60" t="s">
        <v>86</v>
      </c>
      <c r="B28" s="55" t="s">
        <v>76</v>
      </c>
      <c r="C28" s="55" t="s">
        <v>26</v>
      </c>
      <c r="D28" s="60" t="s">
        <v>12</v>
      </c>
      <c r="E28" s="64" t="s">
        <v>87</v>
      </c>
      <c r="F28" s="60" t="s">
        <v>14</v>
      </c>
      <c r="G28" s="55" t="s">
        <v>15</v>
      </c>
      <c r="H28" s="55" t="s">
        <v>78</v>
      </c>
      <c r="I28" s="96" t="s">
        <v>79</v>
      </c>
    </row>
    <row r="29" spans="1:9" customFormat="1" ht="14.4" x14ac:dyDescent="0.3">
      <c r="G29" s="72"/>
      <c r="H29" s="72"/>
    </row>
    <row r="30" spans="1:9" x14ac:dyDescent="0.2">
      <c r="A30" s="54" t="s">
        <v>88</v>
      </c>
      <c r="B30" s="55" t="s">
        <v>89</v>
      </c>
      <c r="C30" s="55" t="s">
        <v>90</v>
      </c>
      <c r="D30" s="60" t="s">
        <v>12</v>
      </c>
      <c r="E30" s="64" t="s">
        <v>39</v>
      </c>
      <c r="F30" s="60" t="s">
        <v>14</v>
      </c>
      <c r="G30" s="55" t="s">
        <v>15</v>
      </c>
      <c r="H30" s="55" t="s">
        <v>91</v>
      </c>
      <c r="I30" s="74"/>
    </row>
    <row r="31" spans="1:9" x14ac:dyDescent="0.2">
      <c r="A31" s="54" t="s">
        <v>92</v>
      </c>
      <c r="B31" s="55" t="s">
        <v>89</v>
      </c>
      <c r="C31" s="55" t="s">
        <v>93</v>
      </c>
      <c r="D31" s="60" t="s">
        <v>12</v>
      </c>
      <c r="E31" s="64" t="s">
        <v>94</v>
      </c>
      <c r="F31" s="60" t="s">
        <v>14</v>
      </c>
      <c r="G31" s="55" t="s">
        <v>15</v>
      </c>
      <c r="H31" s="55" t="s">
        <v>91</v>
      </c>
      <c r="I31" s="74"/>
    </row>
    <row r="32" spans="1:9" x14ac:dyDescent="0.2">
      <c r="A32" s="54" t="s">
        <v>95</v>
      </c>
      <c r="B32" s="55" t="s">
        <v>89</v>
      </c>
      <c r="C32" s="55" t="s">
        <v>96</v>
      </c>
      <c r="D32" s="60" t="s">
        <v>12</v>
      </c>
      <c r="E32" s="64" t="s">
        <v>94</v>
      </c>
      <c r="F32" s="60" t="s">
        <v>14</v>
      </c>
      <c r="G32" s="55" t="s">
        <v>15</v>
      </c>
      <c r="H32" s="55" t="s">
        <v>91</v>
      </c>
      <c r="I32" s="74"/>
    </row>
    <row r="33" spans="1:9" x14ac:dyDescent="0.2">
      <c r="A33" s="107" t="s">
        <v>97</v>
      </c>
      <c r="B33" s="108" t="s">
        <v>98</v>
      </c>
      <c r="C33" s="108" t="s">
        <v>90</v>
      </c>
      <c r="D33" s="109" t="s">
        <v>12</v>
      </c>
      <c r="E33" s="110" t="s">
        <v>99</v>
      </c>
      <c r="F33" s="109" t="s">
        <v>14</v>
      </c>
      <c r="G33" s="108" t="s">
        <v>15</v>
      </c>
      <c r="H33" s="108" t="s">
        <v>91</v>
      </c>
      <c r="I33" s="111" t="s">
        <v>100</v>
      </c>
    </row>
    <row r="34" spans="1:9" x14ac:dyDescent="0.2">
      <c r="A34" s="107" t="s">
        <v>101</v>
      </c>
      <c r="B34" s="108" t="s">
        <v>102</v>
      </c>
      <c r="C34" s="108" t="s">
        <v>93</v>
      </c>
      <c r="D34" s="109" t="s">
        <v>12</v>
      </c>
      <c r="E34" s="110" t="s">
        <v>103</v>
      </c>
      <c r="F34" s="109" t="s">
        <v>14</v>
      </c>
      <c r="G34" s="108" t="s">
        <v>15</v>
      </c>
      <c r="H34" s="108" t="s">
        <v>91</v>
      </c>
      <c r="I34" s="111" t="s">
        <v>100</v>
      </c>
    </row>
    <row r="35" spans="1:9" x14ac:dyDescent="0.2">
      <c r="A35" s="107" t="s">
        <v>104</v>
      </c>
      <c r="B35" s="108" t="s">
        <v>102</v>
      </c>
      <c r="C35" s="108" t="s">
        <v>96</v>
      </c>
      <c r="D35" s="109" t="s">
        <v>12</v>
      </c>
      <c r="E35" s="110" t="s">
        <v>105</v>
      </c>
      <c r="F35" s="109" t="s">
        <v>14</v>
      </c>
      <c r="G35" s="108" t="s">
        <v>15</v>
      </c>
      <c r="H35" s="108" t="s">
        <v>91</v>
      </c>
      <c r="I35" s="111" t="s">
        <v>106</v>
      </c>
    </row>
    <row r="36" spans="1:9" x14ac:dyDescent="0.2">
      <c r="A36" s="60" t="s">
        <v>107</v>
      </c>
      <c r="B36" s="55" t="s">
        <v>89</v>
      </c>
      <c r="C36" s="55" t="s">
        <v>108</v>
      </c>
      <c r="D36" s="60" t="s">
        <v>12</v>
      </c>
      <c r="E36" s="64" t="s">
        <v>103</v>
      </c>
      <c r="F36" s="60" t="s">
        <v>14</v>
      </c>
      <c r="G36" s="55" t="s">
        <v>15</v>
      </c>
      <c r="H36" s="55" t="s">
        <v>91</v>
      </c>
      <c r="I36" s="74"/>
    </row>
    <row r="39" spans="1:9" x14ac:dyDescent="0.2">
      <c r="A39" s="62"/>
      <c r="B39" s="97" t="s">
        <v>109</v>
      </c>
      <c r="C39" s="98"/>
      <c r="D39" s="99"/>
      <c r="E39" s="100"/>
    </row>
    <row r="40" spans="1:9" x14ac:dyDescent="0.2">
      <c r="A40" s="62"/>
      <c r="B40" s="101" t="s">
        <v>110</v>
      </c>
      <c r="E40" s="102"/>
    </row>
    <row r="41" spans="1:9" x14ac:dyDescent="0.2">
      <c r="A41" s="62"/>
      <c r="B41" s="101" t="s">
        <v>111</v>
      </c>
      <c r="E41" s="102"/>
    </row>
    <row r="42" spans="1:9" x14ac:dyDescent="0.2">
      <c r="A42" s="62"/>
      <c r="B42" s="103" t="s">
        <v>112</v>
      </c>
      <c r="C42" s="104"/>
      <c r="D42" s="105"/>
      <c r="E42" s="106"/>
    </row>
    <row r="45" spans="1:9" x14ac:dyDescent="0.2">
      <c r="A45" s="62"/>
      <c r="B45" s="65" t="s">
        <v>113</v>
      </c>
    </row>
    <row r="46" spans="1:9" x14ac:dyDescent="0.2">
      <c r="B46" s="53" t="s">
        <v>1</v>
      </c>
      <c r="C46" s="53" t="s">
        <v>114</v>
      </c>
      <c r="D46" s="53" t="s">
        <v>115</v>
      </c>
    </row>
    <row r="47" spans="1:9" x14ac:dyDescent="0.2">
      <c r="B47" s="56" t="s">
        <v>10</v>
      </c>
      <c r="C47" s="56" t="s">
        <v>116</v>
      </c>
      <c r="D47" s="56"/>
    </row>
    <row r="48" spans="1:9" ht="20.399999999999999" x14ac:dyDescent="0.2">
      <c r="B48" s="56" t="s">
        <v>32</v>
      </c>
      <c r="C48" s="56" t="s">
        <v>117</v>
      </c>
      <c r="D48" s="56"/>
    </row>
    <row r="49" spans="1:4" x14ac:dyDescent="0.2">
      <c r="B49" s="56" t="s">
        <v>43</v>
      </c>
      <c r="C49" s="56"/>
      <c r="D49" s="56"/>
    </row>
    <row r="50" spans="1:4" x14ac:dyDescent="0.2">
      <c r="B50" s="69" t="s">
        <v>28</v>
      </c>
      <c r="C50" s="69"/>
      <c r="D50" s="69"/>
    </row>
    <row r="51" spans="1:4" x14ac:dyDescent="0.2">
      <c r="B51" s="56" t="s">
        <v>89</v>
      </c>
      <c r="C51" s="56"/>
      <c r="D51" s="56"/>
    </row>
    <row r="52" spans="1:4" x14ac:dyDescent="0.2">
      <c r="B52" s="55" t="s">
        <v>98</v>
      </c>
      <c r="C52" s="55"/>
      <c r="D52" s="55"/>
    </row>
    <row r="53" spans="1:4" x14ac:dyDescent="0.2">
      <c r="B53" s="55" t="s">
        <v>102</v>
      </c>
      <c r="C53" s="55"/>
      <c r="D53" s="55"/>
    </row>
    <row r="54" spans="1:4" x14ac:dyDescent="0.2">
      <c r="B54" s="55" t="s">
        <v>56</v>
      </c>
      <c r="C54" s="55"/>
      <c r="D54" s="55"/>
    </row>
    <row r="55" spans="1:4" x14ac:dyDescent="0.2">
      <c r="B55" s="55" t="s">
        <v>76</v>
      </c>
      <c r="C55" s="55" t="s">
        <v>118</v>
      </c>
      <c r="D55" s="55"/>
    </row>
    <row r="56" spans="1:4" ht="14.4" x14ac:dyDescent="0.3">
      <c r="A56"/>
      <c r="B56"/>
    </row>
    <row r="57" spans="1:4" x14ac:dyDescent="0.2">
      <c r="A57" s="77" t="s">
        <v>119</v>
      </c>
      <c r="B57" s="77" t="s">
        <v>114</v>
      </c>
      <c r="C57" s="77" t="s">
        <v>120</v>
      </c>
    </row>
    <row r="58" spans="1:4" ht="40.799999999999997" x14ac:dyDescent="0.2">
      <c r="A58" s="78" t="s">
        <v>121</v>
      </c>
      <c r="B58" s="79" t="s">
        <v>122</v>
      </c>
      <c r="C58" s="79" t="s">
        <v>123</v>
      </c>
    </row>
    <row r="59" spans="1:4" ht="30.6" x14ac:dyDescent="0.2">
      <c r="A59" s="78" t="s">
        <v>124</v>
      </c>
      <c r="B59" s="79" t="s">
        <v>125</v>
      </c>
      <c r="C59" s="79" t="s">
        <v>126</v>
      </c>
    </row>
    <row r="60" spans="1:4" ht="20.399999999999999" x14ac:dyDescent="0.2">
      <c r="A60" s="78" t="s">
        <v>127</v>
      </c>
      <c r="B60" s="79" t="s">
        <v>128</v>
      </c>
      <c r="C60" s="79" t="s">
        <v>129</v>
      </c>
    </row>
    <row r="61" spans="1:4" ht="20.399999999999999" x14ac:dyDescent="0.2">
      <c r="A61" s="78" t="s">
        <v>130</v>
      </c>
      <c r="B61" s="79" t="s">
        <v>131</v>
      </c>
      <c r="C61" s="79" t="s">
        <v>132</v>
      </c>
    </row>
    <row r="62" spans="1:4" ht="20.399999999999999" x14ac:dyDescent="0.2">
      <c r="A62" s="79" t="s">
        <v>133</v>
      </c>
      <c r="B62" s="79" t="s">
        <v>134</v>
      </c>
      <c r="C62" s="79" t="s">
        <v>135</v>
      </c>
    </row>
    <row r="63" spans="1:4" ht="14.4" x14ac:dyDescent="0.3">
      <c r="A63"/>
      <c r="B63"/>
    </row>
    <row r="64" spans="1:4" ht="14.4" x14ac:dyDescent="0.3">
      <c r="A64"/>
      <c r="B64"/>
    </row>
    <row r="65" spans="1:2" ht="14.4" x14ac:dyDescent="0.3">
      <c r="A65"/>
      <c r="B65"/>
    </row>
    <row r="66" spans="1:2" ht="14.4" x14ac:dyDescent="0.3">
      <c r="A66"/>
      <c r="B66"/>
    </row>
    <row r="67" spans="1:2" ht="14.4" x14ac:dyDescent="0.3">
      <c r="A67"/>
      <c r="B67"/>
    </row>
    <row r="68" spans="1:2" ht="14.4" x14ac:dyDescent="0.3">
      <c r="A68"/>
      <c r="B68"/>
    </row>
    <row r="69" spans="1:2" ht="14.4" x14ac:dyDescent="0.3">
      <c r="A69"/>
      <c r="B69"/>
    </row>
    <row r="70" spans="1:2" ht="14.4" x14ac:dyDescent="0.3">
      <c r="A70"/>
      <c r="B70"/>
    </row>
    <row r="71" spans="1:2" ht="14.4" x14ac:dyDescent="0.3">
      <c r="A71"/>
      <c r="B71"/>
    </row>
    <row r="72" spans="1:2" ht="14.4" x14ac:dyDescent="0.3">
      <c r="A72"/>
      <c r="B72"/>
    </row>
    <row r="73" spans="1:2" ht="14.4" x14ac:dyDescent="0.3">
      <c r="A73"/>
      <c r="B73"/>
    </row>
    <row r="74" spans="1:2" ht="14.4" x14ac:dyDescent="0.3">
      <c r="A74"/>
      <c r="B74"/>
    </row>
    <row r="75" spans="1:2" ht="14.4" x14ac:dyDescent="0.3">
      <c r="A75"/>
      <c r="B75"/>
    </row>
    <row r="76" spans="1:2" ht="14.4" x14ac:dyDescent="0.3">
      <c r="A76"/>
      <c r="B76"/>
    </row>
    <row r="77" spans="1:2" ht="14.4" x14ac:dyDescent="0.3">
      <c r="A77"/>
      <c r="B77"/>
    </row>
    <row r="78" spans="1:2" ht="14.4" x14ac:dyDescent="0.3">
      <c r="A78"/>
      <c r="B7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C13" sqref="C13"/>
    </sheetView>
  </sheetViews>
  <sheetFormatPr baseColWidth="10" defaultColWidth="9.44140625"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showGridLines="0" topLeftCell="A13" workbookViewId="0">
      <selection activeCell="C13" sqref="C13"/>
    </sheetView>
  </sheetViews>
  <sheetFormatPr baseColWidth="10" defaultColWidth="29.44140625" defaultRowHeight="14.4" x14ac:dyDescent="0.3"/>
  <cols>
    <col min="1" max="1" width="33" style="33" customWidth="1"/>
    <col min="2" max="2" width="105.44140625" style="33" customWidth="1"/>
    <col min="3" max="3" width="14.44140625" style="35" customWidth="1"/>
    <col min="4" max="16384" width="29.44140625" style="33"/>
  </cols>
  <sheetData>
    <row r="1" spans="1:3" x14ac:dyDescent="0.3">
      <c r="A1" s="45" t="s">
        <v>136</v>
      </c>
      <c r="B1" s="45" t="s">
        <v>2</v>
      </c>
      <c r="C1" s="45" t="s">
        <v>137</v>
      </c>
    </row>
    <row r="2" spans="1:3" x14ac:dyDescent="0.3">
      <c r="A2" s="40" t="s">
        <v>138</v>
      </c>
      <c r="B2" s="46" t="s">
        <v>139</v>
      </c>
      <c r="C2" s="47" t="s">
        <v>15</v>
      </c>
    </row>
    <row r="3" spans="1:3" x14ac:dyDescent="0.3">
      <c r="A3" s="40" t="s">
        <v>140</v>
      </c>
      <c r="B3" s="46" t="s">
        <v>141</v>
      </c>
      <c r="C3" s="47" t="s">
        <v>15</v>
      </c>
    </row>
    <row r="4" spans="1:3" x14ac:dyDescent="0.3">
      <c r="A4" s="40" t="s">
        <v>142</v>
      </c>
      <c r="B4" s="46" t="s">
        <v>143</v>
      </c>
      <c r="C4" s="48">
        <v>0.95</v>
      </c>
    </row>
    <row r="5" spans="1:3" x14ac:dyDescent="0.3">
      <c r="A5" s="40" t="s">
        <v>144</v>
      </c>
      <c r="B5" s="46" t="s">
        <v>143</v>
      </c>
      <c r="C5" s="48">
        <v>0.99</v>
      </c>
    </row>
    <row r="6" spans="1:3" x14ac:dyDescent="0.3">
      <c r="A6" s="40" t="s">
        <v>40</v>
      </c>
      <c r="B6" s="46" t="s">
        <v>145</v>
      </c>
      <c r="C6" s="48">
        <v>0.95</v>
      </c>
    </row>
    <row r="7" spans="1:3" x14ac:dyDescent="0.3">
      <c r="A7" s="40" t="s">
        <v>146</v>
      </c>
      <c r="B7" s="46" t="s">
        <v>147</v>
      </c>
      <c r="C7" s="48">
        <v>0.99</v>
      </c>
    </row>
    <row r="8" spans="1:3" x14ac:dyDescent="0.3">
      <c r="A8" s="40" t="s">
        <v>148</v>
      </c>
      <c r="B8" s="46" t="s">
        <v>149</v>
      </c>
      <c r="C8" s="49">
        <v>0</v>
      </c>
    </row>
    <row r="9" spans="1:3" x14ac:dyDescent="0.3">
      <c r="A9" s="50" t="s">
        <v>150</v>
      </c>
      <c r="B9" s="46"/>
      <c r="C9" s="47"/>
    </row>
    <row r="10" spans="1:3" x14ac:dyDescent="0.3">
      <c r="A10" s="40" t="s">
        <v>151</v>
      </c>
      <c r="B10" s="46" t="s">
        <v>152</v>
      </c>
      <c r="C10" s="47" t="s">
        <v>153</v>
      </c>
    </row>
    <row r="11" spans="1:3" x14ac:dyDescent="0.3">
      <c r="A11" s="40" t="s">
        <v>154</v>
      </c>
      <c r="B11" s="46" t="s">
        <v>155</v>
      </c>
      <c r="C11" s="47" t="s">
        <v>153</v>
      </c>
    </row>
    <row r="12" spans="1:3" x14ac:dyDescent="0.3">
      <c r="A12" s="40" t="s">
        <v>156</v>
      </c>
      <c r="B12" s="46" t="s">
        <v>157</v>
      </c>
      <c r="C12" s="47">
        <v>0</v>
      </c>
    </row>
    <row r="13" spans="1:3" x14ac:dyDescent="0.3">
      <c r="A13" s="50" t="s">
        <v>32</v>
      </c>
      <c r="B13" s="46"/>
      <c r="C13" s="47"/>
    </row>
    <row r="14" spans="1:3" x14ac:dyDescent="0.3">
      <c r="A14" s="40" t="s">
        <v>158</v>
      </c>
      <c r="B14" s="46" t="s">
        <v>159</v>
      </c>
      <c r="C14" s="47" t="s">
        <v>15</v>
      </c>
    </row>
    <row r="15" spans="1:3" x14ac:dyDescent="0.3">
      <c r="A15" s="40" t="s">
        <v>160</v>
      </c>
      <c r="B15" s="46" t="s">
        <v>161</v>
      </c>
      <c r="C15" s="47" t="s">
        <v>15</v>
      </c>
    </row>
    <row r="19" spans="1:3" x14ac:dyDescent="0.3">
      <c r="A19" s="37" t="s">
        <v>162</v>
      </c>
      <c r="B19" s="38"/>
      <c r="C19" s="51"/>
    </row>
    <row r="20" spans="1:3" x14ac:dyDescent="0.3">
      <c r="A20" s="39" t="s">
        <v>138</v>
      </c>
      <c r="B20" s="46" t="s">
        <v>139</v>
      </c>
      <c r="C20" s="34" t="s">
        <v>15</v>
      </c>
    </row>
    <row r="21" spans="1:3" x14ac:dyDescent="0.3">
      <c r="A21" s="40" t="s">
        <v>140</v>
      </c>
      <c r="B21" s="46" t="s">
        <v>141</v>
      </c>
      <c r="C21" s="34" t="s">
        <v>15</v>
      </c>
    </row>
    <row r="22" spans="1:3" x14ac:dyDescent="0.3">
      <c r="A22" s="39" t="s">
        <v>163</v>
      </c>
      <c r="B22" s="46" t="s">
        <v>164</v>
      </c>
      <c r="C22" s="41">
        <v>0.9</v>
      </c>
    </row>
    <row r="23" spans="1:3" x14ac:dyDescent="0.3">
      <c r="A23" s="39" t="s">
        <v>144</v>
      </c>
      <c r="B23" s="46" t="s">
        <v>165</v>
      </c>
      <c r="C23" s="41">
        <v>0.99</v>
      </c>
    </row>
    <row r="24" spans="1:3" x14ac:dyDescent="0.3">
      <c r="A24" s="39" t="s">
        <v>166</v>
      </c>
      <c r="B24" s="46" t="s">
        <v>167</v>
      </c>
      <c r="C24" s="41">
        <v>0.99</v>
      </c>
    </row>
    <row r="25" spans="1:3" x14ac:dyDescent="0.3">
      <c r="A25" s="39" t="s">
        <v>34</v>
      </c>
      <c r="B25" s="46" t="s">
        <v>168</v>
      </c>
      <c r="C25" s="41">
        <v>0.9</v>
      </c>
    </row>
    <row r="26" spans="1:3" x14ac:dyDescent="0.3">
      <c r="A26" s="39" t="s">
        <v>169</v>
      </c>
      <c r="B26" s="46" t="s">
        <v>170</v>
      </c>
      <c r="C26" s="41">
        <v>0.99</v>
      </c>
    </row>
    <row r="27" spans="1:3" x14ac:dyDescent="0.3">
      <c r="A27" s="39" t="s">
        <v>171</v>
      </c>
      <c r="B27" s="32" t="s">
        <v>172</v>
      </c>
      <c r="C27" s="34"/>
    </row>
    <row r="28" spans="1:3" x14ac:dyDescent="0.3">
      <c r="A28" s="39" t="s">
        <v>148</v>
      </c>
      <c r="B28" s="46" t="s">
        <v>149</v>
      </c>
      <c r="C28" s="34">
        <v>0</v>
      </c>
    </row>
    <row r="29" spans="1:3" x14ac:dyDescent="0.3">
      <c r="A29" s="42" t="s">
        <v>173</v>
      </c>
      <c r="B29" s="33" t="s">
        <v>174</v>
      </c>
    </row>
    <row r="30" spans="1:3" x14ac:dyDescent="0.3">
      <c r="A30" s="37" t="s">
        <v>175</v>
      </c>
      <c r="B30" s="38"/>
      <c r="C30" s="51"/>
    </row>
    <row r="31" spans="1:3" x14ac:dyDescent="0.3">
      <c r="A31" s="39" t="s">
        <v>151</v>
      </c>
      <c r="B31" s="46" t="s">
        <v>152</v>
      </c>
      <c r="C31" s="34"/>
    </row>
    <row r="32" spans="1:3" x14ac:dyDescent="0.3">
      <c r="A32" s="39" t="s">
        <v>176</v>
      </c>
      <c r="B32" s="32" t="s">
        <v>177</v>
      </c>
      <c r="C32" s="34"/>
    </row>
    <row r="33" spans="1:3" x14ac:dyDescent="0.3">
      <c r="A33" s="42" t="s">
        <v>173</v>
      </c>
      <c r="B33" s="33" t="s">
        <v>178</v>
      </c>
    </row>
    <row r="34" spans="1:3" x14ac:dyDescent="0.3">
      <c r="A34" s="37" t="s">
        <v>179</v>
      </c>
      <c r="B34" s="38"/>
      <c r="C34" s="51"/>
    </row>
    <row r="35" spans="1:3" x14ac:dyDescent="0.3">
      <c r="A35" s="39" t="s">
        <v>180</v>
      </c>
      <c r="B35" s="46" t="s">
        <v>181</v>
      </c>
      <c r="C35" s="34"/>
    </row>
    <row r="36" spans="1:3" x14ac:dyDescent="0.3">
      <c r="A36" s="39" t="s">
        <v>182</v>
      </c>
      <c r="B36" s="46" t="s">
        <v>183</v>
      </c>
      <c r="C36" s="34"/>
    </row>
    <row r="37" spans="1:3" x14ac:dyDescent="0.3">
      <c r="A37" s="42" t="s">
        <v>173</v>
      </c>
    </row>
    <row r="38" spans="1:3" x14ac:dyDescent="0.3">
      <c r="A38" s="37"/>
      <c r="B38" s="38"/>
      <c r="C38" s="51"/>
    </row>
  </sheetData>
  <conditionalFormatting sqref="A37:C37 A29:C29 A33:C33">
    <cfRule type="iconSet" priority="46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9"/>
  <sheetViews>
    <sheetView workbookViewId="0">
      <selection activeCell="C13" sqref="C13"/>
    </sheetView>
  </sheetViews>
  <sheetFormatPr baseColWidth="10" defaultColWidth="8.5546875" defaultRowHeight="14.4" x14ac:dyDescent="0.3"/>
  <cols>
    <col min="1" max="1" width="29.44140625" customWidth="1"/>
    <col min="2" max="2" width="5.44140625" customWidth="1"/>
    <col min="3" max="3" width="4.5546875" customWidth="1"/>
    <col min="4" max="4" width="5.5546875" customWidth="1"/>
    <col min="5" max="5" width="4.44140625" customWidth="1"/>
    <col min="6" max="6" width="5.44140625" customWidth="1"/>
    <col min="7" max="7" width="4.5546875" customWidth="1"/>
    <col min="8" max="8" width="6.5546875" customWidth="1"/>
    <col min="9" max="9" width="7.5546875" customWidth="1"/>
    <col min="10" max="10" width="4.5546875" customWidth="1"/>
    <col min="11" max="11" width="5.44140625" customWidth="1"/>
    <col min="12" max="12" width="4.5546875" customWidth="1"/>
    <col min="13" max="14" width="8.5546875" hidden="1" customWidth="1"/>
    <col min="15" max="15" width="8.44140625" hidden="1" customWidth="1"/>
    <col min="16" max="16" width="6.5546875" hidden="1" customWidth="1"/>
    <col min="17" max="17" width="8.5546875" customWidth="1"/>
    <col min="18" max="18" width="7.5546875" hidden="1" customWidth="1"/>
    <col min="19" max="19" width="8.5546875" hidden="1" customWidth="1"/>
    <col min="20" max="20" width="0" hidden="1" customWidth="1"/>
    <col min="21" max="21" width="9.44140625" hidden="1" customWidth="1"/>
    <col min="22" max="23" width="8.5546875" hidden="1" customWidth="1"/>
    <col min="24" max="24" width="7.5546875" hidden="1" customWidth="1"/>
    <col min="25" max="25" width="8.5546875" customWidth="1"/>
    <col min="26" max="26" width="0" hidden="1" customWidth="1"/>
    <col min="27" max="27" width="8.44140625" hidden="1" customWidth="1"/>
    <col min="28" max="28" width="9.44140625" hidden="1" customWidth="1"/>
    <col min="29" max="29" width="7.5546875" hidden="1" customWidth="1"/>
    <col min="30" max="30" width="8.44140625" hidden="1" customWidth="1"/>
    <col min="31" max="31" width="0" hidden="1" customWidth="1"/>
    <col min="32" max="32" width="8.5546875" hidden="1" customWidth="1"/>
    <col min="33" max="33" width="9.44140625" customWidth="1"/>
    <col min="34" max="34" width="8.5546875" customWidth="1"/>
    <col min="35" max="35" width="8.44140625" customWidth="1"/>
    <col min="36" max="36" width="8" customWidth="1"/>
    <col min="37" max="37" width="9" customWidth="1"/>
    <col min="38" max="38" width="8.5546875" customWidth="1"/>
    <col min="39" max="39" width="8.44140625" customWidth="1"/>
    <col min="41" max="42" width="8.44140625" customWidth="1"/>
    <col min="43" max="43" width="7.5546875" customWidth="1"/>
    <col min="44" max="44" width="8.44140625" customWidth="1"/>
    <col min="45" max="45" width="7.5546875" customWidth="1"/>
    <col min="46" max="46" width="6.5546875" customWidth="1"/>
    <col min="47" max="47" width="6.44140625" customWidth="1"/>
    <col min="48" max="48" width="7.5546875" customWidth="1"/>
    <col min="49" max="49" width="8.5546875" customWidth="1"/>
  </cols>
  <sheetData>
    <row r="1" spans="1:55" ht="15" thickBot="1" x14ac:dyDescent="0.35">
      <c r="B1" s="155" t="s">
        <v>184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29"/>
    </row>
    <row r="2" spans="1:55" x14ac:dyDescent="0.3">
      <c r="A2" s="1"/>
      <c r="B2" s="156" t="s">
        <v>185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 t="s">
        <v>186</v>
      </c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6"/>
      <c r="AX2" s="156"/>
      <c r="AY2" s="156"/>
      <c r="AZ2" s="156"/>
      <c r="BA2" s="156"/>
      <c r="BB2" s="157"/>
      <c r="BC2" s="30"/>
    </row>
    <row r="3" spans="1:55" x14ac:dyDescent="0.3">
      <c r="A3" s="2"/>
      <c r="B3" s="3">
        <v>16</v>
      </c>
      <c r="C3" s="3">
        <v>17</v>
      </c>
      <c r="D3" s="3">
        <v>18</v>
      </c>
      <c r="E3" s="3">
        <v>19</v>
      </c>
      <c r="F3" s="3">
        <v>20</v>
      </c>
      <c r="G3" s="3">
        <v>21</v>
      </c>
      <c r="H3" s="3">
        <v>22</v>
      </c>
      <c r="I3" s="3" t="s">
        <v>187</v>
      </c>
      <c r="J3" s="3">
        <v>23</v>
      </c>
      <c r="K3" s="3">
        <v>24</v>
      </c>
      <c r="L3" s="3">
        <v>25</v>
      </c>
      <c r="M3" s="3">
        <v>26</v>
      </c>
      <c r="N3" s="3">
        <v>27</v>
      </c>
      <c r="O3" s="3">
        <v>28</v>
      </c>
      <c r="P3" s="3">
        <v>29</v>
      </c>
      <c r="Q3" s="3" t="s">
        <v>187</v>
      </c>
      <c r="R3" s="3">
        <v>30</v>
      </c>
      <c r="S3" s="4">
        <v>31</v>
      </c>
      <c r="T3" s="4">
        <v>1</v>
      </c>
      <c r="U3" s="3">
        <v>2</v>
      </c>
      <c r="V3" s="3">
        <v>3</v>
      </c>
      <c r="W3" s="3">
        <v>4</v>
      </c>
      <c r="X3" s="3">
        <v>5</v>
      </c>
      <c r="Y3" s="3" t="s">
        <v>187</v>
      </c>
      <c r="Z3" s="3">
        <v>6</v>
      </c>
      <c r="AA3" s="3">
        <v>7</v>
      </c>
      <c r="AB3" s="3">
        <v>8</v>
      </c>
      <c r="AC3" s="3">
        <v>9</v>
      </c>
      <c r="AD3" s="3">
        <v>10</v>
      </c>
      <c r="AE3" s="3">
        <v>11</v>
      </c>
      <c r="AF3" s="3">
        <v>12</v>
      </c>
      <c r="AG3" s="3" t="s">
        <v>187</v>
      </c>
      <c r="AH3" s="3">
        <v>13</v>
      </c>
      <c r="AI3" s="3">
        <v>14</v>
      </c>
      <c r="AJ3" s="3">
        <v>15</v>
      </c>
      <c r="AK3" s="3">
        <v>16</v>
      </c>
      <c r="AL3" s="3">
        <v>17</v>
      </c>
      <c r="AM3" s="3">
        <v>18</v>
      </c>
      <c r="AN3" s="3">
        <v>19</v>
      </c>
      <c r="AO3" s="3" t="s">
        <v>187</v>
      </c>
      <c r="AP3" s="3">
        <v>20</v>
      </c>
      <c r="AQ3" s="3">
        <v>21</v>
      </c>
      <c r="AR3" s="3">
        <v>22</v>
      </c>
      <c r="AS3" s="3">
        <v>23</v>
      </c>
      <c r="AT3" s="3">
        <v>24</v>
      </c>
      <c r="AU3" s="3">
        <v>25</v>
      </c>
      <c r="AV3" s="3">
        <v>26</v>
      </c>
      <c r="AW3" s="3" t="s">
        <v>187</v>
      </c>
      <c r="AX3" s="3">
        <v>27</v>
      </c>
      <c r="AY3" s="3">
        <v>28</v>
      </c>
      <c r="AZ3" s="3">
        <v>29</v>
      </c>
      <c r="BA3" s="3">
        <v>30</v>
      </c>
      <c r="BB3" s="5">
        <v>31</v>
      </c>
    </row>
    <row r="4" spans="1:55" x14ac:dyDescent="0.3">
      <c r="A4" s="152" t="s">
        <v>136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4"/>
      <c r="BC4" s="31"/>
    </row>
    <row r="5" spans="1:55" x14ac:dyDescent="0.3">
      <c r="A5" s="6" t="s">
        <v>138</v>
      </c>
      <c r="B5" s="3"/>
      <c r="C5" s="3"/>
      <c r="D5" s="3"/>
      <c r="E5" s="3"/>
      <c r="F5" s="3"/>
      <c r="G5" s="3"/>
      <c r="H5" s="3"/>
      <c r="I5" s="7"/>
      <c r="J5" s="3"/>
      <c r="K5" s="3"/>
      <c r="L5" s="3"/>
      <c r="M5" s="8">
        <v>111</v>
      </c>
      <c r="N5" s="8">
        <v>152</v>
      </c>
      <c r="O5" s="8">
        <v>92</v>
      </c>
      <c r="P5" s="8">
        <v>34</v>
      </c>
      <c r="Q5" s="7"/>
      <c r="R5" s="8">
        <v>112</v>
      </c>
      <c r="S5" s="9">
        <v>221</v>
      </c>
      <c r="T5" s="8">
        <v>53</v>
      </c>
      <c r="U5" s="8">
        <v>161</v>
      </c>
      <c r="V5" s="8">
        <v>28</v>
      </c>
      <c r="W5" s="8">
        <v>55</v>
      </c>
      <c r="X5" s="8">
        <v>21</v>
      </c>
      <c r="Y5" s="7"/>
      <c r="Z5" s="8">
        <v>233</v>
      </c>
      <c r="AA5" s="8">
        <v>407</v>
      </c>
      <c r="AB5" s="8">
        <v>162</v>
      </c>
      <c r="AC5" s="8">
        <v>265</v>
      </c>
      <c r="AD5" s="8">
        <v>214</v>
      </c>
      <c r="AE5" s="8">
        <v>186</v>
      </c>
      <c r="AF5" s="8">
        <v>283</v>
      </c>
      <c r="AG5" s="7"/>
      <c r="AH5" s="8">
        <v>244</v>
      </c>
      <c r="AI5" s="8">
        <v>350</v>
      </c>
      <c r="AJ5" s="8">
        <v>206</v>
      </c>
      <c r="AK5" s="8">
        <v>438</v>
      </c>
      <c r="AL5" s="8">
        <v>283</v>
      </c>
      <c r="AM5" s="8">
        <v>84</v>
      </c>
      <c r="AN5" s="8">
        <v>90</v>
      </c>
      <c r="AO5" s="7"/>
      <c r="AP5" s="8">
        <v>213</v>
      </c>
      <c r="AQ5" s="8">
        <v>317</v>
      </c>
      <c r="AR5" s="8">
        <v>254</v>
      </c>
      <c r="AS5" s="8">
        <v>465</v>
      </c>
      <c r="AT5" s="8">
        <v>94</v>
      </c>
      <c r="AU5" s="8">
        <v>121</v>
      </c>
      <c r="AV5" s="8">
        <v>122</v>
      </c>
      <c r="AW5" s="7"/>
      <c r="AX5" s="3"/>
      <c r="AY5" s="3"/>
      <c r="AZ5" s="3"/>
      <c r="BA5" s="3"/>
      <c r="BB5" s="5"/>
    </row>
    <row r="6" spans="1:55" x14ac:dyDescent="0.3">
      <c r="A6" s="10" t="s">
        <v>140</v>
      </c>
      <c r="B6" s="3"/>
      <c r="C6" s="3"/>
      <c r="D6" s="3"/>
      <c r="E6" s="3"/>
      <c r="F6" s="3"/>
      <c r="G6" s="3"/>
      <c r="H6" s="3"/>
      <c r="I6" s="7"/>
      <c r="J6" s="3"/>
      <c r="K6" s="3"/>
      <c r="L6" s="3"/>
      <c r="M6" s="8">
        <v>6</v>
      </c>
      <c r="N6" s="8">
        <v>23</v>
      </c>
      <c r="O6" s="8">
        <v>17</v>
      </c>
      <c r="P6" s="8">
        <v>0</v>
      </c>
      <c r="Q6" s="7"/>
      <c r="R6" s="8">
        <v>16</v>
      </c>
      <c r="S6" s="9">
        <v>93</v>
      </c>
      <c r="T6" s="8">
        <v>12</v>
      </c>
      <c r="U6" s="11">
        <v>4</v>
      </c>
      <c r="V6" s="8">
        <v>1</v>
      </c>
      <c r="W6" s="8">
        <v>4</v>
      </c>
      <c r="X6" s="8">
        <v>4</v>
      </c>
      <c r="Y6" s="7"/>
      <c r="Z6" s="8">
        <v>16</v>
      </c>
      <c r="AA6" s="8">
        <v>51</v>
      </c>
      <c r="AB6" s="8">
        <v>18</v>
      </c>
      <c r="AC6" s="8">
        <v>21</v>
      </c>
      <c r="AD6" s="8">
        <v>2</v>
      </c>
      <c r="AE6" s="8">
        <v>97</v>
      </c>
      <c r="AF6" s="8">
        <v>11</v>
      </c>
      <c r="AG6" s="7"/>
      <c r="AH6" s="8">
        <v>24</v>
      </c>
      <c r="AI6" s="8">
        <v>14</v>
      </c>
      <c r="AJ6" s="8">
        <v>10</v>
      </c>
      <c r="AK6" s="8">
        <v>14</v>
      </c>
      <c r="AL6" s="8">
        <v>4</v>
      </c>
      <c r="AM6" s="8">
        <v>4</v>
      </c>
      <c r="AN6" s="8">
        <v>1</v>
      </c>
      <c r="AO6" s="7"/>
      <c r="AP6" s="8">
        <v>26</v>
      </c>
      <c r="AQ6" s="8">
        <v>32</v>
      </c>
      <c r="AR6" s="8">
        <v>7</v>
      </c>
      <c r="AS6" s="8">
        <v>7</v>
      </c>
      <c r="AT6" s="8">
        <v>6</v>
      </c>
      <c r="AU6" s="8">
        <v>13</v>
      </c>
      <c r="AV6" s="8">
        <v>24</v>
      </c>
      <c r="AW6" s="7" t="s">
        <v>188</v>
      </c>
      <c r="AX6" s="3"/>
      <c r="AY6" s="3"/>
      <c r="AZ6" s="3"/>
      <c r="BA6" s="3"/>
      <c r="BB6" s="5"/>
    </row>
    <row r="7" spans="1:55" x14ac:dyDescent="0.3">
      <c r="A7" s="6" t="s">
        <v>142</v>
      </c>
      <c r="B7" s="3"/>
      <c r="C7" s="3"/>
      <c r="E7" s="3"/>
      <c r="F7" s="3"/>
      <c r="G7" s="3"/>
      <c r="H7" s="3"/>
      <c r="I7" s="7"/>
      <c r="J7" s="3"/>
      <c r="K7" s="3"/>
      <c r="L7" s="3"/>
      <c r="M7" s="12">
        <v>0.97299999999999998</v>
      </c>
      <c r="N7" s="13">
        <v>0.94740000000000002</v>
      </c>
      <c r="O7" s="13">
        <v>0.94569999999999999</v>
      </c>
      <c r="P7" s="14">
        <v>1</v>
      </c>
      <c r="Q7" s="28">
        <f>AVERAGE(M7:P7)</f>
        <v>0.96652499999999997</v>
      </c>
      <c r="R7" s="12">
        <v>0.98209999999999997</v>
      </c>
      <c r="S7" s="15">
        <v>1</v>
      </c>
      <c r="T7" s="16">
        <v>0.88680000000000003</v>
      </c>
      <c r="U7" s="12">
        <v>0.99380000000000002</v>
      </c>
      <c r="V7" s="12">
        <v>0.96430000000000005</v>
      </c>
      <c r="W7" s="12">
        <v>0.98180000000000001</v>
      </c>
      <c r="X7" s="14">
        <v>1</v>
      </c>
      <c r="Y7" s="28">
        <f>AVERAGE(R7:X7)</f>
        <v>0.97268571428571426</v>
      </c>
      <c r="Z7" s="12">
        <v>0.98280000000000001</v>
      </c>
      <c r="AA7" s="12">
        <v>0.98770000000000002</v>
      </c>
      <c r="AB7" s="14">
        <v>1</v>
      </c>
      <c r="AC7" s="14">
        <v>1</v>
      </c>
      <c r="AD7" s="13">
        <v>0.90649999999999997</v>
      </c>
      <c r="AE7" s="13">
        <v>0.94830000000000003</v>
      </c>
      <c r="AF7" s="14">
        <v>1</v>
      </c>
      <c r="AG7" s="28">
        <f>AVERAGE(Z7:AF7)</f>
        <v>0.9750428571428571</v>
      </c>
      <c r="AH7" s="12">
        <v>0.97130000000000005</v>
      </c>
      <c r="AI7" s="12">
        <v>0.99139999999999995</v>
      </c>
      <c r="AJ7" s="12">
        <v>0.99509999999999998</v>
      </c>
      <c r="AK7" s="12">
        <v>0.99770000000000003</v>
      </c>
      <c r="AL7" s="14">
        <v>0.99299999999999999</v>
      </c>
      <c r="AM7" s="14">
        <v>1</v>
      </c>
      <c r="AN7" s="14">
        <v>1</v>
      </c>
      <c r="AO7" s="28">
        <f>AVERAGE(AH7:AN7)</f>
        <v>0.99264285714285716</v>
      </c>
      <c r="AP7" s="12">
        <v>0.99529999999999996</v>
      </c>
      <c r="AQ7" s="14">
        <v>1</v>
      </c>
      <c r="AR7" s="14">
        <v>1</v>
      </c>
      <c r="AS7" s="14">
        <v>1</v>
      </c>
      <c r="AT7" s="12">
        <v>0.98939999999999995</v>
      </c>
      <c r="AU7" s="14">
        <v>1</v>
      </c>
      <c r="AV7" s="14">
        <v>1</v>
      </c>
      <c r="AW7" s="28">
        <f>AVERAGE(AP7:AV7)</f>
        <v>0.99781428571428576</v>
      </c>
      <c r="AX7" s="3"/>
      <c r="AY7" s="3"/>
      <c r="AZ7" s="3"/>
      <c r="BA7" s="3"/>
      <c r="BB7" s="5"/>
    </row>
    <row r="8" spans="1:55" x14ac:dyDescent="0.3">
      <c r="A8" s="6" t="s">
        <v>144</v>
      </c>
      <c r="B8" s="3"/>
      <c r="C8" s="3"/>
      <c r="D8" s="3"/>
      <c r="E8" s="3"/>
      <c r="F8" s="3"/>
      <c r="G8" s="3"/>
      <c r="H8" s="3"/>
      <c r="I8" s="7"/>
      <c r="J8" s="3"/>
      <c r="K8" s="3"/>
      <c r="L8" s="3"/>
      <c r="M8" s="13">
        <v>0.98199999999999998</v>
      </c>
      <c r="N8" s="13">
        <v>0.95389999999999997</v>
      </c>
      <c r="O8" s="13">
        <v>0.94569999999999999</v>
      </c>
      <c r="P8" s="14">
        <v>1</v>
      </c>
      <c r="Q8" s="28">
        <f>AVERAGE(M8:P8)</f>
        <v>0.97039999999999993</v>
      </c>
      <c r="R8" s="12">
        <v>0.99109999999999998</v>
      </c>
      <c r="S8" s="15">
        <v>1</v>
      </c>
      <c r="T8" s="16">
        <v>0.96299999999999997</v>
      </c>
      <c r="U8" s="15">
        <v>1</v>
      </c>
      <c r="V8" s="15">
        <v>1</v>
      </c>
      <c r="W8" s="13">
        <v>0.98180000000000001</v>
      </c>
      <c r="X8" s="15">
        <v>1</v>
      </c>
      <c r="Y8" s="28">
        <f>AVERAGE(R8:X8)</f>
        <v>0.99084285714285714</v>
      </c>
      <c r="Z8" s="14">
        <v>1</v>
      </c>
      <c r="AA8" s="12">
        <v>0.99750000000000005</v>
      </c>
      <c r="AB8" s="14">
        <v>1</v>
      </c>
      <c r="AC8" s="14">
        <v>1</v>
      </c>
      <c r="AD8" s="17">
        <v>0.93520000000000003</v>
      </c>
      <c r="AE8" s="17">
        <v>0.94830000000000003</v>
      </c>
      <c r="AF8" s="14">
        <v>1</v>
      </c>
      <c r="AG8" s="28">
        <f>AVERAGE(Z8:AF8)</f>
        <v>0.98299999999999998</v>
      </c>
      <c r="AH8" s="17">
        <v>0.98360000000000003</v>
      </c>
      <c r="AI8" s="14">
        <v>1</v>
      </c>
      <c r="AJ8" s="14">
        <v>1</v>
      </c>
      <c r="AK8" s="14">
        <v>1</v>
      </c>
      <c r="AL8" s="14">
        <v>1</v>
      </c>
      <c r="AM8" s="14">
        <v>1</v>
      </c>
      <c r="AN8" s="14">
        <v>1</v>
      </c>
      <c r="AO8" s="28">
        <f>AVERAGE(AH8:AN8)</f>
        <v>0.99765714285714291</v>
      </c>
      <c r="AP8" s="14">
        <v>1</v>
      </c>
      <c r="AQ8" s="14">
        <v>1</v>
      </c>
      <c r="AR8" s="14">
        <v>1</v>
      </c>
      <c r="AS8" s="14">
        <v>1</v>
      </c>
      <c r="AT8" s="14">
        <v>1</v>
      </c>
      <c r="AU8" s="14">
        <v>1</v>
      </c>
      <c r="AV8" s="14">
        <v>1</v>
      </c>
      <c r="AW8" s="28">
        <f>AVERAGE(AP8:AV8)</f>
        <v>1</v>
      </c>
      <c r="AX8" s="3"/>
      <c r="AY8" s="3"/>
      <c r="AZ8" s="3"/>
      <c r="BA8" s="3"/>
      <c r="BB8" s="5"/>
    </row>
    <row r="9" spans="1:55" x14ac:dyDescent="0.3">
      <c r="A9" s="6" t="s">
        <v>40</v>
      </c>
      <c r="B9" s="3"/>
      <c r="C9" s="3"/>
      <c r="D9" s="3"/>
      <c r="E9" s="3"/>
      <c r="F9" s="3"/>
      <c r="G9" s="3"/>
      <c r="H9" s="3"/>
      <c r="I9" s="7"/>
      <c r="J9" s="3"/>
      <c r="K9" s="3"/>
      <c r="L9" s="3"/>
      <c r="M9" s="14">
        <v>1</v>
      </c>
      <c r="N9" s="13">
        <v>0.82609999999999995</v>
      </c>
      <c r="O9" s="17">
        <v>0.70589999999999997</v>
      </c>
      <c r="P9" s="14" t="s">
        <v>15</v>
      </c>
      <c r="Q9" s="28">
        <f>AVERAGE(M9:P9)</f>
        <v>0.84399999999999997</v>
      </c>
      <c r="R9" s="14">
        <v>1</v>
      </c>
      <c r="S9" s="12">
        <v>0.9758</v>
      </c>
      <c r="T9" s="16">
        <v>0.41670000000000001</v>
      </c>
      <c r="U9" s="15">
        <v>1</v>
      </c>
      <c r="V9" s="15">
        <v>1</v>
      </c>
      <c r="W9" s="15">
        <v>1</v>
      </c>
      <c r="X9" s="13">
        <v>0.75</v>
      </c>
      <c r="Y9" s="28">
        <f>AVERAGE(R9:X9)</f>
        <v>0.87750000000000006</v>
      </c>
      <c r="Z9" s="15">
        <v>1</v>
      </c>
      <c r="AA9" s="15">
        <v>1</v>
      </c>
      <c r="AB9" s="13">
        <v>0.66669999999999996</v>
      </c>
      <c r="AC9" s="18">
        <v>0.95240000000000002</v>
      </c>
      <c r="AD9" s="27">
        <v>1</v>
      </c>
      <c r="AE9" s="27">
        <v>1</v>
      </c>
      <c r="AF9" s="17">
        <v>0.93810000000000004</v>
      </c>
      <c r="AG9" s="28">
        <f>AVERAGE(Z9:AF9)</f>
        <v>0.9367428571428571</v>
      </c>
      <c r="AH9" s="12">
        <v>0.95830000000000004</v>
      </c>
      <c r="AI9" s="27">
        <v>1</v>
      </c>
      <c r="AJ9" s="27">
        <v>1</v>
      </c>
      <c r="AK9" s="27">
        <v>1</v>
      </c>
      <c r="AL9" s="27">
        <v>1</v>
      </c>
      <c r="AM9" s="27">
        <v>1</v>
      </c>
      <c r="AN9" s="27">
        <v>1</v>
      </c>
      <c r="AO9" s="28">
        <f>AVERAGE(AH9:AN9)</f>
        <v>0.99404285714285712</v>
      </c>
      <c r="AP9" s="12">
        <v>0.96150000000000002</v>
      </c>
      <c r="AQ9" s="27">
        <v>1</v>
      </c>
      <c r="AR9" s="17">
        <v>0.85709999999999997</v>
      </c>
      <c r="AS9" s="14">
        <v>1</v>
      </c>
      <c r="AT9" s="14">
        <v>1</v>
      </c>
      <c r="AU9" s="14">
        <v>1</v>
      </c>
      <c r="AV9" s="17">
        <v>0.875</v>
      </c>
      <c r="AW9" s="28">
        <f>AVERAGE(AP9:AV9)</f>
        <v>0.95622857142857143</v>
      </c>
      <c r="AX9" s="3"/>
      <c r="AY9" s="3"/>
      <c r="AZ9" s="3"/>
      <c r="BA9" s="3"/>
      <c r="BB9" s="5"/>
    </row>
    <row r="10" spans="1:55" x14ac:dyDescent="0.3">
      <c r="A10" s="6" t="s">
        <v>146</v>
      </c>
      <c r="B10" s="3"/>
      <c r="C10" s="3"/>
      <c r="D10" s="3"/>
      <c r="E10" s="3"/>
      <c r="F10" s="3"/>
      <c r="G10" s="3"/>
      <c r="H10" s="3"/>
      <c r="I10" s="7"/>
      <c r="J10" s="3"/>
      <c r="K10" s="3"/>
      <c r="L10" s="3"/>
      <c r="M10" s="14">
        <v>1</v>
      </c>
      <c r="N10" s="13">
        <v>0.91300000000000003</v>
      </c>
      <c r="O10" s="17">
        <v>0.70589999999999997</v>
      </c>
      <c r="P10" s="14" t="s">
        <v>15</v>
      </c>
      <c r="Q10" s="28">
        <f>AVERAGE(M10:P10)</f>
        <v>0.87296666666666667</v>
      </c>
      <c r="R10" s="14">
        <v>1</v>
      </c>
      <c r="S10" s="18">
        <v>0.98919999999999997</v>
      </c>
      <c r="T10" s="16">
        <v>0.58330000000000004</v>
      </c>
      <c r="U10" s="15">
        <v>1</v>
      </c>
      <c r="V10" s="15">
        <v>1</v>
      </c>
      <c r="W10" s="15">
        <v>1</v>
      </c>
      <c r="X10" s="15">
        <v>1</v>
      </c>
      <c r="Y10" s="28">
        <f>AVERAGE(R10:X10)</f>
        <v>0.93892857142857145</v>
      </c>
      <c r="Z10" s="15">
        <v>1</v>
      </c>
      <c r="AA10" s="15">
        <v>1</v>
      </c>
      <c r="AB10" s="13">
        <v>0.66669999999999996</v>
      </c>
      <c r="AC10" s="15">
        <v>1</v>
      </c>
      <c r="AD10" s="27">
        <v>1</v>
      </c>
      <c r="AE10" s="27">
        <v>1</v>
      </c>
      <c r="AF10" s="27">
        <v>1</v>
      </c>
      <c r="AG10" s="28">
        <f>AVERAGE(Z10:AF10)</f>
        <v>0.95238571428571439</v>
      </c>
      <c r="AH10" s="27">
        <v>1</v>
      </c>
      <c r="AI10" s="27">
        <v>1</v>
      </c>
      <c r="AJ10" s="27">
        <v>1</v>
      </c>
      <c r="AK10" s="27">
        <v>1</v>
      </c>
      <c r="AL10" s="27">
        <v>1</v>
      </c>
      <c r="AM10" s="27">
        <v>1</v>
      </c>
      <c r="AN10" s="27">
        <v>1</v>
      </c>
      <c r="AO10" s="28">
        <f>AVERAGE(AH10:AN10)</f>
        <v>1</v>
      </c>
      <c r="AP10" s="17">
        <v>0.96150000000000002</v>
      </c>
      <c r="AQ10" s="27">
        <v>1</v>
      </c>
      <c r="AR10" s="17">
        <v>0.85709999999999997</v>
      </c>
      <c r="AS10" s="14">
        <v>1</v>
      </c>
      <c r="AT10" s="14">
        <v>1</v>
      </c>
      <c r="AU10" s="14">
        <v>1</v>
      </c>
      <c r="AV10" s="17">
        <v>0.91669999999999996</v>
      </c>
      <c r="AW10" s="28">
        <f>AVERAGE(AP10:AV10)</f>
        <v>0.9621857142857142</v>
      </c>
      <c r="AX10" s="3"/>
      <c r="AY10" s="3"/>
      <c r="AZ10" s="3"/>
      <c r="BA10" s="3"/>
      <c r="BB10" s="5"/>
    </row>
    <row r="11" spans="1:55" ht="15.75" customHeight="1" x14ac:dyDescent="0.3">
      <c r="A11" s="6" t="s">
        <v>148</v>
      </c>
      <c r="B11" s="3"/>
      <c r="C11" s="3"/>
      <c r="D11" s="3"/>
      <c r="E11" s="3"/>
      <c r="F11" s="3"/>
      <c r="G11" s="3"/>
      <c r="H11" s="3"/>
      <c r="I11" s="7"/>
      <c r="J11" s="3"/>
      <c r="K11" s="3"/>
      <c r="L11" s="3"/>
      <c r="M11" s="19">
        <v>0</v>
      </c>
      <c r="N11" s="19">
        <v>0</v>
      </c>
      <c r="O11" s="19">
        <v>0</v>
      </c>
      <c r="P11" s="19">
        <v>0</v>
      </c>
      <c r="Q11" s="7"/>
      <c r="R11" s="19">
        <v>0</v>
      </c>
      <c r="S11" s="20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7"/>
      <c r="Z11" s="19">
        <v>0</v>
      </c>
      <c r="AA11" s="19">
        <v>0</v>
      </c>
      <c r="AB11" s="19">
        <v>0</v>
      </c>
      <c r="AC11" s="24">
        <v>1</v>
      </c>
      <c r="AD11" s="19">
        <v>0</v>
      </c>
      <c r="AE11" s="19">
        <v>0</v>
      </c>
      <c r="AF11" s="19">
        <v>0</v>
      </c>
      <c r="AG11" s="7"/>
      <c r="AH11" s="24">
        <v>1</v>
      </c>
      <c r="AI11" s="19">
        <v>0</v>
      </c>
      <c r="AJ11" s="24">
        <v>2</v>
      </c>
      <c r="AK11" s="19">
        <v>0</v>
      </c>
      <c r="AL11" s="19">
        <v>1</v>
      </c>
      <c r="AM11" s="19">
        <v>0</v>
      </c>
      <c r="AN11" s="19">
        <v>0</v>
      </c>
      <c r="AO11" s="7"/>
      <c r="AP11" s="19">
        <v>0</v>
      </c>
      <c r="AQ11" s="24">
        <v>1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7"/>
      <c r="AX11" s="3"/>
      <c r="AY11" s="3"/>
      <c r="AZ11" s="3"/>
      <c r="BA11" s="3"/>
      <c r="BB11" s="5"/>
    </row>
    <row r="12" spans="1:55" x14ac:dyDescent="0.3">
      <c r="A12" s="152" t="s">
        <v>150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4"/>
      <c r="BC12" s="31"/>
    </row>
    <row r="13" spans="1:55" x14ac:dyDescent="0.3">
      <c r="A13" s="6" t="s">
        <v>151</v>
      </c>
      <c r="B13" s="3"/>
      <c r="C13" s="3"/>
      <c r="D13" s="3"/>
      <c r="E13" s="3"/>
      <c r="F13" s="3"/>
      <c r="G13" s="3"/>
      <c r="H13" s="3"/>
      <c r="I13" s="7"/>
      <c r="J13" s="3"/>
      <c r="K13" s="3"/>
      <c r="L13" s="3"/>
      <c r="M13" s="19" t="s">
        <v>189</v>
      </c>
      <c r="N13" s="19" t="s">
        <v>189</v>
      </c>
      <c r="O13" s="11" t="s">
        <v>15</v>
      </c>
      <c r="P13" s="11" t="s">
        <v>15</v>
      </c>
      <c r="Q13" s="7"/>
      <c r="R13" s="19" t="s">
        <v>189</v>
      </c>
      <c r="S13" s="20" t="s">
        <v>189</v>
      </c>
      <c r="T13" s="21" t="s">
        <v>15</v>
      </c>
      <c r="U13" s="19" t="s">
        <v>189</v>
      </c>
      <c r="V13" s="19" t="s">
        <v>189</v>
      </c>
      <c r="W13" s="11" t="s">
        <v>15</v>
      </c>
      <c r="X13" s="11" t="s">
        <v>15</v>
      </c>
      <c r="Y13" s="7"/>
      <c r="Z13" s="19" t="s">
        <v>189</v>
      </c>
      <c r="AA13" s="19" t="s">
        <v>189</v>
      </c>
      <c r="AB13" s="19" t="s">
        <v>189</v>
      </c>
      <c r="AC13" s="11" t="s">
        <v>15</v>
      </c>
      <c r="AD13" s="19" t="s">
        <v>189</v>
      </c>
      <c r="AE13" s="11" t="s">
        <v>15</v>
      </c>
      <c r="AF13" s="11" t="s">
        <v>15</v>
      </c>
      <c r="AG13" s="7"/>
      <c r="AH13" s="19" t="s">
        <v>189</v>
      </c>
      <c r="AI13" s="19" t="s">
        <v>189</v>
      </c>
      <c r="AJ13" s="19" t="s">
        <v>189</v>
      </c>
      <c r="AK13" s="19" t="s">
        <v>189</v>
      </c>
      <c r="AL13" s="19" t="s">
        <v>189</v>
      </c>
      <c r="AM13" s="11" t="s">
        <v>15</v>
      </c>
      <c r="AN13" s="11" t="s">
        <v>15</v>
      </c>
      <c r="AO13" s="7"/>
      <c r="AP13" s="19" t="s">
        <v>189</v>
      </c>
      <c r="AQ13" s="19" t="s">
        <v>189</v>
      </c>
      <c r="AR13" s="19" t="s">
        <v>189</v>
      </c>
      <c r="AS13" s="19" t="s">
        <v>189</v>
      </c>
      <c r="AT13" s="19" t="s">
        <v>189</v>
      </c>
      <c r="AU13" s="11" t="s">
        <v>15</v>
      </c>
      <c r="AV13" s="11" t="s">
        <v>15</v>
      </c>
      <c r="AW13" s="7"/>
      <c r="AX13" s="3"/>
      <c r="AY13" s="3"/>
      <c r="AZ13" s="3"/>
      <c r="BA13" s="3"/>
      <c r="BB13" s="5"/>
    </row>
    <row r="14" spans="1:55" x14ac:dyDescent="0.3">
      <c r="A14" s="6" t="s">
        <v>154</v>
      </c>
      <c r="B14" s="3"/>
      <c r="C14" s="3"/>
      <c r="D14" s="3"/>
      <c r="E14" s="3"/>
      <c r="F14" s="3"/>
      <c r="G14" s="3"/>
      <c r="H14" s="3"/>
      <c r="I14" s="7"/>
      <c r="J14" s="3"/>
      <c r="K14" s="3"/>
      <c r="L14" s="3"/>
      <c r="M14" s="19" t="s">
        <v>189</v>
      </c>
      <c r="N14" s="19" t="s">
        <v>189</v>
      </c>
      <c r="O14" s="11" t="s">
        <v>15</v>
      </c>
      <c r="P14" s="11" t="s">
        <v>15</v>
      </c>
      <c r="Q14" s="7"/>
      <c r="R14" s="19" t="s">
        <v>189</v>
      </c>
      <c r="S14" s="22" t="s">
        <v>190</v>
      </c>
      <c r="T14" s="23" t="s">
        <v>15</v>
      </c>
      <c r="U14" s="24" t="s">
        <v>190</v>
      </c>
      <c r="V14" s="19" t="s">
        <v>189</v>
      </c>
      <c r="W14" s="11" t="s">
        <v>15</v>
      </c>
      <c r="X14" s="11" t="s">
        <v>15</v>
      </c>
      <c r="Y14" s="7"/>
      <c r="Z14" s="19" t="s">
        <v>189</v>
      </c>
      <c r="AA14" s="19" t="s">
        <v>189</v>
      </c>
      <c r="AB14" s="24" t="s">
        <v>190</v>
      </c>
      <c r="AC14" s="11" t="s">
        <v>15</v>
      </c>
      <c r="AD14" s="24" t="s">
        <v>190</v>
      </c>
      <c r="AE14" s="11" t="s">
        <v>15</v>
      </c>
      <c r="AF14" s="11" t="s">
        <v>15</v>
      </c>
      <c r="AG14" s="7"/>
      <c r="AH14" s="19" t="s">
        <v>189</v>
      </c>
      <c r="AI14" s="19" t="s">
        <v>189</v>
      </c>
      <c r="AJ14" s="19" t="s">
        <v>189</v>
      </c>
      <c r="AK14" s="19" t="s">
        <v>189</v>
      </c>
      <c r="AL14" s="19" t="s">
        <v>189</v>
      </c>
      <c r="AM14" s="11" t="s">
        <v>15</v>
      </c>
      <c r="AN14" s="11" t="s">
        <v>15</v>
      </c>
      <c r="AO14" s="7"/>
      <c r="AP14" s="19" t="s">
        <v>189</v>
      </c>
      <c r="AQ14" s="19" t="s">
        <v>189</v>
      </c>
      <c r="AR14" s="19" t="s">
        <v>189</v>
      </c>
      <c r="AS14" s="19" t="s">
        <v>189</v>
      </c>
      <c r="AT14" s="19" t="s">
        <v>189</v>
      </c>
      <c r="AU14" s="11" t="s">
        <v>15</v>
      </c>
      <c r="AV14" s="11" t="s">
        <v>15</v>
      </c>
      <c r="AW14" s="7"/>
      <c r="AX14" s="3"/>
      <c r="AY14" s="3"/>
      <c r="AZ14" s="3"/>
      <c r="BA14" s="3"/>
      <c r="BB14" s="5"/>
    </row>
    <row r="15" spans="1:55" x14ac:dyDescent="0.3">
      <c r="A15" s="6" t="s">
        <v>156</v>
      </c>
      <c r="B15" s="3"/>
      <c r="C15" s="3"/>
      <c r="D15" s="3"/>
      <c r="E15" s="3"/>
      <c r="F15" s="3"/>
      <c r="G15" s="3"/>
      <c r="H15" s="3"/>
      <c r="I15" s="7"/>
      <c r="J15" s="3"/>
      <c r="K15" s="3"/>
      <c r="L15" s="3"/>
      <c r="M15" s="3"/>
      <c r="N15" s="3"/>
      <c r="O15" s="3"/>
      <c r="P15" s="3"/>
      <c r="Q15" s="7"/>
      <c r="R15" s="19">
        <v>0</v>
      </c>
      <c r="S15" s="25">
        <v>1</v>
      </c>
      <c r="T15" s="26">
        <v>0</v>
      </c>
      <c r="U15" s="26">
        <v>0</v>
      </c>
      <c r="V15" s="19">
        <v>0</v>
      </c>
      <c r="W15" s="3"/>
      <c r="X15" s="3"/>
      <c r="Y15" s="7"/>
      <c r="Z15" s="24">
        <v>1</v>
      </c>
      <c r="AA15" s="19">
        <v>0</v>
      </c>
      <c r="AB15" s="19">
        <v>0</v>
      </c>
      <c r="AC15" s="24">
        <v>1</v>
      </c>
      <c r="AD15" s="19">
        <v>0</v>
      </c>
      <c r="AE15" s="19">
        <v>0</v>
      </c>
      <c r="AF15" s="19">
        <v>0</v>
      </c>
      <c r="AG15" s="7"/>
      <c r="AH15" s="19">
        <v>0</v>
      </c>
      <c r="AI15" s="19">
        <v>0</v>
      </c>
      <c r="AJ15" s="19">
        <v>0</v>
      </c>
      <c r="AK15" s="19">
        <v>0</v>
      </c>
      <c r="AL15" s="24">
        <v>1</v>
      </c>
      <c r="AM15" s="19">
        <v>0</v>
      </c>
      <c r="AN15" s="19">
        <v>0</v>
      </c>
      <c r="AO15" s="7"/>
      <c r="AP15" s="19">
        <v>0</v>
      </c>
      <c r="AQ15" s="24">
        <v>1</v>
      </c>
      <c r="AR15" s="24">
        <v>1</v>
      </c>
      <c r="AS15" s="19">
        <v>0</v>
      </c>
      <c r="AT15" s="24">
        <v>1</v>
      </c>
      <c r="AU15" s="19">
        <v>0</v>
      </c>
      <c r="AV15" s="19">
        <v>0</v>
      </c>
      <c r="AW15" s="7"/>
      <c r="AX15" s="3"/>
      <c r="AY15" s="3"/>
      <c r="AZ15" s="3"/>
      <c r="BA15" s="3"/>
      <c r="BB15" s="5"/>
    </row>
    <row r="16" spans="1:55" x14ac:dyDescent="0.3">
      <c r="A16" s="152" t="s">
        <v>32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4"/>
      <c r="BC16" s="31"/>
    </row>
    <row r="17" spans="1:55" x14ac:dyDescent="0.3">
      <c r="A17" s="6" t="s">
        <v>191</v>
      </c>
      <c r="B17" s="3"/>
      <c r="C17" s="3"/>
      <c r="D17" s="3"/>
      <c r="E17" s="3"/>
      <c r="F17" s="3"/>
      <c r="G17" s="3"/>
      <c r="H17" s="3"/>
      <c r="I17" s="7"/>
      <c r="J17" s="3"/>
      <c r="K17" s="3"/>
      <c r="L17" s="3"/>
      <c r="M17" s="8">
        <v>16</v>
      </c>
      <c r="N17" s="8">
        <v>13</v>
      </c>
      <c r="O17" s="8">
        <v>12</v>
      </c>
      <c r="P17" s="8">
        <v>2</v>
      </c>
      <c r="Q17" s="7"/>
      <c r="R17" s="8">
        <v>17</v>
      </c>
      <c r="S17" s="9">
        <v>20</v>
      </c>
      <c r="T17" s="8">
        <v>8</v>
      </c>
      <c r="U17" s="8">
        <v>7</v>
      </c>
      <c r="V17" s="8">
        <v>10</v>
      </c>
      <c r="W17" s="8">
        <v>1</v>
      </c>
      <c r="X17" s="8">
        <v>2</v>
      </c>
      <c r="Y17" s="7"/>
      <c r="Z17" s="8">
        <v>21</v>
      </c>
      <c r="AA17" s="8">
        <v>16</v>
      </c>
      <c r="AB17" s="8">
        <v>11</v>
      </c>
      <c r="AC17" s="8">
        <v>19</v>
      </c>
      <c r="AD17" s="8">
        <v>8</v>
      </c>
      <c r="AE17" s="8">
        <v>5</v>
      </c>
      <c r="AF17" s="8">
        <v>7</v>
      </c>
      <c r="AG17" s="7"/>
      <c r="AH17" s="8">
        <v>15</v>
      </c>
      <c r="AI17" s="8">
        <v>7</v>
      </c>
      <c r="AJ17" s="8">
        <v>15</v>
      </c>
      <c r="AK17" s="8">
        <v>14</v>
      </c>
      <c r="AL17" s="8">
        <v>10</v>
      </c>
      <c r="AM17" s="8">
        <v>3</v>
      </c>
      <c r="AN17" s="8">
        <v>5</v>
      </c>
      <c r="AO17" s="7"/>
      <c r="AP17" s="8">
        <v>8</v>
      </c>
      <c r="AQ17" s="8">
        <v>11</v>
      </c>
      <c r="AR17" s="8">
        <v>8</v>
      </c>
      <c r="AS17" s="8">
        <v>9</v>
      </c>
      <c r="AT17" s="8">
        <v>4</v>
      </c>
      <c r="AU17" s="8">
        <v>4</v>
      </c>
      <c r="AV17" s="8">
        <v>5</v>
      </c>
      <c r="AW17" s="7"/>
      <c r="AX17" s="3"/>
      <c r="AY17" s="3"/>
      <c r="AZ17" s="3"/>
      <c r="BA17" s="3"/>
      <c r="BB17" s="5"/>
    </row>
    <row r="18" spans="1:55" x14ac:dyDescent="0.3">
      <c r="A18" s="6" t="s">
        <v>192</v>
      </c>
      <c r="B18" s="3"/>
      <c r="C18" s="3"/>
      <c r="D18" s="3"/>
      <c r="E18" s="3"/>
      <c r="F18" s="3"/>
      <c r="G18" s="3"/>
      <c r="H18" s="3"/>
      <c r="I18" s="7"/>
      <c r="J18" s="3"/>
      <c r="K18" s="3"/>
      <c r="L18" s="3"/>
      <c r="M18" s="8">
        <v>15</v>
      </c>
      <c r="N18" s="8">
        <v>16</v>
      </c>
      <c r="O18" s="8">
        <v>4</v>
      </c>
      <c r="P18" s="8">
        <v>2</v>
      </c>
      <c r="Q18" s="7"/>
      <c r="R18" s="8">
        <v>28</v>
      </c>
      <c r="S18" s="9">
        <v>23</v>
      </c>
      <c r="T18" s="8">
        <v>6</v>
      </c>
      <c r="U18" s="8">
        <v>10</v>
      </c>
      <c r="V18" s="8">
        <v>9</v>
      </c>
      <c r="W18" s="8">
        <v>0</v>
      </c>
      <c r="X18" s="8">
        <v>2</v>
      </c>
      <c r="Y18" s="7"/>
      <c r="Z18" s="8">
        <v>12</v>
      </c>
      <c r="AA18" s="8">
        <v>18</v>
      </c>
      <c r="AB18" s="8">
        <v>15</v>
      </c>
      <c r="AC18" s="8">
        <v>13</v>
      </c>
      <c r="AD18" s="8">
        <v>11</v>
      </c>
      <c r="AE18" s="8">
        <v>2</v>
      </c>
      <c r="AF18" s="8">
        <v>5</v>
      </c>
      <c r="AG18" s="7"/>
      <c r="AH18" s="8">
        <v>23</v>
      </c>
      <c r="AI18" s="8">
        <v>18</v>
      </c>
      <c r="AJ18" s="8">
        <v>21</v>
      </c>
      <c r="AK18" s="8">
        <v>9</v>
      </c>
      <c r="AL18" s="8">
        <v>5</v>
      </c>
      <c r="AM18" s="8">
        <v>9</v>
      </c>
      <c r="AN18" s="8">
        <v>4</v>
      </c>
      <c r="AO18" s="7"/>
      <c r="AP18" s="8">
        <v>5</v>
      </c>
      <c r="AQ18" s="8">
        <v>13</v>
      </c>
      <c r="AR18" s="8">
        <v>7</v>
      </c>
      <c r="AS18" s="8">
        <v>5</v>
      </c>
      <c r="AT18" s="8">
        <v>9</v>
      </c>
      <c r="AU18" s="8">
        <v>4</v>
      </c>
      <c r="AV18" s="8">
        <v>3</v>
      </c>
      <c r="AW18" s="7"/>
      <c r="AX18" s="3"/>
      <c r="AY18" s="3"/>
      <c r="AZ18" s="3"/>
      <c r="BA18" s="3"/>
      <c r="BB18" s="5"/>
    </row>
    <row r="19" spans="1:55" x14ac:dyDescent="0.3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4"/>
      <c r="BC19" s="31"/>
    </row>
  </sheetData>
  <mergeCells count="7">
    <mergeCell ref="A16:BB16"/>
    <mergeCell ref="A19:BB19"/>
    <mergeCell ref="B1:BB1"/>
    <mergeCell ref="B2:T2"/>
    <mergeCell ref="U2:BB2"/>
    <mergeCell ref="A4:BB4"/>
    <mergeCell ref="A12:BB12"/>
  </mergeCells>
  <conditionalFormatting sqref="Q7">
    <cfRule type="expression" dxfId="19" priority="44">
      <formula>IF(Q7/I7&gt;0.95,TRUE,FALSE)</formula>
    </cfRule>
  </conditionalFormatting>
  <conditionalFormatting sqref="Q7:Q10">
    <cfRule type="expression" dxfId="18" priority="40">
      <formula>IF(Q7&gt;I7,TRUE,FALSE)</formula>
    </cfRule>
    <cfRule type="expression" dxfId="17" priority="41">
      <formula>IF(Q7/I7&lt;0.95,TRUE,FALSE)</formula>
    </cfRule>
    <cfRule type="expression" dxfId="16" priority="42">
      <formula>IF(AND(Q7&lt;I7,Q7/I7&gt;0.95),TRUE,FALSE)</formula>
    </cfRule>
  </conditionalFormatting>
  <conditionalFormatting sqref="Y7">
    <cfRule type="expression" dxfId="15" priority="38">
      <formula>IF(Y7/Q7&gt;0.95,TRUE,FALSE)</formula>
    </cfRule>
  </conditionalFormatting>
  <conditionalFormatting sqref="Y7:Y10">
    <cfRule type="expression" dxfId="14" priority="34">
      <formula>IF(Y7&gt;Q7,TRUE,FALSE)</formula>
    </cfRule>
    <cfRule type="expression" dxfId="13" priority="35">
      <formula>IF(Y7/Q7&lt;0.95,TRUE,FALSE)</formula>
    </cfRule>
    <cfRule type="expression" dxfId="12" priority="36">
      <formula>IF(AND(Y7&lt;Q7,Y7/Q7&gt;0.95),TRUE,FALSE)</formula>
    </cfRule>
  </conditionalFormatting>
  <conditionalFormatting sqref="AG7">
    <cfRule type="expression" dxfId="11" priority="32">
      <formula>IF(AG7/Y7&gt;0.95,TRUE,FALSE)</formula>
    </cfRule>
  </conditionalFormatting>
  <conditionalFormatting sqref="AG7:AG10">
    <cfRule type="expression" dxfId="10" priority="28">
      <formula>IF(AG7&gt;Y7,TRUE,FALSE)</formula>
    </cfRule>
    <cfRule type="expression" dxfId="9" priority="29">
      <formula>IF(AG7/Y7&lt;0.95,TRUE,FALSE)</formula>
    </cfRule>
    <cfRule type="expression" dxfId="8" priority="30">
      <formula>IF(AND(AG7&lt;Y7,AG7/Y7&gt;0.95),TRUE,FALSE)</formula>
    </cfRule>
  </conditionalFormatting>
  <conditionalFormatting sqref="AO7">
    <cfRule type="expression" dxfId="7" priority="26">
      <formula>IF(AO7/AG7&gt;0.95,TRUE,FALSE)</formula>
    </cfRule>
  </conditionalFormatting>
  <conditionalFormatting sqref="AO7:AO10">
    <cfRule type="expression" dxfId="6" priority="22">
      <formula>IF(AO7&gt;AG7,TRUE,FALSE)</formula>
    </cfRule>
    <cfRule type="expression" dxfId="5" priority="23">
      <formula>IF(AO7/AG7&lt;0.95,TRUE,FALSE)</formula>
    </cfRule>
    <cfRule type="expression" dxfId="4" priority="24">
      <formula>IF(AND(AO7&lt;AG7,AO7/AG7&gt;0.95),TRUE,FALSE)</formula>
    </cfRule>
  </conditionalFormatting>
  <conditionalFormatting sqref="AW7">
    <cfRule type="expression" dxfId="3" priority="20">
      <formula>IF(AW7/AO7&gt;0.95,TRUE,FALSE)</formula>
    </cfRule>
  </conditionalFormatting>
  <conditionalFormatting sqref="AW7:AW10">
    <cfRule type="expression" dxfId="2" priority="16">
      <formula>IF(AW7&gt;AO7,TRUE,FALSE)</formula>
    </cfRule>
    <cfRule type="expression" dxfId="1" priority="17">
      <formula>IF(AW7/AO7&lt;0.95,TRUE,FALSE)</formula>
    </cfRule>
    <cfRule type="expression" dxfId="0" priority="18">
      <formula>IF(AND(AW7&lt;AO7,AW7/AO7&gt;0.95),TRUE,FALSE)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B8"/>
  <sheetViews>
    <sheetView showGridLines="0" topLeftCell="B1" workbookViewId="0">
      <selection activeCell="C13" sqref="C13"/>
    </sheetView>
  </sheetViews>
  <sheetFormatPr baseColWidth="10" defaultColWidth="9.44140625" defaultRowHeight="10.199999999999999" x14ac:dyDescent="0.2"/>
  <cols>
    <col min="1" max="1" width="9.44140625" style="112"/>
    <col min="2" max="2" width="17.5546875" style="118" bestFit="1" customWidth="1"/>
    <col min="3" max="3" width="6.5546875" style="119" bestFit="1" customWidth="1"/>
    <col min="4" max="4" width="6" style="119" bestFit="1" customWidth="1"/>
    <col min="5" max="9" width="6.5546875" style="120" bestFit="1" customWidth="1"/>
    <col min="10" max="19" width="6.5546875" style="119" bestFit="1" customWidth="1"/>
    <col min="20" max="52" width="6.5546875" style="112" bestFit="1" customWidth="1"/>
    <col min="53" max="54" width="5" style="112" bestFit="1" customWidth="1"/>
    <col min="55" max="16384" width="9.44140625" style="112"/>
  </cols>
  <sheetData>
    <row r="1" spans="2:54" ht="21" customHeight="1" x14ac:dyDescent="0.2">
      <c r="B1" s="114"/>
      <c r="C1" s="122">
        <v>43466</v>
      </c>
      <c r="D1" s="122">
        <v>43497</v>
      </c>
      <c r="E1" s="122">
        <v>43525</v>
      </c>
      <c r="F1" s="122">
        <v>43556</v>
      </c>
      <c r="G1" s="122">
        <v>43586</v>
      </c>
      <c r="H1" s="122">
        <v>43617</v>
      </c>
      <c r="I1" s="122">
        <v>43647</v>
      </c>
      <c r="J1" s="122">
        <v>43678</v>
      </c>
      <c r="K1" s="122">
        <v>43709</v>
      </c>
      <c r="L1" s="122">
        <v>43739</v>
      </c>
      <c r="M1" s="122">
        <v>43770</v>
      </c>
      <c r="N1" s="122">
        <v>43800</v>
      </c>
      <c r="O1" s="123">
        <v>43831</v>
      </c>
      <c r="P1" s="123">
        <v>43862</v>
      </c>
      <c r="Q1" s="123">
        <v>43891</v>
      </c>
      <c r="R1" s="123">
        <v>43922</v>
      </c>
      <c r="S1" s="123">
        <v>43952</v>
      </c>
      <c r="T1" s="123">
        <v>43983</v>
      </c>
    </row>
    <row r="2" spans="2:54" x14ac:dyDescent="0.2">
      <c r="B2" s="124" t="s">
        <v>144</v>
      </c>
      <c r="C2" s="113">
        <v>0.97992443555155229</v>
      </c>
      <c r="D2" s="113">
        <v>0.97923499330290376</v>
      </c>
      <c r="E2" s="113">
        <v>0.98859592204418012</v>
      </c>
      <c r="F2" s="113">
        <v>0.9819325264519978</v>
      </c>
      <c r="G2" s="113">
        <v>0.98517587943891793</v>
      </c>
      <c r="H2" s="113">
        <v>0.96232836781885966</v>
      </c>
      <c r="I2" s="113">
        <v>0.97247694928572226</v>
      </c>
      <c r="J2" s="113">
        <v>0.98948259065370392</v>
      </c>
      <c r="K2" s="113">
        <v>0.98771094515359692</v>
      </c>
      <c r="L2" s="113">
        <v>0.99258162187428334</v>
      </c>
      <c r="M2" s="113">
        <v>0.99438984796694418</v>
      </c>
      <c r="N2" s="113">
        <v>0.99207407523599178</v>
      </c>
      <c r="O2" s="113">
        <v>0.98325158699458748</v>
      </c>
      <c r="P2" s="113">
        <v>0.99702295947128849</v>
      </c>
      <c r="Q2" s="113">
        <v>0.98465616082144269</v>
      </c>
      <c r="R2" s="113">
        <v>0.98982377658418585</v>
      </c>
      <c r="S2" s="113">
        <v>0.98451790579093745</v>
      </c>
      <c r="T2" s="113">
        <v>0.98470000000000002</v>
      </c>
    </row>
    <row r="3" spans="2:54" x14ac:dyDescent="0.2">
      <c r="B3" s="124" t="s">
        <v>169</v>
      </c>
      <c r="C3" s="113">
        <v>0.97043010752688164</v>
      </c>
      <c r="D3" s="113">
        <v>0.99285714285714288</v>
      </c>
      <c r="E3" s="113">
        <v>0.91259600614439329</v>
      </c>
      <c r="F3" s="113">
        <v>0.96666666666666667</v>
      </c>
      <c r="G3" s="113">
        <v>0.9623655913978495</v>
      </c>
      <c r="H3" s="113">
        <v>0.97944444444444445</v>
      </c>
      <c r="I3" s="113">
        <v>0.93575268817204305</v>
      </c>
      <c r="J3" s="113">
        <v>1</v>
      </c>
      <c r="K3" s="113">
        <v>0.9916666666666667</v>
      </c>
      <c r="L3" s="113">
        <v>0.95722222222222231</v>
      </c>
      <c r="M3" s="113">
        <v>1</v>
      </c>
      <c r="N3" s="113">
        <v>1</v>
      </c>
      <c r="O3" s="113">
        <v>0.95967741935483875</v>
      </c>
      <c r="P3" s="113">
        <v>0.96264367816091956</v>
      </c>
      <c r="Q3" s="113">
        <v>0.92741935483870963</v>
      </c>
      <c r="R3" s="113">
        <v>1</v>
      </c>
      <c r="S3" s="113">
        <v>0.92472903225806447</v>
      </c>
      <c r="T3" s="113">
        <v>1</v>
      </c>
    </row>
    <row r="4" spans="2:54" ht="241.5" customHeight="1" x14ac:dyDescent="0.2"/>
    <row r="5" spans="2:54" ht="21" customHeight="1" x14ac:dyDescent="0.2">
      <c r="B5" s="114"/>
      <c r="C5" s="115">
        <v>43976</v>
      </c>
      <c r="D5" s="115">
        <v>43977</v>
      </c>
      <c r="E5" s="115">
        <v>43978</v>
      </c>
      <c r="F5" s="115">
        <v>43979</v>
      </c>
      <c r="G5" s="115">
        <v>43980</v>
      </c>
      <c r="H5" s="115">
        <v>43981</v>
      </c>
      <c r="I5" s="115">
        <v>43982</v>
      </c>
      <c r="J5" s="115">
        <v>43983</v>
      </c>
      <c r="K5" s="115">
        <v>43984</v>
      </c>
      <c r="L5" s="115">
        <v>43985</v>
      </c>
      <c r="M5" s="115">
        <v>43986</v>
      </c>
      <c r="N5" s="115">
        <v>43987</v>
      </c>
      <c r="O5" s="115">
        <v>43988</v>
      </c>
      <c r="P5" s="115">
        <v>43989</v>
      </c>
      <c r="Q5" s="115">
        <v>43990</v>
      </c>
      <c r="R5" s="115">
        <v>43991</v>
      </c>
      <c r="S5" s="115">
        <v>43992</v>
      </c>
      <c r="T5" s="115">
        <v>43993</v>
      </c>
      <c r="U5" s="115">
        <v>43994</v>
      </c>
      <c r="V5" s="115">
        <v>43995</v>
      </c>
      <c r="W5" s="115">
        <v>43996</v>
      </c>
      <c r="X5" s="115">
        <v>43997</v>
      </c>
      <c r="Y5" s="115">
        <v>43998</v>
      </c>
      <c r="Z5" s="115">
        <v>43999</v>
      </c>
      <c r="AA5" s="115">
        <v>44000</v>
      </c>
      <c r="AB5" s="115">
        <v>44001</v>
      </c>
      <c r="AC5" s="115">
        <v>44002</v>
      </c>
      <c r="AD5" s="115">
        <v>44003</v>
      </c>
      <c r="AE5" s="115">
        <v>44004</v>
      </c>
      <c r="AF5" s="115">
        <v>44005</v>
      </c>
      <c r="AG5" s="115">
        <v>44006</v>
      </c>
      <c r="AH5" s="115">
        <v>44007</v>
      </c>
      <c r="AI5" s="115">
        <v>44008</v>
      </c>
      <c r="AJ5" s="115">
        <v>44009</v>
      </c>
      <c r="AK5" s="115">
        <v>44010</v>
      </c>
      <c r="AL5" s="115">
        <v>44011</v>
      </c>
      <c r="AM5" s="115">
        <v>44012</v>
      </c>
      <c r="AN5" s="115">
        <v>44013</v>
      </c>
      <c r="AO5" s="115">
        <v>44014</v>
      </c>
      <c r="AP5" s="115">
        <v>44015</v>
      </c>
      <c r="AQ5" s="115">
        <v>44016</v>
      </c>
      <c r="AR5" s="115">
        <v>44017</v>
      </c>
      <c r="AS5" s="115">
        <v>44018</v>
      </c>
      <c r="AT5" s="115">
        <v>44019</v>
      </c>
      <c r="AU5" s="115">
        <v>44020</v>
      </c>
      <c r="AV5" s="115">
        <v>44021</v>
      </c>
      <c r="AW5" s="115">
        <v>44022</v>
      </c>
      <c r="AX5" s="115">
        <v>44023</v>
      </c>
      <c r="AY5" s="115">
        <v>44024</v>
      </c>
      <c r="AZ5" s="115">
        <v>44025</v>
      </c>
      <c r="BA5" s="115">
        <v>44026</v>
      </c>
      <c r="BB5" s="115">
        <v>44027</v>
      </c>
    </row>
    <row r="6" spans="2:54" x14ac:dyDescent="0.2">
      <c r="B6" s="124" t="s">
        <v>144</v>
      </c>
      <c r="C6" s="116">
        <v>1</v>
      </c>
      <c r="D6" s="116">
        <v>0.98611111111111116</v>
      </c>
      <c r="E6" s="116">
        <v>0.84057971014492749</v>
      </c>
      <c r="F6" s="116">
        <v>1</v>
      </c>
      <c r="G6" s="116">
        <v>1</v>
      </c>
      <c r="H6" s="116">
        <v>1</v>
      </c>
      <c r="I6" s="116">
        <v>1</v>
      </c>
      <c r="J6" s="116">
        <v>0.99160000000000004</v>
      </c>
      <c r="K6" s="116">
        <v>1</v>
      </c>
      <c r="L6" s="117">
        <v>1</v>
      </c>
      <c r="M6" s="117">
        <v>0.98571428571428577</v>
      </c>
      <c r="N6" s="117">
        <v>0.98979591836734693</v>
      </c>
      <c r="O6" s="117">
        <v>1</v>
      </c>
      <c r="P6" s="117">
        <v>1</v>
      </c>
      <c r="Q6" s="116">
        <v>1</v>
      </c>
      <c r="R6" s="116">
        <v>1</v>
      </c>
      <c r="S6" s="116">
        <v>0.99099099099099097</v>
      </c>
      <c r="T6" s="116">
        <v>0.98550724637681164</v>
      </c>
      <c r="U6" s="116">
        <v>0.96969696969696972</v>
      </c>
      <c r="V6" s="116">
        <v>0.99290780141843971</v>
      </c>
      <c r="W6" s="116">
        <v>0.97297297297297303</v>
      </c>
      <c r="X6" s="116">
        <v>1</v>
      </c>
      <c r="Y6" s="116">
        <v>0.95833333333333337</v>
      </c>
      <c r="Z6" s="116">
        <v>0.97560975609756095</v>
      </c>
      <c r="AA6" s="116">
        <v>0.96153846153846156</v>
      </c>
      <c r="AB6" s="116">
        <v>0.95180722891566261</v>
      </c>
      <c r="AC6" s="116">
        <v>0.96875</v>
      </c>
      <c r="AD6" s="116">
        <v>1</v>
      </c>
      <c r="AE6" s="116">
        <v>1</v>
      </c>
      <c r="AF6" s="116">
        <v>0.98837209302325579</v>
      </c>
      <c r="AG6" s="116">
        <v>0.9887640449438202</v>
      </c>
      <c r="AH6" s="116">
        <v>0.98684210526315785</v>
      </c>
      <c r="AI6" s="116">
        <v>0.95569620253164556</v>
      </c>
      <c r="AJ6" s="116">
        <v>0.9358974358974359</v>
      </c>
      <c r="AK6" s="116">
        <v>1</v>
      </c>
      <c r="AL6" s="116">
        <v>1</v>
      </c>
      <c r="AM6" s="116">
        <v>0.9887640449438202</v>
      </c>
      <c r="AN6" s="116">
        <v>1</v>
      </c>
      <c r="AO6" s="116">
        <v>0.99090909090909096</v>
      </c>
      <c r="AP6" s="116">
        <v>0.97297297297297303</v>
      </c>
      <c r="AQ6" s="116">
        <v>1</v>
      </c>
      <c r="AR6" s="116">
        <v>1</v>
      </c>
      <c r="AS6" s="116">
        <v>0.9538461538461539</v>
      </c>
      <c r="AT6" s="116">
        <v>0.98039215686274506</v>
      </c>
      <c r="AU6" s="116">
        <v>0.96875</v>
      </c>
      <c r="AV6" s="116">
        <v>1</v>
      </c>
      <c r="AW6" s="116">
        <v>1</v>
      </c>
      <c r="AX6" s="116">
        <v>1</v>
      </c>
      <c r="AY6" s="116">
        <v>1</v>
      </c>
      <c r="AZ6" s="116">
        <v>0.97916666666666663</v>
      </c>
      <c r="BA6" s="116"/>
      <c r="BB6" s="116"/>
    </row>
    <row r="7" spans="2:54" x14ac:dyDescent="0.2">
      <c r="B7" s="124" t="s">
        <v>169</v>
      </c>
      <c r="C7" s="116">
        <v>1</v>
      </c>
      <c r="D7" s="116">
        <v>0.75</v>
      </c>
      <c r="E7" s="116">
        <v>1</v>
      </c>
      <c r="F7" s="116">
        <v>1</v>
      </c>
      <c r="G7" s="116">
        <v>0.66659999999999997</v>
      </c>
      <c r="H7" s="116">
        <v>1</v>
      </c>
      <c r="I7" s="116">
        <v>1</v>
      </c>
      <c r="J7" s="116">
        <v>1</v>
      </c>
      <c r="K7" s="116">
        <v>1</v>
      </c>
      <c r="L7" s="117">
        <v>1</v>
      </c>
      <c r="M7" s="117">
        <v>1</v>
      </c>
      <c r="N7" s="117">
        <v>1</v>
      </c>
      <c r="O7" s="117">
        <v>1</v>
      </c>
      <c r="P7" s="117">
        <v>1</v>
      </c>
      <c r="Q7" s="116">
        <v>1</v>
      </c>
      <c r="R7" s="116">
        <v>1</v>
      </c>
      <c r="S7" s="116">
        <v>1</v>
      </c>
      <c r="T7" s="116">
        <v>1</v>
      </c>
      <c r="U7" s="116">
        <v>1</v>
      </c>
      <c r="V7" s="116">
        <v>1</v>
      </c>
      <c r="W7" s="116">
        <v>1</v>
      </c>
      <c r="X7" s="116">
        <v>1</v>
      </c>
      <c r="Y7" s="116">
        <v>1</v>
      </c>
      <c r="Z7" s="116">
        <v>1</v>
      </c>
      <c r="AA7" s="116">
        <v>1</v>
      </c>
      <c r="AB7" s="116">
        <v>1</v>
      </c>
      <c r="AC7" s="116">
        <v>1</v>
      </c>
      <c r="AD7" s="116">
        <v>1</v>
      </c>
      <c r="AE7" s="116">
        <v>1</v>
      </c>
      <c r="AF7" s="116">
        <v>1</v>
      </c>
      <c r="AG7" s="116">
        <v>1</v>
      </c>
      <c r="AH7" s="116">
        <v>1</v>
      </c>
      <c r="AI7" s="116">
        <v>1</v>
      </c>
      <c r="AJ7" s="116">
        <v>1</v>
      </c>
      <c r="AK7" s="116">
        <v>1</v>
      </c>
      <c r="AL7" s="116">
        <v>1</v>
      </c>
      <c r="AM7" s="116">
        <v>1</v>
      </c>
      <c r="AN7" s="116">
        <v>1</v>
      </c>
      <c r="AO7" s="116">
        <v>1</v>
      </c>
      <c r="AP7" s="116">
        <v>1</v>
      </c>
      <c r="AQ7" s="116">
        <v>1</v>
      </c>
      <c r="AR7" s="116">
        <v>1</v>
      </c>
      <c r="AS7" s="116">
        <v>1</v>
      </c>
      <c r="AT7" s="116">
        <v>1</v>
      </c>
      <c r="AU7" s="116">
        <v>1</v>
      </c>
      <c r="AV7" s="116">
        <v>1</v>
      </c>
      <c r="AW7" s="116">
        <v>1</v>
      </c>
      <c r="AX7" s="116">
        <v>1</v>
      </c>
      <c r="AY7" s="116">
        <v>1</v>
      </c>
      <c r="AZ7" s="116">
        <v>1</v>
      </c>
      <c r="BA7" s="116"/>
      <c r="BB7" s="116"/>
    </row>
    <row r="8" spans="2:54" ht="14.4" x14ac:dyDescent="0.2">
      <c r="B8" s="124" t="s">
        <v>173</v>
      </c>
      <c r="C8" s="121">
        <v>13</v>
      </c>
      <c r="D8" s="121">
        <v>5</v>
      </c>
      <c r="E8" s="121">
        <v>13</v>
      </c>
      <c r="F8" s="121">
        <v>13</v>
      </c>
      <c r="G8" s="121">
        <v>5</v>
      </c>
      <c r="H8" s="121">
        <v>13</v>
      </c>
      <c r="I8" s="121">
        <v>13</v>
      </c>
      <c r="J8" s="121">
        <v>13</v>
      </c>
      <c r="K8" s="121">
        <v>13</v>
      </c>
      <c r="L8" s="121">
        <v>13</v>
      </c>
      <c r="M8" s="121">
        <v>13</v>
      </c>
      <c r="N8" s="121">
        <v>13</v>
      </c>
      <c r="O8" s="121">
        <v>13</v>
      </c>
      <c r="P8" s="121">
        <v>13</v>
      </c>
      <c r="Q8" s="121">
        <v>13</v>
      </c>
      <c r="R8" s="121">
        <v>13</v>
      </c>
      <c r="S8" s="121">
        <v>13</v>
      </c>
      <c r="T8" s="121">
        <v>13</v>
      </c>
      <c r="U8" s="121">
        <v>13</v>
      </c>
      <c r="V8" s="121">
        <v>13</v>
      </c>
      <c r="W8" s="121">
        <v>13</v>
      </c>
      <c r="X8" s="121">
        <v>13</v>
      </c>
      <c r="Y8" s="121">
        <v>13</v>
      </c>
      <c r="Z8" s="121">
        <v>13</v>
      </c>
      <c r="AA8" s="121">
        <v>13</v>
      </c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</row>
  </sheetData>
  <conditionalFormatting sqref="C8">
    <cfRule type="iconSet" priority="47">
      <iconSet iconSet="3TrafficLights2" showValue="0">
        <cfvo type="percent" val="0"/>
        <cfvo type="num" val="5"/>
        <cfvo type="num" val="10"/>
      </iconSet>
    </cfRule>
    <cfRule type="iconSet" priority="48">
      <iconSet iconSet="3TrafficLights2" showValue="0">
        <cfvo type="percent" val="0"/>
        <cfvo type="num" val="5"/>
        <cfvo type="num" val="10"/>
      </iconSet>
    </cfRule>
  </conditionalFormatting>
  <conditionalFormatting sqref="D8">
    <cfRule type="iconSet" priority="46">
      <iconSet iconSet="3TrafficLights2" showValue="0">
        <cfvo type="percent" val="0"/>
        <cfvo type="num" val="5"/>
        <cfvo type="num" val="10"/>
      </iconSet>
    </cfRule>
  </conditionalFormatting>
  <conditionalFormatting sqref="E8">
    <cfRule type="iconSet" priority="45">
      <iconSet iconSet="3TrafficLights2" showValue="0">
        <cfvo type="percent" val="0"/>
        <cfvo type="num" val="5"/>
        <cfvo type="num" val="10"/>
      </iconSet>
    </cfRule>
    <cfRule type="iconSet" priority="44">
      <iconSet iconSet="3TrafficLights2" showValue="0">
        <cfvo type="percent" val="0"/>
        <cfvo type="num" val="5"/>
        <cfvo type="num" val="10"/>
      </iconSet>
    </cfRule>
  </conditionalFormatting>
  <conditionalFormatting sqref="F8">
    <cfRule type="iconSet" priority="42">
      <iconSet iconSet="3TrafficLights2" showValue="0">
        <cfvo type="percent" val="0"/>
        <cfvo type="num" val="5"/>
        <cfvo type="num" val="10"/>
      </iconSet>
    </cfRule>
    <cfRule type="iconSet" priority="43">
      <iconSet iconSet="3TrafficLights2" showValue="0">
        <cfvo type="percent" val="0"/>
        <cfvo type="num" val="5"/>
        <cfvo type="num" val="10"/>
      </iconSet>
    </cfRule>
  </conditionalFormatting>
  <conditionalFormatting sqref="G8">
    <cfRule type="iconSet" priority="41">
      <iconSet iconSet="3TrafficLights2" showValue="0">
        <cfvo type="percent" val="0"/>
        <cfvo type="num" val="5"/>
        <cfvo type="num" val="10"/>
      </iconSet>
    </cfRule>
  </conditionalFormatting>
  <conditionalFormatting sqref="H8">
    <cfRule type="iconSet" priority="40">
      <iconSet iconSet="3TrafficLights2" showValue="0">
        <cfvo type="percent" val="0"/>
        <cfvo type="num" val="5"/>
        <cfvo type="num" val="10"/>
      </iconSet>
    </cfRule>
    <cfRule type="iconSet" priority="39">
      <iconSet iconSet="3TrafficLights2" showValue="0">
        <cfvo type="percent" val="0"/>
        <cfvo type="num" val="5"/>
        <cfvo type="num" val="10"/>
      </iconSet>
    </cfRule>
  </conditionalFormatting>
  <conditionalFormatting sqref="I8">
    <cfRule type="iconSet" priority="38">
      <iconSet iconSet="3TrafficLights2" showValue="0">
        <cfvo type="percent" val="0"/>
        <cfvo type="num" val="5"/>
        <cfvo type="num" val="10"/>
      </iconSet>
    </cfRule>
    <cfRule type="iconSet" priority="37">
      <iconSet iconSet="3TrafficLights2" showValue="0">
        <cfvo type="percent" val="0"/>
        <cfvo type="num" val="5"/>
        <cfvo type="num" val="10"/>
      </iconSet>
    </cfRule>
  </conditionalFormatting>
  <conditionalFormatting sqref="J8">
    <cfRule type="iconSet" priority="36">
      <iconSet iconSet="3TrafficLights2" showValue="0">
        <cfvo type="percent" val="0"/>
        <cfvo type="num" val="5"/>
        <cfvo type="num" val="10"/>
      </iconSet>
    </cfRule>
    <cfRule type="iconSet" priority="35">
      <iconSet iconSet="3TrafficLights2" showValue="0">
        <cfvo type="percent" val="0"/>
        <cfvo type="num" val="5"/>
        <cfvo type="num" val="10"/>
      </iconSet>
    </cfRule>
  </conditionalFormatting>
  <conditionalFormatting sqref="K8">
    <cfRule type="iconSet" priority="34">
      <iconSet iconSet="3TrafficLights2" showValue="0">
        <cfvo type="percent" val="0"/>
        <cfvo type="num" val="5"/>
        <cfvo type="num" val="10"/>
      </iconSet>
    </cfRule>
    <cfRule type="iconSet" priority="33">
      <iconSet iconSet="3TrafficLights2" showValue="0">
        <cfvo type="percent" val="0"/>
        <cfvo type="num" val="5"/>
        <cfvo type="num" val="10"/>
      </iconSet>
    </cfRule>
  </conditionalFormatting>
  <conditionalFormatting sqref="L8">
    <cfRule type="iconSet" priority="31">
      <iconSet iconSet="3TrafficLights2" showValue="0">
        <cfvo type="percent" val="0"/>
        <cfvo type="num" val="5"/>
        <cfvo type="num" val="10"/>
      </iconSet>
    </cfRule>
    <cfRule type="iconSet" priority="32">
      <iconSet iconSet="3TrafficLights2" showValue="0">
        <cfvo type="percent" val="0"/>
        <cfvo type="num" val="5"/>
        <cfvo type="num" val="10"/>
      </iconSet>
    </cfRule>
  </conditionalFormatting>
  <conditionalFormatting sqref="M8">
    <cfRule type="iconSet" priority="30">
      <iconSet iconSet="3TrafficLights2" showValue="0">
        <cfvo type="percent" val="0"/>
        <cfvo type="num" val="5"/>
        <cfvo type="num" val="10"/>
      </iconSet>
    </cfRule>
    <cfRule type="iconSet" priority="29">
      <iconSet iconSet="3TrafficLights2" showValue="0">
        <cfvo type="percent" val="0"/>
        <cfvo type="num" val="5"/>
        <cfvo type="num" val="10"/>
      </iconSet>
    </cfRule>
  </conditionalFormatting>
  <conditionalFormatting sqref="N8">
    <cfRule type="iconSet" priority="28">
      <iconSet iconSet="3TrafficLights2" showValue="0">
        <cfvo type="percent" val="0"/>
        <cfvo type="num" val="5"/>
        <cfvo type="num" val="10"/>
      </iconSet>
    </cfRule>
    <cfRule type="iconSet" priority="27">
      <iconSet iconSet="3TrafficLights2" showValue="0">
        <cfvo type="percent" val="0"/>
        <cfvo type="num" val="5"/>
        <cfvo type="num" val="10"/>
      </iconSet>
    </cfRule>
  </conditionalFormatting>
  <conditionalFormatting sqref="O8">
    <cfRule type="iconSet" priority="25">
      <iconSet iconSet="3TrafficLights2" showValue="0">
        <cfvo type="percent" val="0"/>
        <cfvo type="num" val="5"/>
        <cfvo type="num" val="10"/>
      </iconSet>
    </cfRule>
    <cfRule type="iconSet" priority="26">
      <iconSet iconSet="3TrafficLights2" showValue="0">
        <cfvo type="percent" val="0"/>
        <cfvo type="num" val="5"/>
        <cfvo type="num" val="10"/>
      </iconSet>
    </cfRule>
  </conditionalFormatting>
  <conditionalFormatting sqref="P8">
    <cfRule type="iconSet" priority="24">
      <iconSet iconSet="3TrafficLights2" showValue="0">
        <cfvo type="percent" val="0"/>
        <cfvo type="num" val="5"/>
        <cfvo type="num" val="10"/>
      </iconSet>
    </cfRule>
    <cfRule type="iconSet" priority="23">
      <iconSet iconSet="3TrafficLights2" showValue="0">
        <cfvo type="percent" val="0"/>
        <cfvo type="num" val="5"/>
        <cfvo type="num" val="10"/>
      </iconSet>
    </cfRule>
  </conditionalFormatting>
  <conditionalFormatting sqref="Q8">
    <cfRule type="iconSet" priority="22">
      <iconSet iconSet="3TrafficLights2" showValue="0">
        <cfvo type="percent" val="0"/>
        <cfvo type="num" val="5"/>
        <cfvo type="num" val="10"/>
      </iconSet>
    </cfRule>
    <cfRule type="iconSet" priority="21">
      <iconSet iconSet="3TrafficLights2" showValue="0">
        <cfvo type="percent" val="0"/>
        <cfvo type="num" val="5"/>
        <cfvo type="num" val="10"/>
      </iconSet>
    </cfRule>
  </conditionalFormatting>
  <conditionalFormatting sqref="R8">
    <cfRule type="iconSet" priority="19">
      <iconSet iconSet="3TrafficLights2" showValue="0">
        <cfvo type="percent" val="0"/>
        <cfvo type="num" val="5"/>
        <cfvo type="num" val="10"/>
      </iconSet>
    </cfRule>
    <cfRule type="iconSet" priority="20">
      <iconSet iconSet="3TrafficLights2" showValue="0">
        <cfvo type="percent" val="0"/>
        <cfvo type="num" val="5"/>
        <cfvo type="num" val="10"/>
      </iconSet>
    </cfRule>
  </conditionalFormatting>
  <conditionalFormatting sqref="S8">
    <cfRule type="iconSet" priority="18">
      <iconSet iconSet="3TrafficLights2" showValue="0">
        <cfvo type="percent" val="0"/>
        <cfvo type="num" val="5"/>
        <cfvo type="num" val="10"/>
      </iconSet>
    </cfRule>
    <cfRule type="iconSet" priority="17">
      <iconSet iconSet="3TrafficLights2" showValue="0">
        <cfvo type="percent" val="0"/>
        <cfvo type="num" val="5"/>
        <cfvo type="num" val="10"/>
      </iconSet>
    </cfRule>
  </conditionalFormatting>
  <conditionalFormatting sqref="T8">
    <cfRule type="iconSet" priority="16">
      <iconSet iconSet="3TrafficLights2" showValue="0">
        <cfvo type="percent" val="0"/>
        <cfvo type="num" val="5"/>
        <cfvo type="num" val="10"/>
      </iconSet>
    </cfRule>
    <cfRule type="iconSet" priority="15">
      <iconSet iconSet="3TrafficLights2" showValue="0">
        <cfvo type="percent" val="0"/>
        <cfvo type="num" val="5"/>
        <cfvo type="num" val="10"/>
      </iconSet>
    </cfRule>
  </conditionalFormatting>
  <conditionalFormatting sqref="U8">
    <cfRule type="iconSet" priority="13">
      <iconSet iconSet="3TrafficLights2" showValue="0">
        <cfvo type="percent" val="0"/>
        <cfvo type="num" val="5"/>
        <cfvo type="num" val="10"/>
      </iconSet>
    </cfRule>
    <cfRule type="iconSet" priority="14">
      <iconSet iconSet="3TrafficLights2" showValue="0">
        <cfvo type="percent" val="0"/>
        <cfvo type="num" val="5"/>
        <cfvo type="num" val="10"/>
      </iconSet>
    </cfRule>
  </conditionalFormatting>
  <conditionalFormatting sqref="V8">
    <cfRule type="iconSet" priority="12">
      <iconSet iconSet="3TrafficLights2" showValue="0">
        <cfvo type="percent" val="0"/>
        <cfvo type="num" val="5"/>
        <cfvo type="num" val="10"/>
      </iconSet>
    </cfRule>
    <cfRule type="iconSet" priority="11">
      <iconSet iconSet="3TrafficLights2" showValue="0">
        <cfvo type="percent" val="0"/>
        <cfvo type="num" val="5"/>
        <cfvo type="num" val="10"/>
      </iconSet>
    </cfRule>
  </conditionalFormatting>
  <conditionalFormatting sqref="W8">
    <cfRule type="iconSet" priority="10">
      <iconSet iconSet="3TrafficLights2" showValue="0">
        <cfvo type="percent" val="0"/>
        <cfvo type="num" val="5"/>
        <cfvo type="num" val="10"/>
      </iconSet>
    </cfRule>
    <cfRule type="iconSet" priority="9">
      <iconSet iconSet="3TrafficLights2" showValue="0">
        <cfvo type="percent" val="0"/>
        <cfvo type="num" val="5"/>
        <cfvo type="num" val="10"/>
      </iconSet>
    </cfRule>
  </conditionalFormatting>
  <conditionalFormatting sqref="X8">
    <cfRule type="iconSet" priority="7">
      <iconSet iconSet="3TrafficLights2" showValue="0">
        <cfvo type="percent" val="0"/>
        <cfvo type="num" val="5"/>
        <cfvo type="num" val="10"/>
      </iconSet>
    </cfRule>
    <cfRule type="iconSet" priority="8">
      <iconSet iconSet="3TrafficLights2" showValue="0">
        <cfvo type="percent" val="0"/>
        <cfvo type="num" val="5"/>
        <cfvo type="num" val="10"/>
      </iconSet>
    </cfRule>
  </conditionalFormatting>
  <conditionalFormatting sqref="Y8">
    <cfRule type="iconSet" priority="6">
      <iconSet iconSet="3TrafficLights2" showValue="0">
        <cfvo type="percent" val="0"/>
        <cfvo type="num" val="5"/>
        <cfvo type="num" val="10"/>
      </iconSet>
    </cfRule>
    <cfRule type="iconSet" priority="5">
      <iconSet iconSet="3TrafficLights2" showValue="0">
        <cfvo type="percent" val="0"/>
        <cfvo type="num" val="5"/>
        <cfvo type="num" val="10"/>
      </iconSet>
    </cfRule>
  </conditionalFormatting>
  <conditionalFormatting sqref="Z8">
    <cfRule type="iconSet" priority="4">
      <iconSet iconSet="3TrafficLights2" showValue="0">
        <cfvo type="percent" val="0"/>
        <cfvo type="num" val="5"/>
        <cfvo type="num" val="10"/>
      </iconSet>
    </cfRule>
    <cfRule type="iconSet" priority="3">
      <iconSet iconSet="3TrafficLights2" showValue="0">
        <cfvo type="percent" val="0"/>
        <cfvo type="num" val="5"/>
        <cfvo type="num" val="10"/>
      </iconSet>
    </cfRule>
  </conditionalFormatting>
  <conditionalFormatting sqref="AA8">
    <cfRule type="iconSet" priority="2">
      <iconSet iconSet="3TrafficLights2" showValue="0">
        <cfvo type="percent" val="0"/>
        <cfvo type="num" val="5"/>
        <cfvo type="num" val="10"/>
      </iconSet>
    </cfRule>
    <cfRule type="iconSet" priority="1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1C62-B94E-452D-A0DB-5C4C38D959A5}">
  <dimension ref="A1:AG26"/>
  <sheetViews>
    <sheetView topLeftCell="A8" zoomScaleNormal="100" workbookViewId="0">
      <pane xSplit="1" topLeftCell="V1" activePane="topRight" state="frozen"/>
      <selection activeCell="A2" sqref="A2"/>
      <selection pane="topRight" activeCell="AJ5" sqref="AJ5"/>
    </sheetView>
  </sheetViews>
  <sheetFormatPr baseColWidth="10" defaultColWidth="9.44140625" defaultRowHeight="14.4" outlineLevelCol="1" x14ac:dyDescent="0.3"/>
  <cols>
    <col min="1" max="1" width="34.5546875" style="33" bestFit="1" customWidth="1"/>
    <col min="2" max="32" width="8.5546875" style="33" customWidth="1" outlineLevel="1"/>
    <col min="33" max="16384" width="9.44140625" style="33"/>
  </cols>
  <sheetData>
    <row r="1" spans="1:33" ht="15" customHeight="1" thickBot="1" x14ac:dyDescent="0.35">
      <c r="A1" s="44" t="s">
        <v>184</v>
      </c>
    </row>
    <row r="2" spans="1:33" ht="15" customHeight="1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s="35" customFormat="1" ht="30.6" customHeight="1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193</v>
      </c>
    </row>
    <row r="4" spans="1:33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26" t="s">
        <v>15</v>
      </c>
      <c r="AG5" s="140"/>
    </row>
    <row r="6" spans="1:33" x14ac:dyDescent="0.3">
      <c r="A6" s="40" t="s">
        <v>195</v>
      </c>
      <c r="B6" s="126">
        <v>0</v>
      </c>
      <c r="C6" s="126">
        <v>0</v>
      </c>
      <c r="D6" s="126">
        <v>2</v>
      </c>
      <c r="E6" s="126">
        <v>1</v>
      </c>
      <c r="F6" s="126">
        <v>1</v>
      </c>
      <c r="G6" s="126">
        <v>1</v>
      </c>
      <c r="H6" s="126">
        <v>6</v>
      </c>
      <c r="I6" s="126">
        <v>2</v>
      </c>
      <c r="J6" s="126">
        <v>8</v>
      </c>
      <c r="K6" s="126">
        <v>2</v>
      </c>
      <c r="L6" s="126">
        <v>6</v>
      </c>
      <c r="M6" s="126">
        <v>0</v>
      </c>
      <c r="N6" s="126">
        <v>1</v>
      </c>
      <c r="O6" s="126">
        <v>5</v>
      </c>
      <c r="P6" s="126">
        <v>1</v>
      </c>
      <c r="Q6" s="126">
        <v>4</v>
      </c>
      <c r="R6" s="126">
        <v>3</v>
      </c>
      <c r="S6" s="126">
        <v>0</v>
      </c>
      <c r="T6" s="126">
        <v>1</v>
      </c>
      <c r="U6" s="126">
        <v>5</v>
      </c>
      <c r="V6" s="126">
        <v>11</v>
      </c>
      <c r="W6" s="126">
        <v>11</v>
      </c>
      <c r="X6" s="126">
        <v>4</v>
      </c>
      <c r="Y6" s="126">
        <v>9</v>
      </c>
      <c r="Z6" s="126">
        <v>1</v>
      </c>
      <c r="AA6" s="126">
        <v>3</v>
      </c>
      <c r="AB6" s="126">
        <v>6</v>
      </c>
      <c r="AC6" s="126">
        <v>5</v>
      </c>
      <c r="AD6" s="126">
        <v>9</v>
      </c>
      <c r="AE6" s="126">
        <v>6</v>
      </c>
      <c r="AF6" s="126">
        <v>10</v>
      </c>
      <c r="AG6" s="140">
        <f>SUM(B6:AF6)</f>
        <v>124</v>
      </c>
    </row>
    <row r="7" spans="1:33" x14ac:dyDescent="0.3">
      <c r="A7" s="39" t="s">
        <v>34</v>
      </c>
      <c r="B7" s="129">
        <v>1</v>
      </c>
      <c r="C7" s="129">
        <v>1</v>
      </c>
      <c r="D7" s="129">
        <v>0</v>
      </c>
      <c r="E7" s="129">
        <v>0</v>
      </c>
      <c r="F7" s="129">
        <v>1</v>
      </c>
      <c r="G7" s="129">
        <v>0</v>
      </c>
      <c r="H7" s="129">
        <v>0</v>
      </c>
      <c r="I7" s="129">
        <v>0.5</v>
      </c>
      <c r="J7" s="129">
        <v>0.25</v>
      </c>
      <c r="K7" s="127">
        <v>0</v>
      </c>
      <c r="L7" s="129">
        <v>0</v>
      </c>
      <c r="M7" s="129">
        <v>1</v>
      </c>
      <c r="N7" s="129">
        <v>0</v>
      </c>
      <c r="O7" s="129">
        <v>0</v>
      </c>
      <c r="P7" s="129">
        <v>0</v>
      </c>
      <c r="Q7" s="129">
        <v>0.25</v>
      </c>
      <c r="R7" s="129">
        <v>0</v>
      </c>
      <c r="S7" s="129">
        <v>1</v>
      </c>
      <c r="T7" s="129">
        <v>0</v>
      </c>
      <c r="U7" s="129">
        <v>0.2</v>
      </c>
      <c r="V7" s="129">
        <v>0.45454545454545453</v>
      </c>
      <c r="W7" s="129">
        <v>0.36363636363636365</v>
      </c>
      <c r="X7" s="129">
        <v>0.5</v>
      </c>
      <c r="Y7" s="129">
        <v>0</v>
      </c>
      <c r="Z7" s="129">
        <v>0</v>
      </c>
      <c r="AA7" s="129">
        <v>0</v>
      </c>
      <c r="AB7" s="129">
        <v>0</v>
      </c>
      <c r="AC7" s="129">
        <v>0.2</v>
      </c>
      <c r="AD7" s="129">
        <v>0.33333333333333331</v>
      </c>
      <c r="AE7" s="129">
        <v>0.33333333333333331</v>
      </c>
      <c r="AF7" s="129">
        <v>0.2</v>
      </c>
      <c r="AG7" s="142">
        <f>AG21/AG24</f>
        <v>0.20161290322580644</v>
      </c>
    </row>
    <row r="8" spans="1:33" x14ac:dyDescent="0.3">
      <c r="A8" s="39" t="s">
        <v>169</v>
      </c>
      <c r="B8" s="129">
        <v>1</v>
      </c>
      <c r="C8" s="129">
        <v>1</v>
      </c>
      <c r="D8" s="129">
        <v>1</v>
      </c>
      <c r="E8" s="129">
        <v>1</v>
      </c>
      <c r="F8" s="129">
        <v>1</v>
      </c>
      <c r="G8" s="129">
        <v>1</v>
      </c>
      <c r="H8" s="129">
        <v>0.83333333333333337</v>
      </c>
      <c r="I8" s="129">
        <v>1</v>
      </c>
      <c r="J8" s="129">
        <v>0.5</v>
      </c>
      <c r="K8" s="128">
        <v>1</v>
      </c>
      <c r="L8" s="129">
        <v>0.5</v>
      </c>
      <c r="M8" s="129">
        <v>1</v>
      </c>
      <c r="N8" s="129">
        <v>1</v>
      </c>
      <c r="O8" s="129">
        <v>1</v>
      </c>
      <c r="P8" s="129">
        <v>1</v>
      </c>
      <c r="Q8" s="129">
        <v>1</v>
      </c>
      <c r="R8" s="129">
        <v>1</v>
      </c>
      <c r="S8" s="129">
        <v>1</v>
      </c>
      <c r="T8" s="129">
        <v>1</v>
      </c>
      <c r="U8" s="129">
        <v>0.8</v>
      </c>
      <c r="V8" s="129">
        <v>0.81818181818181823</v>
      </c>
      <c r="W8" s="129">
        <v>0.81818181818181823</v>
      </c>
      <c r="X8" s="129">
        <v>0.75</v>
      </c>
      <c r="Y8" s="129">
        <v>0.55555555555555558</v>
      </c>
      <c r="Z8" s="129">
        <v>1</v>
      </c>
      <c r="AA8" s="129">
        <v>0.33333333333333331</v>
      </c>
      <c r="AB8" s="129">
        <v>0.83333333333333337</v>
      </c>
      <c r="AC8" s="129">
        <v>1</v>
      </c>
      <c r="AD8" s="129">
        <v>1</v>
      </c>
      <c r="AE8" s="129">
        <v>0.83333333333333337</v>
      </c>
      <c r="AF8" s="129">
        <v>0.5</v>
      </c>
      <c r="AG8" s="142">
        <f>(AG21+AG22)/AG24</f>
        <v>0.782258064516129</v>
      </c>
    </row>
    <row r="9" spans="1:33" x14ac:dyDescent="0.3">
      <c r="A9" s="39" t="s">
        <v>196</v>
      </c>
      <c r="B9" s="126">
        <v>15</v>
      </c>
      <c r="C9" s="126">
        <v>7</v>
      </c>
      <c r="D9" s="126">
        <v>9</v>
      </c>
      <c r="E9" s="126">
        <v>7</v>
      </c>
      <c r="F9" s="126">
        <v>7</v>
      </c>
      <c r="G9" s="126">
        <v>13</v>
      </c>
      <c r="H9" s="126">
        <v>20</v>
      </c>
      <c r="I9" s="126">
        <v>29</v>
      </c>
      <c r="J9" s="126">
        <v>43</v>
      </c>
      <c r="K9" s="126">
        <v>20</v>
      </c>
      <c r="L9" s="126">
        <v>16</v>
      </c>
      <c r="M9" s="126">
        <v>8</v>
      </c>
      <c r="N9" s="126">
        <v>5</v>
      </c>
      <c r="O9" s="126">
        <v>26</v>
      </c>
      <c r="P9" s="126">
        <v>32</v>
      </c>
      <c r="Q9" s="126">
        <v>27</v>
      </c>
      <c r="R9" s="126">
        <v>32</v>
      </c>
      <c r="S9" s="126">
        <v>19</v>
      </c>
      <c r="T9" s="126">
        <v>11</v>
      </c>
      <c r="U9" s="126">
        <v>15</v>
      </c>
      <c r="V9" s="126">
        <v>53</v>
      </c>
      <c r="W9" s="126">
        <v>64</v>
      </c>
      <c r="X9" s="126">
        <v>46</v>
      </c>
      <c r="Y9" s="126">
        <v>50</v>
      </c>
      <c r="Z9" s="126">
        <v>24</v>
      </c>
      <c r="AA9" s="126">
        <v>21</v>
      </c>
      <c r="AB9" s="126">
        <v>19</v>
      </c>
      <c r="AC9" s="126">
        <v>37</v>
      </c>
      <c r="AD9" s="126">
        <v>30</v>
      </c>
      <c r="AE9" s="126">
        <v>35</v>
      </c>
      <c r="AF9" s="126">
        <v>48</v>
      </c>
      <c r="AG9" s="139">
        <f>SUM(B9:AF9)</f>
        <v>788</v>
      </c>
    </row>
    <row r="10" spans="1:33" x14ac:dyDescent="0.3">
      <c r="A10" s="39" t="s">
        <v>197</v>
      </c>
      <c r="B10" s="126">
        <v>1</v>
      </c>
      <c r="C10" s="126">
        <v>0</v>
      </c>
      <c r="D10" s="126">
        <v>0</v>
      </c>
      <c r="E10" s="126">
        <v>0</v>
      </c>
      <c r="F10" s="126">
        <v>0</v>
      </c>
      <c r="G10" s="126">
        <v>0</v>
      </c>
      <c r="H10" s="126">
        <v>0</v>
      </c>
      <c r="I10" s="126">
        <v>0</v>
      </c>
      <c r="J10" s="126">
        <v>4</v>
      </c>
      <c r="K10" s="126">
        <v>0</v>
      </c>
      <c r="L10" s="126">
        <v>0</v>
      </c>
      <c r="M10" s="126">
        <v>0</v>
      </c>
      <c r="N10" s="126">
        <v>2</v>
      </c>
      <c r="O10" s="126">
        <v>1</v>
      </c>
      <c r="P10" s="126">
        <v>1</v>
      </c>
      <c r="Q10" s="126">
        <v>1</v>
      </c>
      <c r="R10" s="126">
        <v>0</v>
      </c>
      <c r="S10" s="126">
        <v>0</v>
      </c>
      <c r="T10" s="126">
        <v>0</v>
      </c>
      <c r="U10" s="126">
        <v>0</v>
      </c>
      <c r="V10" s="126">
        <v>4</v>
      </c>
      <c r="W10" s="126">
        <v>1</v>
      </c>
      <c r="X10" s="126">
        <v>0</v>
      </c>
      <c r="Y10" s="126">
        <v>3</v>
      </c>
      <c r="Z10" s="126">
        <v>1</v>
      </c>
      <c r="AA10" s="126">
        <v>0</v>
      </c>
      <c r="AB10" s="126">
        <v>0</v>
      </c>
      <c r="AC10" s="126">
        <v>0</v>
      </c>
      <c r="AD10" s="126">
        <v>1</v>
      </c>
      <c r="AE10" s="126">
        <v>1</v>
      </c>
      <c r="AF10" s="126">
        <v>0</v>
      </c>
      <c r="AG10" s="139">
        <f>SUM(B10:AF10)</f>
        <v>21</v>
      </c>
    </row>
    <row r="11" spans="1:33" x14ac:dyDescent="0.3">
      <c r="A11" s="39" t="s">
        <v>198</v>
      </c>
      <c r="B11" s="130">
        <v>0.93</v>
      </c>
      <c r="C11" s="130">
        <v>1</v>
      </c>
      <c r="D11" s="130">
        <v>1</v>
      </c>
      <c r="E11" s="130">
        <v>1</v>
      </c>
      <c r="F11" s="130">
        <v>1</v>
      </c>
      <c r="G11" s="130">
        <v>1</v>
      </c>
      <c r="H11" s="130">
        <v>1</v>
      </c>
      <c r="I11" s="130">
        <v>1</v>
      </c>
      <c r="J11" s="130">
        <v>0.90697674418604657</v>
      </c>
      <c r="K11" s="128">
        <v>1</v>
      </c>
      <c r="L11" s="130">
        <v>1</v>
      </c>
      <c r="M11" s="130">
        <v>1</v>
      </c>
      <c r="N11" s="130">
        <v>0.6</v>
      </c>
      <c r="O11" s="130">
        <v>0.92307692307692313</v>
      </c>
      <c r="P11" s="130">
        <v>0.93333333333333335</v>
      </c>
      <c r="Q11" s="130">
        <v>1</v>
      </c>
      <c r="R11" s="130">
        <v>1</v>
      </c>
      <c r="S11" s="130">
        <v>1</v>
      </c>
      <c r="T11" s="130">
        <v>1</v>
      </c>
      <c r="U11" s="130">
        <v>1</v>
      </c>
      <c r="V11" s="130">
        <v>0.92452830188679247</v>
      </c>
      <c r="W11" s="130">
        <v>0.984375</v>
      </c>
      <c r="X11" s="130">
        <v>1</v>
      </c>
      <c r="Y11" s="130">
        <v>0.94</v>
      </c>
      <c r="Z11" s="130">
        <v>0.95833333333333337</v>
      </c>
      <c r="AA11" s="130">
        <v>1</v>
      </c>
      <c r="AB11" s="130">
        <v>1</v>
      </c>
      <c r="AC11" s="130">
        <v>1</v>
      </c>
      <c r="AD11" s="130">
        <v>0.96666666666666667</v>
      </c>
      <c r="AE11" s="130">
        <v>0.97142857142857142</v>
      </c>
      <c r="AF11" s="130">
        <v>1</v>
      </c>
      <c r="AG11" s="142">
        <f>1-(AG10/AG9)</f>
        <v>0.9733502538071066</v>
      </c>
    </row>
    <row r="12" spans="1:33" x14ac:dyDescent="0.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ht="15" customHeight="1" x14ac:dyDescent="0.3">
      <c r="A13" s="39" t="s">
        <v>148</v>
      </c>
      <c r="B13" s="126">
        <v>1</v>
      </c>
      <c r="C13" s="126">
        <v>0</v>
      </c>
      <c r="D13" s="126">
        <v>0</v>
      </c>
      <c r="E13" s="126">
        <v>0</v>
      </c>
      <c r="F13" s="126">
        <v>0</v>
      </c>
      <c r="G13" s="126">
        <v>0</v>
      </c>
      <c r="H13" s="126">
        <v>0</v>
      </c>
      <c r="I13" s="126">
        <v>0</v>
      </c>
      <c r="J13" s="126">
        <v>4</v>
      </c>
      <c r="K13" s="126">
        <v>0</v>
      </c>
      <c r="L13" s="126">
        <v>0</v>
      </c>
      <c r="M13" s="126">
        <v>0</v>
      </c>
      <c r="N13" s="126">
        <v>2</v>
      </c>
      <c r="O13" s="126">
        <v>1</v>
      </c>
      <c r="P13" s="126">
        <v>1</v>
      </c>
      <c r="Q13" s="126">
        <v>1</v>
      </c>
      <c r="R13" s="126">
        <v>0</v>
      </c>
      <c r="S13" s="126">
        <v>0</v>
      </c>
      <c r="T13" s="126">
        <v>0</v>
      </c>
      <c r="U13" s="126">
        <v>0</v>
      </c>
      <c r="V13" s="126">
        <v>4</v>
      </c>
      <c r="W13" s="126">
        <v>1</v>
      </c>
      <c r="X13" s="126">
        <v>0</v>
      </c>
      <c r="Y13" s="126">
        <v>3</v>
      </c>
      <c r="Z13" s="126">
        <v>1</v>
      </c>
      <c r="AA13" s="126">
        <v>0</v>
      </c>
      <c r="AB13" s="126">
        <v>0</v>
      </c>
      <c r="AC13" s="126">
        <v>0</v>
      </c>
      <c r="AD13" s="126">
        <v>1</v>
      </c>
      <c r="AE13" s="126">
        <v>1</v>
      </c>
      <c r="AF13" s="126">
        <v>0</v>
      </c>
      <c r="AG13" s="140">
        <f>SUM(B13:AF13)</f>
        <v>21</v>
      </c>
    </row>
    <row r="14" spans="1:33" ht="15" customHeight="1" x14ac:dyDescent="0.3">
      <c r="A14" s="150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ht="15" customHeight="1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ht="15" customHeight="1" x14ac:dyDescent="0.3">
      <c r="A16" s="42" t="s">
        <v>173</v>
      </c>
      <c r="B16" s="35">
        <v>10</v>
      </c>
      <c r="C16" s="35">
        <v>10</v>
      </c>
      <c r="D16" s="35">
        <v>10</v>
      </c>
      <c r="E16" s="35">
        <v>10</v>
      </c>
      <c r="F16" s="35">
        <v>10</v>
      </c>
      <c r="G16" s="35">
        <v>10</v>
      </c>
      <c r="H16" s="35">
        <v>5</v>
      </c>
      <c r="I16" s="35">
        <v>10</v>
      </c>
      <c r="J16" s="35">
        <v>5</v>
      </c>
      <c r="K16" s="35">
        <v>10</v>
      </c>
      <c r="L16" s="35">
        <v>5</v>
      </c>
      <c r="M16" s="35">
        <v>10</v>
      </c>
      <c r="N16" s="35">
        <v>10</v>
      </c>
      <c r="O16" s="35">
        <v>10</v>
      </c>
      <c r="P16" s="35">
        <v>10</v>
      </c>
      <c r="Q16" s="35">
        <v>10</v>
      </c>
      <c r="R16" s="35">
        <v>10</v>
      </c>
      <c r="S16" s="35">
        <v>10</v>
      </c>
      <c r="T16" s="35">
        <v>10</v>
      </c>
      <c r="U16" s="35">
        <v>5</v>
      </c>
      <c r="V16" s="35">
        <v>5</v>
      </c>
      <c r="W16" s="35">
        <v>5</v>
      </c>
      <c r="X16" s="35">
        <v>5</v>
      </c>
      <c r="Y16" s="35">
        <v>5</v>
      </c>
      <c r="Z16" s="35">
        <v>10</v>
      </c>
      <c r="AA16" s="35">
        <v>5</v>
      </c>
      <c r="AB16" s="35">
        <v>5</v>
      </c>
      <c r="AC16" s="35">
        <v>10</v>
      </c>
      <c r="AD16" s="35">
        <v>10</v>
      </c>
      <c r="AE16" s="35">
        <v>5</v>
      </c>
      <c r="AF16" s="35">
        <v>5</v>
      </c>
    </row>
    <row r="17" spans="1:33" ht="15" thickBot="1" x14ac:dyDescent="0.35"/>
    <row r="18" spans="1:33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ht="30" customHeight="1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</row>
    <row r="20" spans="1:33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 x14ac:dyDescent="0.3">
      <c r="A21" s="132" t="s">
        <v>34</v>
      </c>
      <c r="B21" s="137">
        <f t="shared" ref="B21:C21" si="0">B7*B6</f>
        <v>0</v>
      </c>
      <c r="C21" s="137">
        <f t="shared" si="0"/>
        <v>0</v>
      </c>
      <c r="D21" s="137">
        <f t="shared" ref="D21:G21" si="1">D7*D6</f>
        <v>0</v>
      </c>
      <c r="E21" s="137">
        <f t="shared" si="1"/>
        <v>0</v>
      </c>
      <c r="F21" s="137">
        <f t="shared" si="1"/>
        <v>1</v>
      </c>
      <c r="G21" s="137">
        <f t="shared" si="1"/>
        <v>0</v>
      </c>
      <c r="H21" s="137">
        <f t="shared" ref="H21:I21" si="2">H7*H6</f>
        <v>0</v>
      </c>
      <c r="I21" s="137">
        <f t="shared" si="2"/>
        <v>1</v>
      </c>
      <c r="J21" s="137">
        <f t="shared" ref="J21:M21" si="3">J7*J6</f>
        <v>2</v>
      </c>
      <c r="K21" s="137">
        <f t="shared" si="3"/>
        <v>0</v>
      </c>
      <c r="L21" s="137">
        <f t="shared" si="3"/>
        <v>0</v>
      </c>
      <c r="M21" s="137">
        <f t="shared" si="3"/>
        <v>0</v>
      </c>
      <c r="N21" s="137">
        <f t="shared" ref="N21:O21" si="4">N7*N6</f>
        <v>0</v>
      </c>
      <c r="O21" s="137">
        <f t="shared" si="4"/>
        <v>0</v>
      </c>
      <c r="P21" s="137">
        <f t="shared" ref="P21:Q21" si="5">P7*P6</f>
        <v>0</v>
      </c>
      <c r="Q21" s="137">
        <f t="shared" si="5"/>
        <v>1</v>
      </c>
      <c r="R21" s="137">
        <f t="shared" ref="R21:T21" si="6">R7*R6</f>
        <v>0</v>
      </c>
      <c r="S21" s="137">
        <f t="shared" si="6"/>
        <v>0</v>
      </c>
      <c r="T21" s="137">
        <f t="shared" si="6"/>
        <v>0</v>
      </c>
      <c r="U21" s="137">
        <f t="shared" ref="U21:V21" si="7">U7*U6</f>
        <v>1</v>
      </c>
      <c r="V21" s="137">
        <f t="shared" si="7"/>
        <v>5</v>
      </c>
      <c r="W21" s="137">
        <f t="shared" ref="W21:X21" si="8">W7*W6</f>
        <v>4</v>
      </c>
      <c r="X21" s="137">
        <f t="shared" si="8"/>
        <v>2</v>
      </c>
      <c r="Y21" s="137">
        <f t="shared" ref="Y21:AA21" si="9">Y7*Y6</f>
        <v>0</v>
      </c>
      <c r="Z21" s="137">
        <f t="shared" si="9"/>
        <v>0</v>
      </c>
      <c r="AA21" s="137">
        <f t="shared" si="9"/>
        <v>0</v>
      </c>
      <c r="AB21" s="137">
        <f t="shared" ref="AB21:AC21" si="10">AB7*AB6</f>
        <v>0</v>
      </c>
      <c r="AC21" s="137">
        <f t="shared" si="10"/>
        <v>1</v>
      </c>
      <c r="AD21" s="137">
        <f t="shared" ref="AD21:AE21" si="11">AD7*AD6</f>
        <v>3</v>
      </c>
      <c r="AE21" s="137">
        <f t="shared" si="11"/>
        <v>2</v>
      </c>
      <c r="AF21" s="137">
        <f t="shared" ref="AF21" si="12">AF7*AF6</f>
        <v>2</v>
      </c>
      <c r="AG21" s="139">
        <f>SUM(B21:AF21)</f>
        <v>25</v>
      </c>
    </row>
    <row r="22" spans="1:33" x14ac:dyDescent="0.3">
      <c r="A22" s="132" t="s">
        <v>169</v>
      </c>
      <c r="B22" s="126">
        <f t="shared" ref="B22:C22" si="13">(B8*B6)-B21</f>
        <v>0</v>
      </c>
      <c r="C22" s="126">
        <f t="shared" si="13"/>
        <v>0</v>
      </c>
      <c r="D22" s="126">
        <f t="shared" ref="D22:G22" si="14">(D8*D6)-D21</f>
        <v>2</v>
      </c>
      <c r="E22" s="126">
        <f t="shared" si="14"/>
        <v>1</v>
      </c>
      <c r="F22" s="126">
        <f t="shared" si="14"/>
        <v>0</v>
      </c>
      <c r="G22" s="126">
        <f t="shared" si="14"/>
        <v>1</v>
      </c>
      <c r="H22" s="126">
        <f t="shared" ref="H22:I22" si="15">(H8*H6)-H21</f>
        <v>5</v>
      </c>
      <c r="I22" s="126">
        <f t="shared" si="15"/>
        <v>1</v>
      </c>
      <c r="J22" s="126">
        <f t="shared" ref="J22:M22" si="16">(J8*J6)-J21</f>
        <v>2</v>
      </c>
      <c r="K22" s="126">
        <f t="shared" si="16"/>
        <v>2</v>
      </c>
      <c r="L22" s="126">
        <f t="shared" si="16"/>
        <v>3</v>
      </c>
      <c r="M22" s="126">
        <f t="shared" si="16"/>
        <v>0</v>
      </c>
      <c r="N22" s="126">
        <f t="shared" ref="N22:O22" si="17">(N8*N6)-N21</f>
        <v>1</v>
      </c>
      <c r="O22" s="126">
        <f t="shared" si="17"/>
        <v>5</v>
      </c>
      <c r="P22" s="126">
        <f t="shared" ref="P22:Q22" si="18">(P8*P6)-P21</f>
        <v>1</v>
      </c>
      <c r="Q22" s="126">
        <f t="shared" si="18"/>
        <v>3</v>
      </c>
      <c r="R22" s="126">
        <f t="shared" ref="R22:T22" si="19">(R8*R6)-R21</f>
        <v>3</v>
      </c>
      <c r="S22" s="126">
        <f t="shared" si="19"/>
        <v>0</v>
      </c>
      <c r="T22" s="126">
        <f t="shared" si="19"/>
        <v>1</v>
      </c>
      <c r="U22" s="126">
        <f t="shared" ref="U22:V22" si="20">(U8*U6)-U21</f>
        <v>3</v>
      </c>
      <c r="V22" s="126">
        <f t="shared" si="20"/>
        <v>4</v>
      </c>
      <c r="W22" s="126">
        <f t="shared" ref="W22:X22" si="21">(W8*W6)-W21</f>
        <v>5</v>
      </c>
      <c r="X22" s="126">
        <f t="shared" si="21"/>
        <v>1</v>
      </c>
      <c r="Y22" s="126">
        <f t="shared" ref="Y22:AA22" si="22">(Y8*Y6)-Y21</f>
        <v>5</v>
      </c>
      <c r="Z22" s="126">
        <f t="shared" si="22"/>
        <v>1</v>
      </c>
      <c r="AA22" s="126">
        <f t="shared" si="22"/>
        <v>1</v>
      </c>
      <c r="AB22" s="126">
        <f t="shared" ref="AB22:AC22" si="23">(AB8*AB6)-AB21</f>
        <v>5</v>
      </c>
      <c r="AC22" s="126">
        <f t="shared" si="23"/>
        <v>4</v>
      </c>
      <c r="AD22" s="126">
        <f t="shared" ref="AD22:AE22" si="24">(AD8*AD6)-AD21</f>
        <v>6</v>
      </c>
      <c r="AE22" s="126">
        <f t="shared" si="24"/>
        <v>3</v>
      </c>
      <c r="AF22" s="126">
        <f t="shared" ref="AF22" si="25">(AF8*AF6)-AF21</f>
        <v>3</v>
      </c>
      <c r="AG22" s="139">
        <f>SUM(B22:AF22)</f>
        <v>72</v>
      </c>
    </row>
    <row r="23" spans="1:33" x14ac:dyDescent="0.3">
      <c r="A23" s="132" t="s">
        <v>202</v>
      </c>
      <c r="B23" s="137">
        <f t="shared" ref="B23:C23" si="26">B6-(B22+B21)</f>
        <v>0</v>
      </c>
      <c r="C23" s="137">
        <f t="shared" si="26"/>
        <v>0</v>
      </c>
      <c r="D23" s="137">
        <f t="shared" ref="D23:G23" si="27">D6-(D22+D21)</f>
        <v>0</v>
      </c>
      <c r="E23" s="137">
        <f t="shared" si="27"/>
        <v>0</v>
      </c>
      <c r="F23" s="137">
        <f t="shared" si="27"/>
        <v>0</v>
      </c>
      <c r="G23" s="137">
        <f t="shared" si="27"/>
        <v>0</v>
      </c>
      <c r="H23" s="137">
        <f t="shared" ref="H23:I23" si="28">H6-(H22+H21)</f>
        <v>1</v>
      </c>
      <c r="I23" s="137">
        <f t="shared" si="28"/>
        <v>0</v>
      </c>
      <c r="J23" s="137">
        <f t="shared" ref="J23:M23" si="29">J6-(J22+J21)</f>
        <v>4</v>
      </c>
      <c r="K23" s="137">
        <f t="shared" si="29"/>
        <v>0</v>
      </c>
      <c r="L23" s="137">
        <f t="shared" si="29"/>
        <v>3</v>
      </c>
      <c r="M23" s="137">
        <f t="shared" si="29"/>
        <v>0</v>
      </c>
      <c r="N23" s="137">
        <f t="shared" ref="N23:O23" si="30">N6-(N22+N21)</f>
        <v>0</v>
      </c>
      <c r="O23" s="137">
        <f t="shared" si="30"/>
        <v>0</v>
      </c>
      <c r="P23" s="137">
        <f t="shared" ref="P23:Q23" si="31">P6-(P22+P21)</f>
        <v>0</v>
      </c>
      <c r="Q23" s="137">
        <f t="shared" si="31"/>
        <v>0</v>
      </c>
      <c r="R23" s="137">
        <f t="shared" ref="R23:T23" si="32">R6-(R22+R21)</f>
        <v>0</v>
      </c>
      <c r="S23" s="137">
        <f t="shared" si="32"/>
        <v>0</v>
      </c>
      <c r="T23" s="137">
        <f t="shared" si="32"/>
        <v>0</v>
      </c>
      <c r="U23" s="137">
        <f t="shared" ref="U23:V23" si="33">U6-(U22+U21)</f>
        <v>1</v>
      </c>
      <c r="V23" s="137">
        <f t="shared" si="33"/>
        <v>2</v>
      </c>
      <c r="W23" s="137">
        <f t="shared" ref="W23:X23" si="34">W6-(W22+W21)</f>
        <v>2</v>
      </c>
      <c r="X23" s="137">
        <f t="shared" si="34"/>
        <v>1</v>
      </c>
      <c r="Y23" s="137">
        <f t="shared" ref="Y23:AA23" si="35">Y6-(Y22+Y21)</f>
        <v>4</v>
      </c>
      <c r="Z23" s="137">
        <f t="shared" si="35"/>
        <v>0</v>
      </c>
      <c r="AA23" s="137">
        <f t="shared" si="35"/>
        <v>2</v>
      </c>
      <c r="AB23" s="137">
        <f t="shared" ref="AB23:AC23" si="36">AB6-(AB22+AB21)</f>
        <v>1</v>
      </c>
      <c r="AC23" s="137">
        <f t="shared" si="36"/>
        <v>0</v>
      </c>
      <c r="AD23" s="137">
        <f t="shared" ref="AD23:AE23" si="37">AD6-(AD22+AD21)</f>
        <v>0</v>
      </c>
      <c r="AE23" s="137">
        <f t="shared" si="37"/>
        <v>1</v>
      </c>
      <c r="AF23" s="137">
        <f t="shared" ref="AF23" si="38">AF6-(AF22+AF21)</f>
        <v>5</v>
      </c>
      <c r="AG23" s="139">
        <f>SUM(B23:AF23)</f>
        <v>27</v>
      </c>
    </row>
    <row r="24" spans="1:33" x14ac:dyDescent="0.3">
      <c r="A24" s="136"/>
      <c r="B24" s="138">
        <f t="shared" ref="B24:C24" si="39">SUM(B21:B23)</f>
        <v>0</v>
      </c>
      <c r="C24" s="138">
        <f t="shared" si="39"/>
        <v>0</v>
      </c>
      <c r="D24" s="138">
        <f t="shared" ref="D24:G24" si="40">SUM(D21:D23)</f>
        <v>2</v>
      </c>
      <c r="E24" s="138">
        <f t="shared" si="40"/>
        <v>1</v>
      </c>
      <c r="F24" s="138">
        <f t="shared" si="40"/>
        <v>1</v>
      </c>
      <c r="G24" s="138">
        <f t="shared" si="40"/>
        <v>1</v>
      </c>
      <c r="H24" s="138">
        <f t="shared" ref="H24:I24" si="41">SUM(H21:H23)</f>
        <v>6</v>
      </c>
      <c r="I24" s="138">
        <f t="shared" si="41"/>
        <v>2</v>
      </c>
      <c r="J24" s="138">
        <f t="shared" ref="J24:M24" si="42">SUM(J21:J23)</f>
        <v>8</v>
      </c>
      <c r="K24" s="138">
        <f t="shared" si="42"/>
        <v>2</v>
      </c>
      <c r="L24" s="138">
        <f t="shared" si="42"/>
        <v>6</v>
      </c>
      <c r="M24" s="138">
        <f t="shared" si="42"/>
        <v>0</v>
      </c>
      <c r="N24" s="138">
        <f t="shared" ref="N24:O24" si="43">SUM(N21:N23)</f>
        <v>1</v>
      </c>
      <c r="O24" s="138">
        <f t="shared" si="43"/>
        <v>5</v>
      </c>
      <c r="P24" s="138">
        <f t="shared" ref="P24:Q24" si="44">SUM(P21:P23)</f>
        <v>1</v>
      </c>
      <c r="Q24" s="138">
        <f t="shared" si="44"/>
        <v>4</v>
      </c>
      <c r="R24" s="138">
        <f t="shared" ref="R24:T24" si="45">SUM(R21:R23)</f>
        <v>3</v>
      </c>
      <c r="S24" s="138">
        <f t="shared" si="45"/>
        <v>0</v>
      </c>
      <c r="T24" s="138">
        <f t="shared" si="45"/>
        <v>1</v>
      </c>
      <c r="U24" s="138">
        <f t="shared" ref="U24:V24" si="46">SUM(U21:U23)</f>
        <v>5</v>
      </c>
      <c r="V24" s="138">
        <f t="shared" si="46"/>
        <v>11</v>
      </c>
      <c r="W24" s="138">
        <f t="shared" ref="W24:X24" si="47">SUM(W21:W23)</f>
        <v>11</v>
      </c>
      <c r="X24" s="138">
        <f t="shared" si="47"/>
        <v>4</v>
      </c>
      <c r="Y24" s="138">
        <f t="shared" ref="Y24:AA24" si="48">SUM(Y21:Y23)</f>
        <v>9</v>
      </c>
      <c r="Z24" s="138">
        <f t="shared" si="48"/>
        <v>1</v>
      </c>
      <c r="AA24" s="138">
        <f t="shared" si="48"/>
        <v>3</v>
      </c>
      <c r="AB24" s="138">
        <f t="shared" ref="AB24:AC24" si="49">SUM(AB21:AB23)</f>
        <v>6</v>
      </c>
      <c r="AC24" s="138">
        <f t="shared" si="49"/>
        <v>5</v>
      </c>
      <c r="AD24" s="138">
        <f t="shared" ref="AD24:AE24" si="50">SUM(AD21:AD23)</f>
        <v>9</v>
      </c>
      <c r="AE24" s="138">
        <f t="shared" si="50"/>
        <v>6</v>
      </c>
      <c r="AF24" s="138">
        <f t="shared" ref="AF24" si="51">SUM(AF21:AF23)</f>
        <v>10</v>
      </c>
      <c r="AG24" s="139">
        <f>SUM(B24:AF24)</f>
        <v>124</v>
      </c>
    </row>
    <row r="25" spans="1:33" x14ac:dyDescent="0.3">
      <c r="A25" s="133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</row>
    <row r="26" spans="1:33" x14ac:dyDescent="0.3">
      <c r="A26" s="133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</row>
  </sheetData>
  <conditionalFormatting sqref="A16">
    <cfRule type="iconSet" priority="50">
      <iconSet iconSet="3TrafficLights2" showValue="0">
        <cfvo type="percent" val="0"/>
        <cfvo type="num" val="5"/>
        <cfvo type="num" val="10"/>
      </iconSet>
    </cfRule>
  </conditionalFormatting>
  <conditionalFormatting sqref="B16:AF16">
    <cfRule type="iconSet" priority="2">
      <iconSet iconSet="3TrafficLights2" showValue="0">
        <cfvo type="percent" val="0"/>
        <cfvo type="num" val="5"/>
        <cfvo type="num" val="10"/>
      </iconSet>
    </cfRule>
    <cfRule type="iconSet" priority="3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1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292D-BFFA-4177-B1F6-9BEACB8403C0}">
  <dimension ref="A1:AD26"/>
  <sheetViews>
    <sheetView topLeftCell="A5" zoomScaleNormal="100" workbookViewId="0">
      <pane xSplit="1" topLeftCell="C1" activePane="topRight" state="frozen"/>
      <selection activeCell="A2" sqref="A2"/>
      <selection pane="topRight" activeCell="G16" sqref="G16"/>
    </sheetView>
  </sheetViews>
  <sheetFormatPr baseColWidth="10" defaultColWidth="9.44140625" defaultRowHeight="14.4" outlineLevelCol="1" x14ac:dyDescent="0.3"/>
  <cols>
    <col min="1" max="1" width="34.5546875" style="33" bestFit="1" customWidth="1"/>
    <col min="2" max="29" width="8.5546875" style="33" customWidth="1" outlineLevel="1"/>
    <col min="30" max="16384" width="9.44140625" style="33"/>
  </cols>
  <sheetData>
    <row r="1" spans="1:30" ht="15" customHeight="1" thickBot="1" x14ac:dyDescent="0.35">
      <c r="A1" s="44" t="s">
        <v>184</v>
      </c>
    </row>
    <row r="2" spans="1:30" ht="15" customHeight="1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43"/>
    </row>
    <row r="3" spans="1:30" s="35" customFormat="1" ht="30.6" customHeight="1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141" t="s">
        <v>203</v>
      </c>
    </row>
    <row r="4" spans="1:30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 spans="1:30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40"/>
    </row>
    <row r="6" spans="1:30" x14ac:dyDescent="0.3">
      <c r="A6" s="40" t="s">
        <v>195</v>
      </c>
      <c r="B6" s="126">
        <v>4</v>
      </c>
      <c r="C6" s="126">
        <v>4</v>
      </c>
      <c r="D6" s="126">
        <v>9</v>
      </c>
      <c r="E6" s="126">
        <v>1</v>
      </c>
      <c r="F6" s="126">
        <v>17</v>
      </c>
      <c r="G6" s="126">
        <v>5</v>
      </c>
      <c r="H6" s="126">
        <v>5</v>
      </c>
      <c r="I6" s="126">
        <v>3</v>
      </c>
      <c r="J6" s="126">
        <v>2</v>
      </c>
      <c r="K6" s="126">
        <v>7</v>
      </c>
      <c r="L6" s="126">
        <v>10</v>
      </c>
      <c r="M6" s="126">
        <v>4</v>
      </c>
      <c r="N6" s="126">
        <v>12</v>
      </c>
      <c r="O6" s="126">
        <v>2</v>
      </c>
      <c r="P6" s="126">
        <v>3</v>
      </c>
      <c r="Q6" s="126">
        <v>1</v>
      </c>
      <c r="R6" s="126">
        <v>6</v>
      </c>
      <c r="S6" s="126">
        <v>4</v>
      </c>
      <c r="T6" s="126">
        <v>7</v>
      </c>
      <c r="U6" s="126">
        <v>20</v>
      </c>
      <c r="V6" s="126">
        <v>2</v>
      </c>
      <c r="W6" s="126">
        <v>6</v>
      </c>
      <c r="X6" s="126">
        <v>2</v>
      </c>
      <c r="Y6" s="126">
        <v>5</v>
      </c>
      <c r="Z6" s="126">
        <v>6</v>
      </c>
      <c r="AA6" s="126">
        <v>7</v>
      </c>
      <c r="AB6" s="126">
        <v>7</v>
      </c>
      <c r="AC6" s="126">
        <v>5</v>
      </c>
      <c r="AD6" s="140">
        <f>SUM(B6:AC6)</f>
        <v>166</v>
      </c>
    </row>
    <row r="7" spans="1:30" x14ac:dyDescent="0.3">
      <c r="A7" s="39" t="s">
        <v>34</v>
      </c>
      <c r="B7" s="129">
        <v>0.75</v>
      </c>
      <c r="C7" s="129">
        <v>0.25</v>
      </c>
      <c r="D7" s="129">
        <v>0.66666666666666663</v>
      </c>
      <c r="E7" s="129">
        <v>0</v>
      </c>
      <c r="F7" s="129">
        <v>0.11764705882352941</v>
      </c>
      <c r="G7" s="129">
        <v>0.8</v>
      </c>
      <c r="H7" s="129">
        <v>0</v>
      </c>
      <c r="I7" s="129">
        <v>0.33333333333333331</v>
      </c>
      <c r="J7" s="129">
        <v>0.5</v>
      </c>
      <c r="K7" s="127">
        <v>0.2857142857142857</v>
      </c>
      <c r="L7" s="129">
        <v>0.4</v>
      </c>
      <c r="M7" s="129">
        <v>0.5</v>
      </c>
      <c r="N7" s="129">
        <v>0.33333333333333331</v>
      </c>
      <c r="O7" s="129">
        <v>0.5</v>
      </c>
      <c r="P7" s="129">
        <v>0.33333333333333331</v>
      </c>
      <c r="Q7" s="129">
        <v>0</v>
      </c>
      <c r="R7" s="129">
        <v>0.5</v>
      </c>
      <c r="S7" s="129">
        <v>0</v>
      </c>
      <c r="T7" s="129">
        <v>0.5714285714285714</v>
      </c>
      <c r="U7" s="129">
        <v>0.3</v>
      </c>
      <c r="V7" s="129">
        <v>0</v>
      </c>
      <c r="W7" s="129">
        <v>0.16666666666666666</v>
      </c>
      <c r="X7" s="129">
        <v>0.5</v>
      </c>
      <c r="Y7" s="129">
        <v>0.2</v>
      </c>
      <c r="Z7" s="129">
        <v>0</v>
      </c>
      <c r="AA7" s="129">
        <v>0.42857142857142855</v>
      </c>
      <c r="AB7" s="129">
        <v>0.2857142857142857</v>
      </c>
      <c r="AC7" s="129">
        <v>0.2</v>
      </c>
      <c r="AD7" s="142">
        <f>AD21/AD24</f>
        <v>0.3253012048192771</v>
      </c>
    </row>
    <row r="8" spans="1:30" x14ac:dyDescent="0.3">
      <c r="A8" s="39" t="s">
        <v>169</v>
      </c>
      <c r="B8" s="129">
        <v>0.75</v>
      </c>
      <c r="C8" s="129">
        <v>0.75</v>
      </c>
      <c r="D8" s="129">
        <v>1</v>
      </c>
      <c r="E8" s="129">
        <v>1</v>
      </c>
      <c r="F8" s="129">
        <v>1</v>
      </c>
      <c r="G8" s="129">
        <v>1</v>
      </c>
      <c r="H8" s="129">
        <v>1</v>
      </c>
      <c r="I8" s="129">
        <v>1</v>
      </c>
      <c r="J8" s="129">
        <v>1</v>
      </c>
      <c r="K8" s="128">
        <v>0.8571428571428571</v>
      </c>
      <c r="L8" s="129">
        <v>1</v>
      </c>
      <c r="M8" s="129">
        <v>1</v>
      </c>
      <c r="N8" s="129">
        <v>1</v>
      </c>
      <c r="O8" s="129">
        <v>1</v>
      </c>
      <c r="P8" s="129">
        <v>1</v>
      </c>
      <c r="Q8" s="129">
        <v>1</v>
      </c>
      <c r="R8" s="129">
        <v>1</v>
      </c>
      <c r="S8" s="129">
        <v>1</v>
      </c>
      <c r="T8" s="129">
        <v>1</v>
      </c>
      <c r="U8" s="129">
        <v>0.65</v>
      </c>
      <c r="V8" s="129">
        <v>0.5</v>
      </c>
      <c r="W8" s="129">
        <v>0.83333333333333337</v>
      </c>
      <c r="X8" s="129">
        <v>1</v>
      </c>
      <c r="Y8" s="129">
        <v>0.8</v>
      </c>
      <c r="Z8" s="129">
        <v>1</v>
      </c>
      <c r="AA8" s="129">
        <v>1</v>
      </c>
      <c r="AB8" s="129">
        <v>1</v>
      </c>
      <c r="AC8" s="129">
        <v>0.8</v>
      </c>
      <c r="AD8" s="142">
        <f>(AD21+AD22)/AD24</f>
        <v>0.91566265060240959</v>
      </c>
    </row>
    <row r="9" spans="1:30" x14ac:dyDescent="0.3">
      <c r="A9" s="39" t="s">
        <v>196</v>
      </c>
      <c r="B9" s="126">
        <v>41</v>
      </c>
      <c r="C9" s="126">
        <v>32</v>
      </c>
      <c r="D9" s="126">
        <v>56</v>
      </c>
      <c r="E9" s="126">
        <v>33</v>
      </c>
      <c r="F9" s="126">
        <v>65</v>
      </c>
      <c r="G9" s="126">
        <v>67</v>
      </c>
      <c r="H9" s="126">
        <v>53</v>
      </c>
      <c r="I9" s="126">
        <v>38</v>
      </c>
      <c r="J9" s="126">
        <v>19</v>
      </c>
      <c r="K9" s="126">
        <v>32</v>
      </c>
      <c r="L9" s="126">
        <v>61</v>
      </c>
      <c r="M9" s="126">
        <v>31</v>
      </c>
      <c r="N9" s="126">
        <v>43</v>
      </c>
      <c r="O9" s="126">
        <v>36</v>
      </c>
      <c r="P9" s="126">
        <v>31</v>
      </c>
      <c r="Q9" s="126">
        <v>20</v>
      </c>
      <c r="R9" s="126">
        <v>30</v>
      </c>
      <c r="S9" s="126">
        <v>33</v>
      </c>
      <c r="T9" s="126">
        <v>43</v>
      </c>
      <c r="U9" s="126">
        <v>74</v>
      </c>
      <c r="V9" s="126">
        <v>52</v>
      </c>
      <c r="W9" s="126">
        <v>38</v>
      </c>
      <c r="X9" s="126">
        <v>36</v>
      </c>
      <c r="Y9" s="126">
        <v>32</v>
      </c>
      <c r="Z9" s="126">
        <v>34</v>
      </c>
      <c r="AA9" s="126">
        <v>46</v>
      </c>
      <c r="AB9" s="126">
        <v>54</v>
      </c>
      <c r="AC9" s="126">
        <v>51</v>
      </c>
      <c r="AD9" s="139">
        <f>SUM(B9:AC9)</f>
        <v>1181</v>
      </c>
    </row>
    <row r="10" spans="1:30" x14ac:dyDescent="0.3">
      <c r="A10" s="39" t="s">
        <v>197</v>
      </c>
      <c r="B10" s="126">
        <v>1</v>
      </c>
      <c r="C10" s="126">
        <v>1</v>
      </c>
      <c r="D10" s="126">
        <v>0</v>
      </c>
      <c r="E10" s="126">
        <v>0</v>
      </c>
      <c r="F10" s="126">
        <v>1</v>
      </c>
      <c r="G10" s="126">
        <v>0</v>
      </c>
      <c r="H10" s="126">
        <v>1</v>
      </c>
      <c r="I10" s="126">
        <v>0</v>
      </c>
      <c r="J10" s="126">
        <v>0</v>
      </c>
      <c r="K10" s="126">
        <v>0</v>
      </c>
      <c r="L10" s="126">
        <v>0</v>
      </c>
      <c r="M10" s="126">
        <v>0</v>
      </c>
      <c r="N10" s="126">
        <v>2</v>
      </c>
      <c r="O10" s="126">
        <v>1</v>
      </c>
      <c r="P10" s="126">
        <v>1</v>
      </c>
      <c r="Q10" s="126">
        <v>0</v>
      </c>
      <c r="R10" s="126">
        <v>0</v>
      </c>
      <c r="S10" s="126">
        <v>0</v>
      </c>
      <c r="T10" s="126">
        <v>0</v>
      </c>
      <c r="U10" s="126">
        <v>0</v>
      </c>
      <c r="V10" s="126">
        <v>1</v>
      </c>
      <c r="W10" s="126">
        <v>1</v>
      </c>
      <c r="X10" s="126">
        <v>0</v>
      </c>
      <c r="Y10" s="126">
        <v>1</v>
      </c>
      <c r="Z10" s="126">
        <v>0</v>
      </c>
      <c r="AA10" s="126">
        <v>1</v>
      </c>
      <c r="AB10" s="126">
        <v>0</v>
      </c>
      <c r="AC10" s="126">
        <v>2</v>
      </c>
      <c r="AD10" s="139">
        <f>SUM(B10:AC10)</f>
        <v>14</v>
      </c>
    </row>
    <row r="11" spans="1:30" x14ac:dyDescent="0.3">
      <c r="A11" s="39" t="s">
        <v>198</v>
      </c>
      <c r="B11" s="130">
        <v>0.97560975609756095</v>
      </c>
      <c r="C11" s="130">
        <v>0.96799999999999997</v>
      </c>
      <c r="D11" s="130">
        <v>1</v>
      </c>
      <c r="E11" s="130">
        <v>1</v>
      </c>
      <c r="F11" s="130">
        <v>0.98461538461538467</v>
      </c>
      <c r="G11" s="130">
        <v>1</v>
      </c>
      <c r="H11" s="130">
        <v>0.98113207547169812</v>
      </c>
      <c r="I11" s="130">
        <v>1</v>
      </c>
      <c r="J11" s="130">
        <v>1</v>
      </c>
      <c r="K11" s="128">
        <v>1</v>
      </c>
      <c r="L11" s="130">
        <v>1</v>
      </c>
      <c r="M11" s="130">
        <v>1</v>
      </c>
      <c r="N11" s="130">
        <v>0.95348837209302328</v>
      </c>
      <c r="O11" s="130">
        <v>0.97222222222222221</v>
      </c>
      <c r="P11" s="130">
        <v>0.967741935483871</v>
      </c>
      <c r="Q11" s="130">
        <v>1</v>
      </c>
      <c r="R11" s="130">
        <v>1</v>
      </c>
      <c r="S11" s="130">
        <v>1</v>
      </c>
      <c r="T11" s="130">
        <v>1</v>
      </c>
      <c r="U11" s="130">
        <v>1</v>
      </c>
      <c r="V11" s="130">
        <v>0.98076923076923073</v>
      </c>
      <c r="W11" s="130">
        <v>0.97368421052631582</v>
      </c>
      <c r="X11" s="130">
        <v>1</v>
      </c>
      <c r="Y11" s="130">
        <v>0.96875</v>
      </c>
      <c r="Z11" s="130">
        <v>1</v>
      </c>
      <c r="AA11" s="130">
        <v>0.97826086956521741</v>
      </c>
      <c r="AB11" s="130">
        <v>1</v>
      </c>
      <c r="AC11" s="130">
        <v>0.96078431372549022</v>
      </c>
      <c r="AD11" s="142">
        <f>1-(AD10/AD9)</f>
        <v>0.98814563928873833</v>
      </c>
    </row>
    <row r="12" spans="1:30" x14ac:dyDescent="0.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40"/>
    </row>
    <row r="13" spans="1:30" ht="15" customHeight="1" x14ac:dyDescent="0.3">
      <c r="A13" s="39" t="s">
        <v>148</v>
      </c>
      <c r="B13" s="126">
        <v>1</v>
      </c>
      <c r="C13" s="126">
        <v>1</v>
      </c>
      <c r="D13" s="126">
        <v>0</v>
      </c>
      <c r="E13" s="126">
        <v>0</v>
      </c>
      <c r="F13" s="126">
        <v>1</v>
      </c>
      <c r="G13" s="126">
        <v>0</v>
      </c>
      <c r="H13" s="126">
        <v>1</v>
      </c>
      <c r="I13" s="126">
        <v>0</v>
      </c>
      <c r="J13" s="126">
        <v>0</v>
      </c>
      <c r="K13" s="126">
        <v>0</v>
      </c>
      <c r="L13" s="126">
        <v>0</v>
      </c>
      <c r="M13" s="126">
        <v>0</v>
      </c>
      <c r="N13" s="126">
        <v>2</v>
      </c>
      <c r="O13" s="126">
        <v>1</v>
      </c>
      <c r="P13" s="126">
        <v>1</v>
      </c>
      <c r="Q13" s="126">
        <v>0</v>
      </c>
      <c r="R13" s="126">
        <v>0</v>
      </c>
      <c r="S13" s="126">
        <v>0</v>
      </c>
      <c r="T13" s="126">
        <v>0</v>
      </c>
      <c r="U13" s="126">
        <v>0</v>
      </c>
      <c r="V13" s="126">
        <v>1</v>
      </c>
      <c r="W13" s="126">
        <v>1</v>
      </c>
      <c r="X13" s="126">
        <v>0</v>
      </c>
      <c r="Y13" s="126">
        <v>1</v>
      </c>
      <c r="Z13" s="126">
        <v>0</v>
      </c>
      <c r="AA13" s="126">
        <v>1</v>
      </c>
      <c r="AB13" s="126">
        <v>0</v>
      </c>
      <c r="AC13" s="126">
        <v>2</v>
      </c>
      <c r="AD13" s="140">
        <f>SUM(B13:AC13)</f>
        <v>14</v>
      </c>
    </row>
    <row r="14" spans="1:30" ht="15" customHeight="1" x14ac:dyDescent="0.3">
      <c r="A14" s="150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40"/>
    </row>
    <row r="15" spans="1:30" ht="15" customHeight="1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40"/>
    </row>
    <row r="16" spans="1:30" ht="15" customHeight="1" x14ac:dyDescent="0.3">
      <c r="A16" s="42" t="s">
        <v>173</v>
      </c>
      <c r="B16" s="35">
        <v>5</v>
      </c>
      <c r="C16" s="35">
        <v>5</v>
      </c>
      <c r="D16" s="35">
        <v>10</v>
      </c>
      <c r="E16" s="35">
        <v>10</v>
      </c>
      <c r="F16" s="35">
        <v>10</v>
      </c>
      <c r="G16" s="35">
        <v>10</v>
      </c>
      <c r="H16" s="35">
        <v>10</v>
      </c>
      <c r="I16" s="35">
        <v>10</v>
      </c>
      <c r="J16" s="35">
        <v>10</v>
      </c>
      <c r="K16" s="35">
        <v>5</v>
      </c>
      <c r="L16" s="35">
        <v>10</v>
      </c>
      <c r="M16" s="35">
        <v>10</v>
      </c>
      <c r="N16" s="35">
        <v>10</v>
      </c>
      <c r="O16" s="35">
        <v>10</v>
      </c>
      <c r="P16" s="35">
        <v>10</v>
      </c>
      <c r="Q16" s="35">
        <v>10</v>
      </c>
      <c r="R16" s="35">
        <v>10</v>
      </c>
      <c r="S16" s="35">
        <v>10</v>
      </c>
      <c r="T16" s="35">
        <v>10</v>
      </c>
      <c r="U16" s="35">
        <v>5</v>
      </c>
      <c r="V16" s="35">
        <v>5</v>
      </c>
      <c r="W16" s="35">
        <v>5</v>
      </c>
      <c r="X16" s="35">
        <v>10</v>
      </c>
      <c r="Y16" s="35">
        <v>5</v>
      </c>
      <c r="Z16" s="35">
        <v>10</v>
      </c>
      <c r="AA16" s="35">
        <v>10</v>
      </c>
      <c r="AB16" s="35">
        <v>10</v>
      </c>
      <c r="AC16" s="35">
        <v>5</v>
      </c>
    </row>
    <row r="17" spans="1:30" ht="15" thickBot="1" x14ac:dyDescent="0.35"/>
    <row r="18" spans="1:30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</row>
    <row r="19" spans="1:30" ht="30" customHeight="1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</row>
    <row r="20" spans="1:30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</row>
    <row r="21" spans="1:30" x14ac:dyDescent="0.3">
      <c r="A21" s="132" t="s">
        <v>34</v>
      </c>
      <c r="B21" s="137">
        <f t="shared" ref="B21:C21" si="0">B7*B6</f>
        <v>3</v>
      </c>
      <c r="C21" s="137">
        <f t="shared" si="0"/>
        <v>1</v>
      </c>
      <c r="D21" s="137">
        <f t="shared" ref="D21:E21" si="1">D7*D6</f>
        <v>6</v>
      </c>
      <c r="E21" s="137">
        <f t="shared" si="1"/>
        <v>0</v>
      </c>
      <c r="F21" s="137">
        <f t="shared" ref="F21:G21" si="2">F7*F6</f>
        <v>2</v>
      </c>
      <c r="G21" s="137">
        <f t="shared" si="2"/>
        <v>4</v>
      </c>
      <c r="H21" s="137">
        <f t="shared" ref="H21:J21" si="3">H7*H6</f>
        <v>0</v>
      </c>
      <c r="I21" s="137">
        <f t="shared" si="3"/>
        <v>1</v>
      </c>
      <c r="J21" s="137">
        <f t="shared" si="3"/>
        <v>1</v>
      </c>
      <c r="K21" s="137">
        <f t="shared" ref="K21:L21" si="4">K7*K6</f>
        <v>2</v>
      </c>
      <c r="L21" s="137">
        <f t="shared" si="4"/>
        <v>4</v>
      </c>
      <c r="M21" s="137">
        <f t="shared" ref="M21:N21" si="5">M7*M6</f>
        <v>2</v>
      </c>
      <c r="N21" s="137">
        <f t="shared" si="5"/>
        <v>4</v>
      </c>
      <c r="O21" s="137">
        <f t="shared" ref="O21:Q21" si="6">O7*O6</f>
        <v>1</v>
      </c>
      <c r="P21" s="137">
        <f t="shared" si="6"/>
        <v>1</v>
      </c>
      <c r="Q21" s="137">
        <f t="shared" si="6"/>
        <v>0</v>
      </c>
      <c r="R21" s="137">
        <f t="shared" ref="R21:S21" si="7">R7*R6</f>
        <v>3</v>
      </c>
      <c r="S21" s="137">
        <f t="shared" si="7"/>
        <v>0</v>
      </c>
      <c r="T21" s="137">
        <f t="shared" ref="T21:U21" si="8">T7*T6</f>
        <v>4</v>
      </c>
      <c r="U21" s="137">
        <f t="shared" si="8"/>
        <v>6</v>
      </c>
      <c r="V21" s="137">
        <f t="shared" ref="V21:X21" si="9">V7*V6</f>
        <v>0</v>
      </c>
      <c r="W21" s="137">
        <f t="shared" si="9"/>
        <v>1</v>
      </c>
      <c r="X21" s="137">
        <f t="shared" si="9"/>
        <v>1</v>
      </c>
      <c r="Y21" s="137">
        <f t="shared" ref="Y21:Z21" si="10">Y7*Y6</f>
        <v>1</v>
      </c>
      <c r="Z21" s="137">
        <f t="shared" si="10"/>
        <v>0</v>
      </c>
      <c r="AA21" s="137">
        <f t="shared" ref="AA21:AB21" si="11">AA7*AA6</f>
        <v>3</v>
      </c>
      <c r="AB21" s="137">
        <f t="shared" si="11"/>
        <v>2</v>
      </c>
      <c r="AC21" s="137">
        <f t="shared" ref="AC21" si="12">AC7*AC6</f>
        <v>1</v>
      </c>
      <c r="AD21" s="139">
        <f>SUM(B21:AC21)</f>
        <v>54</v>
      </c>
    </row>
    <row r="22" spans="1:30" x14ac:dyDescent="0.3">
      <c r="A22" s="132" t="s">
        <v>169</v>
      </c>
      <c r="B22" s="126">
        <f t="shared" ref="B22:C22" si="13">(B8*B6)-B21</f>
        <v>0</v>
      </c>
      <c r="C22" s="126">
        <f t="shared" si="13"/>
        <v>2</v>
      </c>
      <c r="D22" s="126">
        <f t="shared" ref="D22:E22" si="14">(D8*D6)-D21</f>
        <v>3</v>
      </c>
      <c r="E22" s="126">
        <f t="shared" si="14"/>
        <v>1</v>
      </c>
      <c r="F22" s="126">
        <f t="shared" ref="F22:G22" si="15">(F8*F6)-F21</f>
        <v>15</v>
      </c>
      <c r="G22" s="126">
        <f t="shared" si="15"/>
        <v>1</v>
      </c>
      <c r="H22" s="126">
        <f t="shared" ref="H22:J22" si="16">(H8*H6)-H21</f>
        <v>5</v>
      </c>
      <c r="I22" s="126">
        <f t="shared" si="16"/>
        <v>2</v>
      </c>
      <c r="J22" s="126">
        <f t="shared" si="16"/>
        <v>1</v>
      </c>
      <c r="K22" s="126">
        <f t="shared" ref="K22:L22" si="17">(K8*K6)-K21</f>
        <v>4</v>
      </c>
      <c r="L22" s="126">
        <f t="shared" si="17"/>
        <v>6</v>
      </c>
      <c r="M22" s="126">
        <f t="shared" ref="M22:N22" si="18">(M8*M6)-M21</f>
        <v>2</v>
      </c>
      <c r="N22" s="126">
        <f t="shared" si="18"/>
        <v>8</v>
      </c>
      <c r="O22" s="126">
        <f t="shared" ref="O22:Q22" si="19">(O8*O6)-O21</f>
        <v>1</v>
      </c>
      <c r="P22" s="126">
        <f t="shared" si="19"/>
        <v>2</v>
      </c>
      <c r="Q22" s="126">
        <f t="shared" si="19"/>
        <v>1</v>
      </c>
      <c r="R22" s="126">
        <f t="shared" ref="R22:S22" si="20">(R8*R6)-R21</f>
        <v>3</v>
      </c>
      <c r="S22" s="126">
        <f t="shared" si="20"/>
        <v>4</v>
      </c>
      <c r="T22" s="126">
        <f t="shared" ref="T22:U22" si="21">(T8*T6)-T21</f>
        <v>3</v>
      </c>
      <c r="U22" s="126">
        <f t="shared" si="21"/>
        <v>7</v>
      </c>
      <c r="V22" s="126">
        <f t="shared" ref="V22:X22" si="22">(V8*V6)-V21</f>
        <v>1</v>
      </c>
      <c r="W22" s="126">
        <f t="shared" si="22"/>
        <v>4</v>
      </c>
      <c r="X22" s="126">
        <f t="shared" si="22"/>
        <v>1</v>
      </c>
      <c r="Y22" s="126">
        <f t="shared" ref="Y22:Z22" si="23">(Y8*Y6)-Y21</f>
        <v>3</v>
      </c>
      <c r="Z22" s="126">
        <f t="shared" si="23"/>
        <v>6</v>
      </c>
      <c r="AA22" s="126">
        <f t="shared" ref="AA22:AB22" si="24">(AA8*AA6)-AA21</f>
        <v>4</v>
      </c>
      <c r="AB22" s="126">
        <f t="shared" si="24"/>
        <v>5</v>
      </c>
      <c r="AC22" s="126">
        <f t="shared" ref="AC22" si="25">(AC8*AC6)-AC21</f>
        <v>3</v>
      </c>
      <c r="AD22" s="139">
        <f>SUM(B22:AC22)</f>
        <v>98</v>
      </c>
    </row>
    <row r="23" spans="1:30" x14ac:dyDescent="0.3">
      <c r="A23" s="132" t="s">
        <v>202</v>
      </c>
      <c r="B23" s="137">
        <f t="shared" ref="B23:C23" si="26">B6-(B22+B21)</f>
        <v>1</v>
      </c>
      <c r="C23" s="137">
        <f t="shared" si="26"/>
        <v>1</v>
      </c>
      <c r="D23" s="137">
        <f t="shared" ref="D23:E23" si="27">D6-(D22+D21)</f>
        <v>0</v>
      </c>
      <c r="E23" s="137">
        <f t="shared" si="27"/>
        <v>0</v>
      </c>
      <c r="F23" s="137">
        <f t="shared" ref="F23:G23" si="28">F6-(F22+F21)</f>
        <v>0</v>
      </c>
      <c r="G23" s="137">
        <f t="shared" si="28"/>
        <v>0</v>
      </c>
      <c r="H23" s="137">
        <f t="shared" ref="H23:J23" si="29">H6-(H22+H21)</f>
        <v>0</v>
      </c>
      <c r="I23" s="137">
        <f t="shared" si="29"/>
        <v>0</v>
      </c>
      <c r="J23" s="137">
        <f t="shared" si="29"/>
        <v>0</v>
      </c>
      <c r="K23" s="137">
        <f t="shared" ref="K23:L23" si="30">K6-(K22+K21)</f>
        <v>1</v>
      </c>
      <c r="L23" s="137">
        <f t="shared" si="30"/>
        <v>0</v>
      </c>
      <c r="M23" s="137">
        <f t="shared" ref="M23:N23" si="31">M6-(M22+M21)</f>
        <v>0</v>
      </c>
      <c r="N23" s="137">
        <f t="shared" si="31"/>
        <v>0</v>
      </c>
      <c r="O23" s="137">
        <f t="shared" ref="O23:Q23" si="32">O6-(O22+O21)</f>
        <v>0</v>
      </c>
      <c r="P23" s="137">
        <f t="shared" si="32"/>
        <v>0</v>
      </c>
      <c r="Q23" s="137">
        <f t="shared" si="32"/>
        <v>0</v>
      </c>
      <c r="R23" s="137">
        <f t="shared" ref="R23:S23" si="33">R6-(R22+R21)</f>
        <v>0</v>
      </c>
      <c r="S23" s="137">
        <f t="shared" si="33"/>
        <v>0</v>
      </c>
      <c r="T23" s="137">
        <f t="shared" ref="T23:U23" si="34">T6-(T22+T21)</f>
        <v>0</v>
      </c>
      <c r="U23" s="137">
        <f t="shared" si="34"/>
        <v>7</v>
      </c>
      <c r="V23" s="137">
        <f t="shared" ref="V23:X23" si="35">V6-(V22+V21)</f>
        <v>1</v>
      </c>
      <c r="W23" s="137">
        <f t="shared" si="35"/>
        <v>1</v>
      </c>
      <c r="X23" s="137">
        <f t="shared" si="35"/>
        <v>0</v>
      </c>
      <c r="Y23" s="137">
        <f t="shared" ref="Y23:Z23" si="36">Y6-(Y22+Y21)</f>
        <v>1</v>
      </c>
      <c r="Z23" s="137">
        <f t="shared" si="36"/>
        <v>0</v>
      </c>
      <c r="AA23" s="137">
        <f t="shared" ref="AA23:AB23" si="37">AA6-(AA22+AA21)</f>
        <v>0</v>
      </c>
      <c r="AB23" s="137">
        <f t="shared" si="37"/>
        <v>0</v>
      </c>
      <c r="AC23" s="137">
        <f t="shared" ref="AC23" si="38">AC6-(AC22+AC21)</f>
        <v>1</v>
      </c>
      <c r="AD23" s="139">
        <f>SUM(B23:AC23)</f>
        <v>14</v>
      </c>
    </row>
    <row r="24" spans="1:30" x14ac:dyDescent="0.3">
      <c r="A24" s="136"/>
      <c r="B24" s="138">
        <f t="shared" ref="B24:C24" si="39">SUM(B21:B23)</f>
        <v>4</v>
      </c>
      <c r="C24" s="138">
        <f t="shared" si="39"/>
        <v>4</v>
      </c>
      <c r="D24" s="138">
        <f t="shared" ref="D24:E24" si="40">SUM(D21:D23)</f>
        <v>9</v>
      </c>
      <c r="E24" s="138">
        <f t="shared" si="40"/>
        <v>1</v>
      </c>
      <c r="F24" s="138">
        <f t="shared" ref="F24:G24" si="41">SUM(F21:F23)</f>
        <v>17</v>
      </c>
      <c r="G24" s="138">
        <f t="shared" si="41"/>
        <v>5</v>
      </c>
      <c r="H24" s="138">
        <f t="shared" ref="H24:J24" si="42">SUM(H21:H23)</f>
        <v>5</v>
      </c>
      <c r="I24" s="138">
        <f t="shared" si="42"/>
        <v>3</v>
      </c>
      <c r="J24" s="138">
        <f t="shared" si="42"/>
        <v>2</v>
      </c>
      <c r="K24" s="138">
        <f t="shared" ref="K24:L24" si="43">SUM(K21:K23)</f>
        <v>7</v>
      </c>
      <c r="L24" s="138">
        <f t="shared" si="43"/>
        <v>10</v>
      </c>
      <c r="M24" s="138">
        <f t="shared" ref="M24:N24" si="44">SUM(M21:M23)</f>
        <v>4</v>
      </c>
      <c r="N24" s="138">
        <f t="shared" si="44"/>
        <v>12</v>
      </c>
      <c r="O24" s="138">
        <f t="shared" ref="O24:Q24" si="45">SUM(O21:O23)</f>
        <v>2</v>
      </c>
      <c r="P24" s="138">
        <f t="shared" si="45"/>
        <v>3</v>
      </c>
      <c r="Q24" s="138">
        <f t="shared" si="45"/>
        <v>1</v>
      </c>
      <c r="R24" s="138">
        <f t="shared" ref="R24:S24" si="46">SUM(R21:R23)</f>
        <v>6</v>
      </c>
      <c r="S24" s="138">
        <f t="shared" si="46"/>
        <v>4</v>
      </c>
      <c r="T24" s="138">
        <f t="shared" ref="T24:U24" si="47">SUM(T21:T23)</f>
        <v>7</v>
      </c>
      <c r="U24" s="138">
        <f t="shared" si="47"/>
        <v>20</v>
      </c>
      <c r="V24" s="138">
        <f t="shared" ref="V24:X24" si="48">SUM(V21:V23)</f>
        <v>2</v>
      </c>
      <c r="W24" s="138">
        <f t="shared" si="48"/>
        <v>6</v>
      </c>
      <c r="X24" s="138">
        <f t="shared" si="48"/>
        <v>2</v>
      </c>
      <c r="Y24" s="138">
        <f t="shared" ref="Y24:Z24" si="49">SUM(Y21:Y23)</f>
        <v>5</v>
      </c>
      <c r="Z24" s="138">
        <f t="shared" si="49"/>
        <v>6</v>
      </c>
      <c r="AA24" s="138">
        <f t="shared" ref="AA24:AB24" si="50">SUM(AA21:AA23)</f>
        <v>7</v>
      </c>
      <c r="AB24" s="138">
        <f t="shared" si="50"/>
        <v>7</v>
      </c>
      <c r="AC24" s="138">
        <f t="shared" ref="AC24" si="51">SUM(AC21:AC23)</f>
        <v>5</v>
      </c>
      <c r="AD24" s="139">
        <f>SUM(B24:AC24)</f>
        <v>166</v>
      </c>
    </row>
    <row r="25" spans="1:30" x14ac:dyDescent="0.3">
      <c r="A25" s="133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</row>
    <row r="26" spans="1:30" x14ac:dyDescent="0.3">
      <c r="A26" s="133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</row>
  </sheetData>
  <conditionalFormatting sqref="A16">
    <cfRule type="iconSet" priority="53">
      <iconSet iconSet="3TrafficLights2" showValue="0">
        <cfvo type="percent" val="0"/>
        <cfvo type="num" val="5"/>
        <cfvo type="num" val="10"/>
      </iconSet>
    </cfRule>
  </conditionalFormatting>
  <conditionalFormatting sqref="B16:AC16">
    <cfRule type="iconSet" priority="54">
      <iconSet iconSet="3TrafficLights2" showValue="0">
        <cfvo type="percent" val="0"/>
        <cfvo type="num" val="5"/>
        <cfvo type="num" val="10"/>
      </iconSet>
    </cfRule>
    <cfRule type="iconSet" priority="55">
      <iconSet iconSet="3TrafficLights2" showValue="0">
        <cfvo type="percent" val="0"/>
        <cfvo type="num" val="5"/>
        <cfvo type="num" val="10"/>
      </iconSet>
    </cfRule>
  </conditionalFormatting>
  <conditionalFormatting sqref="AD16">
    <cfRule type="iconSet" priority="1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EB47-2DA0-4E87-8238-4F5299BF95BF}">
  <dimension ref="A1:AG26"/>
  <sheetViews>
    <sheetView zoomScaleNormal="100" workbookViewId="0">
      <pane xSplit="1" topLeftCell="Q1" activePane="topRight" state="frozen"/>
      <selection activeCell="A2" sqref="A2"/>
      <selection pane="topRight" activeCell="AK20" sqref="AK20"/>
    </sheetView>
  </sheetViews>
  <sheetFormatPr baseColWidth="10" defaultColWidth="8.5546875" defaultRowHeight="14.4" x14ac:dyDescent="0.3"/>
  <cols>
    <col min="1" max="1" width="34.5546875" style="33" customWidth="1"/>
    <col min="2" max="16384" width="8.5546875" style="33"/>
  </cols>
  <sheetData>
    <row r="1" spans="1:33" ht="15" customHeight="1" thickBot="1" x14ac:dyDescent="0.35">
      <c r="A1" s="44"/>
    </row>
    <row r="2" spans="1:33" ht="15" customHeight="1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s="35" customFormat="1" ht="30.6" customHeight="1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204</v>
      </c>
    </row>
    <row r="4" spans="1:33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26" t="s">
        <v>15</v>
      </c>
      <c r="AG5" s="140"/>
    </row>
    <row r="6" spans="1:33" x14ac:dyDescent="0.3">
      <c r="A6" s="40" t="s">
        <v>195</v>
      </c>
      <c r="B6" s="126">
        <v>2</v>
      </c>
      <c r="C6" s="126">
        <v>2</v>
      </c>
      <c r="D6" s="126">
        <v>10</v>
      </c>
      <c r="E6" s="126">
        <v>3</v>
      </c>
      <c r="F6" s="126">
        <v>12</v>
      </c>
      <c r="G6" s="126">
        <v>7</v>
      </c>
      <c r="H6" s="126">
        <v>16</v>
      </c>
      <c r="I6" s="126">
        <v>5</v>
      </c>
      <c r="J6" s="126">
        <v>1</v>
      </c>
      <c r="K6" s="126">
        <v>7</v>
      </c>
      <c r="L6" s="126">
        <v>4</v>
      </c>
      <c r="M6" s="126">
        <v>5</v>
      </c>
      <c r="N6" s="126">
        <v>17</v>
      </c>
      <c r="O6" s="126">
        <v>4</v>
      </c>
      <c r="P6" s="126">
        <v>3</v>
      </c>
      <c r="Q6" s="126">
        <v>8</v>
      </c>
      <c r="R6" s="126">
        <v>10</v>
      </c>
      <c r="S6" s="126">
        <v>11</v>
      </c>
      <c r="T6" s="126">
        <v>11</v>
      </c>
      <c r="U6" s="126">
        <v>11</v>
      </c>
      <c r="V6" s="126">
        <v>11</v>
      </c>
      <c r="W6" s="126">
        <v>3</v>
      </c>
      <c r="X6" s="126">
        <v>5</v>
      </c>
      <c r="Y6" s="126">
        <v>13</v>
      </c>
      <c r="Z6" s="126">
        <v>7</v>
      </c>
      <c r="AA6" s="126">
        <v>9</v>
      </c>
      <c r="AB6" s="126">
        <v>8</v>
      </c>
      <c r="AC6" s="126">
        <v>9</v>
      </c>
      <c r="AD6" s="126">
        <v>6</v>
      </c>
      <c r="AE6" s="126">
        <v>4</v>
      </c>
      <c r="AF6" s="126">
        <v>14</v>
      </c>
      <c r="AG6" s="140">
        <f>SUM(B6:AF6)</f>
        <v>238</v>
      </c>
    </row>
    <row r="7" spans="1:33" x14ac:dyDescent="0.3">
      <c r="A7" s="39" t="s">
        <v>34</v>
      </c>
      <c r="B7" s="127">
        <v>0</v>
      </c>
      <c r="C7" s="129">
        <v>0</v>
      </c>
      <c r="D7" s="129">
        <v>0.5</v>
      </c>
      <c r="E7" s="129">
        <v>0.66666666666666663</v>
      </c>
      <c r="F7" s="129">
        <v>0.41666666666666669</v>
      </c>
      <c r="G7" s="129">
        <v>0.42857142857142855</v>
      </c>
      <c r="H7" s="129">
        <v>0.4375</v>
      </c>
      <c r="I7" s="129">
        <v>0.8</v>
      </c>
      <c r="J7" s="129">
        <v>1</v>
      </c>
      <c r="K7" s="127">
        <v>0.7142857142857143</v>
      </c>
      <c r="L7" s="129">
        <v>0.5</v>
      </c>
      <c r="M7" s="127">
        <v>0.6</v>
      </c>
      <c r="N7" s="129">
        <v>0.17647058823529413</v>
      </c>
      <c r="O7" s="129">
        <v>0.5</v>
      </c>
      <c r="P7" s="129">
        <v>1</v>
      </c>
      <c r="Q7" s="129">
        <v>0.625</v>
      </c>
      <c r="R7" s="129">
        <v>0.2</v>
      </c>
      <c r="S7" s="129">
        <v>0</v>
      </c>
      <c r="T7" s="129">
        <v>9.0909090909090912E-2</v>
      </c>
      <c r="U7" s="129">
        <v>0.27272727272727271</v>
      </c>
      <c r="V7" s="129">
        <v>0.27272727272727271</v>
      </c>
      <c r="W7" s="129">
        <v>0.33333333333333331</v>
      </c>
      <c r="X7" s="129">
        <v>0</v>
      </c>
      <c r="Y7" s="129">
        <v>0.23076923076923078</v>
      </c>
      <c r="Z7" s="129">
        <v>0.2857142857142857</v>
      </c>
      <c r="AA7" s="129">
        <v>0.22222222222222221</v>
      </c>
      <c r="AB7" s="129">
        <v>0.125</v>
      </c>
      <c r="AC7" s="129">
        <v>0.22222222222222221</v>
      </c>
      <c r="AD7" s="129">
        <v>0</v>
      </c>
      <c r="AE7" s="129">
        <v>0.5</v>
      </c>
      <c r="AF7" s="129">
        <v>0.35714285714285715</v>
      </c>
      <c r="AG7" s="142">
        <f>AG21/AG24</f>
        <v>0.3235294117647059</v>
      </c>
    </row>
    <row r="8" spans="1:33" x14ac:dyDescent="0.3">
      <c r="A8" s="39" t="s">
        <v>169</v>
      </c>
      <c r="B8" s="128">
        <v>1</v>
      </c>
      <c r="C8" s="129">
        <v>1</v>
      </c>
      <c r="D8" s="129">
        <v>1</v>
      </c>
      <c r="E8" s="129">
        <v>1</v>
      </c>
      <c r="F8" s="129">
        <v>0.75</v>
      </c>
      <c r="G8" s="129">
        <v>0.8571428571428571</v>
      </c>
      <c r="H8" s="129">
        <v>0.875</v>
      </c>
      <c r="I8" s="129">
        <v>1</v>
      </c>
      <c r="J8" s="129">
        <v>1</v>
      </c>
      <c r="K8" s="128">
        <v>1</v>
      </c>
      <c r="L8" s="129">
        <v>1</v>
      </c>
      <c r="M8" s="128">
        <v>1</v>
      </c>
      <c r="N8" s="129">
        <v>0.88235294117647056</v>
      </c>
      <c r="O8" s="129">
        <v>1</v>
      </c>
      <c r="P8" s="129">
        <v>1</v>
      </c>
      <c r="Q8" s="129">
        <v>1</v>
      </c>
      <c r="R8" s="129">
        <v>1</v>
      </c>
      <c r="S8" s="129">
        <v>0.72727272727272729</v>
      </c>
      <c r="T8" s="129">
        <v>0.54545454545454541</v>
      </c>
      <c r="U8" s="129">
        <v>1</v>
      </c>
      <c r="V8" s="129">
        <v>1</v>
      </c>
      <c r="W8" s="129">
        <v>1</v>
      </c>
      <c r="X8" s="129">
        <v>0.8</v>
      </c>
      <c r="Y8" s="129">
        <v>1</v>
      </c>
      <c r="Z8" s="129">
        <v>0.8571428571428571</v>
      </c>
      <c r="AA8" s="129">
        <v>1</v>
      </c>
      <c r="AB8" s="129">
        <v>0.75</v>
      </c>
      <c r="AC8" s="129">
        <v>1</v>
      </c>
      <c r="AD8" s="129">
        <v>0.5</v>
      </c>
      <c r="AE8" s="129">
        <v>1</v>
      </c>
      <c r="AF8" s="129">
        <v>1</v>
      </c>
      <c r="AG8" s="142">
        <f>(AG21+AG22)/AG24</f>
        <v>0.90336134453781514</v>
      </c>
    </row>
    <row r="9" spans="1:33" x14ac:dyDescent="0.3">
      <c r="A9" s="39" t="s">
        <v>196</v>
      </c>
      <c r="B9" s="126">
        <v>22</v>
      </c>
      <c r="C9" s="126">
        <v>14</v>
      </c>
      <c r="D9" s="126">
        <v>51</v>
      </c>
      <c r="E9" s="126">
        <v>34</v>
      </c>
      <c r="F9" s="126">
        <v>43</v>
      </c>
      <c r="G9" s="126">
        <v>43</v>
      </c>
      <c r="H9" s="126">
        <v>75</v>
      </c>
      <c r="I9" s="126">
        <v>48</v>
      </c>
      <c r="J9" s="126">
        <v>21</v>
      </c>
      <c r="K9" s="126">
        <v>31</v>
      </c>
      <c r="L9" s="126">
        <v>40</v>
      </c>
      <c r="M9" s="126">
        <v>43</v>
      </c>
      <c r="N9" s="126">
        <v>63</v>
      </c>
      <c r="O9" s="126">
        <v>56</v>
      </c>
      <c r="P9" s="126">
        <v>29</v>
      </c>
      <c r="Q9" s="126">
        <v>33</v>
      </c>
      <c r="R9" s="126">
        <v>53</v>
      </c>
      <c r="S9" s="126">
        <v>71</v>
      </c>
      <c r="T9" s="126">
        <v>72</v>
      </c>
      <c r="U9" s="126">
        <v>74</v>
      </c>
      <c r="V9" s="126">
        <v>70</v>
      </c>
      <c r="W9" s="126">
        <v>20</v>
      </c>
      <c r="X9" s="126">
        <v>25</v>
      </c>
      <c r="Y9" s="126">
        <v>62</v>
      </c>
      <c r="Z9" s="126">
        <v>71</v>
      </c>
      <c r="AA9" s="126">
        <v>58</v>
      </c>
      <c r="AB9" s="126">
        <v>69</v>
      </c>
      <c r="AC9" s="126">
        <v>72</v>
      </c>
      <c r="AD9" s="126">
        <v>49</v>
      </c>
      <c r="AE9" s="126">
        <v>38</v>
      </c>
      <c r="AF9" s="126">
        <v>71</v>
      </c>
      <c r="AG9" s="139">
        <f>SUM(B9:AF9)</f>
        <v>1521</v>
      </c>
    </row>
    <row r="10" spans="1:33" x14ac:dyDescent="0.3">
      <c r="A10" s="39" t="s">
        <v>197</v>
      </c>
      <c r="B10" s="126">
        <v>2</v>
      </c>
      <c r="C10" s="126">
        <v>0</v>
      </c>
      <c r="D10" s="126">
        <v>1</v>
      </c>
      <c r="E10" s="126">
        <v>0</v>
      </c>
      <c r="F10" s="126">
        <v>0</v>
      </c>
      <c r="G10" s="126">
        <v>1</v>
      </c>
      <c r="H10" s="126">
        <v>2</v>
      </c>
      <c r="I10" s="126">
        <v>0</v>
      </c>
      <c r="J10" s="126">
        <v>0</v>
      </c>
      <c r="K10" s="126">
        <v>0</v>
      </c>
      <c r="L10" s="126">
        <v>0</v>
      </c>
      <c r="M10" s="126">
        <v>1</v>
      </c>
      <c r="N10" s="126">
        <v>2</v>
      </c>
      <c r="O10" s="126">
        <v>0</v>
      </c>
      <c r="P10" s="126">
        <v>0</v>
      </c>
      <c r="Q10" s="126">
        <v>2</v>
      </c>
      <c r="R10" s="126">
        <v>1</v>
      </c>
      <c r="S10" s="126">
        <v>6</v>
      </c>
      <c r="T10" s="126">
        <v>5</v>
      </c>
      <c r="U10" s="126">
        <v>1</v>
      </c>
      <c r="V10" s="126">
        <v>1</v>
      </c>
      <c r="W10" s="126">
        <v>0</v>
      </c>
      <c r="X10" s="126">
        <v>0</v>
      </c>
      <c r="Y10" s="126">
        <v>4</v>
      </c>
      <c r="Z10" s="126">
        <v>2</v>
      </c>
      <c r="AA10" s="126">
        <v>2</v>
      </c>
      <c r="AB10" s="126">
        <v>1</v>
      </c>
      <c r="AC10" s="126">
        <v>4</v>
      </c>
      <c r="AD10" s="126">
        <v>0</v>
      </c>
      <c r="AE10" s="126">
        <v>2</v>
      </c>
      <c r="AF10" s="126">
        <v>8</v>
      </c>
      <c r="AG10" s="139">
        <f>SUM(B10:AF10)</f>
        <v>48</v>
      </c>
    </row>
    <row r="11" spans="1:33" x14ac:dyDescent="0.3">
      <c r="A11" s="39" t="s">
        <v>198</v>
      </c>
      <c r="B11" s="128">
        <v>0.90909090909090906</v>
      </c>
      <c r="C11" s="130">
        <v>1</v>
      </c>
      <c r="D11" s="130">
        <v>0.98039215686274506</v>
      </c>
      <c r="E11" s="130">
        <v>1</v>
      </c>
      <c r="F11" s="130">
        <v>1</v>
      </c>
      <c r="G11" s="130">
        <v>0.97674418604651159</v>
      </c>
      <c r="H11" s="130">
        <v>0.97333333333333338</v>
      </c>
      <c r="I11" s="130">
        <v>1</v>
      </c>
      <c r="J11" s="130">
        <v>1</v>
      </c>
      <c r="K11" s="128">
        <v>1</v>
      </c>
      <c r="L11" s="130">
        <v>1</v>
      </c>
      <c r="M11" s="128">
        <v>0.97674418604651159</v>
      </c>
      <c r="N11" s="130">
        <v>0.96825396825396826</v>
      </c>
      <c r="O11" s="130">
        <v>1</v>
      </c>
      <c r="P11" s="130">
        <v>1</v>
      </c>
      <c r="Q11" s="130">
        <v>0.93939393939393945</v>
      </c>
      <c r="R11" s="130">
        <v>0.98113207547169812</v>
      </c>
      <c r="S11" s="130">
        <v>0.91549295774647887</v>
      </c>
      <c r="T11" s="130">
        <v>0.93055555555555558</v>
      </c>
      <c r="U11" s="130">
        <v>0.98648648648648651</v>
      </c>
      <c r="V11" s="130">
        <v>0.98571428571428577</v>
      </c>
      <c r="W11" s="130">
        <v>1</v>
      </c>
      <c r="X11" s="130">
        <v>1</v>
      </c>
      <c r="Y11" s="130">
        <v>0.93548387096774199</v>
      </c>
      <c r="Z11" s="130">
        <v>0.971830985915493</v>
      </c>
      <c r="AA11" s="130">
        <v>0.96551724137931039</v>
      </c>
      <c r="AB11" s="130">
        <v>0.98550724637681164</v>
      </c>
      <c r="AC11" s="130">
        <v>0.94444444444444442</v>
      </c>
      <c r="AD11" s="130">
        <v>1</v>
      </c>
      <c r="AE11" s="130">
        <v>0.94736842105263164</v>
      </c>
      <c r="AF11" s="130">
        <v>0.88732394366197187</v>
      </c>
      <c r="AG11" s="142">
        <f>1-(AG10/AG9)</f>
        <v>0.9684418145956607</v>
      </c>
    </row>
    <row r="12" spans="1:33" x14ac:dyDescent="0.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ht="15" customHeight="1" x14ac:dyDescent="0.3">
      <c r="A13" s="39" t="s">
        <v>148</v>
      </c>
      <c r="B13" s="126">
        <v>2</v>
      </c>
      <c r="C13" s="126">
        <v>0</v>
      </c>
      <c r="D13" s="126">
        <v>1</v>
      </c>
      <c r="E13" s="126">
        <v>0</v>
      </c>
      <c r="F13" s="126">
        <v>0</v>
      </c>
      <c r="G13" s="126">
        <v>1</v>
      </c>
      <c r="H13" s="126">
        <v>2</v>
      </c>
      <c r="I13" s="126">
        <v>0</v>
      </c>
      <c r="J13" s="126">
        <v>0</v>
      </c>
      <c r="K13" s="126">
        <v>0</v>
      </c>
      <c r="L13" s="126">
        <v>0</v>
      </c>
      <c r="M13" s="126">
        <v>1</v>
      </c>
      <c r="N13" s="126">
        <v>2</v>
      </c>
      <c r="O13" s="126">
        <v>0</v>
      </c>
      <c r="P13" s="126">
        <v>0</v>
      </c>
      <c r="Q13" s="126">
        <v>2</v>
      </c>
      <c r="R13" s="126">
        <v>1</v>
      </c>
      <c r="S13" s="126">
        <v>6</v>
      </c>
      <c r="T13" s="126">
        <v>5</v>
      </c>
      <c r="U13" s="126">
        <v>1</v>
      </c>
      <c r="V13" s="126">
        <v>1</v>
      </c>
      <c r="W13" s="126">
        <v>0</v>
      </c>
      <c r="X13" s="126">
        <v>0</v>
      </c>
      <c r="Y13" s="126">
        <v>4</v>
      </c>
      <c r="Z13" s="126">
        <v>2</v>
      </c>
      <c r="AA13" s="126">
        <v>2</v>
      </c>
      <c r="AB13" s="126">
        <v>1</v>
      </c>
      <c r="AC13" s="126">
        <v>4</v>
      </c>
      <c r="AD13" s="126">
        <v>0</v>
      </c>
      <c r="AE13" s="126">
        <v>2</v>
      </c>
      <c r="AF13" s="126">
        <v>8</v>
      </c>
      <c r="AG13" s="140">
        <f>SUM(B13:AF13)</f>
        <v>48</v>
      </c>
    </row>
    <row r="14" spans="1:33" ht="15" customHeight="1" x14ac:dyDescent="0.3">
      <c r="A14" s="150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ht="15" customHeight="1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s="35" customFormat="1" ht="15" customHeight="1" x14ac:dyDescent="0.3">
      <c r="A16" s="144" t="s">
        <v>173</v>
      </c>
      <c r="B16" s="35">
        <v>10</v>
      </c>
      <c r="C16" s="35">
        <v>10</v>
      </c>
      <c r="D16" s="35">
        <v>10</v>
      </c>
      <c r="E16" s="35">
        <v>10</v>
      </c>
      <c r="F16" s="35">
        <v>5</v>
      </c>
      <c r="G16" s="35">
        <v>5</v>
      </c>
      <c r="H16" s="35">
        <v>5</v>
      </c>
      <c r="I16" s="35">
        <v>10</v>
      </c>
      <c r="J16" s="35">
        <v>10</v>
      </c>
      <c r="K16" s="35">
        <v>10</v>
      </c>
      <c r="L16" s="35">
        <v>10</v>
      </c>
      <c r="M16" s="35">
        <v>10</v>
      </c>
      <c r="N16" s="35">
        <v>5</v>
      </c>
      <c r="O16" s="35">
        <v>10</v>
      </c>
      <c r="P16" s="35">
        <v>10</v>
      </c>
      <c r="Q16" s="35">
        <v>10</v>
      </c>
      <c r="R16" s="35">
        <v>10</v>
      </c>
      <c r="S16" s="35">
        <v>5</v>
      </c>
      <c r="T16" s="35">
        <v>5</v>
      </c>
      <c r="U16" s="35">
        <v>10</v>
      </c>
      <c r="V16" s="35">
        <v>10</v>
      </c>
      <c r="W16" s="35">
        <v>10</v>
      </c>
      <c r="X16" s="35">
        <v>5</v>
      </c>
      <c r="Y16" s="35">
        <v>10</v>
      </c>
      <c r="Z16" s="35">
        <v>5</v>
      </c>
      <c r="AA16" s="35">
        <v>10</v>
      </c>
      <c r="AB16" s="35">
        <v>5</v>
      </c>
      <c r="AC16" s="35">
        <v>10</v>
      </c>
      <c r="AD16" s="35">
        <v>5</v>
      </c>
      <c r="AE16" s="35">
        <v>10</v>
      </c>
      <c r="AF16" s="35">
        <v>10</v>
      </c>
    </row>
    <row r="17" spans="1:33" ht="15" thickBot="1" x14ac:dyDescent="0.35"/>
    <row r="18" spans="1:33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ht="30" customHeight="1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</row>
    <row r="20" spans="1:33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 x14ac:dyDescent="0.3">
      <c r="A21" s="132" t="s">
        <v>34</v>
      </c>
      <c r="B21" s="137">
        <f t="shared" ref="B21:G21" si="0">B7*B6</f>
        <v>0</v>
      </c>
      <c r="C21" s="137">
        <f t="shared" si="0"/>
        <v>0</v>
      </c>
      <c r="D21" s="137">
        <f t="shared" si="0"/>
        <v>5</v>
      </c>
      <c r="E21" s="137">
        <f t="shared" si="0"/>
        <v>2</v>
      </c>
      <c r="F21" s="137">
        <f t="shared" si="0"/>
        <v>5</v>
      </c>
      <c r="G21" s="137">
        <f t="shared" si="0"/>
        <v>3</v>
      </c>
      <c r="H21" s="137">
        <f t="shared" ref="H21:J21" si="1">H7*H6</f>
        <v>7</v>
      </c>
      <c r="I21" s="137">
        <f t="shared" si="1"/>
        <v>4</v>
      </c>
      <c r="J21" s="137">
        <f t="shared" si="1"/>
        <v>1</v>
      </c>
      <c r="K21" s="137">
        <f t="shared" ref="K21:L21" si="2">K7*K6</f>
        <v>5</v>
      </c>
      <c r="L21" s="137">
        <f t="shared" si="2"/>
        <v>2</v>
      </c>
      <c r="M21" s="137">
        <f t="shared" ref="M21:N21" si="3">M7*M6</f>
        <v>3</v>
      </c>
      <c r="N21" s="137">
        <f t="shared" si="3"/>
        <v>3</v>
      </c>
      <c r="O21" s="137">
        <f t="shared" ref="O21:Q21" si="4">O7*O6</f>
        <v>2</v>
      </c>
      <c r="P21" s="137">
        <f t="shared" si="4"/>
        <v>3</v>
      </c>
      <c r="Q21" s="137">
        <f t="shared" si="4"/>
        <v>5</v>
      </c>
      <c r="R21" s="137">
        <f t="shared" ref="R21:S21" si="5">R7*R6</f>
        <v>2</v>
      </c>
      <c r="S21" s="137">
        <f t="shared" si="5"/>
        <v>0</v>
      </c>
      <c r="T21" s="137">
        <f t="shared" ref="T21:U21" si="6">T7*T6</f>
        <v>1</v>
      </c>
      <c r="U21" s="137">
        <f t="shared" si="6"/>
        <v>3</v>
      </c>
      <c r="V21" s="137">
        <f t="shared" ref="V21:X21" si="7">V7*V6</f>
        <v>3</v>
      </c>
      <c r="W21" s="137">
        <f t="shared" si="7"/>
        <v>1</v>
      </c>
      <c r="X21" s="137">
        <f t="shared" si="7"/>
        <v>0</v>
      </c>
      <c r="Y21" s="137">
        <f t="shared" ref="Y21:Z21" si="8">Y7*Y6</f>
        <v>3</v>
      </c>
      <c r="Z21" s="137">
        <f t="shared" si="8"/>
        <v>2</v>
      </c>
      <c r="AA21" s="137">
        <f t="shared" ref="AA21:AE21" si="9">AA7*AA6</f>
        <v>2</v>
      </c>
      <c r="AB21" s="137">
        <f t="shared" si="9"/>
        <v>1</v>
      </c>
      <c r="AC21" s="137">
        <f t="shared" si="9"/>
        <v>2</v>
      </c>
      <c r="AD21" s="137">
        <f t="shared" si="9"/>
        <v>0</v>
      </c>
      <c r="AE21" s="137">
        <f t="shared" si="9"/>
        <v>2</v>
      </c>
      <c r="AF21" s="137">
        <f t="shared" ref="AF21" si="10">AF7*AF6</f>
        <v>5</v>
      </c>
      <c r="AG21" s="139">
        <f>SUM(B21:AF21)</f>
        <v>77</v>
      </c>
    </row>
    <row r="22" spans="1:33" x14ac:dyDescent="0.3">
      <c r="A22" s="132" t="s">
        <v>169</v>
      </c>
      <c r="B22" s="126">
        <f t="shared" ref="B22:G22" si="11">(B8*B6)-B21</f>
        <v>2</v>
      </c>
      <c r="C22" s="126">
        <f t="shared" si="11"/>
        <v>2</v>
      </c>
      <c r="D22" s="126">
        <f t="shared" si="11"/>
        <v>5</v>
      </c>
      <c r="E22" s="126">
        <f t="shared" si="11"/>
        <v>1</v>
      </c>
      <c r="F22" s="126">
        <f t="shared" si="11"/>
        <v>4</v>
      </c>
      <c r="G22" s="126">
        <f t="shared" si="11"/>
        <v>3</v>
      </c>
      <c r="H22" s="126">
        <f t="shared" ref="H22:J22" si="12">(H8*H6)-H21</f>
        <v>7</v>
      </c>
      <c r="I22" s="126">
        <f t="shared" si="12"/>
        <v>1</v>
      </c>
      <c r="J22" s="126">
        <f t="shared" si="12"/>
        <v>0</v>
      </c>
      <c r="K22" s="126">
        <f t="shared" ref="K22:L22" si="13">(K8*K6)-K21</f>
        <v>2</v>
      </c>
      <c r="L22" s="126">
        <f t="shared" si="13"/>
        <v>2</v>
      </c>
      <c r="M22" s="126">
        <f t="shared" ref="M22:N22" si="14">(M8*M6)-M21</f>
        <v>2</v>
      </c>
      <c r="N22" s="126">
        <f t="shared" si="14"/>
        <v>12</v>
      </c>
      <c r="O22" s="126">
        <f t="shared" ref="O22:Q22" si="15">(O8*O6)-O21</f>
        <v>2</v>
      </c>
      <c r="P22" s="126">
        <f t="shared" si="15"/>
        <v>0</v>
      </c>
      <c r="Q22" s="126">
        <f t="shared" si="15"/>
        <v>3</v>
      </c>
      <c r="R22" s="126">
        <f t="shared" ref="R22:S22" si="16">(R8*R6)-R21</f>
        <v>8</v>
      </c>
      <c r="S22" s="126">
        <f t="shared" si="16"/>
        <v>8</v>
      </c>
      <c r="T22" s="126">
        <f t="shared" ref="T22:U22" si="17">(T8*T6)-T21</f>
        <v>5</v>
      </c>
      <c r="U22" s="126">
        <f t="shared" si="17"/>
        <v>8</v>
      </c>
      <c r="V22" s="126">
        <f t="shared" ref="V22:X22" si="18">(V8*V6)-V21</f>
        <v>8</v>
      </c>
      <c r="W22" s="126">
        <f t="shared" si="18"/>
        <v>2</v>
      </c>
      <c r="X22" s="126">
        <f t="shared" si="18"/>
        <v>4</v>
      </c>
      <c r="Y22" s="126">
        <f t="shared" ref="Y22:Z22" si="19">(Y8*Y6)-Y21</f>
        <v>10</v>
      </c>
      <c r="Z22" s="126">
        <f t="shared" si="19"/>
        <v>4</v>
      </c>
      <c r="AA22" s="126">
        <f t="shared" ref="AA22:AE22" si="20">(AA8*AA6)-AA21</f>
        <v>7</v>
      </c>
      <c r="AB22" s="126">
        <f t="shared" si="20"/>
        <v>5</v>
      </c>
      <c r="AC22" s="126">
        <f t="shared" si="20"/>
        <v>7</v>
      </c>
      <c r="AD22" s="126">
        <f t="shared" si="20"/>
        <v>3</v>
      </c>
      <c r="AE22" s="126">
        <f t="shared" si="20"/>
        <v>2</v>
      </c>
      <c r="AF22" s="126">
        <f t="shared" ref="AF22" si="21">(AF8*AF6)-AF21</f>
        <v>9</v>
      </c>
      <c r="AG22" s="139">
        <f>SUM(B22:AF22)</f>
        <v>138</v>
      </c>
    </row>
    <row r="23" spans="1:33" x14ac:dyDescent="0.3">
      <c r="A23" s="132" t="s">
        <v>202</v>
      </c>
      <c r="B23" s="137">
        <f t="shared" ref="B23:G23" si="22">B6-(B22+B21)</f>
        <v>0</v>
      </c>
      <c r="C23" s="137">
        <f t="shared" si="22"/>
        <v>0</v>
      </c>
      <c r="D23" s="137">
        <f t="shared" si="22"/>
        <v>0</v>
      </c>
      <c r="E23" s="137">
        <f t="shared" si="22"/>
        <v>0</v>
      </c>
      <c r="F23" s="137">
        <f t="shared" si="22"/>
        <v>3</v>
      </c>
      <c r="G23" s="137">
        <f t="shared" si="22"/>
        <v>1</v>
      </c>
      <c r="H23" s="137">
        <f t="shared" ref="H23:J23" si="23">H6-(H22+H21)</f>
        <v>2</v>
      </c>
      <c r="I23" s="137">
        <f t="shared" si="23"/>
        <v>0</v>
      </c>
      <c r="J23" s="137">
        <f t="shared" si="23"/>
        <v>0</v>
      </c>
      <c r="K23" s="137">
        <f t="shared" ref="K23:L23" si="24">K6-(K22+K21)</f>
        <v>0</v>
      </c>
      <c r="L23" s="137">
        <f t="shared" si="24"/>
        <v>0</v>
      </c>
      <c r="M23" s="137">
        <f t="shared" ref="M23:N23" si="25">M6-(M22+M21)</f>
        <v>0</v>
      </c>
      <c r="N23" s="137">
        <f t="shared" si="25"/>
        <v>2</v>
      </c>
      <c r="O23" s="137">
        <f t="shared" ref="O23:Q23" si="26">O6-(O22+O21)</f>
        <v>0</v>
      </c>
      <c r="P23" s="137">
        <f t="shared" si="26"/>
        <v>0</v>
      </c>
      <c r="Q23" s="137">
        <f t="shared" si="26"/>
        <v>0</v>
      </c>
      <c r="R23" s="137">
        <f t="shared" ref="R23:S23" si="27">R6-(R22+R21)</f>
        <v>0</v>
      </c>
      <c r="S23" s="137">
        <f t="shared" si="27"/>
        <v>3</v>
      </c>
      <c r="T23" s="137">
        <f t="shared" ref="T23:U23" si="28">T6-(T22+T21)</f>
        <v>5</v>
      </c>
      <c r="U23" s="137">
        <f t="shared" si="28"/>
        <v>0</v>
      </c>
      <c r="V23" s="137">
        <f t="shared" ref="V23:X23" si="29">V6-(V22+V21)</f>
        <v>0</v>
      </c>
      <c r="W23" s="137">
        <f t="shared" si="29"/>
        <v>0</v>
      </c>
      <c r="X23" s="137">
        <f t="shared" si="29"/>
        <v>1</v>
      </c>
      <c r="Y23" s="137">
        <f t="shared" ref="Y23:Z23" si="30">Y6-(Y22+Y21)</f>
        <v>0</v>
      </c>
      <c r="Z23" s="137">
        <f t="shared" si="30"/>
        <v>1</v>
      </c>
      <c r="AA23" s="137">
        <f t="shared" ref="AA23:AE23" si="31">AA6-(AA22+AA21)</f>
        <v>0</v>
      </c>
      <c r="AB23" s="137">
        <f t="shared" si="31"/>
        <v>2</v>
      </c>
      <c r="AC23" s="137">
        <f t="shared" si="31"/>
        <v>0</v>
      </c>
      <c r="AD23" s="137">
        <f t="shared" si="31"/>
        <v>3</v>
      </c>
      <c r="AE23" s="137">
        <f t="shared" si="31"/>
        <v>0</v>
      </c>
      <c r="AF23" s="137">
        <f t="shared" ref="AF23" si="32">AF6-(AF22+AF21)</f>
        <v>0</v>
      </c>
      <c r="AG23" s="139">
        <f>SUM(B23:AF23)</f>
        <v>23</v>
      </c>
    </row>
    <row r="24" spans="1:33" x14ac:dyDescent="0.3">
      <c r="A24" s="136"/>
      <c r="B24" s="138">
        <f t="shared" ref="B24:G24" si="33">SUM(B21:B23)</f>
        <v>2</v>
      </c>
      <c r="C24" s="138">
        <f t="shared" si="33"/>
        <v>2</v>
      </c>
      <c r="D24" s="138">
        <f t="shared" si="33"/>
        <v>10</v>
      </c>
      <c r="E24" s="138">
        <f t="shared" si="33"/>
        <v>3</v>
      </c>
      <c r="F24" s="138">
        <f t="shared" si="33"/>
        <v>12</v>
      </c>
      <c r="G24" s="138">
        <f t="shared" si="33"/>
        <v>7</v>
      </c>
      <c r="H24" s="138">
        <f t="shared" ref="H24:J24" si="34">SUM(H21:H23)</f>
        <v>16</v>
      </c>
      <c r="I24" s="138">
        <f t="shared" si="34"/>
        <v>5</v>
      </c>
      <c r="J24" s="138">
        <f t="shared" si="34"/>
        <v>1</v>
      </c>
      <c r="K24" s="138">
        <f t="shared" ref="K24:L24" si="35">SUM(K21:K23)</f>
        <v>7</v>
      </c>
      <c r="L24" s="138">
        <f t="shared" si="35"/>
        <v>4</v>
      </c>
      <c r="M24" s="138">
        <f t="shared" ref="M24:N24" si="36">SUM(M21:M23)</f>
        <v>5</v>
      </c>
      <c r="N24" s="138">
        <f t="shared" si="36"/>
        <v>17</v>
      </c>
      <c r="O24" s="138">
        <f t="shared" ref="O24:Q24" si="37">SUM(O21:O23)</f>
        <v>4</v>
      </c>
      <c r="P24" s="138">
        <f t="shared" si="37"/>
        <v>3</v>
      </c>
      <c r="Q24" s="138">
        <f t="shared" si="37"/>
        <v>8</v>
      </c>
      <c r="R24" s="138">
        <f t="shared" ref="R24:S24" si="38">SUM(R21:R23)</f>
        <v>10</v>
      </c>
      <c r="S24" s="138">
        <f t="shared" si="38"/>
        <v>11</v>
      </c>
      <c r="T24" s="138">
        <f t="shared" ref="T24:U24" si="39">SUM(T21:T23)</f>
        <v>11</v>
      </c>
      <c r="U24" s="138">
        <f t="shared" si="39"/>
        <v>11</v>
      </c>
      <c r="V24" s="138">
        <f t="shared" ref="V24:X24" si="40">SUM(V21:V23)</f>
        <v>11</v>
      </c>
      <c r="W24" s="138">
        <f t="shared" si="40"/>
        <v>3</v>
      </c>
      <c r="X24" s="138">
        <f t="shared" si="40"/>
        <v>5</v>
      </c>
      <c r="Y24" s="138">
        <f t="shared" ref="Y24:Z24" si="41">SUM(Y21:Y23)</f>
        <v>13</v>
      </c>
      <c r="Z24" s="138">
        <f t="shared" si="41"/>
        <v>7</v>
      </c>
      <c r="AA24" s="138">
        <f t="shared" ref="AA24:AE24" si="42">SUM(AA21:AA23)</f>
        <v>9</v>
      </c>
      <c r="AB24" s="138">
        <f t="shared" si="42"/>
        <v>8</v>
      </c>
      <c r="AC24" s="138">
        <f t="shared" si="42"/>
        <v>9</v>
      </c>
      <c r="AD24" s="138">
        <f t="shared" si="42"/>
        <v>6</v>
      </c>
      <c r="AE24" s="138">
        <f t="shared" si="42"/>
        <v>4</v>
      </c>
      <c r="AF24" s="138">
        <f t="shared" ref="AF24" si="43">SUM(AF21:AF23)</f>
        <v>14</v>
      </c>
      <c r="AG24" s="139">
        <f>SUM(B24:AF24)</f>
        <v>238</v>
      </c>
    </row>
    <row r="25" spans="1:33" x14ac:dyDescent="0.3">
      <c r="A25" s="133"/>
    </row>
    <row r="26" spans="1:33" x14ac:dyDescent="0.3">
      <c r="A26" s="133"/>
    </row>
  </sheetData>
  <conditionalFormatting sqref="A16">
    <cfRule type="iconSet" priority="10">
      <iconSet iconSet="3TrafficLights2" showValue="0">
        <cfvo type="percent" val="0"/>
        <cfvo type="num" val="5"/>
        <cfvo type="num" val="10"/>
      </iconSet>
    </cfRule>
  </conditionalFormatting>
  <conditionalFormatting sqref="A16:AA16 AC16:XFD16">
    <cfRule type="iconSet" priority="4">
      <iconSet iconSet="3TrafficLights2" showValue="0">
        <cfvo type="percent" val="0"/>
        <cfvo type="num" val="5"/>
        <cfvo type="num" val="10"/>
      </iconSet>
    </cfRule>
    <cfRule type="iconSet" priority="5">
      <iconSet iconSet="3TrafficLights2" showValue="0">
        <cfvo type="percent" val="0"/>
        <cfvo type="num" val="5"/>
        <cfvo type="num" val="10"/>
      </iconSet>
    </cfRule>
  </conditionalFormatting>
  <conditionalFormatting sqref="AB16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3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88BF-898D-454E-B00A-5E9D0EBC2573}">
  <dimension ref="A1:AF28"/>
  <sheetViews>
    <sheetView zoomScaleNormal="100" workbookViewId="0">
      <pane xSplit="1" topLeftCell="U1" activePane="topRight" state="frozen"/>
      <selection activeCell="A2" sqref="A2"/>
      <selection pane="topRight" activeCell="AF3" sqref="AF3"/>
    </sheetView>
  </sheetViews>
  <sheetFormatPr baseColWidth="10" defaultColWidth="8.5546875" defaultRowHeight="14.4" x14ac:dyDescent="0.3"/>
  <cols>
    <col min="1" max="1" width="34.5546875" style="33" customWidth="1"/>
    <col min="2" max="16384" width="8.5546875" style="33"/>
  </cols>
  <sheetData>
    <row r="1" spans="1:32" ht="15" customHeight="1" thickBot="1" x14ac:dyDescent="0.35">
      <c r="A1" s="44"/>
    </row>
    <row r="2" spans="1:32" ht="15" customHeight="1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43"/>
    </row>
    <row r="3" spans="1:32" s="35" customFormat="1" ht="30.6" customHeight="1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141" t="s">
        <v>205</v>
      </c>
    </row>
    <row r="4" spans="1:32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40"/>
    </row>
    <row r="6" spans="1:32" x14ac:dyDescent="0.3">
      <c r="A6" s="40" t="s">
        <v>195</v>
      </c>
      <c r="B6" s="126">
        <v>10</v>
      </c>
      <c r="C6" s="126">
        <v>4</v>
      </c>
      <c r="D6" s="126">
        <v>10</v>
      </c>
      <c r="E6" s="126">
        <v>7</v>
      </c>
      <c r="F6" s="126">
        <v>5</v>
      </c>
      <c r="G6" s="126">
        <v>5</v>
      </c>
      <c r="H6" s="126">
        <v>13</v>
      </c>
      <c r="I6" s="126">
        <v>18</v>
      </c>
      <c r="J6" s="126">
        <v>9</v>
      </c>
      <c r="K6" s="126">
        <v>13</v>
      </c>
      <c r="L6" s="126">
        <v>6</v>
      </c>
      <c r="M6" s="126">
        <v>4</v>
      </c>
      <c r="N6" s="126">
        <v>1</v>
      </c>
      <c r="O6" s="126">
        <v>12</v>
      </c>
      <c r="P6" s="126">
        <v>13</v>
      </c>
      <c r="Q6" s="126">
        <v>10</v>
      </c>
      <c r="R6" s="126">
        <v>12</v>
      </c>
      <c r="S6" s="126">
        <v>4</v>
      </c>
      <c r="T6" s="126">
        <v>3</v>
      </c>
      <c r="U6" s="126">
        <v>5</v>
      </c>
      <c r="V6" s="126">
        <v>12</v>
      </c>
      <c r="W6" s="126">
        <v>9</v>
      </c>
      <c r="X6" s="126">
        <v>14</v>
      </c>
      <c r="Y6" s="126">
        <v>8</v>
      </c>
      <c r="Z6" s="126">
        <v>13</v>
      </c>
      <c r="AA6" s="126">
        <v>3</v>
      </c>
      <c r="AB6" s="126">
        <v>3</v>
      </c>
      <c r="AC6" s="126">
        <v>17</v>
      </c>
      <c r="AD6" s="126">
        <v>43</v>
      </c>
      <c r="AE6" s="126">
        <v>16</v>
      </c>
      <c r="AF6" s="140">
        <f>SUM(B6:AE6)</f>
        <v>302</v>
      </c>
    </row>
    <row r="7" spans="1:32" x14ac:dyDescent="0.3">
      <c r="A7" s="39" t="s">
        <v>34</v>
      </c>
      <c r="B7" s="127">
        <v>0.5</v>
      </c>
      <c r="C7" s="129">
        <v>0.25</v>
      </c>
      <c r="D7" s="129">
        <v>0.2</v>
      </c>
      <c r="E7" s="129">
        <v>0.14285714285714285</v>
      </c>
      <c r="F7" s="129">
        <v>0.6</v>
      </c>
      <c r="G7" s="129">
        <v>0.6</v>
      </c>
      <c r="H7" s="129">
        <v>0.23076923076923078</v>
      </c>
      <c r="I7" s="129">
        <v>0.44444444444444442</v>
      </c>
      <c r="J7" s="129">
        <v>0.22222222222222221</v>
      </c>
      <c r="K7" s="127">
        <v>0.30769230769230771</v>
      </c>
      <c r="L7" s="129">
        <v>1</v>
      </c>
      <c r="M7" s="127">
        <v>0</v>
      </c>
      <c r="N7" s="129">
        <v>0</v>
      </c>
      <c r="O7" s="129">
        <v>0.33333333333333331</v>
      </c>
      <c r="P7" s="129">
        <v>0.53846153846153844</v>
      </c>
      <c r="Q7" s="129">
        <v>0.3</v>
      </c>
      <c r="R7" s="129">
        <v>0.5</v>
      </c>
      <c r="S7" s="129">
        <v>0.75</v>
      </c>
      <c r="T7" s="129">
        <v>0.66666666666666663</v>
      </c>
      <c r="U7" s="129">
        <v>1</v>
      </c>
      <c r="V7" s="129">
        <v>0.33333333333333331</v>
      </c>
      <c r="W7" s="129">
        <v>0.33333333333333331</v>
      </c>
      <c r="X7" s="129">
        <v>0.21428571428571427</v>
      </c>
      <c r="Y7" s="129">
        <v>0</v>
      </c>
      <c r="Z7" s="129">
        <v>0.61538461538461542</v>
      </c>
      <c r="AA7" s="129">
        <v>0.33333333333333331</v>
      </c>
      <c r="AB7" s="129">
        <v>0.33333333333333331</v>
      </c>
      <c r="AC7" s="129">
        <v>0.17647058823529413</v>
      </c>
      <c r="AD7" s="129">
        <v>9.3023255813953487E-2</v>
      </c>
      <c r="AE7" s="129">
        <v>0.375</v>
      </c>
      <c r="AF7" s="142">
        <f>AF21/AF24</f>
        <v>0.33443708609271522</v>
      </c>
    </row>
    <row r="8" spans="1:32" x14ac:dyDescent="0.3">
      <c r="A8" s="39" t="s">
        <v>169</v>
      </c>
      <c r="B8" s="128">
        <v>1</v>
      </c>
      <c r="C8" s="129">
        <v>1</v>
      </c>
      <c r="D8" s="129">
        <v>0.7</v>
      </c>
      <c r="E8" s="129">
        <v>0.8571428571428571</v>
      </c>
      <c r="F8" s="129">
        <v>1</v>
      </c>
      <c r="G8" s="129">
        <v>1</v>
      </c>
      <c r="H8" s="129">
        <v>1</v>
      </c>
      <c r="I8" s="129">
        <v>1</v>
      </c>
      <c r="J8" s="129">
        <v>1</v>
      </c>
      <c r="K8" s="128">
        <v>0.84615384615384615</v>
      </c>
      <c r="L8" s="129">
        <v>1</v>
      </c>
      <c r="M8" s="128">
        <v>1</v>
      </c>
      <c r="N8" s="129">
        <v>1</v>
      </c>
      <c r="O8" s="129">
        <v>0.83333333333333337</v>
      </c>
      <c r="P8" s="129">
        <v>0.92307692307692313</v>
      </c>
      <c r="Q8" s="129">
        <v>0.9</v>
      </c>
      <c r="R8" s="129">
        <v>0.91666666666666663</v>
      </c>
      <c r="S8" s="129">
        <v>1</v>
      </c>
      <c r="T8" s="129">
        <v>1</v>
      </c>
      <c r="U8" s="129">
        <v>1</v>
      </c>
      <c r="V8" s="129">
        <v>1</v>
      </c>
      <c r="W8" s="129">
        <v>0.77777777777777779</v>
      </c>
      <c r="X8" s="129">
        <v>0.9285714285714286</v>
      </c>
      <c r="Y8" s="129">
        <v>1</v>
      </c>
      <c r="Z8" s="129">
        <v>1</v>
      </c>
      <c r="AA8" s="129">
        <v>1</v>
      </c>
      <c r="AB8" s="129">
        <v>1</v>
      </c>
      <c r="AC8" s="129">
        <v>0.41176470588235292</v>
      </c>
      <c r="AD8" s="129">
        <v>0.30232558139534882</v>
      </c>
      <c r="AE8" s="129">
        <v>1</v>
      </c>
      <c r="AF8" s="142">
        <f>(AF21+AF22)/AF24</f>
        <v>0.82119205298013243</v>
      </c>
    </row>
    <row r="9" spans="1:32" x14ac:dyDescent="0.3">
      <c r="A9" s="39" t="s">
        <v>196</v>
      </c>
      <c r="B9" s="126">
        <v>76</v>
      </c>
      <c r="C9" s="126">
        <v>55</v>
      </c>
      <c r="D9" s="126">
        <v>61</v>
      </c>
      <c r="E9" s="126">
        <v>53</v>
      </c>
      <c r="F9" s="126">
        <v>37</v>
      </c>
      <c r="G9" s="126">
        <v>34</v>
      </c>
      <c r="H9" s="126">
        <v>53</v>
      </c>
      <c r="I9" s="126">
        <v>80</v>
      </c>
      <c r="J9" s="126">
        <v>101</v>
      </c>
      <c r="K9" s="126">
        <v>80</v>
      </c>
      <c r="L9" s="126">
        <v>67</v>
      </c>
      <c r="M9" s="126">
        <v>39</v>
      </c>
      <c r="N9" s="126">
        <v>21</v>
      </c>
      <c r="O9" s="126">
        <v>52</v>
      </c>
      <c r="P9" s="126">
        <v>75</v>
      </c>
      <c r="Q9" s="126">
        <v>96</v>
      </c>
      <c r="R9" s="126">
        <v>95</v>
      </c>
      <c r="S9" s="126">
        <v>67</v>
      </c>
      <c r="T9" s="126">
        <v>45</v>
      </c>
      <c r="U9" s="126">
        <v>49</v>
      </c>
      <c r="V9" s="126">
        <v>58</v>
      </c>
      <c r="W9" s="126">
        <v>71</v>
      </c>
      <c r="X9" s="126">
        <v>92</v>
      </c>
      <c r="Y9" s="126">
        <v>89</v>
      </c>
      <c r="Z9" s="126">
        <v>90</v>
      </c>
      <c r="AA9" s="126">
        <v>63</v>
      </c>
      <c r="AB9" s="126">
        <v>33</v>
      </c>
      <c r="AC9" s="126">
        <v>35</v>
      </c>
      <c r="AD9" s="126">
        <v>159</v>
      </c>
      <c r="AE9" s="126">
        <v>150</v>
      </c>
      <c r="AF9" s="139">
        <f>SUM(B9:AE9)</f>
        <v>2076</v>
      </c>
    </row>
    <row r="10" spans="1:32" x14ac:dyDescent="0.3">
      <c r="A10" s="39" t="s">
        <v>197</v>
      </c>
      <c r="B10" s="126">
        <v>1</v>
      </c>
      <c r="C10" s="126">
        <v>0</v>
      </c>
      <c r="D10" s="126">
        <v>2</v>
      </c>
      <c r="E10" s="126">
        <v>3</v>
      </c>
      <c r="F10" s="126">
        <v>1</v>
      </c>
      <c r="G10" s="126">
        <v>1</v>
      </c>
      <c r="H10" s="126">
        <v>6</v>
      </c>
      <c r="I10" s="126">
        <v>5</v>
      </c>
      <c r="J10" s="126">
        <v>4</v>
      </c>
      <c r="K10" s="126">
        <v>6</v>
      </c>
      <c r="L10" s="126">
        <v>1</v>
      </c>
      <c r="M10" s="126">
        <v>0</v>
      </c>
      <c r="N10" s="126">
        <v>0</v>
      </c>
      <c r="O10" s="126">
        <v>5</v>
      </c>
      <c r="P10" s="126">
        <v>2</v>
      </c>
      <c r="Q10" s="126">
        <v>4</v>
      </c>
      <c r="R10" s="126">
        <v>2</v>
      </c>
      <c r="S10" s="126">
        <v>2</v>
      </c>
      <c r="T10" s="126">
        <v>0</v>
      </c>
      <c r="U10" s="126">
        <v>4</v>
      </c>
      <c r="V10" s="126">
        <v>3</v>
      </c>
      <c r="W10" s="126">
        <v>1</v>
      </c>
      <c r="X10" s="126">
        <v>6</v>
      </c>
      <c r="Y10" s="126">
        <v>3</v>
      </c>
      <c r="Z10" s="126">
        <v>1</v>
      </c>
      <c r="AA10" s="126">
        <v>0</v>
      </c>
      <c r="AB10" s="126">
        <v>1</v>
      </c>
      <c r="AC10" s="126">
        <v>0</v>
      </c>
      <c r="AD10" s="126">
        <v>2</v>
      </c>
      <c r="AE10" s="126">
        <v>3</v>
      </c>
      <c r="AF10" s="139">
        <f>SUM(B10:AE10)</f>
        <v>69</v>
      </c>
    </row>
    <row r="11" spans="1:32" x14ac:dyDescent="0.3">
      <c r="A11" s="39" t="s">
        <v>198</v>
      </c>
      <c r="B11" s="128">
        <v>0.98684210526315785</v>
      </c>
      <c r="C11" s="130">
        <v>1</v>
      </c>
      <c r="D11" s="130">
        <v>0.96721311475409832</v>
      </c>
      <c r="E11" s="130">
        <v>0.94339622641509435</v>
      </c>
      <c r="F11" s="130">
        <v>0.97297297297297303</v>
      </c>
      <c r="G11" s="130">
        <v>0.97058823529411764</v>
      </c>
      <c r="H11" s="130">
        <v>0.8867924528301887</v>
      </c>
      <c r="I11" s="130">
        <v>0.9375</v>
      </c>
      <c r="J11" s="130">
        <v>0.96039603960396036</v>
      </c>
      <c r="K11" s="128">
        <v>0.92500000000000004</v>
      </c>
      <c r="L11" s="130">
        <v>0.9850746268656716</v>
      </c>
      <c r="M11" s="128">
        <v>1</v>
      </c>
      <c r="N11" s="130">
        <v>1</v>
      </c>
      <c r="O11" s="130">
        <v>0.90384615384615385</v>
      </c>
      <c r="P11" s="130">
        <v>0.97333333333333338</v>
      </c>
      <c r="Q11" s="130">
        <v>0.95833333333333337</v>
      </c>
      <c r="R11" s="130">
        <v>0.97894736842105268</v>
      </c>
      <c r="S11" s="130">
        <v>0.97014925373134331</v>
      </c>
      <c r="T11" s="130">
        <v>1</v>
      </c>
      <c r="U11" s="130">
        <v>0.91836734693877553</v>
      </c>
      <c r="V11" s="130">
        <v>0.94827586206896552</v>
      </c>
      <c r="W11" s="130">
        <v>0.9859154929577465</v>
      </c>
      <c r="X11" s="130">
        <v>0.93478260869565222</v>
      </c>
      <c r="Y11" s="130">
        <v>0.9662921348314607</v>
      </c>
      <c r="Z11" s="130">
        <v>0.98888888888888893</v>
      </c>
      <c r="AA11" s="130">
        <v>1</v>
      </c>
      <c r="AB11" s="130">
        <v>0.96969696969696972</v>
      </c>
      <c r="AC11" s="130">
        <v>1</v>
      </c>
      <c r="AD11" s="130">
        <v>0.98742138364779874</v>
      </c>
      <c r="AE11" s="130">
        <v>0.98</v>
      </c>
      <c r="AF11" s="142">
        <f>1-(AF10/AF9)</f>
        <v>0.9667630057803468</v>
      </c>
    </row>
    <row r="12" spans="1:32" x14ac:dyDescent="0.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40"/>
    </row>
    <row r="13" spans="1:32" ht="15" customHeight="1" x14ac:dyDescent="0.3">
      <c r="A13" s="39" t="s">
        <v>148</v>
      </c>
      <c r="B13" s="126">
        <v>1</v>
      </c>
      <c r="C13" s="126">
        <v>0</v>
      </c>
      <c r="D13" s="126">
        <v>2</v>
      </c>
      <c r="E13" s="126">
        <v>3</v>
      </c>
      <c r="F13" s="126">
        <v>1</v>
      </c>
      <c r="G13" s="126">
        <v>1</v>
      </c>
      <c r="H13" s="126">
        <v>6</v>
      </c>
      <c r="I13" s="126">
        <v>5</v>
      </c>
      <c r="J13" s="126">
        <v>4</v>
      </c>
      <c r="K13" s="126">
        <v>6</v>
      </c>
      <c r="L13" s="126">
        <v>1</v>
      </c>
      <c r="M13" s="126">
        <v>0</v>
      </c>
      <c r="N13" s="126">
        <v>0</v>
      </c>
      <c r="O13" s="126">
        <v>5</v>
      </c>
      <c r="P13" s="126">
        <v>2</v>
      </c>
      <c r="Q13" s="126">
        <v>4</v>
      </c>
      <c r="R13" s="126">
        <v>2</v>
      </c>
      <c r="S13" s="126">
        <v>2</v>
      </c>
      <c r="T13" s="126">
        <v>0</v>
      </c>
      <c r="U13" s="126">
        <v>4</v>
      </c>
      <c r="V13" s="126">
        <v>3</v>
      </c>
      <c r="W13" s="126">
        <v>1</v>
      </c>
      <c r="X13" s="126">
        <v>6</v>
      </c>
      <c r="Y13" s="126">
        <v>3</v>
      </c>
      <c r="Z13" s="126">
        <v>1</v>
      </c>
      <c r="AA13" s="126">
        <v>0</v>
      </c>
      <c r="AB13" s="126">
        <v>1</v>
      </c>
      <c r="AC13" s="126">
        <v>0</v>
      </c>
      <c r="AD13" s="126">
        <v>2</v>
      </c>
      <c r="AE13" s="126">
        <v>3</v>
      </c>
      <c r="AF13" s="140">
        <f>SUM(B13:AE13)</f>
        <v>69</v>
      </c>
    </row>
    <row r="14" spans="1:32" ht="15" customHeight="1" x14ac:dyDescent="0.3">
      <c r="A14" s="150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40"/>
    </row>
    <row r="15" spans="1:32" ht="15" customHeight="1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40"/>
    </row>
    <row r="16" spans="1:32" s="35" customFormat="1" ht="15" customHeight="1" x14ac:dyDescent="0.3">
      <c r="A16" s="144" t="s">
        <v>173</v>
      </c>
      <c r="B16" s="35">
        <v>10</v>
      </c>
      <c r="C16" s="35">
        <v>10</v>
      </c>
      <c r="D16" s="35">
        <v>5</v>
      </c>
      <c r="E16" s="35">
        <v>0</v>
      </c>
      <c r="F16" s="35">
        <v>10</v>
      </c>
      <c r="G16" s="35">
        <v>10</v>
      </c>
      <c r="H16" s="35">
        <v>10</v>
      </c>
      <c r="I16" s="35">
        <v>10</v>
      </c>
      <c r="J16" s="35">
        <v>10</v>
      </c>
      <c r="K16" s="35">
        <v>5</v>
      </c>
      <c r="L16" s="35">
        <v>10</v>
      </c>
      <c r="M16" s="35">
        <v>10</v>
      </c>
      <c r="N16" s="35">
        <v>10</v>
      </c>
      <c r="O16" s="35">
        <v>5</v>
      </c>
      <c r="P16" s="35">
        <v>5</v>
      </c>
      <c r="Q16" s="35">
        <v>5</v>
      </c>
      <c r="R16" s="35">
        <v>5</v>
      </c>
      <c r="S16" s="35">
        <v>10</v>
      </c>
      <c r="T16" s="35">
        <v>10</v>
      </c>
      <c r="U16" s="35">
        <v>10</v>
      </c>
      <c r="V16" s="35">
        <v>10</v>
      </c>
      <c r="W16" s="35">
        <v>5</v>
      </c>
      <c r="X16" s="35">
        <v>5</v>
      </c>
      <c r="Y16" s="35">
        <v>10</v>
      </c>
      <c r="Z16" s="35">
        <v>10</v>
      </c>
      <c r="AA16" s="35">
        <v>10</v>
      </c>
      <c r="AB16" s="35">
        <v>10</v>
      </c>
      <c r="AC16" s="35">
        <v>5</v>
      </c>
      <c r="AD16" s="35">
        <v>5</v>
      </c>
      <c r="AE16" s="35">
        <v>10</v>
      </c>
    </row>
    <row r="17" spans="1:32" ht="15" thickBot="1" x14ac:dyDescent="0.35"/>
    <row r="18" spans="1:32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</row>
    <row r="19" spans="1:32" ht="30" customHeight="1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</row>
    <row r="20" spans="1:32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</row>
    <row r="21" spans="1:32" x14ac:dyDescent="0.3">
      <c r="A21" s="132" t="s">
        <v>34</v>
      </c>
      <c r="B21" s="137">
        <f>IF(B5="","",B7*B6)</f>
        <v>5</v>
      </c>
      <c r="C21" s="137">
        <f t="shared" ref="C21:AE21" si="0">IF(C5="","",C7*C6)</f>
        <v>1</v>
      </c>
      <c r="D21" s="137">
        <f t="shared" si="0"/>
        <v>2</v>
      </c>
      <c r="E21" s="137">
        <f t="shared" si="0"/>
        <v>1</v>
      </c>
      <c r="F21" s="137">
        <f t="shared" si="0"/>
        <v>3</v>
      </c>
      <c r="G21" s="137">
        <f t="shared" si="0"/>
        <v>3</v>
      </c>
      <c r="H21" s="137">
        <f t="shared" si="0"/>
        <v>3</v>
      </c>
      <c r="I21" s="137">
        <f t="shared" si="0"/>
        <v>8</v>
      </c>
      <c r="J21" s="137">
        <f t="shared" si="0"/>
        <v>2</v>
      </c>
      <c r="K21" s="137">
        <f t="shared" si="0"/>
        <v>4</v>
      </c>
      <c r="L21" s="137">
        <f t="shared" si="0"/>
        <v>6</v>
      </c>
      <c r="M21" s="137">
        <f t="shared" si="0"/>
        <v>0</v>
      </c>
      <c r="N21" s="137">
        <f t="shared" si="0"/>
        <v>0</v>
      </c>
      <c r="O21" s="137">
        <f t="shared" si="0"/>
        <v>4</v>
      </c>
      <c r="P21" s="137">
        <f t="shared" si="0"/>
        <v>7</v>
      </c>
      <c r="Q21" s="137">
        <f t="shared" si="0"/>
        <v>3</v>
      </c>
      <c r="R21" s="137">
        <f t="shared" si="0"/>
        <v>6</v>
      </c>
      <c r="S21" s="137">
        <f t="shared" si="0"/>
        <v>3</v>
      </c>
      <c r="T21" s="137">
        <f t="shared" si="0"/>
        <v>2</v>
      </c>
      <c r="U21" s="137">
        <f t="shared" si="0"/>
        <v>5</v>
      </c>
      <c r="V21" s="137">
        <f t="shared" si="0"/>
        <v>4</v>
      </c>
      <c r="W21" s="137">
        <f t="shared" si="0"/>
        <v>3</v>
      </c>
      <c r="X21" s="137">
        <f t="shared" si="0"/>
        <v>3</v>
      </c>
      <c r="Y21" s="137">
        <f t="shared" si="0"/>
        <v>0</v>
      </c>
      <c r="Z21" s="137">
        <f t="shared" si="0"/>
        <v>8</v>
      </c>
      <c r="AA21" s="137">
        <f t="shared" si="0"/>
        <v>1</v>
      </c>
      <c r="AB21" s="137">
        <f t="shared" si="0"/>
        <v>1</v>
      </c>
      <c r="AC21" s="137">
        <f t="shared" si="0"/>
        <v>3</v>
      </c>
      <c r="AD21" s="137">
        <f t="shared" si="0"/>
        <v>4</v>
      </c>
      <c r="AE21" s="137">
        <f t="shared" si="0"/>
        <v>6</v>
      </c>
      <c r="AF21" s="139">
        <f>SUM(B21:AE21)</f>
        <v>101</v>
      </c>
    </row>
    <row r="22" spans="1:32" x14ac:dyDescent="0.3">
      <c r="A22" s="132" t="s">
        <v>169</v>
      </c>
      <c r="B22" s="126">
        <f>IF(B5="","",(B8*B6)-B21)</f>
        <v>5</v>
      </c>
      <c r="C22" s="126">
        <f t="shared" ref="C22:AE22" si="1">IF(C5="","",(C8*C6)-C21)</f>
        <v>3</v>
      </c>
      <c r="D22" s="126">
        <f t="shared" si="1"/>
        <v>5</v>
      </c>
      <c r="E22" s="126">
        <f t="shared" si="1"/>
        <v>5</v>
      </c>
      <c r="F22" s="126">
        <f t="shared" si="1"/>
        <v>2</v>
      </c>
      <c r="G22" s="126">
        <f t="shared" si="1"/>
        <v>2</v>
      </c>
      <c r="H22" s="126">
        <f t="shared" si="1"/>
        <v>10</v>
      </c>
      <c r="I22" s="126">
        <f t="shared" si="1"/>
        <v>10</v>
      </c>
      <c r="J22" s="126">
        <f t="shared" si="1"/>
        <v>7</v>
      </c>
      <c r="K22" s="126">
        <f t="shared" si="1"/>
        <v>7</v>
      </c>
      <c r="L22" s="126">
        <f t="shared" si="1"/>
        <v>0</v>
      </c>
      <c r="M22" s="126">
        <f t="shared" si="1"/>
        <v>4</v>
      </c>
      <c r="N22" s="126">
        <f t="shared" si="1"/>
        <v>1</v>
      </c>
      <c r="O22" s="126">
        <f t="shared" si="1"/>
        <v>6</v>
      </c>
      <c r="P22" s="126">
        <f t="shared" si="1"/>
        <v>5</v>
      </c>
      <c r="Q22" s="126">
        <f t="shared" si="1"/>
        <v>6</v>
      </c>
      <c r="R22" s="126">
        <f t="shared" si="1"/>
        <v>5</v>
      </c>
      <c r="S22" s="126">
        <f t="shared" si="1"/>
        <v>1</v>
      </c>
      <c r="T22" s="126">
        <f t="shared" si="1"/>
        <v>1</v>
      </c>
      <c r="U22" s="126">
        <f t="shared" si="1"/>
        <v>0</v>
      </c>
      <c r="V22" s="126">
        <f t="shared" si="1"/>
        <v>8</v>
      </c>
      <c r="W22" s="126">
        <f t="shared" si="1"/>
        <v>4</v>
      </c>
      <c r="X22" s="126">
        <f t="shared" si="1"/>
        <v>10</v>
      </c>
      <c r="Y22" s="126">
        <f t="shared" si="1"/>
        <v>8</v>
      </c>
      <c r="Z22" s="126">
        <f t="shared" si="1"/>
        <v>5</v>
      </c>
      <c r="AA22" s="126">
        <f t="shared" si="1"/>
        <v>2</v>
      </c>
      <c r="AB22" s="126">
        <f t="shared" si="1"/>
        <v>2</v>
      </c>
      <c r="AC22" s="126">
        <f t="shared" si="1"/>
        <v>4</v>
      </c>
      <c r="AD22" s="126">
        <f t="shared" si="1"/>
        <v>9</v>
      </c>
      <c r="AE22" s="126">
        <f t="shared" si="1"/>
        <v>10</v>
      </c>
      <c r="AF22" s="139">
        <f>SUM(B22:AE22)</f>
        <v>147</v>
      </c>
    </row>
    <row r="23" spans="1:32" x14ac:dyDescent="0.3">
      <c r="A23" s="132" t="s">
        <v>202</v>
      </c>
      <c r="B23" s="137">
        <f>IF(B5="","",B6-(B22+B21))</f>
        <v>0</v>
      </c>
      <c r="C23" s="137">
        <f t="shared" ref="C23:AE23" si="2">IF(C5="","",C6-(C22+C21))</f>
        <v>0</v>
      </c>
      <c r="D23" s="137">
        <f t="shared" si="2"/>
        <v>3</v>
      </c>
      <c r="E23" s="137">
        <f t="shared" si="2"/>
        <v>1</v>
      </c>
      <c r="F23" s="137">
        <f t="shared" si="2"/>
        <v>0</v>
      </c>
      <c r="G23" s="137">
        <f t="shared" si="2"/>
        <v>0</v>
      </c>
      <c r="H23" s="137">
        <f t="shared" si="2"/>
        <v>0</v>
      </c>
      <c r="I23" s="137">
        <f t="shared" si="2"/>
        <v>0</v>
      </c>
      <c r="J23" s="137">
        <f t="shared" si="2"/>
        <v>0</v>
      </c>
      <c r="K23" s="137">
        <f t="shared" si="2"/>
        <v>2</v>
      </c>
      <c r="L23" s="137">
        <f t="shared" si="2"/>
        <v>0</v>
      </c>
      <c r="M23" s="137">
        <f t="shared" si="2"/>
        <v>0</v>
      </c>
      <c r="N23" s="137">
        <f t="shared" si="2"/>
        <v>0</v>
      </c>
      <c r="O23" s="137">
        <f t="shared" si="2"/>
        <v>2</v>
      </c>
      <c r="P23" s="137">
        <f t="shared" si="2"/>
        <v>1</v>
      </c>
      <c r="Q23" s="137">
        <f t="shared" si="2"/>
        <v>1</v>
      </c>
      <c r="R23" s="137">
        <f t="shared" si="2"/>
        <v>1</v>
      </c>
      <c r="S23" s="137">
        <f t="shared" si="2"/>
        <v>0</v>
      </c>
      <c r="T23" s="137">
        <f t="shared" si="2"/>
        <v>0</v>
      </c>
      <c r="U23" s="137">
        <f t="shared" si="2"/>
        <v>0</v>
      </c>
      <c r="V23" s="137">
        <f t="shared" si="2"/>
        <v>0</v>
      </c>
      <c r="W23" s="137">
        <f t="shared" si="2"/>
        <v>2</v>
      </c>
      <c r="X23" s="137">
        <f t="shared" si="2"/>
        <v>1</v>
      </c>
      <c r="Y23" s="137">
        <f t="shared" si="2"/>
        <v>0</v>
      </c>
      <c r="Z23" s="137">
        <f t="shared" si="2"/>
        <v>0</v>
      </c>
      <c r="AA23" s="137">
        <f t="shared" si="2"/>
        <v>0</v>
      </c>
      <c r="AB23" s="137">
        <f t="shared" si="2"/>
        <v>0</v>
      </c>
      <c r="AC23" s="137">
        <f t="shared" si="2"/>
        <v>10</v>
      </c>
      <c r="AD23" s="137">
        <f t="shared" si="2"/>
        <v>30</v>
      </c>
      <c r="AE23" s="137">
        <f t="shared" si="2"/>
        <v>0</v>
      </c>
      <c r="AF23" s="139">
        <f>SUM(B23:AE23)</f>
        <v>54</v>
      </c>
    </row>
    <row r="24" spans="1:32" x14ac:dyDescent="0.3">
      <c r="A24" s="136"/>
      <c r="B24" s="138">
        <f>IF(B5="","",SUM(B21:B23))</f>
        <v>10</v>
      </c>
      <c r="C24" s="138">
        <f t="shared" ref="C24:AE24" si="3">IF(C5="","",SUM(C21:C23))</f>
        <v>4</v>
      </c>
      <c r="D24" s="138">
        <f t="shared" si="3"/>
        <v>10</v>
      </c>
      <c r="E24" s="138">
        <f t="shared" si="3"/>
        <v>7</v>
      </c>
      <c r="F24" s="138">
        <f t="shared" si="3"/>
        <v>5</v>
      </c>
      <c r="G24" s="138">
        <f t="shared" si="3"/>
        <v>5</v>
      </c>
      <c r="H24" s="138">
        <f t="shared" si="3"/>
        <v>13</v>
      </c>
      <c r="I24" s="138">
        <f t="shared" si="3"/>
        <v>18</v>
      </c>
      <c r="J24" s="138">
        <f t="shared" si="3"/>
        <v>9</v>
      </c>
      <c r="K24" s="138">
        <f t="shared" si="3"/>
        <v>13</v>
      </c>
      <c r="L24" s="138">
        <f t="shared" si="3"/>
        <v>6</v>
      </c>
      <c r="M24" s="138">
        <f t="shared" si="3"/>
        <v>4</v>
      </c>
      <c r="N24" s="138">
        <f t="shared" si="3"/>
        <v>1</v>
      </c>
      <c r="O24" s="138">
        <f t="shared" si="3"/>
        <v>12</v>
      </c>
      <c r="P24" s="138">
        <f t="shared" si="3"/>
        <v>13</v>
      </c>
      <c r="Q24" s="138">
        <f t="shared" si="3"/>
        <v>10</v>
      </c>
      <c r="R24" s="138">
        <f t="shared" si="3"/>
        <v>12</v>
      </c>
      <c r="S24" s="138">
        <f t="shared" si="3"/>
        <v>4</v>
      </c>
      <c r="T24" s="138">
        <f t="shared" si="3"/>
        <v>3</v>
      </c>
      <c r="U24" s="138">
        <f t="shared" si="3"/>
        <v>5</v>
      </c>
      <c r="V24" s="138">
        <f t="shared" si="3"/>
        <v>12</v>
      </c>
      <c r="W24" s="138">
        <f t="shared" si="3"/>
        <v>9</v>
      </c>
      <c r="X24" s="138">
        <f t="shared" si="3"/>
        <v>14</v>
      </c>
      <c r="Y24" s="138">
        <f t="shared" si="3"/>
        <v>8</v>
      </c>
      <c r="Z24" s="138">
        <f t="shared" si="3"/>
        <v>13</v>
      </c>
      <c r="AA24" s="138">
        <f t="shared" si="3"/>
        <v>3</v>
      </c>
      <c r="AB24" s="138">
        <f t="shared" si="3"/>
        <v>3</v>
      </c>
      <c r="AC24" s="138">
        <f t="shared" si="3"/>
        <v>17</v>
      </c>
      <c r="AD24" s="138">
        <f t="shared" si="3"/>
        <v>43</v>
      </c>
      <c r="AE24" s="138">
        <f t="shared" si="3"/>
        <v>16</v>
      </c>
      <c r="AF24" s="139">
        <f>SUM(B24:AE24)</f>
        <v>302</v>
      </c>
    </row>
    <row r="25" spans="1:32" x14ac:dyDescent="0.3">
      <c r="A25" s="133"/>
    </row>
    <row r="26" spans="1:32" x14ac:dyDescent="0.3">
      <c r="A26" s="133"/>
    </row>
    <row r="28" spans="1:32" x14ac:dyDescent="0.3">
      <c r="W28" s="33" t="s">
        <v>206</v>
      </c>
    </row>
  </sheetData>
  <conditionalFormatting sqref="A16">
    <cfRule type="iconSet" priority="8">
      <iconSet iconSet="3TrafficLights2" showValue="0">
        <cfvo type="percent" val="0"/>
        <cfvo type="num" val="5"/>
        <cfvo type="num" val="10"/>
      </iconSet>
    </cfRule>
  </conditionalFormatting>
  <conditionalFormatting sqref="AE16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AF16">
    <cfRule type="iconSet" priority="5">
      <iconSet iconSet="3TrafficLights2" showValue="0">
        <cfvo type="percent" val="0"/>
        <cfvo type="num" val="5"/>
        <cfvo type="num" val="10"/>
      </iconSet>
    </cfRule>
  </conditionalFormatting>
  <conditionalFormatting sqref="AF16:XFD16 A16:AD16">
    <cfRule type="iconSet" priority="6">
      <iconSet iconSet="3TrafficLights2" showValue="0">
        <cfvo type="percent" val="0"/>
        <cfvo type="num" val="5"/>
        <cfvo type="num" val="10"/>
      </iconSet>
    </cfRule>
    <cfRule type="iconSet" priority="7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413D-4813-445F-8CD1-E4B65FC2897C}">
  <dimension ref="A1:AG26"/>
  <sheetViews>
    <sheetView topLeftCell="N1" workbookViewId="0">
      <selection activeCell="AM22" sqref="AM22"/>
    </sheetView>
  </sheetViews>
  <sheetFormatPr baseColWidth="10" defaultColWidth="8.5546875" defaultRowHeight="14.4" x14ac:dyDescent="0.3"/>
  <cols>
    <col min="1" max="1" width="34.5546875" style="33" customWidth="1"/>
    <col min="2" max="16384" width="8.5546875" style="33"/>
  </cols>
  <sheetData>
    <row r="1" spans="1:33" ht="15" customHeight="1" thickBot="1" x14ac:dyDescent="0.35">
      <c r="A1" s="44"/>
    </row>
    <row r="2" spans="1:33" ht="15" customHeight="1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s="35" customFormat="1" ht="30.6" customHeight="1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207</v>
      </c>
    </row>
    <row r="4" spans="1:33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26" t="s">
        <v>15</v>
      </c>
      <c r="AG5" s="140"/>
    </row>
    <row r="6" spans="1:33" x14ac:dyDescent="0.3">
      <c r="A6" s="40" t="s">
        <v>195</v>
      </c>
      <c r="B6" s="126">
        <v>5</v>
      </c>
      <c r="C6" s="126">
        <v>10</v>
      </c>
      <c r="D6" s="126">
        <v>5</v>
      </c>
      <c r="E6" s="126">
        <v>2</v>
      </c>
      <c r="F6" s="126">
        <v>10</v>
      </c>
      <c r="G6" s="126">
        <v>10</v>
      </c>
      <c r="H6" s="126">
        <v>8</v>
      </c>
      <c r="I6" s="126">
        <v>14</v>
      </c>
      <c r="J6" s="126">
        <v>9</v>
      </c>
      <c r="K6" s="126">
        <v>8</v>
      </c>
      <c r="L6" s="126">
        <v>3</v>
      </c>
      <c r="M6" s="126">
        <v>11</v>
      </c>
      <c r="N6" s="126">
        <v>8</v>
      </c>
      <c r="O6" s="126">
        <v>11</v>
      </c>
      <c r="P6" s="126">
        <v>9</v>
      </c>
      <c r="Q6" s="126">
        <v>9</v>
      </c>
      <c r="R6" s="126">
        <v>7</v>
      </c>
      <c r="S6" s="126">
        <v>1</v>
      </c>
      <c r="T6" s="126">
        <v>18</v>
      </c>
      <c r="U6" s="126">
        <v>11</v>
      </c>
      <c r="V6" s="126">
        <v>12</v>
      </c>
      <c r="W6" s="126">
        <v>5</v>
      </c>
      <c r="X6" s="126">
        <v>8</v>
      </c>
      <c r="Y6" s="126">
        <v>1</v>
      </c>
      <c r="Z6" s="126">
        <v>5</v>
      </c>
      <c r="AA6" s="126">
        <v>13</v>
      </c>
      <c r="AB6" s="126">
        <v>14</v>
      </c>
      <c r="AC6" s="126">
        <v>23</v>
      </c>
      <c r="AD6" s="126">
        <v>4</v>
      </c>
      <c r="AE6" s="126">
        <v>9</v>
      </c>
      <c r="AF6" s="126">
        <v>4</v>
      </c>
      <c r="AG6" s="140">
        <f>SUM(B6:AF6)</f>
        <v>267</v>
      </c>
    </row>
    <row r="7" spans="1:33" x14ac:dyDescent="0.3">
      <c r="A7" s="39" t="s">
        <v>34</v>
      </c>
      <c r="B7" s="127">
        <v>0.6</v>
      </c>
      <c r="C7" s="129">
        <v>0.5</v>
      </c>
      <c r="D7" s="129">
        <v>0</v>
      </c>
      <c r="E7" s="129">
        <v>0</v>
      </c>
      <c r="F7" s="129">
        <v>0.3</v>
      </c>
      <c r="G7" s="129">
        <v>0.7</v>
      </c>
      <c r="H7" s="129">
        <v>0.375</v>
      </c>
      <c r="I7" s="129">
        <v>0.5</v>
      </c>
      <c r="J7" s="129">
        <v>0.55555555555555558</v>
      </c>
      <c r="K7" s="127">
        <v>0.625</v>
      </c>
      <c r="L7" s="129">
        <v>0.33333333333333331</v>
      </c>
      <c r="M7" s="127">
        <v>9.0909090909090912E-2</v>
      </c>
      <c r="N7" s="129">
        <v>0.75</v>
      </c>
      <c r="O7" s="129">
        <v>0.36363636363636365</v>
      </c>
      <c r="P7" s="129">
        <v>0.25</v>
      </c>
      <c r="Q7" s="129">
        <v>0.55555555555555558</v>
      </c>
      <c r="R7" s="129">
        <v>0.14285714285714285</v>
      </c>
      <c r="S7" s="129">
        <v>0</v>
      </c>
      <c r="T7" s="129">
        <v>0.3888888888888889</v>
      </c>
      <c r="U7" s="129">
        <v>0.27272727272727271</v>
      </c>
      <c r="V7" s="129">
        <v>0.75</v>
      </c>
      <c r="W7" s="129">
        <v>0.8</v>
      </c>
      <c r="X7" s="129">
        <v>0.375</v>
      </c>
      <c r="Y7" s="129">
        <v>0</v>
      </c>
      <c r="Z7" s="129">
        <v>0.2</v>
      </c>
      <c r="AA7" s="129">
        <v>0.38461538461538464</v>
      </c>
      <c r="AB7" s="129">
        <v>0.6428571428571429</v>
      </c>
      <c r="AC7" s="129">
        <v>0.52173913043478259</v>
      </c>
      <c r="AD7" s="129">
        <v>0.5</v>
      </c>
      <c r="AE7" s="129">
        <v>0.55555555555555558</v>
      </c>
      <c r="AF7" s="129">
        <v>0.75</v>
      </c>
      <c r="AG7" s="142">
        <f>AG21/AG24</f>
        <v>0.45411985018726592</v>
      </c>
    </row>
    <row r="8" spans="1:33" x14ac:dyDescent="0.3">
      <c r="A8" s="39" t="s">
        <v>169</v>
      </c>
      <c r="B8" s="128">
        <v>1</v>
      </c>
      <c r="C8" s="129">
        <v>1</v>
      </c>
      <c r="D8" s="129">
        <v>1</v>
      </c>
      <c r="E8" s="129">
        <v>1</v>
      </c>
      <c r="F8" s="129">
        <v>1</v>
      </c>
      <c r="G8" s="129">
        <v>0.9</v>
      </c>
      <c r="H8" s="129">
        <v>1</v>
      </c>
      <c r="I8" s="129">
        <v>1</v>
      </c>
      <c r="J8" s="129">
        <v>1</v>
      </c>
      <c r="K8" s="128">
        <v>0.875</v>
      </c>
      <c r="L8" s="129">
        <v>1</v>
      </c>
      <c r="M8" s="128">
        <v>1</v>
      </c>
      <c r="N8" s="129">
        <v>1</v>
      </c>
      <c r="O8" s="129">
        <v>1</v>
      </c>
      <c r="P8" s="129">
        <v>1</v>
      </c>
      <c r="Q8" s="129">
        <v>1</v>
      </c>
      <c r="R8" s="129">
        <v>0.8571428571428571</v>
      </c>
      <c r="S8" s="129">
        <v>1</v>
      </c>
      <c r="T8" s="129">
        <v>0.88888888888888884</v>
      </c>
      <c r="U8" s="129">
        <v>1</v>
      </c>
      <c r="V8" s="129">
        <v>1</v>
      </c>
      <c r="W8" s="129">
        <v>1</v>
      </c>
      <c r="X8" s="129">
        <v>1</v>
      </c>
      <c r="Y8" s="129">
        <v>1</v>
      </c>
      <c r="Z8" s="129">
        <v>1</v>
      </c>
      <c r="AA8" s="129">
        <v>0.84615384615384615</v>
      </c>
      <c r="AB8" s="129">
        <v>1</v>
      </c>
      <c r="AC8" s="129">
        <v>0.95652173913043481</v>
      </c>
      <c r="AD8" s="129">
        <v>1</v>
      </c>
      <c r="AE8" s="129">
        <v>0.88888888888888884</v>
      </c>
      <c r="AF8" s="129">
        <v>0.75</v>
      </c>
      <c r="AG8" s="142">
        <f>(AG21+AG22)/AG24</f>
        <v>0.96254681647940077</v>
      </c>
    </row>
    <row r="9" spans="1:33" x14ac:dyDescent="0.3">
      <c r="A9" s="39" t="s">
        <v>196</v>
      </c>
      <c r="B9" s="126">
        <v>95</v>
      </c>
      <c r="C9" s="126">
        <v>30</v>
      </c>
      <c r="D9" s="126">
        <v>70</v>
      </c>
      <c r="E9" s="126">
        <v>35</v>
      </c>
      <c r="F9" s="126">
        <v>35</v>
      </c>
      <c r="G9" s="126">
        <v>62</v>
      </c>
      <c r="H9" s="126">
        <v>54</v>
      </c>
      <c r="I9" s="126">
        <v>63</v>
      </c>
      <c r="J9" s="126">
        <v>73</v>
      </c>
      <c r="K9" s="126">
        <v>53</v>
      </c>
      <c r="L9" s="126">
        <v>27</v>
      </c>
      <c r="M9" s="126">
        <v>25</v>
      </c>
      <c r="N9" s="126">
        <v>45</v>
      </c>
      <c r="O9" s="126">
        <v>57</v>
      </c>
      <c r="P9" s="126">
        <v>50</v>
      </c>
      <c r="Q9" s="126">
        <v>41</v>
      </c>
      <c r="R9" s="126">
        <v>40</v>
      </c>
      <c r="S9" s="126">
        <v>19</v>
      </c>
      <c r="T9" s="126">
        <v>45</v>
      </c>
      <c r="U9" s="126">
        <v>64</v>
      </c>
      <c r="V9" s="126">
        <v>59</v>
      </c>
      <c r="W9" s="126">
        <v>50</v>
      </c>
      <c r="X9" s="126">
        <v>34</v>
      </c>
      <c r="Y9" s="126">
        <v>24</v>
      </c>
      <c r="Z9" s="126">
        <v>17</v>
      </c>
      <c r="AA9" s="126">
        <v>33</v>
      </c>
      <c r="AB9" s="126">
        <v>47</v>
      </c>
      <c r="AC9" s="126">
        <v>69</v>
      </c>
      <c r="AD9" s="126">
        <v>50</v>
      </c>
      <c r="AE9" s="126">
        <v>43</v>
      </c>
      <c r="AF9" s="126">
        <v>38</v>
      </c>
      <c r="AG9" s="139">
        <f>SUM(B9:AF9)</f>
        <v>1447</v>
      </c>
    </row>
    <row r="10" spans="1:33" x14ac:dyDescent="0.3">
      <c r="A10" s="39" t="s">
        <v>197</v>
      </c>
      <c r="B10" s="126">
        <v>3</v>
      </c>
      <c r="C10" s="126">
        <v>2</v>
      </c>
      <c r="D10" s="126">
        <v>0</v>
      </c>
      <c r="E10" s="126">
        <v>0</v>
      </c>
      <c r="F10" s="126">
        <v>2</v>
      </c>
      <c r="G10" s="126">
        <v>1</v>
      </c>
      <c r="H10" s="126">
        <v>6</v>
      </c>
      <c r="I10" s="126">
        <v>0</v>
      </c>
      <c r="J10" s="126">
        <v>2</v>
      </c>
      <c r="K10" s="126">
        <v>1</v>
      </c>
      <c r="L10" s="126">
        <v>0</v>
      </c>
      <c r="M10" s="126">
        <v>1</v>
      </c>
      <c r="N10" s="126">
        <v>0</v>
      </c>
      <c r="O10" s="126">
        <v>1</v>
      </c>
      <c r="P10" s="126">
        <v>1</v>
      </c>
      <c r="Q10" s="126">
        <v>2</v>
      </c>
      <c r="R10" s="126">
        <v>0</v>
      </c>
      <c r="S10" s="126">
        <v>0</v>
      </c>
      <c r="T10" s="126">
        <v>1</v>
      </c>
      <c r="U10" s="126">
        <v>2</v>
      </c>
      <c r="V10" s="126">
        <v>2</v>
      </c>
      <c r="W10" s="126">
        <v>2</v>
      </c>
      <c r="X10" s="126">
        <v>3</v>
      </c>
      <c r="Y10" s="126">
        <v>0</v>
      </c>
      <c r="Z10" s="126">
        <v>0</v>
      </c>
      <c r="AA10" s="126">
        <v>2</v>
      </c>
      <c r="AB10" s="126">
        <v>2</v>
      </c>
      <c r="AC10" s="126">
        <v>1</v>
      </c>
      <c r="AD10" s="126">
        <v>3</v>
      </c>
      <c r="AE10" s="126">
        <v>0</v>
      </c>
      <c r="AF10" s="126">
        <v>1</v>
      </c>
      <c r="AG10" s="139">
        <f>SUM(B10:AF10)</f>
        <v>41</v>
      </c>
    </row>
    <row r="11" spans="1:33" x14ac:dyDescent="0.3">
      <c r="A11" s="39" t="s">
        <v>198</v>
      </c>
      <c r="B11" s="128">
        <v>0.96842105263157896</v>
      </c>
      <c r="C11" s="130">
        <v>0.93333333333333335</v>
      </c>
      <c r="D11" s="130">
        <v>1</v>
      </c>
      <c r="E11" s="130">
        <v>1</v>
      </c>
      <c r="F11" s="130">
        <v>0.94285714285714284</v>
      </c>
      <c r="G11" s="130">
        <v>0.9838709677419355</v>
      </c>
      <c r="H11" s="130">
        <v>0.88888888888888884</v>
      </c>
      <c r="I11" s="130">
        <v>1</v>
      </c>
      <c r="J11" s="130">
        <v>0.9726027397260274</v>
      </c>
      <c r="K11" s="128">
        <v>0.98113207547169812</v>
      </c>
      <c r="L11" s="130">
        <v>1</v>
      </c>
      <c r="M11" s="128">
        <v>0.96</v>
      </c>
      <c r="N11" s="130">
        <v>1</v>
      </c>
      <c r="O11" s="130">
        <v>0.98245614035087714</v>
      </c>
      <c r="P11" s="130">
        <v>0.98</v>
      </c>
      <c r="Q11" s="130">
        <v>0.95121951219512191</v>
      </c>
      <c r="R11" s="130">
        <v>1</v>
      </c>
      <c r="S11" s="130">
        <v>1</v>
      </c>
      <c r="T11" s="130">
        <v>0.97777777777777775</v>
      </c>
      <c r="U11" s="130">
        <v>0.96875</v>
      </c>
      <c r="V11" s="130">
        <v>0.96610169491525422</v>
      </c>
      <c r="W11" s="130">
        <v>0.96</v>
      </c>
      <c r="X11" s="130">
        <v>0.91176470588235292</v>
      </c>
      <c r="Y11" s="130">
        <v>1</v>
      </c>
      <c r="Z11" s="130">
        <v>1</v>
      </c>
      <c r="AA11" s="130">
        <v>0.93939393939393945</v>
      </c>
      <c r="AB11" s="130">
        <v>0.95744680851063835</v>
      </c>
      <c r="AC11" s="130">
        <v>0.98550724637681164</v>
      </c>
      <c r="AD11" s="130">
        <v>0.94</v>
      </c>
      <c r="AE11" s="130">
        <v>1</v>
      </c>
      <c r="AF11" s="130">
        <v>0.97368421052631582</v>
      </c>
      <c r="AG11" s="142">
        <f>1-(AG10/AG9)</f>
        <v>0.97166551485832753</v>
      </c>
    </row>
    <row r="12" spans="1:33" x14ac:dyDescent="0.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ht="15" customHeight="1" x14ac:dyDescent="0.3">
      <c r="A13" s="39" t="s">
        <v>148</v>
      </c>
      <c r="B13" s="126">
        <v>3</v>
      </c>
      <c r="C13" s="126">
        <v>2</v>
      </c>
      <c r="D13" s="126">
        <v>0</v>
      </c>
      <c r="E13" s="126">
        <v>0</v>
      </c>
      <c r="F13" s="126">
        <v>2</v>
      </c>
      <c r="G13" s="126">
        <v>1</v>
      </c>
      <c r="H13" s="126">
        <v>6</v>
      </c>
      <c r="I13" s="126">
        <v>0</v>
      </c>
      <c r="J13" s="126">
        <v>2</v>
      </c>
      <c r="K13" s="126">
        <v>1</v>
      </c>
      <c r="L13" s="126">
        <v>0</v>
      </c>
      <c r="M13" s="126">
        <v>1</v>
      </c>
      <c r="N13" s="126">
        <v>0</v>
      </c>
      <c r="O13" s="126">
        <v>1</v>
      </c>
      <c r="P13" s="126">
        <v>1</v>
      </c>
      <c r="Q13" s="126">
        <v>2</v>
      </c>
      <c r="R13" s="126">
        <v>0</v>
      </c>
      <c r="S13" s="126">
        <v>0</v>
      </c>
      <c r="T13" s="126">
        <v>1</v>
      </c>
      <c r="U13" s="126">
        <v>2</v>
      </c>
      <c r="V13" s="126">
        <v>2</v>
      </c>
      <c r="W13" s="126">
        <v>2</v>
      </c>
      <c r="X13" s="126">
        <v>3</v>
      </c>
      <c r="Y13" s="126">
        <v>0</v>
      </c>
      <c r="Z13" s="126">
        <v>0</v>
      </c>
      <c r="AA13" s="126">
        <v>2</v>
      </c>
      <c r="AB13" s="126">
        <v>2</v>
      </c>
      <c r="AC13" s="126">
        <v>1</v>
      </c>
      <c r="AD13" s="126">
        <v>3</v>
      </c>
      <c r="AE13" s="126">
        <v>0</v>
      </c>
      <c r="AF13" s="126">
        <v>1</v>
      </c>
      <c r="AG13" s="140">
        <f>SUM(B13:AF13)</f>
        <v>41</v>
      </c>
    </row>
    <row r="14" spans="1:33" ht="15" customHeight="1" x14ac:dyDescent="0.3">
      <c r="A14" s="150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ht="15" customHeight="1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s="35" customFormat="1" ht="15" customHeight="1" x14ac:dyDescent="0.3">
      <c r="A16" s="144" t="s">
        <v>173</v>
      </c>
      <c r="B16" s="35">
        <v>10</v>
      </c>
      <c r="C16" s="35">
        <v>10</v>
      </c>
      <c r="D16" s="35">
        <v>10</v>
      </c>
      <c r="E16" s="35">
        <v>10</v>
      </c>
      <c r="F16" s="35">
        <v>10</v>
      </c>
      <c r="G16" s="35">
        <v>5</v>
      </c>
      <c r="H16" s="35">
        <v>10</v>
      </c>
      <c r="I16" s="35">
        <v>10</v>
      </c>
      <c r="J16" s="35">
        <v>10</v>
      </c>
      <c r="K16" s="35">
        <v>5</v>
      </c>
      <c r="L16" s="35">
        <v>10</v>
      </c>
      <c r="M16" s="35">
        <v>10</v>
      </c>
      <c r="N16" s="35">
        <v>10</v>
      </c>
      <c r="O16" s="35">
        <v>100</v>
      </c>
      <c r="P16" s="35">
        <v>100</v>
      </c>
      <c r="Q16" s="35">
        <v>10</v>
      </c>
      <c r="R16" s="35">
        <v>5</v>
      </c>
      <c r="S16" s="35">
        <v>10</v>
      </c>
      <c r="T16" s="35">
        <v>5</v>
      </c>
      <c r="U16" s="35">
        <v>10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5</v>
      </c>
      <c r="AB16" s="35">
        <v>10</v>
      </c>
      <c r="AC16" s="35">
        <v>5</v>
      </c>
      <c r="AD16" s="35">
        <v>10</v>
      </c>
      <c r="AE16" s="35">
        <v>5</v>
      </c>
      <c r="AF16" s="35">
        <v>5</v>
      </c>
    </row>
    <row r="17" spans="1:33" ht="15" thickBot="1" x14ac:dyDescent="0.35"/>
    <row r="18" spans="1:33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ht="30" customHeight="1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</row>
    <row r="20" spans="1:33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 x14ac:dyDescent="0.3">
      <c r="A21" s="132" t="s">
        <v>34</v>
      </c>
      <c r="B21" s="137">
        <f t="shared" ref="B21:AF21" si="0">B7*B6</f>
        <v>3</v>
      </c>
      <c r="C21" s="137">
        <f t="shared" si="0"/>
        <v>5</v>
      </c>
      <c r="D21" s="137">
        <f t="shared" si="0"/>
        <v>0</v>
      </c>
      <c r="E21" s="137">
        <f t="shared" si="0"/>
        <v>0</v>
      </c>
      <c r="F21" s="137">
        <f t="shared" si="0"/>
        <v>3</v>
      </c>
      <c r="G21" s="137">
        <f t="shared" si="0"/>
        <v>7</v>
      </c>
      <c r="H21" s="137">
        <f t="shared" si="0"/>
        <v>3</v>
      </c>
      <c r="I21" s="137">
        <f t="shared" si="0"/>
        <v>7</v>
      </c>
      <c r="J21" s="137">
        <f t="shared" si="0"/>
        <v>5</v>
      </c>
      <c r="K21" s="137">
        <f t="shared" si="0"/>
        <v>5</v>
      </c>
      <c r="L21" s="137">
        <f t="shared" si="0"/>
        <v>1</v>
      </c>
      <c r="M21" s="137">
        <f t="shared" si="0"/>
        <v>1</v>
      </c>
      <c r="N21" s="137">
        <f t="shared" si="0"/>
        <v>6</v>
      </c>
      <c r="O21" s="137">
        <f t="shared" si="0"/>
        <v>4</v>
      </c>
      <c r="P21" s="137">
        <f t="shared" si="0"/>
        <v>2.25</v>
      </c>
      <c r="Q21" s="137">
        <f t="shared" si="0"/>
        <v>5</v>
      </c>
      <c r="R21" s="137">
        <f t="shared" si="0"/>
        <v>1</v>
      </c>
      <c r="S21" s="137">
        <f t="shared" si="0"/>
        <v>0</v>
      </c>
      <c r="T21" s="137">
        <f t="shared" si="0"/>
        <v>7</v>
      </c>
      <c r="U21" s="137">
        <f t="shared" si="0"/>
        <v>3</v>
      </c>
      <c r="V21" s="137">
        <f t="shared" si="0"/>
        <v>9</v>
      </c>
      <c r="W21" s="137">
        <f t="shared" si="0"/>
        <v>4</v>
      </c>
      <c r="X21" s="137">
        <f t="shared" si="0"/>
        <v>3</v>
      </c>
      <c r="Y21" s="137">
        <f t="shared" si="0"/>
        <v>0</v>
      </c>
      <c r="Z21" s="137">
        <f t="shared" si="0"/>
        <v>1</v>
      </c>
      <c r="AA21" s="137">
        <f t="shared" si="0"/>
        <v>5</v>
      </c>
      <c r="AB21" s="137">
        <f t="shared" si="0"/>
        <v>9</v>
      </c>
      <c r="AC21" s="137">
        <f t="shared" si="0"/>
        <v>12</v>
      </c>
      <c r="AD21" s="137">
        <f t="shared" si="0"/>
        <v>2</v>
      </c>
      <c r="AE21" s="137">
        <f t="shared" si="0"/>
        <v>5</v>
      </c>
      <c r="AF21" s="137">
        <f t="shared" si="0"/>
        <v>3</v>
      </c>
      <c r="AG21" s="139">
        <f>SUM(B21:AF21)</f>
        <v>121.25</v>
      </c>
    </row>
    <row r="22" spans="1:33" x14ac:dyDescent="0.3">
      <c r="A22" s="132" t="s">
        <v>169</v>
      </c>
      <c r="B22" s="126">
        <f t="shared" ref="B22:AF22" si="1">(B8*B6)-B21</f>
        <v>2</v>
      </c>
      <c r="C22" s="126">
        <f t="shared" si="1"/>
        <v>5</v>
      </c>
      <c r="D22" s="126">
        <f t="shared" si="1"/>
        <v>5</v>
      </c>
      <c r="E22" s="126">
        <f t="shared" si="1"/>
        <v>2</v>
      </c>
      <c r="F22" s="126">
        <f t="shared" si="1"/>
        <v>7</v>
      </c>
      <c r="G22" s="126">
        <f t="shared" si="1"/>
        <v>2</v>
      </c>
      <c r="H22" s="126">
        <f t="shared" si="1"/>
        <v>5</v>
      </c>
      <c r="I22" s="126">
        <f t="shared" si="1"/>
        <v>7</v>
      </c>
      <c r="J22" s="126">
        <f t="shared" si="1"/>
        <v>4</v>
      </c>
      <c r="K22" s="126">
        <f t="shared" si="1"/>
        <v>2</v>
      </c>
      <c r="L22" s="126">
        <f t="shared" si="1"/>
        <v>2</v>
      </c>
      <c r="M22" s="126">
        <f t="shared" si="1"/>
        <v>10</v>
      </c>
      <c r="N22" s="126">
        <f t="shared" si="1"/>
        <v>2</v>
      </c>
      <c r="O22" s="126">
        <f t="shared" si="1"/>
        <v>7</v>
      </c>
      <c r="P22" s="126">
        <f t="shared" si="1"/>
        <v>6.75</v>
      </c>
      <c r="Q22" s="126">
        <f t="shared" si="1"/>
        <v>4</v>
      </c>
      <c r="R22" s="126">
        <f t="shared" si="1"/>
        <v>5</v>
      </c>
      <c r="S22" s="126">
        <f t="shared" si="1"/>
        <v>1</v>
      </c>
      <c r="T22" s="126">
        <f t="shared" si="1"/>
        <v>9</v>
      </c>
      <c r="U22" s="126">
        <f t="shared" si="1"/>
        <v>8</v>
      </c>
      <c r="V22" s="126">
        <f t="shared" si="1"/>
        <v>3</v>
      </c>
      <c r="W22" s="126">
        <f t="shared" si="1"/>
        <v>1</v>
      </c>
      <c r="X22" s="126">
        <f t="shared" si="1"/>
        <v>5</v>
      </c>
      <c r="Y22" s="126">
        <f t="shared" si="1"/>
        <v>1</v>
      </c>
      <c r="Z22" s="126">
        <f t="shared" si="1"/>
        <v>4</v>
      </c>
      <c r="AA22" s="126">
        <f t="shared" si="1"/>
        <v>6</v>
      </c>
      <c r="AB22" s="126">
        <f t="shared" si="1"/>
        <v>5</v>
      </c>
      <c r="AC22" s="126">
        <f t="shared" si="1"/>
        <v>10</v>
      </c>
      <c r="AD22" s="126">
        <f t="shared" si="1"/>
        <v>2</v>
      </c>
      <c r="AE22" s="126">
        <f t="shared" si="1"/>
        <v>3</v>
      </c>
      <c r="AF22" s="126">
        <f t="shared" si="1"/>
        <v>0</v>
      </c>
      <c r="AG22" s="139">
        <f>SUM(B22:AF22)</f>
        <v>135.75</v>
      </c>
    </row>
    <row r="23" spans="1:33" x14ac:dyDescent="0.3">
      <c r="A23" s="132" t="s">
        <v>202</v>
      </c>
      <c r="B23" s="137">
        <f t="shared" ref="B23:AF23" si="2">B6-(B22+B21)</f>
        <v>0</v>
      </c>
      <c r="C23" s="137">
        <f t="shared" si="2"/>
        <v>0</v>
      </c>
      <c r="D23" s="137">
        <f t="shared" si="2"/>
        <v>0</v>
      </c>
      <c r="E23" s="137">
        <f t="shared" si="2"/>
        <v>0</v>
      </c>
      <c r="F23" s="137">
        <f t="shared" si="2"/>
        <v>0</v>
      </c>
      <c r="G23" s="137">
        <f t="shared" si="2"/>
        <v>1</v>
      </c>
      <c r="H23" s="137">
        <f t="shared" si="2"/>
        <v>0</v>
      </c>
      <c r="I23" s="137">
        <f t="shared" si="2"/>
        <v>0</v>
      </c>
      <c r="J23" s="137">
        <f t="shared" si="2"/>
        <v>0</v>
      </c>
      <c r="K23" s="137">
        <f t="shared" si="2"/>
        <v>1</v>
      </c>
      <c r="L23" s="137">
        <f t="shared" si="2"/>
        <v>0</v>
      </c>
      <c r="M23" s="137">
        <f t="shared" si="2"/>
        <v>0</v>
      </c>
      <c r="N23" s="137">
        <f t="shared" si="2"/>
        <v>0</v>
      </c>
      <c r="O23" s="137">
        <f t="shared" si="2"/>
        <v>0</v>
      </c>
      <c r="P23" s="137">
        <f t="shared" si="2"/>
        <v>0</v>
      </c>
      <c r="Q23" s="137">
        <f t="shared" si="2"/>
        <v>0</v>
      </c>
      <c r="R23" s="137">
        <f t="shared" si="2"/>
        <v>1</v>
      </c>
      <c r="S23" s="137">
        <f t="shared" si="2"/>
        <v>0</v>
      </c>
      <c r="T23" s="137">
        <f t="shared" si="2"/>
        <v>2</v>
      </c>
      <c r="U23" s="137">
        <f t="shared" si="2"/>
        <v>0</v>
      </c>
      <c r="V23" s="137">
        <f t="shared" si="2"/>
        <v>0</v>
      </c>
      <c r="W23" s="137">
        <f t="shared" si="2"/>
        <v>0</v>
      </c>
      <c r="X23" s="137">
        <f t="shared" si="2"/>
        <v>0</v>
      </c>
      <c r="Y23" s="137">
        <f t="shared" si="2"/>
        <v>0</v>
      </c>
      <c r="Z23" s="137">
        <f t="shared" si="2"/>
        <v>0</v>
      </c>
      <c r="AA23" s="137">
        <f t="shared" si="2"/>
        <v>2</v>
      </c>
      <c r="AB23" s="137">
        <f t="shared" si="2"/>
        <v>0</v>
      </c>
      <c r="AC23" s="137">
        <f t="shared" si="2"/>
        <v>1</v>
      </c>
      <c r="AD23" s="137">
        <f t="shared" si="2"/>
        <v>0</v>
      </c>
      <c r="AE23" s="137">
        <f t="shared" si="2"/>
        <v>1</v>
      </c>
      <c r="AF23" s="137">
        <f t="shared" si="2"/>
        <v>1</v>
      </c>
      <c r="AG23" s="139">
        <f>SUM(B23:AF23)</f>
        <v>10</v>
      </c>
    </row>
    <row r="24" spans="1:33" x14ac:dyDescent="0.3">
      <c r="A24" s="136"/>
      <c r="B24" s="138">
        <f t="shared" ref="B24:AF24" si="3">SUM(B21:B23)</f>
        <v>5</v>
      </c>
      <c r="C24" s="138">
        <f t="shared" si="3"/>
        <v>10</v>
      </c>
      <c r="D24" s="138">
        <f t="shared" si="3"/>
        <v>5</v>
      </c>
      <c r="E24" s="138">
        <f t="shared" si="3"/>
        <v>2</v>
      </c>
      <c r="F24" s="138">
        <f t="shared" si="3"/>
        <v>10</v>
      </c>
      <c r="G24" s="138">
        <f t="shared" si="3"/>
        <v>10</v>
      </c>
      <c r="H24" s="138">
        <f t="shared" si="3"/>
        <v>8</v>
      </c>
      <c r="I24" s="138">
        <f t="shared" si="3"/>
        <v>14</v>
      </c>
      <c r="J24" s="138">
        <f t="shared" si="3"/>
        <v>9</v>
      </c>
      <c r="K24" s="138">
        <f t="shared" si="3"/>
        <v>8</v>
      </c>
      <c r="L24" s="138">
        <f t="shared" si="3"/>
        <v>3</v>
      </c>
      <c r="M24" s="138">
        <f t="shared" si="3"/>
        <v>11</v>
      </c>
      <c r="N24" s="138">
        <f t="shared" si="3"/>
        <v>8</v>
      </c>
      <c r="O24" s="138">
        <f t="shared" si="3"/>
        <v>11</v>
      </c>
      <c r="P24" s="138">
        <f t="shared" si="3"/>
        <v>9</v>
      </c>
      <c r="Q24" s="138">
        <f t="shared" si="3"/>
        <v>9</v>
      </c>
      <c r="R24" s="138">
        <f t="shared" si="3"/>
        <v>7</v>
      </c>
      <c r="S24" s="138">
        <f t="shared" si="3"/>
        <v>1</v>
      </c>
      <c r="T24" s="138">
        <f t="shared" si="3"/>
        <v>18</v>
      </c>
      <c r="U24" s="138">
        <f t="shared" si="3"/>
        <v>11</v>
      </c>
      <c r="V24" s="138">
        <f t="shared" si="3"/>
        <v>12</v>
      </c>
      <c r="W24" s="138">
        <f t="shared" si="3"/>
        <v>5</v>
      </c>
      <c r="X24" s="138">
        <f t="shared" si="3"/>
        <v>8</v>
      </c>
      <c r="Y24" s="138">
        <f t="shared" si="3"/>
        <v>1</v>
      </c>
      <c r="Z24" s="138">
        <f t="shared" si="3"/>
        <v>5</v>
      </c>
      <c r="AA24" s="138">
        <f t="shared" si="3"/>
        <v>13</v>
      </c>
      <c r="AB24" s="138">
        <f t="shared" si="3"/>
        <v>14</v>
      </c>
      <c r="AC24" s="138">
        <f t="shared" si="3"/>
        <v>23</v>
      </c>
      <c r="AD24" s="138">
        <f t="shared" si="3"/>
        <v>4</v>
      </c>
      <c r="AE24" s="138">
        <f t="shared" si="3"/>
        <v>9</v>
      </c>
      <c r="AF24" s="138">
        <f t="shared" si="3"/>
        <v>4</v>
      </c>
      <c r="AG24" s="139">
        <f>SUM(B24:AF24)</f>
        <v>267</v>
      </c>
    </row>
    <row r="25" spans="1:33" x14ac:dyDescent="0.3">
      <c r="A25" s="133"/>
    </row>
    <row r="26" spans="1:33" x14ac:dyDescent="0.3">
      <c r="A26" s="133"/>
    </row>
  </sheetData>
  <conditionalFormatting sqref="A16">
    <cfRule type="iconSet" priority="6">
      <iconSet iconSet="3TrafficLights2" showValue="0">
        <cfvo type="percent" val="0"/>
        <cfvo type="num" val="5"/>
        <cfvo type="num" val="10"/>
      </iconSet>
    </cfRule>
  </conditionalFormatting>
  <conditionalFormatting sqref="AB16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AC16:XFD16 A16:AA16">
    <cfRule type="iconSet" priority="4">
      <iconSet iconSet="3TrafficLights2" showValue="0">
        <cfvo type="percent" val="0"/>
        <cfvo type="num" val="5"/>
        <cfvo type="num" val="10"/>
      </iconSet>
    </cfRule>
    <cfRule type="iconSet" priority="5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3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E3FF-EA2E-4B57-9527-8A561D9793B0}">
  <dimension ref="A1:AF28"/>
  <sheetViews>
    <sheetView zoomScaleNormal="100" workbookViewId="0">
      <pane xSplit="1" topLeftCell="AB1" activePane="topRight" state="frozen"/>
      <selection activeCell="A2" sqref="A2"/>
      <selection pane="topRight" activeCell="AE16" sqref="AE16"/>
    </sheetView>
  </sheetViews>
  <sheetFormatPr baseColWidth="10" defaultColWidth="8.5546875" defaultRowHeight="14.4" x14ac:dyDescent="0.3"/>
  <cols>
    <col min="1" max="1" width="34.5546875" style="33" customWidth="1"/>
    <col min="2" max="16384" width="8.5546875" style="33"/>
  </cols>
  <sheetData>
    <row r="1" spans="1:32" ht="15" customHeight="1" thickBot="1" x14ac:dyDescent="0.35">
      <c r="A1" s="44"/>
    </row>
    <row r="2" spans="1:32" ht="15" customHeight="1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43"/>
    </row>
    <row r="3" spans="1:32" s="35" customFormat="1" ht="30.6" customHeight="1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141" t="s">
        <v>208</v>
      </c>
    </row>
    <row r="4" spans="1:32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40"/>
    </row>
    <row r="6" spans="1:32" x14ac:dyDescent="0.3">
      <c r="A6" s="40" t="s">
        <v>195</v>
      </c>
      <c r="B6" s="126">
        <v>6</v>
      </c>
      <c r="C6" s="126">
        <v>14</v>
      </c>
      <c r="D6" s="126">
        <v>18</v>
      </c>
      <c r="E6" s="126">
        <v>6</v>
      </c>
      <c r="F6" s="126">
        <v>17</v>
      </c>
      <c r="G6" s="126">
        <v>7</v>
      </c>
      <c r="H6" s="126">
        <v>4</v>
      </c>
      <c r="I6" s="126">
        <v>4</v>
      </c>
      <c r="J6" s="126">
        <v>11</v>
      </c>
      <c r="K6" s="126">
        <v>6</v>
      </c>
      <c r="L6" s="126">
        <v>13</v>
      </c>
      <c r="M6" s="126">
        <v>8</v>
      </c>
      <c r="N6" s="126">
        <v>10</v>
      </c>
      <c r="O6" s="126">
        <v>5</v>
      </c>
      <c r="P6" s="126">
        <v>3</v>
      </c>
      <c r="Q6" s="126">
        <v>16</v>
      </c>
      <c r="R6" s="126">
        <v>8</v>
      </c>
      <c r="S6" s="126">
        <v>18</v>
      </c>
      <c r="T6" s="126">
        <v>14</v>
      </c>
      <c r="U6" s="126">
        <v>7</v>
      </c>
      <c r="V6" s="126">
        <v>2</v>
      </c>
      <c r="W6" s="126">
        <v>5</v>
      </c>
      <c r="X6" s="126">
        <v>10</v>
      </c>
      <c r="Y6" s="126">
        <v>11</v>
      </c>
      <c r="Z6" s="126">
        <v>7</v>
      </c>
      <c r="AA6" s="126">
        <v>10</v>
      </c>
      <c r="AB6" s="126">
        <v>4</v>
      </c>
      <c r="AC6" s="126">
        <v>4</v>
      </c>
      <c r="AD6" s="126">
        <v>2</v>
      </c>
      <c r="AE6" s="126">
        <v>16</v>
      </c>
      <c r="AF6" s="140">
        <f>SUM(B6:AE6)</f>
        <v>266</v>
      </c>
    </row>
    <row r="7" spans="1:32" x14ac:dyDescent="0.3">
      <c r="A7" s="39" t="s">
        <v>34</v>
      </c>
      <c r="B7" s="127">
        <v>0.5</v>
      </c>
      <c r="C7" s="129">
        <v>0.42857142857142855</v>
      </c>
      <c r="D7" s="129">
        <v>0.3888888888888889</v>
      </c>
      <c r="E7" s="129">
        <v>0.16666666666666666</v>
      </c>
      <c r="F7" s="129">
        <v>0.17647058823529413</v>
      </c>
      <c r="G7" s="129">
        <v>0.2857142857142857</v>
      </c>
      <c r="H7" s="129">
        <v>0</v>
      </c>
      <c r="I7" s="129">
        <v>0.5</v>
      </c>
      <c r="J7" s="129">
        <v>0.45454545454545453</v>
      </c>
      <c r="K7" s="127">
        <v>0.33333333333333331</v>
      </c>
      <c r="L7" s="129">
        <v>0.30769230769230771</v>
      </c>
      <c r="M7" s="127">
        <v>0</v>
      </c>
      <c r="N7" s="129">
        <v>0.1</v>
      </c>
      <c r="O7" s="129">
        <v>0.4</v>
      </c>
      <c r="P7" s="129">
        <v>0.33333333333333331</v>
      </c>
      <c r="Q7" s="129">
        <v>0.375</v>
      </c>
      <c r="R7" s="129">
        <v>0.625</v>
      </c>
      <c r="S7" s="129">
        <v>0.55555555000000001</v>
      </c>
      <c r="T7" s="127">
        <v>0.5714285714285714</v>
      </c>
      <c r="U7" s="127">
        <v>0.2857142857142857</v>
      </c>
      <c r="V7" s="127">
        <v>1</v>
      </c>
      <c r="W7" s="127">
        <v>0.6</v>
      </c>
      <c r="X7" s="127">
        <v>0.2</v>
      </c>
      <c r="Y7" s="129">
        <v>0.36363636363636365</v>
      </c>
      <c r="Z7" s="129">
        <v>0</v>
      </c>
      <c r="AA7" s="129">
        <v>0.2</v>
      </c>
      <c r="AB7" s="129">
        <v>0.25</v>
      </c>
      <c r="AC7" s="129">
        <v>0.5</v>
      </c>
      <c r="AD7" s="129">
        <v>0</v>
      </c>
      <c r="AE7" s="129">
        <v>0.375</v>
      </c>
      <c r="AF7" s="142">
        <f>AF21/AF24</f>
        <v>0.34586466127819548</v>
      </c>
    </row>
    <row r="8" spans="1:32" x14ac:dyDescent="0.3">
      <c r="A8" s="39" t="s">
        <v>169</v>
      </c>
      <c r="B8" s="128">
        <v>1</v>
      </c>
      <c r="C8" s="129">
        <v>1</v>
      </c>
      <c r="D8" s="129">
        <v>1</v>
      </c>
      <c r="E8" s="129">
        <v>1</v>
      </c>
      <c r="F8" s="129">
        <v>0.47058823529411764</v>
      </c>
      <c r="G8" s="129">
        <v>1</v>
      </c>
      <c r="H8" s="129">
        <v>0.75</v>
      </c>
      <c r="I8" s="129">
        <v>1</v>
      </c>
      <c r="J8" s="129">
        <v>1</v>
      </c>
      <c r="K8" s="128">
        <v>1</v>
      </c>
      <c r="L8" s="129">
        <v>0.53846153846153844</v>
      </c>
      <c r="M8" s="128">
        <v>0.875</v>
      </c>
      <c r="N8" s="129">
        <v>1</v>
      </c>
      <c r="O8" s="129">
        <v>1</v>
      </c>
      <c r="P8" s="129">
        <v>1</v>
      </c>
      <c r="Q8" s="129">
        <v>1</v>
      </c>
      <c r="R8" s="129">
        <v>1</v>
      </c>
      <c r="S8" s="129">
        <v>1</v>
      </c>
      <c r="T8" s="128">
        <v>1</v>
      </c>
      <c r="U8" s="128">
        <v>1</v>
      </c>
      <c r="V8" s="128">
        <v>1</v>
      </c>
      <c r="W8" s="128">
        <v>1</v>
      </c>
      <c r="X8" s="128">
        <v>1</v>
      </c>
      <c r="Y8" s="129">
        <v>1</v>
      </c>
      <c r="Z8" s="129">
        <v>1</v>
      </c>
      <c r="AA8" s="129">
        <v>1</v>
      </c>
      <c r="AB8" s="129">
        <v>1</v>
      </c>
      <c r="AC8" s="129">
        <v>1</v>
      </c>
      <c r="AD8" s="129">
        <v>1</v>
      </c>
      <c r="AE8" s="129">
        <v>0.9375</v>
      </c>
      <c r="AF8" s="142">
        <f>(AF21+AF22)/AF24</f>
        <v>0.93233082706766912</v>
      </c>
    </row>
    <row r="9" spans="1:32" x14ac:dyDescent="0.3">
      <c r="A9" s="39" t="s">
        <v>196</v>
      </c>
      <c r="B9" s="126">
        <v>26</v>
      </c>
      <c r="C9" s="126">
        <v>63</v>
      </c>
      <c r="D9" s="126">
        <v>92</v>
      </c>
      <c r="E9" s="126">
        <v>89</v>
      </c>
      <c r="F9" s="126">
        <v>103</v>
      </c>
      <c r="G9" s="126">
        <v>103</v>
      </c>
      <c r="H9" s="126">
        <v>55</v>
      </c>
      <c r="I9" s="126">
        <v>33</v>
      </c>
      <c r="J9" s="126">
        <v>44</v>
      </c>
      <c r="K9" s="126">
        <v>67</v>
      </c>
      <c r="L9" s="126">
        <v>70</v>
      </c>
      <c r="M9" s="126">
        <v>75</v>
      </c>
      <c r="N9" s="126">
        <v>88</v>
      </c>
      <c r="O9" s="126">
        <v>60</v>
      </c>
      <c r="P9" s="126">
        <v>23</v>
      </c>
      <c r="Q9" s="126">
        <v>61</v>
      </c>
      <c r="R9" s="126">
        <v>69</v>
      </c>
      <c r="S9" s="126">
        <v>87</v>
      </c>
      <c r="T9" s="126">
        <v>97</v>
      </c>
      <c r="U9" s="126">
        <v>55</v>
      </c>
      <c r="V9" s="126">
        <v>23</v>
      </c>
      <c r="W9" s="126">
        <v>32</v>
      </c>
      <c r="X9" s="126">
        <v>41</v>
      </c>
      <c r="Y9" s="126">
        <v>59</v>
      </c>
      <c r="Z9" s="126">
        <v>36</v>
      </c>
      <c r="AA9" s="126">
        <v>46</v>
      </c>
      <c r="AB9" s="126">
        <v>41</v>
      </c>
      <c r="AC9" s="126">
        <v>24</v>
      </c>
      <c r="AD9" s="126">
        <v>13</v>
      </c>
      <c r="AE9" s="126">
        <v>48</v>
      </c>
      <c r="AF9" s="139">
        <f>SUM(B9:AE9)</f>
        <v>1723</v>
      </c>
    </row>
    <row r="10" spans="1:32" x14ac:dyDescent="0.3">
      <c r="A10" s="39" t="s">
        <v>197</v>
      </c>
      <c r="B10" s="126">
        <v>2</v>
      </c>
      <c r="C10" s="126">
        <v>0</v>
      </c>
      <c r="D10" s="126">
        <v>4</v>
      </c>
      <c r="E10" s="126">
        <v>0</v>
      </c>
      <c r="F10" s="126">
        <v>2</v>
      </c>
      <c r="G10" s="126">
        <v>1</v>
      </c>
      <c r="H10" s="126">
        <v>1</v>
      </c>
      <c r="I10" s="126">
        <v>0</v>
      </c>
      <c r="J10" s="126">
        <v>1</v>
      </c>
      <c r="K10" s="126">
        <v>4</v>
      </c>
      <c r="L10" s="126">
        <v>1</v>
      </c>
      <c r="M10" s="126">
        <v>1</v>
      </c>
      <c r="N10" s="126">
        <v>1</v>
      </c>
      <c r="O10" s="126">
        <v>4</v>
      </c>
      <c r="P10" s="126">
        <v>0</v>
      </c>
      <c r="Q10" s="126">
        <v>2</v>
      </c>
      <c r="R10" s="126">
        <v>0</v>
      </c>
      <c r="S10" s="126">
        <v>3</v>
      </c>
      <c r="T10" s="126">
        <v>3</v>
      </c>
      <c r="U10" s="126">
        <v>2</v>
      </c>
      <c r="V10" s="126">
        <v>0</v>
      </c>
      <c r="W10" s="126">
        <v>3</v>
      </c>
      <c r="X10" s="126">
        <v>0</v>
      </c>
      <c r="Y10" s="126">
        <v>5</v>
      </c>
      <c r="Z10" s="126">
        <v>1</v>
      </c>
      <c r="AA10" s="126">
        <v>0</v>
      </c>
      <c r="AB10" s="126">
        <v>1</v>
      </c>
      <c r="AC10" s="126">
        <v>2</v>
      </c>
      <c r="AD10" s="126">
        <v>0</v>
      </c>
      <c r="AE10" s="126">
        <v>2</v>
      </c>
      <c r="AF10" s="139">
        <f>SUM(B10:AE10)</f>
        <v>46</v>
      </c>
    </row>
    <row r="11" spans="1:32" x14ac:dyDescent="0.3">
      <c r="A11" s="39" t="s">
        <v>198</v>
      </c>
      <c r="B11" s="128">
        <v>0.92307692307692313</v>
      </c>
      <c r="C11" s="130">
        <v>1</v>
      </c>
      <c r="D11" s="130">
        <v>0.95652173913043481</v>
      </c>
      <c r="E11" s="130">
        <v>1</v>
      </c>
      <c r="F11" s="130">
        <v>0.98058252427184467</v>
      </c>
      <c r="G11" s="130">
        <v>0.99029126213592233</v>
      </c>
      <c r="H11" s="130">
        <v>0.98181818181818181</v>
      </c>
      <c r="I11" s="130">
        <v>1</v>
      </c>
      <c r="J11" s="130">
        <v>0.97727272727272729</v>
      </c>
      <c r="K11" s="128">
        <v>0.94029850746268662</v>
      </c>
      <c r="L11" s="130">
        <v>0.98571428571428577</v>
      </c>
      <c r="M11" s="128">
        <v>0.98666666666666669</v>
      </c>
      <c r="N11" s="130">
        <v>0.98863636363636365</v>
      </c>
      <c r="O11" s="130">
        <v>0.93333333333333335</v>
      </c>
      <c r="P11" s="130">
        <v>1</v>
      </c>
      <c r="Q11" s="130">
        <v>0.96721311475409832</v>
      </c>
      <c r="R11" s="130">
        <v>1</v>
      </c>
      <c r="S11" s="130">
        <v>0.96551724137931039</v>
      </c>
      <c r="T11" s="128">
        <v>0.96907216494845361</v>
      </c>
      <c r="U11" s="128">
        <v>0.96363636363636362</v>
      </c>
      <c r="V11" s="128">
        <v>1</v>
      </c>
      <c r="W11" s="128">
        <v>0.90625</v>
      </c>
      <c r="X11" s="128">
        <v>1</v>
      </c>
      <c r="Y11" s="130">
        <v>0.9152542372881356</v>
      </c>
      <c r="Z11" s="130">
        <v>0.97222222222222221</v>
      </c>
      <c r="AA11" s="130">
        <v>1</v>
      </c>
      <c r="AB11" s="130">
        <v>0.97560975609756095</v>
      </c>
      <c r="AC11" s="130">
        <v>0.91666666666666663</v>
      </c>
      <c r="AD11" s="130">
        <v>1</v>
      </c>
      <c r="AE11" s="130">
        <v>0.95833333333333337</v>
      </c>
      <c r="AF11" s="142">
        <f>1-(AF10/AF9)</f>
        <v>0.97330237957051657</v>
      </c>
    </row>
    <row r="12" spans="1:32" x14ac:dyDescent="0.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40"/>
    </row>
    <row r="13" spans="1:32" ht="15" customHeight="1" x14ac:dyDescent="0.3">
      <c r="A13" s="39" t="s">
        <v>148</v>
      </c>
      <c r="B13" s="126">
        <v>2</v>
      </c>
      <c r="C13" s="126">
        <v>0</v>
      </c>
      <c r="D13" s="126">
        <v>4</v>
      </c>
      <c r="E13" s="126">
        <v>0</v>
      </c>
      <c r="F13" s="126">
        <v>2</v>
      </c>
      <c r="G13" s="126">
        <v>1</v>
      </c>
      <c r="H13" s="126">
        <v>1</v>
      </c>
      <c r="I13" s="126">
        <v>0</v>
      </c>
      <c r="J13" s="126">
        <v>1</v>
      </c>
      <c r="K13" s="126">
        <v>4</v>
      </c>
      <c r="L13" s="126">
        <v>1</v>
      </c>
      <c r="M13" s="126">
        <v>1</v>
      </c>
      <c r="N13" s="126">
        <v>1</v>
      </c>
      <c r="O13" s="126">
        <v>4</v>
      </c>
      <c r="P13" s="126">
        <v>0</v>
      </c>
      <c r="Q13" s="126">
        <v>2</v>
      </c>
      <c r="R13" s="126">
        <v>0</v>
      </c>
      <c r="S13" s="126">
        <v>3</v>
      </c>
      <c r="T13" s="126">
        <v>3</v>
      </c>
      <c r="U13" s="126">
        <v>2</v>
      </c>
      <c r="V13" s="126">
        <v>0</v>
      </c>
      <c r="W13" s="126">
        <v>3</v>
      </c>
      <c r="X13" s="126">
        <v>0</v>
      </c>
      <c r="Y13" s="126">
        <v>5</v>
      </c>
      <c r="Z13" s="126">
        <v>1</v>
      </c>
      <c r="AA13" s="126">
        <v>0</v>
      </c>
      <c r="AB13" s="126">
        <v>1</v>
      </c>
      <c r="AC13" s="126">
        <v>2</v>
      </c>
      <c r="AD13" s="126">
        <v>0</v>
      </c>
      <c r="AE13" s="126">
        <v>2</v>
      </c>
      <c r="AF13" s="140">
        <f>SUM(B13:AE13)</f>
        <v>46</v>
      </c>
    </row>
    <row r="14" spans="1:32" ht="15" customHeight="1" x14ac:dyDescent="0.3">
      <c r="A14" s="150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40"/>
    </row>
    <row r="15" spans="1:32" ht="15" customHeight="1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40"/>
    </row>
    <row r="16" spans="1:32" s="35" customFormat="1" ht="15" customHeight="1" x14ac:dyDescent="0.3">
      <c r="A16" s="144" t="s">
        <v>173</v>
      </c>
      <c r="B16" s="35">
        <v>10</v>
      </c>
      <c r="C16" s="35">
        <v>10</v>
      </c>
      <c r="D16" s="35">
        <v>10</v>
      </c>
      <c r="E16" s="35">
        <v>10</v>
      </c>
      <c r="F16" s="35">
        <v>5</v>
      </c>
      <c r="G16" s="35">
        <v>10</v>
      </c>
      <c r="H16" s="35">
        <v>5</v>
      </c>
      <c r="I16" s="35">
        <v>10</v>
      </c>
      <c r="J16" s="35">
        <v>10</v>
      </c>
      <c r="K16" s="35">
        <v>10</v>
      </c>
      <c r="L16" s="35">
        <v>5</v>
      </c>
      <c r="M16" s="35">
        <v>5</v>
      </c>
      <c r="N16" s="35">
        <v>10</v>
      </c>
      <c r="O16" s="35">
        <v>10</v>
      </c>
      <c r="P16" s="35">
        <v>10</v>
      </c>
      <c r="Q16" s="35">
        <v>10</v>
      </c>
      <c r="R16" s="35">
        <v>10</v>
      </c>
      <c r="S16" s="35">
        <v>10</v>
      </c>
      <c r="T16" s="35">
        <v>10</v>
      </c>
      <c r="U16" s="35">
        <v>10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10</v>
      </c>
      <c r="AB16" s="35">
        <v>10</v>
      </c>
      <c r="AC16" s="35">
        <v>10</v>
      </c>
      <c r="AD16" s="35">
        <v>10</v>
      </c>
      <c r="AE16" s="35">
        <v>5</v>
      </c>
    </row>
    <row r="17" spans="1:32" ht="15" thickBot="1" x14ac:dyDescent="0.35"/>
    <row r="18" spans="1:32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</row>
    <row r="19" spans="1:32" ht="30" customHeight="1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</row>
    <row r="20" spans="1:32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</row>
    <row r="21" spans="1:32" x14ac:dyDescent="0.3">
      <c r="A21" s="132" t="s">
        <v>34</v>
      </c>
      <c r="B21" s="137">
        <f>IF(B5="","",B7*B6)</f>
        <v>3</v>
      </c>
      <c r="C21" s="137">
        <f t="shared" ref="C21:AE21" si="0">IF(C5="","",C7*C6)</f>
        <v>6</v>
      </c>
      <c r="D21" s="137">
        <f t="shared" si="0"/>
        <v>7</v>
      </c>
      <c r="E21" s="137">
        <f t="shared" si="0"/>
        <v>1</v>
      </c>
      <c r="F21" s="137">
        <f t="shared" si="0"/>
        <v>3</v>
      </c>
      <c r="G21" s="137">
        <f t="shared" si="0"/>
        <v>2</v>
      </c>
      <c r="H21" s="137">
        <f t="shared" si="0"/>
        <v>0</v>
      </c>
      <c r="I21" s="137">
        <f t="shared" si="0"/>
        <v>2</v>
      </c>
      <c r="J21" s="137">
        <f t="shared" si="0"/>
        <v>5</v>
      </c>
      <c r="K21" s="137">
        <f t="shared" si="0"/>
        <v>2</v>
      </c>
      <c r="L21" s="137">
        <f t="shared" si="0"/>
        <v>4</v>
      </c>
      <c r="M21" s="137">
        <f t="shared" si="0"/>
        <v>0</v>
      </c>
      <c r="N21" s="137">
        <f t="shared" si="0"/>
        <v>1</v>
      </c>
      <c r="O21" s="137">
        <f t="shared" si="0"/>
        <v>2</v>
      </c>
      <c r="P21" s="137">
        <f t="shared" si="0"/>
        <v>1</v>
      </c>
      <c r="Q21" s="137">
        <f t="shared" si="0"/>
        <v>6</v>
      </c>
      <c r="R21" s="137">
        <f t="shared" si="0"/>
        <v>5</v>
      </c>
      <c r="S21" s="137">
        <f t="shared" si="0"/>
        <v>9.9999999000000006</v>
      </c>
      <c r="T21" s="137">
        <f t="shared" si="0"/>
        <v>8</v>
      </c>
      <c r="U21" s="137">
        <f t="shared" si="0"/>
        <v>2</v>
      </c>
      <c r="V21" s="137">
        <f t="shared" si="0"/>
        <v>2</v>
      </c>
      <c r="W21" s="137">
        <f t="shared" si="0"/>
        <v>3</v>
      </c>
      <c r="X21" s="137">
        <f t="shared" si="0"/>
        <v>2</v>
      </c>
      <c r="Y21" s="137">
        <f t="shared" si="0"/>
        <v>4</v>
      </c>
      <c r="Z21" s="137">
        <f t="shared" si="0"/>
        <v>0</v>
      </c>
      <c r="AA21" s="137">
        <f t="shared" si="0"/>
        <v>2</v>
      </c>
      <c r="AB21" s="137">
        <f t="shared" si="0"/>
        <v>1</v>
      </c>
      <c r="AC21" s="137">
        <f t="shared" si="0"/>
        <v>2</v>
      </c>
      <c r="AD21" s="137">
        <f t="shared" si="0"/>
        <v>0</v>
      </c>
      <c r="AE21" s="137">
        <f t="shared" si="0"/>
        <v>6</v>
      </c>
      <c r="AF21" s="139">
        <f>SUM(B21:AE21)</f>
        <v>91.999999900000006</v>
      </c>
    </row>
    <row r="22" spans="1:32" x14ac:dyDescent="0.3">
      <c r="A22" s="132" t="s">
        <v>169</v>
      </c>
      <c r="B22" s="126">
        <f>IF(B5="","",(B8*B6)-B21)</f>
        <v>3</v>
      </c>
      <c r="C22" s="126">
        <f t="shared" ref="C22:AE22" si="1">IF(C5="","",(C8*C6)-C21)</f>
        <v>8</v>
      </c>
      <c r="D22" s="126">
        <f t="shared" si="1"/>
        <v>11</v>
      </c>
      <c r="E22" s="126">
        <f t="shared" si="1"/>
        <v>5</v>
      </c>
      <c r="F22" s="126">
        <f t="shared" si="1"/>
        <v>5</v>
      </c>
      <c r="G22" s="126">
        <f t="shared" si="1"/>
        <v>5</v>
      </c>
      <c r="H22" s="126">
        <f t="shared" si="1"/>
        <v>3</v>
      </c>
      <c r="I22" s="126">
        <f t="shared" si="1"/>
        <v>2</v>
      </c>
      <c r="J22" s="126">
        <f t="shared" si="1"/>
        <v>6</v>
      </c>
      <c r="K22" s="126">
        <f t="shared" si="1"/>
        <v>4</v>
      </c>
      <c r="L22" s="126">
        <f t="shared" si="1"/>
        <v>3</v>
      </c>
      <c r="M22" s="126">
        <f t="shared" si="1"/>
        <v>7</v>
      </c>
      <c r="N22" s="126">
        <f t="shared" si="1"/>
        <v>9</v>
      </c>
      <c r="O22" s="126">
        <f t="shared" si="1"/>
        <v>3</v>
      </c>
      <c r="P22" s="126">
        <f t="shared" si="1"/>
        <v>2</v>
      </c>
      <c r="Q22" s="126">
        <f t="shared" si="1"/>
        <v>10</v>
      </c>
      <c r="R22" s="126">
        <f t="shared" si="1"/>
        <v>3</v>
      </c>
      <c r="S22" s="126">
        <f t="shared" si="1"/>
        <v>8.0000000999999994</v>
      </c>
      <c r="T22" s="126">
        <f t="shared" si="1"/>
        <v>6</v>
      </c>
      <c r="U22" s="126">
        <f t="shared" si="1"/>
        <v>5</v>
      </c>
      <c r="V22" s="126">
        <f t="shared" si="1"/>
        <v>0</v>
      </c>
      <c r="W22" s="126">
        <f t="shared" si="1"/>
        <v>2</v>
      </c>
      <c r="X22" s="126">
        <f t="shared" si="1"/>
        <v>8</v>
      </c>
      <c r="Y22" s="126">
        <f t="shared" si="1"/>
        <v>7</v>
      </c>
      <c r="Z22" s="126">
        <f t="shared" si="1"/>
        <v>7</v>
      </c>
      <c r="AA22" s="126">
        <f t="shared" si="1"/>
        <v>8</v>
      </c>
      <c r="AB22" s="126">
        <f t="shared" si="1"/>
        <v>3</v>
      </c>
      <c r="AC22" s="126">
        <f t="shared" si="1"/>
        <v>2</v>
      </c>
      <c r="AD22" s="126">
        <f t="shared" si="1"/>
        <v>2</v>
      </c>
      <c r="AE22" s="126">
        <f t="shared" si="1"/>
        <v>9</v>
      </c>
      <c r="AF22" s="139">
        <f>SUM(B22:AE22)</f>
        <v>156.00000009999999</v>
      </c>
    </row>
    <row r="23" spans="1:32" x14ac:dyDescent="0.3">
      <c r="A23" s="132" t="s">
        <v>202</v>
      </c>
      <c r="B23" s="137">
        <f>IF(B5="","",B6-(B22+B21))</f>
        <v>0</v>
      </c>
      <c r="C23" s="137">
        <f t="shared" ref="C23:AE23" si="2">IF(C5="","",C6-(C22+C21))</f>
        <v>0</v>
      </c>
      <c r="D23" s="137">
        <f t="shared" si="2"/>
        <v>0</v>
      </c>
      <c r="E23" s="137">
        <f t="shared" si="2"/>
        <v>0</v>
      </c>
      <c r="F23" s="137">
        <f t="shared" si="2"/>
        <v>9</v>
      </c>
      <c r="G23" s="137">
        <f t="shared" si="2"/>
        <v>0</v>
      </c>
      <c r="H23" s="137">
        <f t="shared" si="2"/>
        <v>1</v>
      </c>
      <c r="I23" s="137">
        <f t="shared" si="2"/>
        <v>0</v>
      </c>
      <c r="J23" s="137">
        <f t="shared" si="2"/>
        <v>0</v>
      </c>
      <c r="K23" s="137">
        <f t="shared" si="2"/>
        <v>0</v>
      </c>
      <c r="L23" s="137">
        <f t="shared" si="2"/>
        <v>6</v>
      </c>
      <c r="M23" s="137">
        <f t="shared" si="2"/>
        <v>1</v>
      </c>
      <c r="N23" s="137">
        <f t="shared" si="2"/>
        <v>0</v>
      </c>
      <c r="O23" s="137">
        <f t="shared" si="2"/>
        <v>0</v>
      </c>
      <c r="P23" s="137">
        <f t="shared" si="2"/>
        <v>0</v>
      </c>
      <c r="Q23" s="137">
        <f t="shared" si="2"/>
        <v>0</v>
      </c>
      <c r="R23" s="137">
        <f t="shared" si="2"/>
        <v>0</v>
      </c>
      <c r="S23" s="137">
        <f t="shared" si="2"/>
        <v>0</v>
      </c>
      <c r="T23" s="137">
        <f t="shared" si="2"/>
        <v>0</v>
      </c>
      <c r="U23" s="137">
        <f t="shared" si="2"/>
        <v>0</v>
      </c>
      <c r="V23" s="137">
        <f t="shared" si="2"/>
        <v>0</v>
      </c>
      <c r="W23" s="137">
        <f t="shared" si="2"/>
        <v>0</v>
      </c>
      <c r="X23" s="137">
        <f t="shared" si="2"/>
        <v>0</v>
      </c>
      <c r="Y23" s="137">
        <f t="shared" si="2"/>
        <v>0</v>
      </c>
      <c r="Z23" s="137">
        <f t="shared" si="2"/>
        <v>0</v>
      </c>
      <c r="AA23" s="137">
        <f t="shared" si="2"/>
        <v>0</v>
      </c>
      <c r="AB23" s="137">
        <f t="shared" si="2"/>
        <v>0</v>
      </c>
      <c r="AC23" s="137">
        <f t="shared" si="2"/>
        <v>0</v>
      </c>
      <c r="AD23" s="137">
        <f t="shared" si="2"/>
        <v>0</v>
      </c>
      <c r="AE23" s="137">
        <f t="shared" si="2"/>
        <v>1</v>
      </c>
      <c r="AF23" s="139">
        <f>SUM(B23:AE23)</f>
        <v>18</v>
      </c>
    </row>
    <row r="24" spans="1:32" x14ac:dyDescent="0.3">
      <c r="A24" s="136"/>
      <c r="B24" s="138">
        <f>IF(B5="","",SUM(B21:B23))</f>
        <v>6</v>
      </c>
      <c r="C24" s="138">
        <f t="shared" ref="C24:AE24" si="3">IF(C5="","",SUM(C21:C23))</f>
        <v>14</v>
      </c>
      <c r="D24" s="138">
        <f t="shared" si="3"/>
        <v>18</v>
      </c>
      <c r="E24" s="138">
        <f t="shared" si="3"/>
        <v>6</v>
      </c>
      <c r="F24" s="138">
        <f t="shared" si="3"/>
        <v>17</v>
      </c>
      <c r="G24" s="138">
        <f t="shared" si="3"/>
        <v>7</v>
      </c>
      <c r="H24" s="138">
        <f t="shared" si="3"/>
        <v>4</v>
      </c>
      <c r="I24" s="138">
        <f t="shared" si="3"/>
        <v>4</v>
      </c>
      <c r="J24" s="138">
        <f t="shared" si="3"/>
        <v>11</v>
      </c>
      <c r="K24" s="138">
        <f t="shared" si="3"/>
        <v>6</v>
      </c>
      <c r="L24" s="138">
        <f t="shared" si="3"/>
        <v>13</v>
      </c>
      <c r="M24" s="138">
        <f t="shared" si="3"/>
        <v>8</v>
      </c>
      <c r="N24" s="138">
        <f t="shared" si="3"/>
        <v>10</v>
      </c>
      <c r="O24" s="138">
        <f t="shared" si="3"/>
        <v>5</v>
      </c>
      <c r="P24" s="138">
        <f t="shared" si="3"/>
        <v>3</v>
      </c>
      <c r="Q24" s="138">
        <f t="shared" si="3"/>
        <v>16</v>
      </c>
      <c r="R24" s="138">
        <f t="shared" si="3"/>
        <v>8</v>
      </c>
      <c r="S24" s="138">
        <f t="shared" si="3"/>
        <v>18</v>
      </c>
      <c r="T24" s="138">
        <f t="shared" si="3"/>
        <v>14</v>
      </c>
      <c r="U24" s="138">
        <f t="shared" si="3"/>
        <v>7</v>
      </c>
      <c r="V24" s="138">
        <f t="shared" si="3"/>
        <v>2</v>
      </c>
      <c r="W24" s="138">
        <f t="shared" si="3"/>
        <v>5</v>
      </c>
      <c r="X24" s="138">
        <f t="shared" si="3"/>
        <v>10</v>
      </c>
      <c r="Y24" s="138">
        <f t="shared" si="3"/>
        <v>11</v>
      </c>
      <c r="Z24" s="138">
        <f t="shared" si="3"/>
        <v>7</v>
      </c>
      <c r="AA24" s="138">
        <f t="shared" si="3"/>
        <v>10</v>
      </c>
      <c r="AB24" s="138">
        <f t="shared" si="3"/>
        <v>4</v>
      </c>
      <c r="AC24" s="138">
        <f t="shared" si="3"/>
        <v>4</v>
      </c>
      <c r="AD24" s="138">
        <f t="shared" si="3"/>
        <v>2</v>
      </c>
      <c r="AE24" s="138">
        <f t="shared" si="3"/>
        <v>16</v>
      </c>
      <c r="AF24" s="139">
        <f>SUM(B24:AE24)</f>
        <v>266</v>
      </c>
    </row>
    <row r="25" spans="1:32" x14ac:dyDescent="0.3">
      <c r="A25" s="133"/>
    </row>
    <row r="26" spans="1:32" x14ac:dyDescent="0.3">
      <c r="A26" s="133"/>
    </row>
    <row r="27" spans="1:32" x14ac:dyDescent="0.3">
      <c r="E27" s="33">
        <f>SUM(B6:AD6)</f>
        <v>250</v>
      </c>
    </row>
    <row r="28" spans="1:32" x14ac:dyDescent="0.3">
      <c r="W28" s="33" t="s">
        <v>206</v>
      </c>
    </row>
  </sheetData>
  <conditionalFormatting sqref="A16">
    <cfRule type="iconSet" priority="6">
      <iconSet iconSet="3TrafficLights2" showValue="0">
        <cfvo type="percent" val="0"/>
        <cfvo type="num" val="5"/>
        <cfvo type="num" val="10"/>
      </iconSet>
    </cfRule>
  </conditionalFormatting>
  <conditionalFormatting sqref="A16:XFD16">
    <cfRule type="iconSet" priority="4">
      <iconSet iconSet="3TrafficLights2" showValue="0">
        <cfvo type="percent" val="0"/>
        <cfvo type="num" val="5"/>
        <cfvo type="num" val="10"/>
      </iconSet>
    </cfRule>
    <cfRule type="iconSet" priority="5">
      <iconSet iconSet="3TrafficLights2" showValue="0">
        <cfvo type="percent" val="0"/>
        <cfvo type="num" val="5"/>
        <cfvo type="num" val="10"/>
      </iconSet>
    </cfRule>
  </conditionalFormatting>
  <conditionalFormatting sqref="AF16">
    <cfRule type="iconSet" priority="3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6F76-3E24-4D7E-9F2B-0E7DD817F756}">
  <dimension ref="A1:AG24"/>
  <sheetViews>
    <sheetView topLeftCell="X1" workbookViewId="0"/>
  </sheetViews>
  <sheetFormatPr baseColWidth="10" defaultColWidth="11.44140625" defaultRowHeight="14.4" x14ac:dyDescent="0.3"/>
  <cols>
    <col min="1" max="1" width="31.5546875" customWidth="1"/>
  </cols>
  <sheetData>
    <row r="1" spans="1:33" ht="15" thickBot="1" x14ac:dyDescent="0.35">
      <c r="A1" s="44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3" ht="15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ht="28.8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209</v>
      </c>
    </row>
    <row r="4" spans="1:33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26" t="s">
        <v>15</v>
      </c>
      <c r="AG5" s="140"/>
    </row>
    <row r="6" spans="1:33" x14ac:dyDescent="0.3">
      <c r="A6" s="40" t="s">
        <v>195</v>
      </c>
      <c r="B6" s="126">
        <v>8</v>
      </c>
      <c r="C6" s="126">
        <v>15</v>
      </c>
      <c r="D6" s="126">
        <v>4</v>
      </c>
      <c r="E6" s="126">
        <v>4</v>
      </c>
      <c r="F6" s="126">
        <v>2</v>
      </c>
      <c r="G6" s="126">
        <v>1</v>
      </c>
      <c r="H6" s="126">
        <v>6</v>
      </c>
      <c r="I6" s="126">
        <v>7</v>
      </c>
      <c r="J6" s="126">
        <v>9</v>
      </c>
      <c r="K6" s="126">
        <v>5</v>
      </c>
      <c r="L6" s="126">
        <v>5</v>
      </c>
      <c r="M6" s="126">
        <v>3</v>
      </c>
      <c r="N6" s="126">
        <v>2</v>
      </c>
      <c r="O6" s="126">
        <v>9</v>
      </c>
      <c r="P6" s="126">
        <v>12</v>
      </c>
      <c r="Q6" s="126">
        <v>5</v>
      </c>
      <c r="R6" s="126">
        <v>3</v>
      </c>
      <c r="S6" s="126">
        <v>5</v>
      </c>
      <c r="T6" s="126">
        <v>0</v>
      </c>
      <c r="U6" s="126">
        <v>3</v>
      </c>
      <c r="V6" s="126">
        <v>6</v>
      </c>
      <c r="W6" s="126">
        <v>6</v>
      </c>
      <c r="X6" s="126">
        <v>9</v>
      </c>
      <c r="Y6" s="126">
        <v>7</v>
      </c>
      <c r="Z6" s="126">
        <v>13</v>
      </c>
      <c r="AA6" s="126">
        <v>3</v>
      </c>
      <c r="AB6" s="126">
        <v>2</v>
      </c>
      <c r="AC6" s="126">
        <v>5</v>
      </c>
      <c r="AD6" s="126">
        <v>14</v>
      </c>
      <c r="AE6" s="126">
        <v>4</v>
      </c>
      <c r="AF6" s="126">
        <v>7</v>
      </c>
      <c r="AG6" s="140">
        <f>SUM(B6:AF6)</f>
        <v>184</v>
      </c>
    </row>
    <row r="7" spans="1:33" x14ac:dyDescent="0.3">
      <c r="A7" s="39" t="s">
        <v>34</v>
      </c>
      <c r="B7" s="127">
        <v>0.375</v>
      </c>
      <c r="C7" s="129">
        <v>0.66666666666666663</v>
      </c>
      <c r="D7" s="129">
        <v>0.5</v>
      </c>
      <c r="E7" s="129">
        <v>0.25</v>
      </c>
      <c r="F7" s="129">
        <v>1</v>
      </c>
      <c r="G7" s="129">
        <v>0</v>
      </c>
      <c r="H7" s="129">
        <v>0.66666666666666663</v>
      </c>
      <c r="I7" s="129">
        <v>0.5714285714285714</v>
      </c>
      <c r="J7" s="129">
        <v>0.55555555555555558</v>
      </c>
      <c r="K7" s="127">
        <v>0.4</v>
      </c>
      <c r="L7" s="129">
        <v>0.4</v>
      </c>
      <c r="M7" s="129">
        <v>0.66666666666666663</v>
      </c>
      <c r="N7" s="129">
        <v>0.5</v>
      </c>
      <c r="O7" s="129">
        <v>0.55555555555555558</v>
      </c>
      <c r="P7" s="129">
        <v>0.16666666666666666</v>
      </c>
      <c r="Q7" s="129">
        <v>0.6</v>
      </c>
      <c r="R7" s="129">
        <v>0.33333333333333331</v>
      </c>
      <c r="S7" s="129">
        <v>0.6</v>
      </c>
      <c r="T7" s="129">
        <v>0</v>
      </c>
      <c r="U7" s="129">
        <v>0</v>
      </c>
      <c r="V7" s="129">
        <v>0.5</v>
      </c>
      <c r="W7" s="129">
        <v>0.33333333333333331</v>
      </c>
      <c r="X7" s="129">
        <v>0.1111111111111111</v>
      </c>
      <c r="Y7" s="129">
        <v>0.42857142857142855</v>
      </c>
      <c r="Z7" s="129">
        <v>0.30769230769230771</v>
      </c>
      <c r="AA7" s="129">
        <v>0</v>
      </c>
      <c r="AB7" s="129">
        <v>0</v>
      </c>
      <c r="AC7" s="129">
        <v>0.4</v>
      </c>
      <c r="AD7" s="129">
        <v>0.14280000000000001</v>
      </c>
      <c r="AE7" s="129">
        <v>0</v>
      </c>
      <c r="AF7" s="129">
        <v>0.5714285714285714</v>
      </c>
      <c r="AG7" s="142">
        <f>AG21/AG24</f>
        <v>0.39673478260869566</v>
      </c>
    </row>
    <row r="8" spans="1:33" x14ac:dyDescent="0.3">
      <c r="A8" s="39" t="s">
        <v>169</v>
      </c>
      <c r="B8" s="128">
        <v>1</v>
      </c>
      <c r="C8" s="129">
        <v>1</v>
      </c>
      <c r="D8" s="129">
        <v>1</v>
      </c>
      <c r="E8" s="129">
        <v>1</v>
      </c>
      <c r="F8" s="129">
        <v>1</v>
      </c>
      <c r="G8" s="129">
        <v>1</v>
      </c>
      <c r="H8" s="129">
        <v>1</v>
      </c>
      <c r="I8" s="129">
        <v>1</v>
      </c>
      <c r="J8" s="129">
        <v>1</v>
      </c>
      <c r="K8" s="128">
        <v>1</v>
      </c>
      <c r="L8" s="129">
        <v>1</v>
      </c>
      <c r="M8" s="129">
        <v>1</v>
      </c>
      <c r="N8" s="129">
        <v>1</v>
      </c>
      <c r="O8" s="129">
        <v>1</v>
      </c>
      <c r="P8" s="129">
        <v>1</v>
      </c>
      <c r="Q8" s="129">
        <v>1</v>
      </c>
      <c r="R8" s="129">
        <v>1</v>
      </c>
      <c r="S8" s="129">
        <v>1</v>
      </c>
      <c r="T8" s="129">
        <v>0</v>
      </c>
      <c r="U8" s="129">
        <v>1</v>
      </c>
      <c r="V8" s="129">
        <v>1</v>
      </c>
      <c r="W8" s="129">
        <v>1</v>
      </c>
      <c r="X8" s="129">
        <v>1</v>
      </c>
      <c r="Y8" s="129">
        <v>1</v>
      </c>
      <c r="Z8" s="129">
        <v>1</v>
      </c>
      <c r="AA8" s="129">
        <v>1</v>
      </c>
      <c r="AB8" s="129">
        <v>1</v>
      </c>
      <c r="AC8" s="129">
        <v>1</v>
      </c>
      <c r="AD8" s="129">
        <v>1</v>
      </c>
      <c r="AE8" s="129">
        <v>1</v>
      </c>
      <c r="AF8" s="129">
        <v>0.8571428571428571</v>
      </c>
      <c r="AG8" s="142">
        <f>(AG21+AG22)/AG24</f>
        <v>0.99456521739130432</v>
      </c>
    </row>
    <row r="9" spans="1:33" x14ac:dyDescent="0.3">
      <c r="A9" s="39" t="s">
        <v>196</v>
      </c>
      <c r="B9" s="126">
        <v>57</v>
      </c>
      <c r="C9" s="126">
        <v>70</v>
      </c>
      <c r="D9" s="126">
        <v>57</v>
      </c>
      <c r="E9" s="126">
        <v>32</v>
      </c>
      <c r="F9" s="126">
        <v>19</v>
      </c>
      <c r="G9" s="126">
        <v>16</v>
      </c>
      <c r="H9" s="126">
        <v>27</v>
      </c>
      <c r="I9" s="126">
        <v>31</v>
      </c>
      <c r="J9" s="126">
        <v>43</v>
      </c>
      <c r="K9" s="126">
        <v>35</v>
      </c>
      <c r="L9" s="126">
        <v>30</v>
      </c>
      <c r="M9" s="126">
        <v>17</v>
      </c>
      <c r="N9" s="126">
        <v>13</v>
      </c>
      <c r="O9" s="126">
        <v>36</v>
      </c>
      <c r="P9" s="126">
        <v>45</v>
      </c>
      <c r="Q9" s="126">
        <v>47</v>
      </c>
      <c r="R9" s="126">
        <v>20</v>
      </c>
      <c r="S9" s="126">
        <v>31</v>
      </c>
      <c r="T9" s="126">
        <v>20</v>
      </c>
      <c r="U9" s="126">
        <v>23</v>
      </c>
      <c r="V9" s="126">
        <v>27</v>
      </c>
      <c r="W9" s="126">
        <v>37</v>
      </c>
      <c r="X9" s="126">
        <v>51</v>
      </c>
      <c r="Y9" s="126">
        <v>48</v>
      </c>
      <c r="Z9" s="126">
        <v>57</v>
      </c>
      <c r="AA9" s="126">
        <v>47</v>
      </c>
      <c r="AB9" s="126">
        <v>12</v>
      </c>
      <c r="AC9" s="126">
        <v>21</v>
      </c>
      <c r="AD9" s="126">
        <v>55</v>
      </c>
      <c r="AE9" s="126">
        <v>51</v>
      </c>
      <c r="AF9" s="126">
        <v>35</v>
      </c>
      <c r="AG9" s="139">
        <f>SUM(B9:AF9)</f>
        <v>1110</v>
      </c>
    </row>
    <row r="10" spans="1:33" x14ac:dyDescent="0.3">
      <c r="A10" s="39" t="s">
        <v>197</v>
      </c>
      <c r="B10" s="126">
        <v>1</v>
      </c>
      <c r="C10" s="126">
        <v>1</v>
      </c>
      <c r="D10" s="126">
        <v>2</v>
      </c>
      <c r="E10" s="126">
        <v>2</v>
      </c>
      <c r="F10" s="126">
        <v>0</v>
      </c>
      <c r="G10" s="126">
        <v>0</v>
      </c>
      <c r="H10" s="126">
        <v>0</v>
      </c>
      <c r="I10" s="126">
        <v>0</v>
      </c>
      <c r="J10" s="126">
        <v>1</v>
      </c>
      <c r="K10" s="126">
        <v>1</v>
      </c>
      <c r="L10" s="126">
        <v>0</v>
      </c>
      <c r="M10" s="126">
        <v>0</v>
      </c>
      <c r="N10" s="126">
        <v>1</v>
      </c>
      <c r="O10" s="126">
        <v>0</v>
      </c>
      <c r="P10" s="126">
        <v>2</v>
      </c>
      <c r="Q10" s="126">
        <v>1</v>
      </c>
      <c r="R10" s="126">
        <v>0</v>
      </c>
      <c r="S10" s="126">
        <v>1</v>
      </c>
      <c r="T10" s="126">
        <v>0</v>
      </c>
      <c r="U10" s="126">
        <v>3</v>
      </c>
      <c r="V10" s="126">
        <v>0</v>
      </c>
      <c r="W10" s="126">
        <v>1</v>
      </c>
      <c r="X10" s="126">
        <v>1</v>
      </c>
      <c r="Y10" s="126">
        <v>0</v>
      </c>
      <c r="Z10" s="126">
        <v>0</v>
      </c>
      <c r="AA10" s="126">
        <v>0</v>
      </c>
      <c r="AB10" s="126">
        <v>0</v>
      </c>
      <c r="AC10" s="126">
        <v>1</v>
      </c>
      <c r="AD10" s="126">
        <v>4</v>
      </c>
      <c r="AE10" s="126">
        <v>0</v>
      </c>
      <c r="AF10" s="126">
        <v>1</v>
      </c>
      <c r="AG10" s="139">
        <f>SUM(B10:AF10)</f>
        <v>24</v>
      </c>
    </row>
    <row r="11" spans="1:33" x14ac:dyDescent="0.3">
      <c r="A11" s="39" t="s">
        <v>198</v>
      </c>
      <c r="B11" s="128">
        <v>0.98245614035087714</v>
      </c>
      <c r="C11" s="130">
        <v>0.98571428571428577</v>
      </c>
      <c r="D11" s="130">
        <v>0.96491228070175439</v>
      </c>
      <c r="E11" s="130">
        <v>0.9375</v>
      </c>
      <c r="F11" s="130">
        <v>1</v>
      </c>
      <c r="G11" s="130">
        <v>1</v>
      </c>
      <c r="H11" s="130">
        <v>1</v>
      </c>
      <c r="I11" s="130">
        <v>1</v>
      </c>
      <c r="J11" s="130">
        <v>0.97674418604651159</v>
      </c>
      <c r="K11" s="128">
        <v>0.97142857142857142</v>
      </c>
      <c r="L11" s="130">
        <v>1</v>
      </c>
      <c r="M11" s="130">
        <v>1</v>
      </c>
      <c r="N11" s="130">
        <v>0.92307692307692313</v>
      </c>
      <c r="O11" s="130">
        <v>1</v>
      </c>
      <c r="P11" s="130">
        <v>0.9555555555555556</v>
      </c>
      <c r="Q11" s="130">
        <v>0.97872340425531912</v>
      </c>
      <c r="R11" s="130">
        <v>1</v>
      </c>
      <c r="S11" s="130">
        <v>0.967741935483871</v>
      </c>
      <c r="T11" s="130">
        <v>1</v>
      </c>
      <c r="U11" s="130">
        <v>0.86956521739130432</v>
      </c>
      <c r="V11" s="130">
        <v>1</v>
      </c>
      <c r="W11" s="130">
        <v>0.97297297297297303</v>
      </c>
      <c r="X11" s="130">
        <v>0.98039215686274506</v>
      </c>
      <c r="Y11" s="130">
        <v>1</v>
      </c>
      <c r="Z11" s="130">
        <v>1</v>
      </c>
      <c r="AA11" s="130">
        <v>1</v>
      </c>
      <c r="AB11" s="130">
        <v>1</v>
      </c>
      <c r="AC11" s="130">
        <v>0.95238095238095233</v>
      </c>
      <c r="AD11" s="130">
        <v>0.92727272727272725</v>
      </c>
      <c r="AE11" s="130">
        <v>1</v>
      </c>
      <c r="AF11" s="130">
        <v>0.97142857142857142</v>
      </c>
      <c r="AG11" s="142">
        <f>1-(AG10/AG9)</f>
        <v>0.97837837837837838</v>
      </c>
    </row>
    <row r="12" spans="1:33" x14ac:dyDescent="0.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x14ac:dyDescent="0.3">
      <c r="A13" s="39" t="s">
        <v>148</v>
      </c>
      <c r="B13" s="126">
        <v>1</v>
      </c>
      <c r="C13" s="126">
        <v>1</v>
      </c>
      <c r="D13" s="126">
        <v>2</v>
      </c>
      <c r="E13" s="126">
        <v>2</v>
      </c>
      <c r="F13" s="126">
        <v>0</v>
      </c>
      <c r="G13" s="126">
        <v>0</v>
      </c>
      <c r="H13" s="126">
        <v>0</v>
      </c>
      <c r="I13" s="126">
        <v>0</v>
      </c>
      <c r="J13" s="126">
        <v>1</v>
      </c>
      <c r="K13" s="126">
        <v>1</v>
      </c>
      <c r="L13" s="126">
        <v>0</v>
      </c>
      <c r="M13" s="126">
        <v>0</v>
      </c>
      <c r="N13" s="126">
        <v>1</v>
      </c>
      <c r="O13" s="126">
        <v>0</v>
      </c>
      <c r="P13" s="126">
        <v>2</v>
      </c>
      <c r="Q13" s="126">
        <v>1</v>
      </c>
      <c r="R13" s="126">
        <v>0</v>
      </c>
      <c r="S13" s="126">
        <v>1</v>
      </c>
      <c r="T13" s="126">
        <v>0</v>
      </c>
      <c r="U13" s="126">
        <v>3</v>
      </c>
      <c r="V13" s="126">
        <v>0</v>
      </c>
      <c r="W13" s="126">
        <v>1</v>
      </c>
      <c r="X13" s="126">
        <v>1</v>
      </c>
      <c r="Y13" s="126">
        <v>0</v>
      </c>
      <c r="Z13" s="126">
        <v>0</v>
      </c>
      <c r="AA13" s="126">
        <v>0</v>
      </c>
      <c r="AB13" s="126">
        <v>0</v>
      </c>
      <c r="AC13" s="126">
        <v>1</v>
      </c>
      <c r="AD13" s="126">
        <v>4</v>
      </c>
      <c r="AE13" s="126">
        <v>0</v>
      </c>
      <c r="AF13" s="126">
        <v>1</v>
      </c>
      <c r="AG13" s="140">
        <f>SUM(B13:AF13)</f>
        <v>24</v>
      </c>
    </row>
    <row r="14" spans="1:33" x14ac:dyDescent="0.3">
      <c r="A14" s="150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x14ac:dyDescent="0.3">
      <c r="A16" s="144" t="s">
        <v>173</v>
      </c>
      <c r="B16" s="35">
        <v>10</v>
      </c>
      <c r="C16" s="35">
        <v>10</v>
      </c>
      <c r="D16" s="35">
        <v>10</v>
      </c>
      <c r="E16" s="35">
        <v>10</v>
      </c>
      <c r="F16" s="35">
        <v>10</v>
      </c>
      <c r="G16" s="35">
        <v>10</v>
      </c>
      <c r="H16" s="35">
        <v>10</v>
      </c>
      <c r="I16" s="35">
        <v>10</v>
      </c>
      <c r="J16" s="35">
        <v>10</v>
      </c>
      <c r="K16" s="35">
        <v>10</v>
      </c>
      <c r="L16" s="35">
        <v>10</v>
      </c>
      <c r="M16" s="35">
        <v>10</v>
      </c>
      <c r="N16" s="35">
        <v>10</v>
      </c>
      <c r="O16" s="35">
        <v>10</v>
      </c>
      <c r="P16" s="35">
        <v>10</v>
      </c>
      <c r="Q16" s="35">
        <v>10</v>
      </c>
      <c r="R16" s="35">
        <v>10</v>
      </c>
      <c r="S16" s="35">
        <v>10</v>
      </c>
      <c r="T16" s="35">
        <v>10</v>
      </c>
      <c r="U16" s="35">
        <v>10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10</v>
      </c>
      <c r="AB16" s="35">
        <v>10</v>
      </c>
      <c r="AC16" s="35">
        <v>10</v>
      </c>
      <c r="AD16" s="35">
        <v>5</v>
      </c>
      <c r="AE16" s="35">
        <v>10</v>
      </c>
      <c r="AF16" s="35">
        <v>5</v>
      </c>
      <c r="AG16" s="35"/>
    </row>
    <row r="17" spans="1:33" ht="15" thickBot="1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  <c r="AG19" s="33"/>
    </row>
    <row r="20" spans="1:33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 x14ac:dyDescent="0.3">
      <c r="A21" s="132" t="s">
        <v>34</v>
      </c>
      <c r="B21" s="137">
        <f t="shared" ref="B21:AF21" si="0">B7*B6</f>
        <v>3</v>
      </c>
      <c r="C21" s="137">
        <f t="shared" si="0"/>
        <v>10</v>
      </c>
      <c r="D21" s="137">
        <f t="shared" si="0"/>
        <v>2</v>
      </c>
      <c r="E21" s="137">
        <f t="shared" si="0"/>
        <v>1</v>
      </c>
      <c r="F21" s="137">
        <f t="shared" si="0"/>
        <v>2</v>
      </c>
      <c r="G21" s="137">
        <f t="shared" si="0"/>
        <v>0</v>
      </c>
      <c r="H21" s="137">
        <f t="shared" si="0"/>
        <v>4</v>
      </c>
      <c r="I21" s="137">
        <f t="shared" si="0"/>
        <v>4</v>
      </c>
      <c r="J21" s="137">
        <f t="shared" si="0"/>
        <v>5</v>
      </c>
      <c r="K21" s="137">
        <f t="shared" si="0"/>
        <v>2</v>
      </c>
      <c r="L21" s="137">
        <f t="shared" si="0"/>
        <v>2</v>
      </c>
      <c r="M21" s="137">
        <f t="shared" si="0"/>
        <v>2</v>
      </c>
      <c r="N21" s="137">
        <f t="shared" si="0"/>
        <v>1</v>
      </c>
      <c r="O21" s="137">
        <f t="shared" si="0"/>
        <v>5</v>
      </c>
      <c r="P21" s="137">
        <f t="shared" si="0"/>
        <v>2</v>
      </c>
      <c r="Q21" s="137">
        <f t="shared" si="0"/>
        <v>3</v>
      </c>
      <c r="R21" s="137">
        <f t="shared" si="0"/>
        <v>1</v>
      </c>
      <c r="S21" s="137">
        <f t="shared" si="0"/>
        <v>3</v>
      </c>
      <c r="T21" s="137">
        <f t="shared" si="0"/>
        <v>0</v>
      </c>
      <c r="U21" s="137">
        <f t="shared" si="0"/>
        <v>0</v>
      </c>
      <c r="V21" s="137">
        <f t="shared" si="0"/>
        <v>3</v>
      </c>
      <c r="W21" s="137">
        <f t="shared" si="0"/>
        <v>2</v>
      </c>
      <c r="X21" s="137">
        <f t="shared" si="0"/>
        <v>1</v>
      </c>
      <c r="Y21" s="137">
        <f t="shared" si="0"/>
        <v>3</v>
      </c>
      <c r="Z21" s="137">
        <f t="shared" si="0"/>
        <v>4</v>
      </c>
      <c r="AA21" s="137">
        <f t="shared" si="0"/>
        <v>0</v>
      </c>
      <c r="AB21" s="137">
        <f t="shared" si="0"/>
        <v>0</v>
      </c>
      <c r="AC21" s="137">
        <f t="shared" si="0"/>
        <v>2</v>
      </c>
      <c r="AD21" s="137">
        <f t="shared" si="0"/>
        <v>1.9992000000000001</v>
      </c>
      <c r="AE21" s="137">
        <f t="shared" si="0"/>
        <v>0</v>
      </c>
      <c r="AF21" s="137">
        <f t="shared" si="0"/>
        <v>4</v>
      </c>
      <c r="AG21" s="139">
        <f>SUM(B21:AF21)</f>
        <v>72.999200000000002</v>
      </c>
    </row>
    <row r="22" spans="1:33" x14ac:dyDescent="0.3">
      <c r="A22" s="132" t="s">
        <v>169</v>
      </c>
      <c r="B22" s="126">
        <f t="shared" ref="B22:AF22" si="1">(B8*B6)-B21</f>
        <v>5</v>
      </c>
      <c r="C22" s="126">
        <f t="shared" si="1"/>
        <v>5</v>
      </c>
      <c r="D22" s="126">
        <f t="shared" si="1"/>
        <v>2</v>
      </c>
      <c r="E22" s="126">
        <f t="shared" si="1"/>
        <v>3</v>
      </c>
      <c r="F22" s="126">
        <f t="shared" si="1"/>
        <v>0</v>
      </c>
      <c r="G22" s="126">
        <f t="shared" si="1"/>
        <v>1</v>
      </c>
      <c r="H22" s="126">
        <f t="shared" si="1"/>
        <v>2</v>
      </c>
      <c r="I22" s="126">
        <f t="shared" si="1"/>
        <v>3</v>
      </c>
      <c r="J22" s="126">
        <f t="shared" si="1"/>
        <v>4</v>
      </c>
      <c r="K22" s="126">
        <f t="shared" si="1"/>
        <v>3</v>
      </c>
      <c r="L22" s="126">
        <f t="shared" si="1"/>
        <v>3</v>
      </c>
      <c r="M22" s="126">
        <f t="shared" si="1"/>
        <v>1</v>
      </c>
      <c r="N22" s="126">
        <f t="shared" si="1"/>
        <v>1</v>
      </c>
      <c r="O22" s="126">
        <f t="shared" si="1"/>
        <v>4</v>
      </c>
      <c r="P22" s="126">
        <f t="shared" si="1"/>
        <v>10</v>
      </c>
      <c r="Q22" s="126">
        <f t="shared" si="1"/>
        <v>2</v>
      </c>
      <c r="R22" s="126">
        <f t="shared" si="1"/>
        <v>2</v>
      </c>
      <c r="S22" s="126">
        <f t="shared" si="1"/>
        <v>2</v>
      </c>
      <c r="T22" s="126">
        <f t="shared" si="1"/>
        <v>0</v>
      </c>
      <c r="U22" s="126">
        <f t="shared" si="1"/>
        <v>3</v>
      </c>
      <c r="V22" s="126">
        <f t="shared" si="1"/>
        <v>3</v>
      </c>
      <c r="W22" s="126">
        <f t="shared" si="1"/>
        <v>4</v>
      </c>
      <c r="X22" s="126">
        <f t="shared" si="1"/>
        <v>8</v>
      </c>
      <c r="Y22" s="126">
        <f t="shared" si="1"/>
        <v>4</v>
      </c>
      <c r="Z22" s="126">
        <f t="shared" si="1"/>
        <v>9</v>
      </c>
      <c r="AA22" s="126">
        <f t="shared" si="1"/>
        <v>3</v>
      </c>
      <c r="AB22" s="126">
        <f t="shared" si="1"/>
        <v>2</v>
      </c>
      <c r="AC22" s="126">
        <f t="shared" si="1"/>
        <v>3</v>
      </c>
      <c r="AD22" s="137">
        <f t="shared" si="1"/>
        <v>12.0008</v>
      </c>
      <c r="AE22" s="126">
        <f t="shared" si="1"/>
        <v>4</v>
      </c>
      <c r="AF22" s="126">
        <f t="shared" si="1"/>
        <v>2</v>
      </c>
      <c r="AG22" s="139">
        <f>SUM(B22:AF22)</f>
        <v>110.0008</v>
      </c>
    </row>
    <row r="23" spans="1:33" x14ac:dyDescent="0.3">
      <c r="A23" s="132" t="s">
        <v>202</v>
      </c>
      <c r="B23" s="137">
        <f t="shared" ref="B23:AF23" si="2">B6-(B22+B21)</f>
        <v>0</v>
      </c>
      <c r="C23" s="137">
        <f t="shared" si="2"/>
        <v>0</v>
      </c>
      <c r="D23" s="137">
        <f t="shared" si="2"/>
        <v>0</v>
      </c>
      <c r="E23" s="137">
        <f t="shared" si="2"/>
        <v>0</v>
      </c>
      <c r="F23" s="137">
        <f t="shared" si="2"/>
        <v>0</v>
      </c>
      <c r="G23" s="137">
        <f t="shared" si="2"/>
        <v>0</v>
      </c>
      <c r="H23" s="137">
        <f t="shared" si="2"/>
        <v>0</v>
      </c>
      <c r="I23" s="137">
        <f t="shared" si="2"/>
        <v>0</v>
      </c>
      <c r="J23" s="137">
        <f t="shared" si="2"/>
        <v>0</v>
      </c>
      <c r="K23" s="137">
        <f t="shared" si="2"/>
        <v>0</v>
      </c>
      <c r="L23" s="137">
        <f t="shared" si="2"/>
        <v>0</v>
      </c>
      <c r="M23" s="137">
        <f t="shared" si="2"/>
        <v>0</v>
      </c>
      <c r="N23" s="137">
        <f t="shared" si="2"/>
        <v>0</v>
      </c>
      <c r="O23" s="137">
        <f t="shared" si="2"/>
        <v>0</v>
      </c>
      <c r="P23" s="137">
        <f t="shared" si="2"/>
        <v>0</v>
      </c>
      <c r="Q23" s="137">
        <f t="shared" si="2"/>
        <v>0</v>
      </c>
      <c r="R23" s="137">
        <f t="shared" si="2"/>
        <v>0</v>
      </c>
      <c r="S23" s="137">
        <f t="shared" si="2"/>
        <v>0</v>
      </c>
      <c r="T23" s="137">
        <f t="shared" si="2"/>
        <v>0</v>
      </c>
      <c r="U23" s="137">
        <f t="shared" si="2"/>
        <v>0</v>
      </c>
      <c r="V23" s="137">
        <f t="shared" si="2"/>
        <v>0</v>
      </c>
      <c r="W23" s="137">
        <f t="shared" si="2"/>
        <v>0</v>
      </c>
      <c r="X23" s="137">
        <f t="shared" si="2"/>
        <v>0</v>
      </c>
      <c r="Y23" s="137">
        <f t="shared" si="2"/>
        <v>0</v>
      </c>
      <c r="Z23" s="137">
        <f t="shared" si="2"/>
        <v>0</v>
      </c>
      <c r="AA23" s="137">
        <f t="shared" si="2"/>
        <v>0</v>
      </c>
      <c r="AB23" s="137">
        <f t="shared" si="2"/>
        <v>0</v>
      </c>
      <c r="AC23" s="137">
        <f t="shared" si="2"/>
        <v>0</v>
      </c>
      <c r="AD23" s="137">
        <f t="shared" si="2"/>
        <v>0</v>
      </c>
      <c r="AE23" s="137">
        <f t="shared" si="2"/>
        <v>0</v>
      </c>
      <c r="AF23" s="137">
        <f t="shared" si="2"/>
        <v>1</v>
      </c>
      <c r="AG23" s="139">
        <f>SUM(B23:AF23)</f>
        <v>1</v>
      </c>
    </row>
    <row r="24" spans="1:33" x14ac:dyDescent="0.3">
      <c r="A24" s="136"/>
      <c r="B24" s="138">
        <f t="shared" ref="B24:AF24" si="3">SUM(B21:B23)</f>
        <v>8</v>
      </c>
      <c r="C24" s="138">
        <f t="shared" si="3"/>
        <v>15</v>
      </c>
      <c r="D24" s="138">
        <f t="shared" si="3"/>
        <v>4</v>
      </c>
      <c r="E24" s="138">
        <f t="shared" si="3"/>
        <v>4</v>
      </c>
      <c r="F24" s="138">
        <f t="shared" si="3"/>
        <v>2</v>
      </c>
      <c r="G24" s="138">
        <f t="shared" si="3"/>
        <v>1</v>
      </c>
      <c r="H24" s="138">
        <f t="shared" si="3"/>
        <v>6</v>
      </c>
      <c r="I24" s="138">
        <f t="shared" si="3"/>
        <v>7</v>
      </c>
      <c r="J24" s="138">
        <f t="shared" si="3"/>
        <v>9</v>
      </c>
      <c r="K24" s="138">
        <f t="shared" si="3"/>
        <v>5</v>
      </c>
      <c r="L24" s="138">
        <f t="shared" si="3"/>
        <v>5</v>
      </c>
      <c r="M24" s="138">
        <f t="shared" si="3"/>
        <v>3</v>
      </c>
      <c r="N24" s="138">
        <f t="shared" si="3"/>
        <v>2</v>
      </c>
      <c r="O24" s="138">
        <f t="shared" si="3"/>
        <v>9</v>
      </c>
      <c r="P24" s="138">
        <f t="shared" si="3"/>
        <v>12</v>
      </c>
      <c r="Q24" s="138">
        <f t="shared" si="3"/>
        <v>5</v>
      </c>
      <c r="R24" s="138">
        <f t="shared" si="3"/>
        <v>3</v>
      </c>
      <c r="S24" s="138">
        <f t="shared" si="3"/>
        <v>5</v>
      </c>
      <c r="T24" s="138">
        <f t="shared" si="3"/>
        <v>0</v>
      </c>
      <c r="U24" s="138">
        <f t="shared" si="3"/>
        <v>3</v>
      </c>
      <c r="V24" s="138">
        <f t="shared" si="3"/>
        <v>6</v>
      </c>
      <c r="W24" s="138">
        <f t="shared" si="3"/>
        <v>6</v>
      </c>
      <c r="X24" s="138">
        <f t="shared" si="3"/>
        <v>9</v>
      </c>
      <c r="Y24" s="138">
        <f t="shared" si="3"/>
        <v>7</v>
      </c>
      <c r="Z24" s="138">
        <f t="shared" si="3"/>
        <v>13</v>
      </c>
      <c r="AA24" s="138">
        <f t="shared" si="3"/>
        <v>3</v>
      </c>
      <c r="AB24" s="138">
        <f t="shared" si="3"/>
        <v>2</v>
      </c>
      <c r="AC24" s="138">
        <f t="shared" si="3"/>
        <v>5</v>
      </c>
      <c r="AD24" s="138">
        <f t="shared" si="3"/>
        <v>14</v>
      </c>
      <c r="AE24" s="138">
        <f t="shared" si="3"/>
        <v>4</v>
      </c>
      <c r="AF24" s="138">
        <f t="shared" si="3"/>
        <v>7</v>
      </c>
      <c r="AG24" s="139">
        <f>SUM(B24:AF24)</f>
        <v>184</v>
      </c>
    </row>
  </sheetData>
  <conditionalFormatting sqref="A16">
    <cfRule type="iconSet" priority="8">
      <iconSet iconSet="3TrafficLights2" showValue="0">
        <cfvo type="percent" val="0"/>
        <cfvo type="num" val="5"/>
        <cfvo type="num" val="10"/>
      </iconSet>
    </cfRule>
  </conditionalFormatting>
  <conditionalFormatting sqref="AB16:AC16">
    <cfRule type="iconSet" priority="3">
      <iconSet iconSet="3TrafficLights2" showValue="0">
        <cfvo type="percent" val="0"/>
        <cfvo type="num" val="5"/>
        <cfvo type="num" val="10"/>
      </iconSet>
    </cfRule>
    <cfRule type="iconSet" priority="4">
      <iconSet iconSet="3TrafficLights2" showValue="0">
        <cfvo type="percent" val="0"/>
        <cfvo type="num" val="5"/>
        <cfvo type="num" val="10"/>
      </iconSet>
    </cfRule>
  </conditionalFormatting>
  <conditionalFormatting sqref="AD16 A16:AA16 AF16:AG16">
    <cfRule type="iconSet" priority="6">
      <iconSet iconSet="3TrafficLights2" showValue="0">
        <cfvo type="percent" val="0"/>
        <cfvo type="num" val="5"/>
        <cfvo type="num" val="10"/>
      </iconSet>
    </cfRule>
    <cfRule type="iconSet" priority="7">
      <iconSet iconSet="3TrafficLights2" showValue="0">
        <cfvo type="percent" val="0"/>
        <cfvo type="num" val="5"/>
        <cfvo type="num" val="10"/>
      </iconSet>
    </cfRule>
  </conditionalFormatting>
  <conditionalFormatting sqref="AE16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5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6055-75EA-46E8-AEF8-421601BF2AFF}">
  <dimension ref="A1:AG24"/>
  <sheetViews>
    <sheetView topLeftCell="T5" workbookViewId="0">
      <selection activeCell="N40" sqref="N40"/>
    </sheetView>
  </sheetViews>
  <sheetFormatPr baseColWidth="10" defaultColWidth="11.44140625" defaultRowHeight="14.4" x14ac:dyDescent="0.3"/>
  <cols>
    <col min="1" max="1" width="31.5546875" customWidth="1"/>
  </cols>
  <sheetData>
    <row r="1" spans="1:33" ht="15" thickBot="1" x14ac:dyDescent="0.35">
      <c r="A1" s="44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3" ht="15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ht="28.8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210</v>
      </c>
    </row>
    <row r="4" spans="1:33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45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211</v>
      </c>
      <c r="AF5" s="126" t="s">
        <v>15</v>
      </c>
      <c r="AG5" s="140"/>
    </row>
    <row r="6" spans="1:33" x14ac:dyDescent="0.3">
      <c r="A6" s="40" t="s">
        <v>195</v>
      </c>
      <c r="B6" s="126">
        <v>9</v>
      </c>
      <c r="C6" s="126">
        <v>1</v>
      </c>
      <c r="D6" s="126">
        <v>3</v>
      </c>
      <c r="E6" s="146">
        <v>7</v>
      </c>
      <c r="F6" s="126">
        <v>8</v>
      </c>
      <c r="G6" s="126">
        <v>4</v>
      </c>
      <c r="H6" s="126">
        <v>8</v>
      </c>
      <c r="I6" s="126">
        <v>11</v>
      </c>
      <c r="J6" s="126">
        <v>1</v>
      </c>
      <c r="K6" s="126">
        <v>0</v>
      </c>
      <c r="L6" s="126">
        <v>10</v>
      </c>
      <c r="M6" s="126">
        <v>8</v>
      </c>
      <c r="N6" s="126">
        <v>3</v>
      </c>
      <c r="O6" s="126">
        <v>6</v>
      </c>
      <c r="P6" s="126">
        <v>4</v>
      </c>
      <c r="Q6" s="126">
        <v>4</v>
      </c>
      <c r="R6" s="126">
        <v>1</v>
      </c>
      <c r="S6" s="126">
        <v>12</v>
      </c>
      <c r="T6" s="126">
        <v>7</v>
      </c>
      <c r="U6" s="126">
        <v>6</v>
      </c>
      <c r="V6" s="126">
        <v>5</v>
      </c>
      <c r="W6" s="126">
        <v>2</v>
      </c>
      <c r="X6" s="126">
        <v>8</v>
      </c>
      <c r="Y6" s="126">
        <v>4</v>
      </c>
      <c r="Z6" s="126">
        <v>7</v>
      </c>
      <c r="AA6" s="126">
        <v>9</v>
      </c>
      <c r="AB6" s="126">
        <v>8</v>
      </c>
      <c r="AC6" s="126">
        <v>9</v>
      </c>
      <c r="AD6" s="126">
        <v>8</v>
      </c>
      <c r="AE6" s="126">
        <v>4</v>
      </c>
      <c r="AF6" s="126">
        <v>2</v>
      </c>
      <c r="AG6" s="140">
        <f>SUM(B6:AF6)</f>
        <v>179</v>
      </c>
    </row>
    <row r="7" spans="1:33" x14ac:dyDescent="0.3">
      <c r="A7" s="39" t="s">
        <v>34</v>
      </c>
      <c r="B7" s="127">
        <v>0.33333333333333331</v>
      </c>
      <c r="C7" s="129">
        <v>0</v>
      </c>
      <c r="D7" s="129">
        <v>1</v>
      </c>
      <c r="E7" s="147">
        <v>0.56999999999999995</v>
      </c>
      <c r="F7" s="129">
        <v>0</v>
      </c>
      <c r="G7" s="129">
        <v>0.5</v>
      </c>
      <c r="H7" s="129">
        <v>0.25</v>
      </c>
      <c r="I7" s="129">
        <v>0.27272727272727271</v>
      </c>
      <c r="J7" s="129">
        <v>1</v>
      </c>
      <c r="K7" s="127">
        <v>0</v>
      </c>
      <c r="L7" s="129">
        <v>0.4</v>
      </c>
      <c r="M7" s="129">
        <v>0.5</v>
      </c>
      <c r="N7" s="129">
        <v>0.66666666666666663</v>
      </c>
      <c r="O7" s="127">
        <v>0.5</v>
      </c>
      <c r="P7" s="129">
        <v>0.25</v>
      </c>
      <c r="Q7" s="129">
        <v>0.75</v>
      </c>
      <c r="R7" s="129">
        <v>1</v>
      </c>
      <c r="S7" s="129">
        <v>0.41666666666666669</v>
      </c>
      <c r="T7" s="129">
        <v>0.14285714285714285</v>
      </c>
      <c r="U7" s="129">
        <v>0.16666666666666666</v>
      </c>
      <c r="V7" s="129">
        <v>0</v>
      </c>
      <c r="W7" s="129">
        <v>0.5</v>
      </c>
      <c r="X7" s="129">
        <v>0</v>
      </c>
      <c r="Y7" s="129">
        <v>0.5</v>
      </c>
      <c r="Z7" s="129">
        <v>0.42857142857142855</v>
      </c>
      <c r="AA7" s="129">
        <v>0.33333333333333331</v>
      </c>
      <c r="AB7" s="129">
        <v>0.38</v>
      </c>
      <c r="AC7" s="129">
        <v>0.44</v>
      </c>
      <c r="AD7" s="129">
        <v>0.375</v>
      </c>
      <c r="AE7" s="129">
        <v>0.25</v>
      </c>
      <c r="AF7" s="129">
        <v>0</v>
      </c>
      <c r="AG7" s="142">
        <f>AG21/AG24</f>
        <v>0.35189944134078216</v>
      </c>
    </row>
    <row r="8" spans="1:33" x14ac:dyDescent="0.3">
      <c r="A8" s="39" t="s">
        <v>169</v>
      </c>
      <c r="B8" s="128">
        <v>0.88888888888888884</v>
      </c>
      <c r="C8" s="129">
        <v>1</v>
      </c>
      <c r="D8" s="129">
        <v>1</v>
      </c>
      <c r="E8" s="148">
        <v>1</v>
      </c>
      <c r="F8" s="129">
        <v>0.875</v>
      </c>
      <c r="G8" s="129">
        <v>1</v>
      </c>
      <c r="H8" s="129">
        <v>1</v>
      </c>
      <c r="I8" s="129">
        <v>1</v>
      </c>
      <c r="J8" s="129">
        <v>1</v>
      </c>
      <c r="K8" s="128">
        <v>0</v>
      </c>
      <c r="L8" s="129">
        <v>1</v>
      </c>
      <c r="M8" s="129">
        <v>1</v>
      </c>
      <c r="N8" s="129">
        <v>1</v>
      </c>
      <c r="O8" s="128">
        <v>1</v>
      </c>
      <c r="P8" s="129">
        <v>1</v>
      </c>
      <c r="Q8" s="129">
        <v>1</v>
      </c>
      <c r="R8" s="129">
        <v>1</v>
      </c>
      <c r="S8" s="129">
        <v>0.91666666666666663</v>
      </c>
      <c r="T8" s="129">
        <v>0.7142857142857143</v>
      </c>
      <c r="U8" s="129">
        <v>0.83333333333333337</v>
      </c>
      <c r="V8" s="129">
        <v>0.8</v>
      </c>
      <c r="W8" s="129">
        <v>1</v>
      </c>
      <c r="X8" s="129">
        <v>0.625</v>
      </c>
      <c r="Y8" s="129">
        <v>1</v>
      </c>
      <c r="Z8" s="129">
        <v>1</v>
      </c>
      <c r="AA8" s="129">
        <v>1</v>
      </c>
      <c r="AB8" s="129">
        <v>0.875</v>
      </c>
      <c r="AC8" s="129">
        <v>1</v>
      </c>
      <c r="AD8" s="129">
        <v>1</v>
      </c>
      <c r="AE8" s="129">
        <v>1</v>
      </c>
      <c r="AF8" s="129">
        <v>1</v>
      </c>
      <c r="AG8" s="142">
        <f>(AG21+AG22)/AG24</f>
        <v>0.93854748603351956</v>
      </c>
    </row>
    <row r="9" spans="1:33" x14ac:dyDescent="0.3">
      <c r="A9" s="39" t="s">
        <v>196</v>
      </c>
      <c r="B9" s="126">
        <v>38</v>
      </c>
      <c r="C9" s="126">
        <v>22</v>
      </c>
      <c r="D9" s="126">
        <v>19</v>
      </c>
      <c r="E9" s="146">
        <v>27</v>
      </c>
      <c r="F9" s="126">
        <v>47</v>
      </c>
      <c r="G9" s="126">
        <v>57</v>
      </c>
      <c r="H9" s="126">
        <v>44</v>
      </c>
      <c r="I9" s="126">
        <v>59</v>
      </c>
      <c r="J9" s="126">
        <v>32</v>
      </c>
      <c r="K9" s="126">
        <v>11</v>
      </c>
      <c r="L9" s="126">
        <v>38</v>
      </c>
      <c r="M9" s="126">
        <v>61</v>
      </c>
      <c r="N9" s="126">
        <v>47</v>
      </c>
      <c r="O9" s="126">
        <v>49</v>
      </c>
      <c r="P9" s="126">
        <v>36</v>
      </c>
      <c r="Q9" s="126">
        <v>31</v>
      </c>
      <c r="R9" s="126">
        <v>17</v>
      </c>
      <c r="S9" s="126">
        <v>36</v>
      </c>
      <c r="T9" s="126">
        <v>56</v>
      </c>
      <c r="U9" s="126">
        <v>44</v>
      </c>
      <c r="V9" s="126">
        <v>41</v>
      </c>
      <c r="W9" s="126">
        <v>35</v>
      </c>
      <c r="X9" s="126">
        <v>40</v>
      </c>
      <c r="Y9" s="126">
        <v>35</v>
      </c>
      <c r="Z9" s="126">
        <v>35</v>
      </c>
      <c r="AA9" s="126">
        <v>48</v>
      </c>
      <c r="AB9" s="126">
        <v>57</v>
      </c>
      <c r="AC9" s="126">
        <v>67</v>
      </c>
      <c r="AD9" s="126">
        <v>51</v>
      </c>
      <c r="AE9" s="126">
        <v>30</v>
      </c>
      <c r="AF9" s="126">
        <v>26</v>
      </c>
      <c r="AG9" s="139">
        <f>SUM(B9:AF9)</f>
        <v>1236</v>
      </c>
    </row>
    <row r="10" spans="1:33" x14ac:dyDescent="0.3">
      <c r="A10" s="39" t="s">
        <v>197</v>
      </c>
      <c r="B10" s="126">
        <v>1</v>
      </c>
      <c r="C10" s="126">
        <v>0</v>
      </c>
      <c r="D10" s="126">
        <v>0</v>
      </c>
      <c r="E10" s="146">
        <v>0</v>
      </c>
      <c r="F10" s="126">
        <v>0</v>
      </c>
      <c r="G10" s="126">
        <v>4</v>
      </c>
      <c r="H10" s="126">
        <v>2</v>
      </c>
      <c r="I10" s="126">
        <v>2</v>
      </c>
      <c r="J10" s="126">
        <v>0</v>
      </c>
      <c r="K10" s="126">
        <v>0</v>
      </c>
      <c r="L10" s="126">
        <v>0</v>
      </c>
      <c r="M10" s="126">
        <v>2</v>
      </c>
      <c r="N10" s="126">
        <v>3</v>
      </c>
      <c r="O10" s="126">
        <v>5</v>
      </c>
      <c r="P10" s="126">
        <v>2</v>
      </c>
      <c r="Q10" s="126">
        <v>0</v>
      </c>
      <c r="R10" s="126">
        <v>0</v>
      </c>
      <c r="S10" s="126">
        <v>2</v>
      </c>
      <c r="T10" s="126">
        <v>4</v>
      </c>
      <c r="U10" s="126">
        <v>2</v>
      </c>
      <c r="V10" s="126">
        <v>1</v>
      </c>
      <c r="W10" s="126">
        <v>2</v>
      </c>
      <c r="X10" s="126">
        <v>3</v>
      </c>
      <c r="Y10" s="126">
        <v>1</v>
      </c>
      <c r="Z10" s="126">
        <v>0</v>
      </c>
      <c r="AA10" s="126">
        <v>3</v>
      </c>
      <c r="AB10" s="126">
        <v>5</v>
      </c>
      <c r="AC10" s="126">
        <v>1</v>
      </c>
      <c r="AD10" s="126">
        <v>1</v>
      </c>
      <c r="AE10" s="126">
        <v>2</v>
      </c>
      <c r="AF10" s="126">
        <v>2</v>
      </c>
      <c r="AG10" s="139">
        <f>SUM(B10:AF10)</f>
        <v>50</v>
      </c>
    </row>
    <row r="11" spans="1:33" x14ac:dyDescent="0.3">
      <c r="A11" s="39" t="s">
        <v>198</v>
      </c>
      <c r="B11" s="128">
        <v>0.97368421052631582</v>
      </c>
      <c r="C11" s="130">
        <v>1</v>
      </c>
      <c r="D11" s="130">
        <v>1</v>
      </c>
      <c r="E11" s="148">
        <v>1</v>
      </c>
      <c r="F11" s="130">
        <v>1</v>
      </c>
      <c r="G11" s="130">
        <v>0.92982456140350878</v>
      </c>
      <c r="H11" s="130">
        <v>0.95454545454545459</v>
      </c>
      <c r="I11" s="130">
        <v>0.96610169491525422</v>
      </c>
      <c r="J11" s="130">
        <v>1</v>
      </c>
      <c r="K11" s="128">
        <v>1</v>
      </c>
      <c r="L11" s="130">
        <v>1</v>
      </c>
      <c r="M11" s="130">
        <v>0.96721311475409832</v>
      </c>
      <c r="N11" s="130">
        <v>0.93617021276595747</v>
      </c>
      <c r="O11" s="128">
        <v>0.89795918367346939</v>
      </c>
      <c r="P11" s="130">
        <v>0.94444444444444442</v>
      </c>
      <c r="Q11" s="130">
        <v>1</v>
      </c>
      <c r="R11" s="130">
        <v>1</v>
      </c>
      <c r="S11" s="130">
        <v>0.94444444444444442</v>
      </c>
      <c r="T11" s="130">
        <v>0.9285714285714286</v>
      </c>
      <c r="U11" s="130">
        <v>0.95454545454545459</v>
      </c>
      <c r="V11" s="130">
        <v>0.97560975609756095</v>
      </c>
      <c r="W11" s="130">
        <v>0.94285714285714284</v>
      </c>
      <c r="X11" s="130">
        <v>0.92500000000000004</v>
      </c>
      <c r="Y11" s="130">
        <v>0.97142857142857142</v>
      </c>
      <c r="Z11" s="130">
        <v>1</v>
      </c>
      <c r="AA11" s="130">
        <v>0.9375</v>
      </c>
      <c r="AB11" s="130">
        <v>0.9123</v>
      </c>
      <c r="AC11" s="130">
        <v>0.98509999999999998</v>
      </c>
      <c r="AD11" s="130">
        <v>0.98039215686274506</v>
      </c>
      <c r="AE11" s="130">
        <v>0.93333333333333335</v>
      </c>
      <c r="AF11" s="130">
        <v>0.92307692307692313</v>
      </c>
      <c r="AG11" s="142">
        <f>1-(AG10/AG9)</f>
        <v>0.95954692556634302</v>
      </c>
    </row>
    <row r="12" spans="1:33" x14ac:dyDescent="0.3">
      <c r="A12" s="39" t="s">
        <v>199</v>
      </c>
      <c r="B12" s="126"/>
      <c r="C12" s="126"/>
      <c r="D12" s="126"/>
      <c r="E12" s="14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x14ac:dyDescent="0.3">
      <c r="A13" s="39" t="s">
        <v>148</v>
      </c>
      <c r="B13" s="126">
        <v>1</v>
      </c>
      <c r="C13" s="126">
        <v>0</v>
      </c>
      <c r="D13" s="126">
        <v>0</v>
      </c>
      <c r="E13" s="146">
        <v>0</v>
      </c>
      <c r="F13" s="126">
        <v>0</v>
      </c>
      <c r="G13" s="126">
        <v>4</v>
      </c>
      <c r="H13" s="126">
        <v>2</v>
      </c>
      <c r="I13" s="126">
        <v>2</v>
      </c>
      <c r="J13" s="126">
        <v>0</v>
      </c>
      <c r="K13" s="126">
        <v>0</v>
      </c>
      <c r="L13" s="126">
        <v>0</v>
      </c>
      <c r="M13" s="126">
        <v>2</v>
      </c>
      <c r="N13" s="126">
        <v>3</v>
      </c>
      <c r="O13" s="126">
        <v>5</v>
      </c>
      <c r="P13" s="126">
        <v>2</v>
      </c>
      <c r="Q13" s="126">
        <v>0</v>
      </c>
      <c r="R13" s="126">
        <v>0</v>
      </c>
      <c r="S13" s="126">
        <v>2</v>
      </c>
      <c r="T13" s="126">
        <v>4</v>
      </c>
      <c r="U13" s="126">
        <v>2</v>
      </c>
      <c r="V13" s="126">
        <v>1</v>
      </c>
      <c r="W13" s="126">
        <v>2</v>
      </c>
      <c r="X13" s="126">
        <v>3</v>
      </c>
      <c r="Y13" s="126">
        <v>1</v>
      </c>
      <c r="Z13" s="126">
        <v>0</v>
      </c>
      <c r="AA13" s="126">
        <v>3</v>
      </c>
      <c r="AB13" s="126">
        <v>5</v>
      </c>
      <c r="AC13" s="126">
        <v>1</v>
      </c>
      <c r="AD13" s="126">
        <v>1</v>
      </c>
      <c r="AE13" s="126">
        <v>2</v>
      </c>
      <c r="AF13" s="126">
        <v>2</v>
      </c>
      <c r="AG13" s="140">
        <f>SUM(B13:AF13)</f>
        <v>50</v>
      </c>
    </row>
    <row r="14" spans="1:33" x14ac:dyDescent="0.3">
      <c r="A14" s="150" t="s">
        <v>200</v>
      </c>
      <c r="B14" s="126"/>
      <c r="C14" s="126"/>
      <c r="D14" s="126"/>
      <c r="E14" s="14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4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x14ac:dyDescent="0.3">
      <c r="A16" s="144" t="s">
        <v>173</v>
      </c>
      <c r="B16" s="35">
        <v>5</v>
      </c>
      <c r="C16" s="35">
        <v>10</v>
      </c>
      <c r="D16" s="35">
        <v>10</v>
      </c>
      <c r="E16" s="35">
        <v>10</v>
      </c>
      <c r="F16" s="35">
        <v>5</v>
      </c>
      <c r="G16" s="35">
        <v>10</v>
      </c>
      <c r="H16" s="35">
        <v>10</v>
      </c>
      <c r="I16" s="35">
        <v>10</v>
      </c>
      <c r="J16" s="35">
        <v>10</v>
      </c>
      <c r="K16" s="35">
        <v>10</v>
      </c>
      <c r="L16" s="35">
        <v>10</v>
      </c>
      <c r="M16" s="35">
        <v>10</v>
      </c>
      <c r="N16" s="35">
        <v>10</v>
      </c>
      <c r="O16" s="35">
        <v>10</v>
      </c>
      <c r="P16" s="35">
        <v>10</v>
      </c>
      <c r="Q16" s="35">
        <v>10</v>
      </c>
      <c r="R16" s="35">
        <v>10</v>
      </c>
      <c r="S16" s="35">
        <v>5</v>
      </c>
      <c r="T16" s="35">
        <v>5</v>
      </c>
      <c r="U16" s="35">
        <v>5</v>
      </c>
      <c r="V16" s="35">
        <v>5</v>
      </c>
      <c r="W16" s="35">
        <v>10</v>
      </c>
      <c r="X16" s="35">
        <v>5</v>
      </c>
      <c r="Y16" s="35">
        <v>10</v>
      </c>
      <c r="Z16" s="35">
        <v>10</v>
      </c>
      <c r="AA16" s="35">
        <v>10</v>
      </c>
      <c r="AB16" s="35">
        <v>5</v>
      </c>
      <c r="AC16" s="35">
        <v>10</v>
      </c>
      <c r="AD16" s="35">
        <v>10</v>
      </c>
      <c r="AE16" s="35">
        <v>10</v>
      </c>
      <c r="AF16" s="35">
        <v>10</v>
      </c>
      <c r="AG16" s="35"/>
    </row>
    <row r="17" spans="1:33" ht="15" thickBot="1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  <c r="AG19" s="33"/>
    </row>
    <row r="20" spans="1:33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 x14ac:dyDescent="0.3">
      <c r="A21" s="132" t="s">
        <v>34</v>
      </c>
      <c r="B21" s="137">
        <f t="shared" ref="B21:AF21" si="0">B7*B6</f>
        <v>3</v>
      </c>
      <c r="C21" s="137">
        <f t="shared" si="0"/>
        <v>0</v>
      </c>
      <c r="D21" s="137">
        <f t="shared" si="0"/>
        <v>3</v>
      </c>
      <c r="E21" s="137">
        <f t="shared" si="0"/>
        <v>3.9899999999999998</v>
      </c>
      <c r="F21" s="137">
        <f t="shared" si="0"/>
        <v>0</v>
      </c>
      <c r="G21" s="137">
        <f t="shared" si="0"/>
        <v>2</v>
      </c>
      <c r="H21" s="137">
        <f t="shared" si="0"/>
        <v>2</v>
      </c>
      <c r="I21" s="137">
        <f t="shared" si="0"/>
        <v>3</v>
      </c>
      <c r="J21" s="137">
        <f t="shared" si="0"/>
        <v>1</v>
      </c>
      <c r="K21" s="137">
        <f t="shared" si="0"/>
        <v>0</v>
      </c>
      <c r="L21" s="137">
        <f t="shared" si="0"/>
        <v>4</v>
      </c>
      <c r="M21" s="137">
        <f t="shared" si="0"/>
        <v>4</v>
      </c>
      <c r="N21" s="137">
        <f t="shared" si="0"/>
        <v>2</v>
      </c>
      <c r="O21" s="137">
        <f t="shared" si="0"/>
        <v>3</v>
      </c>
      <c r="P21" s="137">
        <f>P7*P6</f>
        <v>1</v>
      </c>
      <c r="Q21" s="137">
        <f>Q7*Q6</f>
        <v>3</v>
      </c>
      <c r="R21" s="137">
        <f>R7*R6</f>
        <v>1</v>
      </c>
      <c r="S21" s="137">
        <f t="shared" si="0"/>
        <v>5</v>
      </c>
      <c r="T21" s="137">
        <f t="shared" si="0"/>
        <v>1</v>
      </c>
      <c r="U21" s="137">
        <f t="shared" si="0"/>
        <v>1</v>
      </c>
      <c r="V21" s="137">
        <f t="shared" si="0"/>
        <v>0</v>
      </c>
      <c r="W21" s="137">
        <f t="shared" si="0"/>
        <v>1</v>
      </c>
      <c r="X21" s="137">
        <f t="shared" si="0"/>
        <v>0</v>
      </c>
      <c r="Y21" s="137">
        <f t="shared" si="0"/>
        <v>2</v>
      </c>
      <c r="Z21" s="137">
        <f t="shared" si="0"/>
        <v>3</v>
      </c>
      <c r="AA21" s="137">
        <f t="shared" si="0"/>
        <v>3</v>
      </c>
      <c r="AB21" s="137">
        <f t="shared" si="0"/>
        <v>3.04</v>
      </c>
      <c r="AC21" s="137">
        <f t="shared" si="0"/>
        <v>3.96</v>
      </c>
      <c r="AD21" s="137">
        <f t="shared" si="0"/>
        <v>3</v>
      </c>
      <c r="AE21" s="137">
        <f t="shared" si="0"/>
        <v>1</v>
      </c>
      <c r="AF21" s="137">
        <f t="shared" si="0"/>
        <v>0</v>
      </c>
      <c r="AG21" s="139">
        <f>SUM(B21:AF21)</f>
        <v>62.99</v>
      </c>
    </row>
    <row r="22" spans="1:33" x14ac:dyDescent="0.3">
      <c r="A22" s="132" t="s">
        <v>169</v>
      </c>
      <c r="B22" s="126">
        <f t="shared" ref="B22:AF22" si="1">(B8*B6)-B21</f>
        <v>5</v>
      </c>
      <c r="C22" s="126">
        <f t="shared" si="1"/>
        <v>1</v>
      </c>
      <c r="D22" s="126">
        <f t="shared" si="1"/>
        <v>0</v>
      </c>
      <c r="E22" s="126">
        <f t="shared" si="1"/>
        <v>3.0100000000000002</v>
      </c>
      <c r="F22" s="126">
        <f t="shared" si="1"/>
        <v>7</v>
      </c>
      <c r="G22" s="126">
        <f t="shared" si="1"/>
        <v>2</v>
      </c>
      <c r="H22" s="126">
        <f t="shared" si="1"/>
        <v>6</v>
      </c>
      <c r="I22" s="126">
        <f t="shared" si="1"/>
        <v>8</v>
      </c>
      <c r="J22" s="126">
        <f t="shared" si="1"/>
        <v>0</v>
      </c>
      <c r="K22" s="126">
        <f t="shared" si="1"/>
        <v>0</v>
      </c>
      <c r="L22" s="126">
        <f t="shared" si="1"/>
        <v>6</v>
      </c>
      <c r="M22" s="126">
        <f t="shared" si="1"/>
        <v>4</v>
      </c>
      <c r="N22" s="126">
        <f t="shared" si="1"/>
        <v>1</v>
      </c>
      <c r="O22" s="126">
        <f t="shared" si="1"/>
        <v>3</v>
      </c>
      <c r="P22" s="126">
        <f>(P8*P6)-P21</f>
        <v>3</v>
      </c>
      <c r="Q22" s="126">
        <f>(Q8*Q6)-Q21</f>
        <v>1</v>
      </c>
      <c r="R22" s="126">
        <f>(R8*R6)-R21</f>
        <v>0</v>
      </c>
      <c r="S22" s="126">
        <f t="shared" si="1"/>
        <v>6</v>
      </c>
      <c r="T22" s="126">
        <f t="shared" si="1"/>
        <v>4</v>
      </c>
      <c r="U22" s="126">
        <f t="shared" si="1"/>
        <v>4</v>
      </c>
      <c r="V22" s="126">
        <f t="shared" si="1"/>
        <v>4</v>
      </c>
      <c r="W22" s="126">
        <f t="shared" si="1"/>
        <v>1</v>
      </c>
      <c r="X22" s="126">
        <f t="shared" si="1"/>
        <v>5</v>
      </c>
      <c r="Y22" s="126">
        <f t="shared" si="1"/>
        <v>2</v>
      </c>
      <c r="Z22" s="126">
        <f t="shared" si="1"/>
        <v>4</v>
      </c>
      <c r="AA22" s="126">
        <f t="shared" si="1"/>
        <v>6</v>
      </c>
      <c r="AB22" s="126">
        <f t="shared" si="1"/>
        <v>3.96</v>
      </c>
      <c r="AC22" s="126">
        <f t="shared" si="1"/>
        <v>5.04</v>
      </c>
      <c r="AD22" s="126">
        <f t="shared" si="1"/>
        <v>5</v>
      </c>
      <c r="AE22" s="126">
        <f t="shared" si="1"/>
        <v>3</v>
      </c>
      <c r="AF22" s="126">
        <f t="shared" si="1"/>
        <v>2</v>
      </c>
      <c r="AG22" s="139">
        <f>SUM(B22:AF22)</f>
        <v>105.00999999999999</v>
      </c>
    </row>
    <row r="23" spans="1:33" x14ac:dyDescent="0.3">
      <c r="A23" s="132" t="s">
        <v>202</v>
      </c>
      <c r="B23" s="137">
        <f t="shared" ref="B23:AF23" si="2">B6-(B22+B21)</f>
        <v>1</v>
      </c>
      <c r="C23" s="137">
        <f t="shared" si="2"/>
        <v>0</v>
      </c>
      <c r="D23" s="137">
        <f t="shared" si="2"/>
        <v>0</v>
      </c>
      <c r="E23" s="137">
        <f t="shared" si="2"/>
        <v>0</v>
      </c>
      <c r="F23" s="137">
        <f t="shared" si="2"/>
        <v>1</v>
      </c>
      <c r="G23" s="137">
        <f t="shared" si="2"/>
        <v>0</v>
      </c>
      <c r="H23" s="137">
        <f t="shared" si="2"/>
        <v>0</v>
      </c>
      <c r="I23" s="137">
        <f t="shared" si="2"/>
        <v>0</v>
      </c>
      <c r="J23" s="137">
        <f t="shared" si="2"/>
        <v>0</v>
      </c>
      <c r="K23" s="137">
        <f t="shared" si="2"/>
        <v>0</v>
      </c>
      <c r="L23" s="137">
        <f t="shared" si="2"/>
        <v>0</v>
      </c>
      <c r="M23" s="137">
        <f t="shared" si="2"/>
        <v>0</v>
      </c>
      <c r="N23" s="137">
        <f t="shared" si="2"/>
        <v>0</v>
      </c>
      <c r="O23" s="137">
        <f t="shared" si="2"/>
        <v>0</v>
      </c>
      <c r="P23" s="137">
        <f>P6-(P22+P21)</f>
        <v>0</v>
      </c>
      <c r="Q23" s="137">
        <f>Q6-(Q22+Q21)</f>
        <v>0</v>
      </c>
      <c r="R23" s="137">
        <f>R6-(R22+R21)</f>
        <v>0</v>
      </c>
      <c r="S23" s="137">
        <f t="shared" si="2"/>
        <v>1</v>
      </c>
      <c r="T23" s="137">
        <f t="shared" si="2"/>
        <v>2</v>
      </c>
      <c r="U23" s="137">
        <f t="shared" si="2"/>
        <v>1</v>
      </c>
      <c r="V23" s="137">
        <f t="shared" si="2"/>
        <v>1</v>
      </c>
      <c r="W23" s="137">
        <f t="shared" si="2"/>
        <v>0</v>
      </c>
      <c r="X23" s="137">
        <f t="shared" si="2"/>
        <v>3</v>
      </c>
      <c r="Y23" s="137">
        <f t="shared" si="2"/>
        <v>0</v>
      </c>
      <c r="Z23" s="137">
        <f t="shared" si="2"/>
        <v>0</v>
      </c>
      <c r="AA23" s="137">
        <f t="shared" si="2"/>
        <v>0</v>
      </c>
      <c r="AB23" s="137">
        <f t="shared" si="2"/>
        <v>1</v>
      </c>
      <c r="AC23" s="137">
        <f t="shared" si="2"/>
        <v>0</v>
      </c>
      <c r="AD23" s="137">
        <f t="shared" si="2"/>
        <v>0</v>
      </c>
      <c r="AE23" s="137">
        <f t="shared" si="2"/>
        <v>0</v>
      </c>
      <c r="AF23" s="137">
        <f t="shared" si="2"/>
        <v>0</v>
      </c>
      <c r="AG23" s="139">
        <f>SUM(B23:AF23)</f>
        <v>11</v>
      </c>
    </row>
    <row r="24" spans="1:33" x14ac:dyDescent="0.3">
      <c r="A24" s="136"/>
      <c r="B24" s="138">
        <f t="shared" ref="B24:AF24" si="3">SUM(B21:B23)</f>
        <v>9</v>
      </c>
      <c r="C24" s="138">
        <f t="shared" si="3"/>
        <v>1</v>
      </c>
      <c r="D24" s="138">
        <f t="shared" si="3"/>
        <v>3</v>
      </c>
      <c r="E24" s="138">
        <f t="shared" si="3"/>
        <v>7</v>
      </c>
      <c r="F24" s="138">
        <f t="shared" si="3"/>
        <v>8</v>
      </c>
      <c r="G24" s="138">
        <f t="shared" si="3"/>
        <v>4</v>
      </c>
      <c r="H24" s="138">
        <f t="shared" si="3"/>
        <v>8</v>
      </c>
      <c r="I24" s="138">
        <f t="shared" si="3"/>
        <v>11</v>
      </c>
      <c r="J24" s="138">
        <f t="shared" si="3"/>
        <v>1</v>
      </c>
      <c r="K24" s="138">
        <f t="shared" si="3"/>
        <v>0</v>
      </c>
      <c r="L24" s="138">
        <f t="shared" si="3"/>
        <v>10</v>
      </c>
      <c r="M24" s="138">
        <f t="shared" si="3"/>
        <v>8</v>
      </c>
      <c r="N24" s="138">
        <f t="shared" si="3"/>
        <v>3</v>
      </c>
      <c r="O24" s="138">
        <f t="shared" si="3"/>
        <v>6</v>
      </c>
      <c r="P24" s="138">
        <f t="shared" si="3"/>
        <v>4</v>
      </c>
      <c r="Q24" s="138">
        <f t="shared" si="3"/>
        <v>4</v>
      </c>
      <c r="R24" s="138">
        <f t="shared" si="3"/>
        <v>1</v>
      </c>
      <c r="S24" s="138">
        <f t="shared" si="3"/>
        <v>12</v>
      </c>
      <c r="T24" s="138">
        <f t="shared" si="3"/>
        <v>7</v>
      </c>
      <c r="U24" s="138">
        <f t="shared" si="3"/>
        <v>6</v>
      </c>
      <c r="V24" s="138">
        <f t="shared" si="3"/>
        <v>5</v>
      </c>
      <c r="W24" s="138">
        <f t="shared" si="3"/>
        <v>2</v>
      </c>
      <c r="X24" s="138">
        <f t="shared" si="3"/>
        <v>8</v>
      </c>
      <c r="Y24" s="138">
        <f t="shared" si="3"/>
        <v>4</v>
      </c>
      <c r="Z24" s="138">
        <f t="shared" si="3"/>
        <v>7</v>
      </c>
      <c r="AA24" s="138">
        <f t="shared" si="3"/>
        <v>9</v>
      </c>
      <c r="AB24" s="138">
        <f t="shared" si="3"/>
        <v>8</v>
      </c>
      <c r="AC24" s="138">
        <f t="shared" si="3"/>
        <v>9</v>
      </c>
      <c r="AD24" s="138">
        <f t="shared" si="3"/>
        <v>8</v>
      </c>
      <c r="AE24" s="138">
        <f t="shared" si="3"/>
        <v>4</v>
      </c>
      <c r="AF24" s="138">
        <f t="shared" si="3"/>
        <v>2</v>
      </c>
      <c r="AG24" s="139">
        <f>SUM(B24:AF24)</f>
        <v>179</v>
      </c>
    </row>
  </sheetData>
  <conditionalFormatting sqref="A16">
    <cfRule type="iconSet" priority="10">
      <iconSet iconSet="3TrafficLights2" showValue="0">
        <cfvo type="percent" val="0"/>
        <cfvo type="num" val="5"/>
        <cfvo type="num" val="10"/>
      </iconSet>
    </cfRule>
  </conditionalFormatting>
  <conditionalFormatting sqref="AB16:AC16">
    <cfRule type="iconSet" priority="5">
      <iconSet iconSet="3TrafficLights2" showValue="0">
        <cfvo type="percent" val="0"/>
        <cfvo type="num" val="5"/>
        <cfvo type="num" val="10"/>
      </iconSet>
    </cfRule>
    <cfRule type="iconSet" priority="6">
      <iconSet iconSet="3TrafficLights2" showValue="0">
        <cfvo type="percent" val="0"/>
        <cfvo type="num" val="5"/>
        <cfvo type="num" val="10"/>
      </iconSet>
    </cfRule>
  </conditionalFormatting>
  <conditionalFormatting sqref="AD16:AF16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AG16 A16:AA16">
    <cfRule type="iconSet" priority="8">
      <iconSet iconSet="3TrafficLights2" showValue="0">
        <cfvo type="percent" val="0"/>
        <cfvo type="num" val="5"/>
        <cfvo type="num" val="10"/>
      </iconSet>
    </cfRule>
    <cfRule type="iconSet" priority="9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7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E070-4D54-46BE-89EC-A208E72E71A1}">
  <dimension ref="A1:AF24"/>
  <sheetViews>
    <sheetView topLeftCell="S1" workbookViewId="0">
      <selection activeCell="AG13" sqref="AG13"/>
    </sheetView>
  </sheetViews>
  <sheetFormatPr baseColWidth="10" defaultColWidth="11.44140625" defaultRowHeight="14.4" x14ac:dyDescent="0.3"/>
  <cols>
    <col min="1" max="1" width="31.5546875" customWidth="1"/>
  </cols>
  <sheetData>
    <row r="1" spans="1:32" ht="15" thickBot="1" x14ac:dyDescent="0.35">
      <c r="A1" s="44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ht="15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43"/>
    </row>
    <row r="3" spans="1:32" ht="28.8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141" t="s">
        <v>212</v>
      </c>
    </row>
    <row r="4" spans="1:32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45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40"/>
    </row>
    <row r="6" spans="1:32" x14ac:dyDescent="0.3">
      <c r="A6" s="40" t="s">
        <v>195</v>
      </c>
      <c r="B6" s="126">
        <v>16</v>
      </c>
      <c r="C6" s="126">
        <v>10</v>
      </c>
      <c r="D6" s="126">
        <v>7</v>
      </c>
      <c r="E6" s="146">
        <v>9</v>
      </c>
      <c r="F6" s="126">
        <v>4</v>
      </c>
      <c r="G6" s="126">
        <v>4</v>
      </c>
      <c r="H6" s="126">
        <v>1</v>
      </c>
      <c r="I6" s="126">
        <v>6</v>
      </c>
      <c r="J6" s="126">
        <v>7</v>
      </c>
      <c r="K6" s="126">
        <v>5</v>
      </c>
      <c r="L6" s="126">
        <v>6</v>
      </c>
      <c r="M6" s="126">
        <v>8</v>
      </c>
      <c r="N6" s="126">
        <v>3</v>
      </c>
      <c r="O6" s="126">
        <v>2</v>
      </c>
      <c r="P6" s="126">
        <v>9</v>
      </c>
      <c r="Q6" s="126">
        <v>7</v>
      </c>
      <c r="R6" s="126">
        <v>7</v>
      </c>
      <c r="S6" s="126">
        <v>7</v>
      </c>
      <c r="T6" s="126">
        <v>5</v>
      </c>
      <c r="U6" s="126">
        <v>0</v>
      </c>
      <c r="V6" s="126">
        <v>2</v>
      </c>
      <c r="W6" s="126">
        <v>8</v>
      </c>
      <c r="X6" s="126">
        <v>9</v>
      </c>
      <c r="Y6" s="126">
        <v>4</v>
      </c>
      <c r="Z6" s="126">
        <v>11</v>
      </c>
      <c r="AA6" s="126">
        <v>8</v>
      </c>
      <c r="AB6" s="126">
        <v>1</v>
      </c>
      <c r="AC6" s="126">
        <v>3</v>
      </c>
      <c r="AD6" s="126">
        <v>8</v>
      </c>
      <c r="AE6" s="126">
        <v>7</v>
      </c>
      <c r="AF6" s="140">
        <f>SUM(B6:AE6)</f>
        <v>184</v>
      </c>
    </row>
    <row r="7" spans="1:32" x14ac:dyDescent="0.3">
      <c r="A7" s="39" t="s">
        <v>34</v>
      </c>
      <c r="B7" s="127">
        <v>0.4375</v>
      </c>
      <c r="C7" s="129">
        <v>0.4</v>
      </c>
      <c r="D7" s="129">
        <v>0.8571428571428571</v>
      </c>
      <c r="E7" s="147">
        <v>0.33333333333333331</v>
      </c>
      <c r="F7" s="129">
        <v>0.5</v>
      </c>
      <c r="G7" s="129">
        <v>0.25</v>
      </c>
      <c r="H7" s="129">
        <v>0</v>
      </c>
      <c r="I7" s="129">
        <v>0.33333333333333331</v>
      </c>
      <c r="J7" s="129">
        <v>0.2857142857142857</v>
      </c>
      <c r="K7" s="127">
        <v>0.4</v>
      </c>
      <c r="L7" s="129">
        <v>0</v>
      </c>
      <c r="M7" s="127">
        <v>0.75</v>
      </c>
      <c r="N7" s="127">
        <v>0.33333333333333331</v>
      </c>
      <c r="O7" s="127">
        <v>0</v>
      </c>
      <c r="P7" s="129">
        <v>0.44</v>
      </c>
      <c r="Q7" s="129">
        <v>0.2857142857142857</v>
      </c>
      <c r="R7" s="129">
        <v>0.14000000000000001</v>
      </c>
      <c r="S7" s="129">
        <v>0.42857142857142855</v>
      </c>
      <c r="T7" s="129">
        <v>0.6</v>
      </c>
      <c r="U7" s="129">
        <v>0</v>
      </c>
      <c r="V7" s="129">
        <v>0.5</v>
      </c>
      <c r="W7" s="129">
        <v>0.75</v>
      </c>
      <c r="X7" s="129">
        <v>0.33333333333333331</v>
      </c>
      <c r="Y7" s="129">
        <v>0.25</v>
      </c>
      <c r="Z7" s="129">
        <v>0.27272727272727271</v>
      </c>
      <c r="AA7" s="129">
        <v>0.125</v>
      </c>
      <c r="AB7" s="129">
        <v>1</v>
      </c>
      <c r="AC7" s="129">
        <v>0.33333333333333331</v>
      </c>
      <c r="AD7" s="129">
        <v>0.5</v>
      </c>
      <c r="AE7" s="129">
        <v>0.14285714285714285</v>
      </c>
      <c r="AF7" s="142">
        <f>AF21/AF24</f>
        <v>0.38554347826086954</v>
      </c>
    </row>
    <row r="8" spans="1:32" x14ac:dyDescent="0.3">
      <c r="A8" s="39" t="s">
        <v>169</v>
      </c>
      <c r="B8" s="128">
        <v>1</v>
      </c>
      <c r="C8" s="129">
        <v>1</v>
      </c>
      <c r="D8" s="129">
        <v>1</v>
      </c>
      <c r="E8" s="148">
        <v>0.66666666666666663</v>
      </c>
      <c r="F8" s="129">
        <v>0.75</v>
      </c>
      <c r="G8" s="129">
        <v>1</v>
      </c>
      <c r="H8" s="129">
        <v>1</v>
      </c>
      <c r="I8" s="129">
        <v>1</v>
      </c>
      <c r="J8" s="129">
        <v>0.8571428571428571</v>
      </c>
      <c r="K8" s="128">
        <v>1</v>
      </c>
      <c r="L8" s="129">
        <v>1</v>
      </c>
      <c r="M8" s="128">
        <v>0.875</v>
      </c>
      <c r="N8" s="128">
        <v>1</v>
      </c>
      <c r="O8" s="128">
        <v>0.5</v>
      </c>
      <c r="P8" s="129">
        <v>1</v>
      </c>
      <c r="Q8" s="129">
        <v>1</v>
      </c>
      <c r="R8" s="129">
        <v>1</v>
      </c>
      <c r="S8" s="129">
        <v>1</v>
      </c>
      <c r="T8" s="129">
        <v>1</v>
      </c>
      <c r="U8" s="129">
        <v>0</v>
      </c>
      <c r="V8" s="129">
        <v>1</v>
      </c>
      <c r="W8" s="129">
        <v>1</v>
      </c>
      <c r="X8" s="129">
        <v>0.88888888888888884</v>
      </c>
      <c r="Y8" s="129">
        <v>1</v>
      </c>
      <c r="Z8" s="129">
        <v>1</v>
      </c>
      <c r="AA8" s="129">
        <v>1</v>
      </c>
      <c r="AB8" s="129">
        <v>1</v>
      </c>
      <c r="AC8" s="129">
        <v>1</v>
      </c>
      <c r="AD8" s="129">
        <v>1</v>
      </c>
      <c r="AE8" s="129">
        <v>1</v>
      </c>
      <c r="AF8" s="142">
        <f>(AF21+AF22)/AF24</f>
        <v>0.95652173913043481</v>
      </c>
    </row>
    <row r="9" spans="1:32" x14ac:dyDescent="0.3">
      <c r="A9" s="39" t="s">
        <v>196</v>
      </c>
      <c r="B9" s="126">
        <v>43</v>
      </c>
      <c r="C9" s="126">
        <v>87</v>
      </c>
      <c r="D9" s="126">
        <v>65</v>
      </c>
      <c r="E9" s="146">
        <v>76</v>
      </c>
      <c r="F9" s="126">
        <v>53</v>
      </c>
      <c r="G9" s="126">
        <v>21</v>
      </c>
      <c r="H9" s="126">
        <v>13</v>
      </c>
      <c r="I9" s="126">
        <v>18</v>
      </c>
      <c r="J9" s="126">
        <v>46</v>
      </c>
      <c r="K9" s="126">
        <v>45</v>
      </c>
      <c r="L9" s="126">
        <v>42</v>
      </c>
      <c r="M9" s="126">
        <v>62</v>
      </c>
      <c r="N9" s="126">
        <v>33</v>
      </c>
      <c r="O9" s="126">
        <v>18</v>
      </c>
      <c r="P9" s="126">
        <v>23</v>
      </c>
      <c r="Q9" s="126">
        <v>49</v>
      </c>
      <c r="R9" s="126">
        <v>75</v>
      </c>
      <c r="S9" s="126">
        <v>73</v>
      </c>
      <c r="T9" s="126">
        <v>54</v>
      </c>
      <c r="U9" s="126">
        <v>22</v>
      </c>
      <c r="V9" s="126">
        <v>15</v>
      </c>
      <c r="W9" s="126">
        <v>36</v>
      </c>
      <c r="X9" s="126">
        <v>52</v>
      </c>
      <c r="Y9" s="126">
        <v>57</v>
      </c>
      <c r="Z9" s="126">
        <v>63</v>
      </c>
      <c r="AA9" s="126">
        <v>64</v>
      </c>
      <c r="AB9" s="126">
        <v>41</v>
      </c>
      <c r="AC9" s="126">
        <v>31</v>
      </c>
      <c r="AD9" s="126">
        <v>53</v>
      </c>
      <c r="AE9" s="126">
        <v>64</v>
      </c>
      <c r="AF9" s="139">
        <f>SUM(B9:AE9)</f>
        <v>1394</v>
      </c>
    </row>
    <row r="10" spans="1:32" x14ac:dyDescent="0.3">
      <c r="A10" s="39" t="s">
        <v>197</v>
      </c>
      <c r="B10" s="126">
        <v>1</v>
      </c>
      <c r="C10" s="126">
        <v>5</v>
      </c>
      <c r="D10" s="126">
        <v>4</v>
      </c>
      <c r="E10" s="146">
        <v>4</v>
      </c>
      <c r="F10" s="126">
        <v>1</v>
      </c>
      <c r="G10" s="126">
        <v>0</v>
      </c>
      <c r="H10" s="126">
        <v>2</v>
      </c>
      <c r="I10" s="126">
        <v>2</v>
      </c>
      <c r="J10" s="126">
        <v>0</v>
      </c>
      <c r="K10" s="126">
        <v>4</v>
      </c>
      <c r="L10" s="126">
        <v>3</v>
      </c>
      <c r="M10" s="126">
        <v>3</v>
      </c>
      <c r="N10" s="126">
        <v>2</v>
      </c>
      <c r="O10" s="126">
        <v>3</v>
      </c>
      <c r="P10" s="126">
        <v>0</v>
      </c>
      <c r="Q10" s="126">
        <v>1</v>
      </c>
      <c r="R10" s="126">
        <v>9</v>
      </c>
      <c r="S10" s="126">
        <v>4</v>
      </c>
      <c r="T10" s="126">
        <v>2</v>
      </c>
      <c r="U10" s="126">
        <v>1</v>
      </c>
      <c r="V10" s="126">
        <v>1</v>
      </c>
      <c r="W10" s="126">
        <v>5</v>
      </c>
      <c r="X10" s="126">
        <v>1</v>
      </c>
      <c r="Y10" s="126">
        <v>5</v>
      </c>
      <c r="Z10" s="126">
        <v>4</v>
      </c>
      <c r="AA10" s="126">
        <v>2</v>
      </c>
      <c r="AB10" s="126">
        <v>2</v>
      </c>
      <c r="AC10" s="126">
        <v>3</v>
      </c>
      <c r="AD10" s="126">
        <v>2</v>
      </c>
      <c r="AE10" s="126">
        <v>1</v>
      </c>
      <c r="AF10" s="139">
        <f>SUM(B10:AE10)</f>
        <v>77</v>
      </c>
    </row>
    <row r="11" spans="1:32" x14ac:dyDescent="0.3">
      <c r="A11" s="39" t="s">
        <v>198</v>
      </c>
      <c r="B11" s="128">
        <v>0.97674418604651159</v>
      </c>
      <c r="C11" s="130">
        <v>0.94252873563218387</v>
      </c>
      <c r="D11" s="130">
        <v>0.93846153846153846</v>
      </c>
      <c r="E11" s="148">
        <v>0.94736842105263164</v>
      </c>
      <c r="F11" s="130">
        <v>0.98113207547169812</v>
      </c>
      <c r="G11" s="130">
        <v>1</v>
      </c>
      <c r="H11" s="130">
        <v>0.84615384615384615</v>
      </c>
      <c r="I11" s="130">
        <v>0.88888888888888884</v>
      </c>
      <c r="J11" s="130">
        <v>1</v>
      </c>
      <c r="K11" s="128">
        <v>0.91111111111111109</v>
      </c>
      <c r="L11" s="130">
        <v>0.9285714285714286</v>
      </c>
      <c r="M11" s="128">
        <v>0.95161290322580649</v>
      </c>
      <c r="N11" s="128">
        <v>0.93939393939393945</v>
      </c>
      <c r="O11" s="128">
        <v>0.83333333333333337</v>
      </c>
      <c r="P11" s="130">
        <v>1</v>
      </c>
      <c r="Q11" s="130">
        <v>0.97959183673469385</v>
      </c>
      <c r="R11" s="130">
        <v>0.88</v>
      </c>
      <c r="S11" s="130">
        <v>0.9452054794520548</v>
      </c>
      <c r="T11" s="130">
        <v>0.96296296296296302</v>
      </c>
      <c r="U11" s="130">
        <v>0.95454545454545459</v>
      </c>
      <c r="V11" s="130">
        <v>0.93333333333333335</v>
      </c>
      <c r="W11" s="130">
        <v>0.86111111111111116</v>
      </c>
      <c r="X11" s="130">
        <v>0.98076923076923073</v>
      </c>
      <c r="Y11" s="130">
        <v>0.91228070175438591</v>
      </c>
      <c r="Z11" s="130">
        <v>0.93650793650793651</v>
      </c>
      <c r="AA11" s="130">
        <v>0.96875</v>
      </c>
      <c r="AB11" s="130">
        <v>0.95121951219512191</v>
      </c>
      <c r="AC11" s="130">
        <v>0.90322580645161288</v>
      </c>
      <c r="AD11" s="130">
        <v>0.96226415094339623</v>
      </c>
      <c r="AE11" s="130">
        <v>0.984375</v>
      </c>
      <c r="AF11" s="142">
        <f>1-(AF10/AF9)</f>
        <v>0.94476327116212344</v>
      </c>
    </row>
    <row r="12" spans="1:32" x14ac:dyDescent="0.3">
      <c r="A12" s="39" t="s">
        <v>199</v>
      </c>
      <c r="B12" s="126"/>
      <c r="C12" s="126"/>
      <c r="D12" s="126"/>
      <c r="E12" s="14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40"/>
    </row>
    <row r="13" spans="1:32" x14ac:dyDescent="0.3">
      <c r="A13" s="39" t="s">
        <v>148</v>
      </c>
      <c r="B13" s="126">
        <v>1</v>
      </c>
      <c r="C13" s="126">
        <v>5</v>
      </c>
      <c r="D13" s="126">
        <v>4</v>
      </c>
      <c r="E13" s="146">
        <v>4</v>
      </c>
      <c r="F13" s="126">
        <v>1</v>
      </c>
      <c r="G13" s="126">
        <v>0</v>
      </c>
      <c r="H13" s="126">
        <v>2</v>
      </c>
      <c r="I13" s="126">
        <v>2</v>
      </c>
      <c r="J13" s="126">
        <v>0</v>
      </c>
      <c r="K13" s="126">
        <v>4</v>
      </c>
      <c r="L13" s="126">
        <v>3</v>
      </c>
      <c r="M13" s="126">
        <v>3</v>
      </c>
      <c r="N13" s="126">
        <v>2</v>
      </c>
      <c r="O13" s="126">
        <v>3</v>
      </c>
      <c r="P13" s="126">
        <v>0</v>
      </c>
      <c r="Q13" s="126">
        <v>1</v>
      </c>
      <c r="R13" s="126">
        <v>9</v>
      </c>
      <c r="S13" s="126">
        <v>4</v>
      </c>
      <c r="T13" s="126">
        <v>2</v>
      </c>
      <c r="U13" s="126">
        <v>1</v>
      </c>
      <c r="V13" s="126">
        <v>1</v>
      </c>
      <c r="W13" s="126">
        <v>5</v>
      </c>
      <c r="X13" s="126">
        <v>1</v>
      </c>
      <c r="Y13" s="126">
        <v>5</v>
      </c>
      <c r="Z13" s="126">
        <v>4</v>
      </c>
      <c r="AA13" s="126">
        <v>2</v>
      </c>
      <c r="AB13" s="126">
        <v>2</v>
      </c>
      <c r="AC13" s="126">
        <v>3</v>
      </c>
      <c r="AD13" s="126">
        <v>2</v>
      </c>
      <c r="AE13" s="126">
        <v>1</v>
      </c>
      <c r="AF13" s="140">
        <f>SUM(B13:AE13)</f>
        <v>77</v>
      </c>
    </row>
    <row r="14" spans="1:32" x14ac:dyDescent="0.3">
      <c r="A14" s="150" t="s">
        <v>200</v>
      </c>
      <c r="B14" s="126"/>
      <c r="C14" s="126"/>
      <c r="D14" s="126"/>
      <c r="E14" s="14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40"/>
    </row>
    <row r="15" spans="1:32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4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40"/>
    </row>
    <row r="16" spans="1:32" x14ac:dyDescent="0.3">
      <c r="A16" s="144" t="s">
        <v>173</v>
      </c>
      <c r="B16" s="35">
        <v>10</v>
      </c>
      <c r="C16" s="35">
        <v>10</v>
      </c>
      <c r="D16" s="35">
        <v>10</v>
      </c>
      <c r="E16" s="35">
        <v>5</v>
      </c>
      <c r="F16" s="35">
        <v>5</v>
      </c>
      <c r="G16" s="35">
        <v>10</v>
      </c>
      <c r="H16" s="35">
        <v>10</v>
      </c>
      <c r="I16" s="35">
        <v>10</v>
      </c>
      <c r="J16" s="35">
        <v>5</v>
      </c>
      <c r="K16" s="35">
        <v>10</v>
      </c>
      <c r="L16" s="35">
        <v>10</v>
      </c>
      <c r="M16" s="35">
        <v>10</v>
      </c>
      <c r="N16" s="35">
        <v>10</v>
      </c>
      <c r="O16" s="35">
        <v>5</v>
      </c>
      <c r="P16" s="35">
        <v>10</v>
      </c>
      <c r="Q16" s="35">
        <v>10</v>
      </c>
      <c r="R16" s="35">
        <v>10</v>
      </c>
      <c r="S16" s="35">
        <v>10</v>
      </c>
      <c r="T16" s="35">
        <v>10</v>
      </c>
      <c r="U16" s="35">
        <v>10</v>
      </c>
      <c r="V16" s="35">
        <v>10</v>
      </c>
      <c r="W16" s="35">
        <v>10</v>
      </c>
      <c r="X16" s="35">
        <v>5</v>
      </c>
      <c r="Y16" s="35">
        <v>10</v>
      </c>
      <c r="Z16" s="35">
        <v>10</v>
      </c>
      <c r="AA16" s="35">
        <v>10</v>
      </c>
      <c r="AB16" s="35">
        <v>10</v>
      </c>
      <c r="AC16" s="35">
        <v>10</v>
      </c>
      <c r="AD16" s="35">
        <v>10</v>
      </c>
      <c r="AE16" s="35">
        <v>10</v>
      </c>
      <c r="AF16" s="35"/>
    </row>
    <row r="17" spans="1:32" ht="15" thickBot="1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1:32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</row>
    <row r="19" spans="1:32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3"/>
    </row>
    <row r="20" spans="1:32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</row>
    <row r="21" spans="1:32" x14ac:dyDescent="0.3">
      <c r="A21" s="132" t="s">
        <v>34</v>
      </c>
      <c r="B21" s="137">
        <f t="shared" ref="B21:AE21" si="0">B7*B6</f>
        <v>7</v>
      </c>
      <c r="C21" s="137">
        <f t="shared" si="0"/>
        <v>4</v>
      </c>
      <c r="D21" s="137">
        <f t="shared" si="0"/>
        <v>6</v>
      </c>
      <c r="E21" s="137">
        <f t="shared" si="0"/>
        <v>3</v>
      </c>
      <c r="F21" s="137">
        <f t="shared" si="0"/>
        <v>2</v>
      </c>
      <c r="G21" s="137">
        <f t="shared" si="0"/>
        <v>1</v>
      </c>
      <c r="H21" s="137">
        <f t="shared" si="0"/>
        <v>0</v>
      </c>
      <c r="I21" s="137">
        <f t="shared" si="0"/>
        <v>2</v>
      </c>
      <c r="J21" s="137">
        <f t="shared" si="0"/>
        <v>2</v>
      </c>
      <c r="K21" s="137">
        <f t="shared" si="0"/>
        <v>2</v>
      </c>
      <c r="L21" s="137">
        <f t="shared" si="0"/>
        <v>0</v>
      </c>
      <c r="M21" s="137">
        <f t="shared" si="0"/>
        <v>6</v>
      </c>
      <c r="N21" s="137">
        <f t="shared" si="0"/>
        <v>1</v>
      </c>
      <c r="O21" s="137">
        <f t="shared" si="0"/>
        <v>0</v>
      </c>
      <c r="P21" s="137">
        <f>P7*P6</f>
        <v>3.96</v>
      </c>
      <c r="Q21" s="137">
        <f>Q7*Q6</f>
        <v>2</v>
      </c>
      <c r="R21" s="137">
        <f>R7*R6</f>
        <v>0.98000000000000009</v>
      </c>
      <c r="S21" s="137">
        <f t="shared" si="0"/>
        <v>3</v>
      </c>
      <c r="T21" s="137">
        <f t="shared" si="0"/>
        <v>3</v>
      </c>
      <c r="U21" s="137">
        <f t="shared" si="0"/>
        <v>0</v>
      </c>
      <c r="V21" s="137">
        <f t="shared" si="0"/>
        <v>1</v>
      </c>
      <c r="W21" s="137">
        <f t="shared" si="0"/>
        <v>6</v>
      </c>
      <c r="X21" s="137">
        <f t="shared" si="0"/>
        <v>3</v>
      </c>
      <c r="Y21" s="137">
        <f t="shared" si="0"/>
        <v>1</v>
      </c>
      <c r="Z21" s="137">
        <f t="shared" si="0"/>
        <v>3</v>
      </c>
      <c r="AA21" s="137">
        <f t="shared" si="0"/>
        <v>1</v>
      </c>
      <c r="AB21" s="137">
        <f t="shared" si="0"/>
        <v>1</v>
      </c>
      <c r="AC21" s="137">
        <f t="shared" si="0"/>
        <v>1</v>
      </c>
      <c r="AD21" s="137">
        <f t="shared" si="0"/>
        <v>4</v>
      </c>
      <c r="AE21" s="137">
        <f t="shared" si="0"/>
        <v>1</v>
      </c>
      <c r="AF21" s="139">
        <f>SUM(B21:AE21)</f>
        <v>70.94</v>
      </c>
    </row>
    <row r="22" spans="1:32" x14ac:dyDescent="0.3">
      <c r="A22" s="132" t="s">
        <v>169</v>
      </c>
      <c r="B22" s="126">
        <f t="shared" ref="B22:AE22" si="1">(B8*B6)-B21</f>
        <v>9</v>
      </c>
      <c r="C22" s="126">
        <f t="shared" si="1"/>
        <v>6</v>
      </c>
      <c r="D22" s="126">
        <f t="shared" si="1"/>
        <v>1</v>
      </c>
      <c r="E22" s="126">
        <f t="shared" si="1"/>
        <v>3</v>
      </c>
      <c r="F22" s="126">
        <f t="shared" si="1"/>
        <v>1</v>
      </c>
      <c r="G22" s="126">
        <f t="shared" si="1"/>
        <v>3</v>
      </c>
      <c r="H22" s="126">
        <f t="shared" si="1"/>
        <v>1</v>
      </c>
      <c r="I22" s="126">
        <f t="shared" si="1"/>
        <v>4</v>
      </c>
      <c r="J22" s="126">
        <f t="shared" si="1"/>
        <v>4</v>
      </c>
      <c r="K22" s="126">
        <f t="shared" si="1"/>
        <v>3</v>
      </c>
      <c r="L22" s="126">
        <f t="shared" si="1"/>
        <v>6</v>
      </c>
      <c r="M22" s="126">
        <f t="shared" si="1"/>
        <v>1</v>
      </c>
      <c r="N22" s="126">
        <f t="shared" si="1"/>
        <v>2</v>
      </c>
      <c r="O22" s="126">
        <f t="shared" si="1"/>
        <v>1</v>
      </c>
      <c r="P22" s="126">
        <f>(P8*P6)-P21</f>
        <v>5.04</v>
      </c>
      <c r="Q22" s="126">
        <f>(Q8*Q6)-Q21</f>
        <v>5</v>
      </c>
      <c r="R22" s="126">
        <f>(R8*R6)-R21</f>
        <v>6.02</v>
      </c>
      <c r="S22" s="126">
        <f t="shared" si="1"/>
        <v>4</v>
      </c>
      <c r="T22" s="126">
        <f t="shared" si="1"/>
        <v>2</v>
      </c>
      <c r="U22" s="126">
        <f t="shared" si="1"/>
        <v>0</v>
      </c>
      <c r="V22" s="126">
        <f t="shared" si="1"/>
        <v>1</v>
      </c>
      <c r="W22" s="126">
        <f t="shared" si="1"/>
        <v>2</v>
      </c>
      <c r="X22" s="126">
        <f t="shared" si="1"/>
        <v>5</v>
      </c>
      <c r="Y22" s="126">
        <f t="shared" si="1"/>
        <v>3</v>
      </c>
      <c r="Z22" s="126">
        <f t="shared" si="1"/>
        <v>8</v>
      </c>
      <c r="AA22" s="126">
        <f>(AA8*AA6)-AA21</f>
        <v>7</v>
      </c>
      <c r="AB22" s="126">
        <f t="shared" si="1"/>
        <v>0</v>
      </c>
      <c r="AC22" s="126">
        <f t="shared" si="1"/>
        <v>2</v>
      </c>
      <c r="AD22" s="126">
        <f t="shared" si="1"/>
        <v>4</v>
      </c>
      <c r="AE22" s="126">
        <f t="shared" si="1"/>
        <v>6</v>
      </c>
      <c r="AF22" s="139">
        <f>SUM(B22:AE22)</f>
        <v>105.06</v>
      </c>
    </row>
    <row r="23" spans="1:32" x14ac:dyDescent="0.3">
      <c r="A23" s="132" t="s">
        <v>202</v>
      </c>
      <c r="B23" s="137">
        <f t="shared" ref="B23:AE23" si="2">B6-(B22+B21)</f>
        <v>0</v>
      </c>
      <c r="C23" s="137">
        <f t="shared" si="2"/>
        <v>0</v>
      </c>
      <c r="D23" s="137">
        <f t="shared" si="2"/>
        <v>0</v>
      </c>
      <c r="E23" s="137">
        <f t="shared" si="2"/>
        <v>3</v>
      </c>
      <c r="F23" s="137">
        <f t="shared" si="2"/>
        <v>1</v>
      </c>
      <c r="G23" s="137">
        <f t="shared" si="2"/>
        <v>0</v>
      </c>
      <c r="H23" s="137">
        <f t="shared" si="2"/>
        <v>0</v>
      </c>
      <c r="I23" s="137">
        <f t="shared" si="2"/>
        <v>0</v>
      </c>
      <c r="J23" s="137">
        <f t="shared" si="2"/>
        <v>1</v>
      </c>
      <c r="K23" s="137">
        <f t="shared" si="2"/>
        <v>0</v>
      </c>
      <c r="L23" s="137">
        <f t="shared" si="2"/>
        <v>0</v>
      </c>
      <c r="M23" s="137">
        <f t="shared" si="2"/>
        <v>1</v>
      </c>
      <c r="N23" s="137">
        <f t="shared" si="2"/>
        <v>0</v>
      </c>
      <c r="O23" s="137">
        <f t="shared" si="2"/>
        <v>1</v>
      </c>
      <c r="P23" s="137">
        <f>P6-(P22+P21)</f>
        <v>0</v>
      </c>
      <c r="Q23" s="137">
        <f>Q6-(Q22+Q21)</f>
        <v>0</v>
      </c>
      <c r="R23" s="137">
        <f>R6-(R22+R21)</f>
        <v>0</v>
      </c>
      <c r="S23" s="137">
        <f t="shared" si="2"/>
        <v>0</v>
      </c>
      <c r="T23" s="137">
        <f t="shared" si="2"/>
        <v>0</v>
      </c>
      <c r="U23" s="137">
        <f t="shared" si="2"/>
        <v>0</v>
      </c>
      <c r="V23" s="137">
        <f t="shared" si="2"/>
        <v>0</v>
      </c>
      <c r="W23" s="137">
        <f t="shared" si="2"/>
        <v>0</v>
      </c>
      <c r="X23" s="137">
        <f t="shared" si="2"/>
        <v>1</v>
      </c>
      <c r="Y23" s="137">
        <f t="shared" si="2"/>
        <v>0</v>
      </c>
      <c r="Z23" s="137">
        <f t="shared" si="2"/>
        <v>0</v>
      </c>
      <c r="AA23" s="137">
        <f t="shared" si="2"/>
        <v>0</v>
      </c>
      <c r="AB23" s="137">
        <f t="shared" si="2"/>
        <v>0</v>
      </c>
      <c r="AC23" s="137">
        <f t="shared" si="2"/>
        <v>0</v>
      </c>
      <c r="AD23" s="137">
        <f t="shared" si="2"/>
        <v>0</v>
      </c>
      <c r="AE23" s="137">
        <f t="shared" si="2"/>
        <v>0</v>
      </c>
      <c r="AF23" s="139">
        <f>SUM(B23:AE23)</f>
        <v>8</v>
      </c>
    </row>
    <row r="24" spans="1:32" x14ac:dyDescent="0.3">
      <c r="A24" s="136"/>
      <c r="B24" s="138">
        <f t="shared" ref="B24:AE24" si="3">SUM(B21:B23)</f>
        <v>16</v>
      </c>
      <c r="C24" s="138">
        <f t="shared" si="3"/>
        <v>10</v>
      </c>
      <c r="D24" s="138">
        <f t="shared" si="3"/>
        <v>7</v>
      </c>
      <c r="E24" s="138">
        <f t="shared" si="3"/>
        <v>9</v>
      </c>
      <c r="F24" s="138">
        <f t="shared" si="3"/>
        <v>4</v>
      </c>
      <c r="G24" s="138">
        <f t="shared" si="3"/>
        <v>4</v>
      </c>
      <c r="H24" s="138">
        <f t="shared" si="3"/>
        <v>1</v>
      </c>
      <c r="I24" s="138">
        <f t="shared" si="3"/>
        <v>6</v>
      </c>
      <c r="J24" s="138">
        <f t="shared" si="3"/>
        <v>7</v>
      </c>
      <c r="K24" s="138">
        <f t="shared" si="3"/>
        <v>5</v>
      </c>
      <c r="L24" s="138">
        <f t="shared" si="3"/>
        <v>6</v>
      </c>
      <c r="M24" s="138">
        <f t="shared" si="3"/>
        <v>8</v>
      </c>
      <c r="N24" s="138">
        <f t="shared" si="3"/>
        <v>3</v>
      </c>
      <c r="O24" s="138">
        <f t="shared" si="3"/>
        <v>2</v>
      </c>
      <c r="P24" s="138">
        <f t="shared" si="3"/>
        <v>9</v>
      </c>
      <c r="Q24" s="138">
        <f t="shared" si="3"/>
        <v>7</v>
      </c>
      <c r="R24" s="138">
        <f t="shared" si="3"/>
        <v>7</v>
      </c>
      <c r="S24" s="138">
        <f t="shared" si="3"/>
        <v>7</v>
      </c>
      <c r="T24" s="138">
        <f t="shared" si="3"/>
        <v>5</v>
      </c>
      <c r="U24" s="138">
        <f t="shared" si="3"/>
        <v>0</v>
      </c>
      <c r="V24" s="138">
        <f t="shared" si="3"/>
        <v>2</v>
      </c>
      <c r="W24" s="138">
        <f t="shared" si="3"/>
        <v>8</v>
      </c>
      <c r="X24" s="138">
        <f t="shared" si="3"/>
        <v>9</v>
      </c>
      <c r="Y24" s="138">
        <f t="shared" si="3"/>
        <v>4</v>
      </c>
      <c r="Z24" s="138">
        <f t="shared" si="3"/>
        <v>11</v>
      </c>
      <c r="AA24" s="138">
        <f t="shared" si="3"/>
        <v>8</v>
      </c>
      <c r="AB24" s="138">
        <f t="shared" si="3"/>
        <v>1</v>
      </c>
      <c r="AC24" s="138">
        <f t="shared" si="3"/>
        <v>3</v>
      </c>
      <c r="AD24" s="138">
        <f t="shared" si="3"/>
        <v>8</v>
      </c>
      <c r="AE24" s="138">
        <f t="shared" si="3"/>
        <v>7</v>
      </c>
      <c r="AF24" s="139">
        <f>SUM(B24:AE24)</f>
        <v>184</v>
      </c>
    </row>
  </sheetData>
  <conditionalFormatting sqref="A16">
    <cfRule type="iconSet" priority="8">
      <iconSet iconSet="3TrafficLights2" showValue="0">
        <cfvo type="percent" val="0"/>
        <cfvo type="num" val="5"/>
        <cfvo type="num" val="10"/>
      </iconSet>
    </cfRule>
  </conditionalFormatting>
  <conditionalFormatting sqref="AB16:AC16">
    <cfRule type="iconSet" priority="3">
      <iconSet iconSet="3TrafficLights2" showValue="0">
        <cfvo type="percent" val="0"/>
        <cfvo type="num" val="5"/>
        <cfvo type="num" val="10"/>
      </iconSet>
    </cfRule>
    <cfRule type="iconSet" priority="4">
      <iconSet iconSet="3TrafficLights2" showValue="0">
        <cfvo type="percent" val="0"/>
        <cfvo type="num" val="5"/>
        <cfvo type="num" val="10"/>
      </iconSet>
    </cfRule>
  </conditionalFormatting>
  <conditionalFormatting sqref="AD16 AF16 A16:AA16">
    <cfRule type="iconSet" priority="56">
      <iconSet iconSet="3TrafficLights2" showValue="0">
        <cfvo type="percent" val="0"/>
        <cfvo type="num" val="5"/>
        <cfvo type="num" val="10"/>
      </iconSet>
    </cfRule>
    <cfRule type="iconSet" priority="57">
      <iconSet iconSet="3TrafficLights2" showValue="0">
        <cfvo type="percent" val="0"/>
        <cfvo type="num" val="5"/>
        <cfvo type="num" val="10"/>
      </iconSet>
    </cfRule>
  </conditionalFormatting>
  <conditionalFormatting sqref="AE16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AF16">
    <cfRule type="iconSet" priority="5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1436-988B-403C-B019-5BE1B4E42FB6}">
  <dimension ref="A1:AG24"/>
  <sheetViews>
    <sheetView topLeftCell="T1" workbookViewId="0">
      <selection activeCell="F36" sqref="F36"/>
    </sheetView>
  </sheetViews>
  <sheetFormatPr baseColWidth="10" defaultColWidth="11.44140625" defaultRowHeight="14.4" x14ac:dyDescent="0.3"/>
  <cols>
    <col min="1" max="1" width="31.5546875" customWidth="1"/>
  </cols>
  <sheetData>
    <row r="1" spans="1:33" ht="15" thickBot="1" x14ac:dyDescent="0.35">
      <c r="A1" s="44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3" ht="15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ht="28.8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213</v>
      </c>
    </row>
    <row r="4" spans="1:33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45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26" t="s">
        <v>15</v>
      </c>
      <c r="AG5" s="140"/>
    </row>
    <row r="6" spans="1:33" x14ac:dyDescent="0.3">
      <c r="A6" s="40" t="s">
        <v>195</v>
      </c>
      <c r="B6" s="126">
        <v>13</v>
      </c>
      <c r="C6" s="126">
        <v>13</v>
      </c>
      <c r="D6" s="126">
        <v>5</v>
      </c>
      <c r="E6" s="146">
        <v>3</v>
      </c>
      <c r="F6" s="126">
        <v>1</v>
      </c>
      <c r="G6" s="126">
        <v>10</v>
      </c>
      <c r="H6" s="126">
        <v>8</v>
      </c>
      <c r="I6" s="126">
        <v>13</v>
      </c>
      <c r="J6" s="126">
        <v>6</v>
      </c>
      <c r="K6" s="126">
        <v>7</v>
      </c>
      <c r="L6" s="126">
        <v>4</v>
      </c>
      <c r="M6" s="126">
        <v>2</v>
      </c>
      <c r="N6" s="126">
        <v>6</v>
      </c>
      <c r="O6" s="126">
        <v>18</v>
      </c>
      <c r="P6" s="126">
        <v>9</v>
      </c>
      <c r="Q6" s="126">
        <v>7</v>
      </c>
      <c r="R6" s="126">
        <v>9</v>
      </c>
      <c r="S6" s="126">
        <v>4</v>
      </c>
      <c r="T6" s="126">
        <v>4</v>
      </c>
      <c r="U6" s="126">
        <v>16</v>
      </c>
      <c r="V6" s="126">
        <v>12</v>
      </c>
      <c r="W6" s="126">
        <v>17</v>
      </c>
      <c r="X6" s="126">
        <v>11</v>
      </c>
      <c r="Y6" s="126">
        <v>11</v>
      </c>
      <c r="Z6" s="126">
        <v>7</v>
      </c>
      <c r="AA6" s="126">
        <v>6</v>
      </c>
      <c r="AB6" s="126">
        <v>13</v>
      </c>
      <c r="AC6" s="126">
        <v>12</v>
      </c>
      <c r="AD6" s="126">
        <v>4</v>
      </c>
      <c r="AE6" s="126">
        <v>9</v>
      </c>
      <c r="AF6" s="126">
        <v>14</v>
      </c>
      <c r="AG6" s="140">
        <f>SUM(B6:AF6)</f>
        <v>274</v>
      </c>
    </row>
    <row r="7" spans="1:33" x14ac:dyDescent="0.3">
      <c r="A7" s="39" t="s">
        <v>34</v>
      </c>
      <c r="B7" s="127">
        <v>0.23076923076923078</v>
      </c>
      <c r="C7" s="129">
        <v>0.30769230769230771</v>
      </c>
      <c r="D7" s="129">
        <v>0.4</v>
      </c>
      <c r="E7" s="147">
        <v>0.66666666666666663</v>
      </c>
      <c r="F7" s="129">
        <v>0</v>
      </c>
      <c r="G7" s="129">
        <v>0</v>
      </c>
      <c r="H7" s="129">
        <v>0.25</v>
      </c>
      <c r="I7" s="129">
        <v>0.38461538461538464</v>
      </c>
      <c r="J7" s="129">
        <v>0.5</v>
      </c>
      <c r="K7" s="127">
        <v>0.2857142857142857</v>
      </c>
      <c r="L7" s="129">
        <v>0.5</v>
      </c>
      <c r="M7" s="127">
        <v>0.5</v>
      </c>
      <c r="N7" s="127">
        <v>0.66666666666666663</v>
      </c>
      <c r="O7" s="127">
        <v>0.61111111111111116</v>
      </c>
      <c r="P7" s="129">
        <v>0.33333333333333331</v>
      </c>
      <c r="Q7" s="129">
        <v>0.7142857142857143</v>
      </c>
      <c r="R7" s="129">
        <v>0.44444444444444442</v>
      </c>
      <c r="S7" s="129">
        <v>0.5</v>
      </c>
      <c r="T7" s="129">
        <v>0.5</v>
      </c>
      <c r="U7" s="129">
        <v>0.5625</v>
      </c>
      <c r="V7" s="129">
        <v>0.5</v>
      </c>
      <c r="W7" s="129">
        <v>0.35294117647058826</v>
      </c>
      <c r="X7" s="129">
        <v>0.36363636363636365</v>
      </c>
      <c r="Y7" s="129">
        <v>0.54545454545454541</v>
      </c>
      <c r="Z7" s="129">
        <v>0.14285714285714285</v>
      </c>
      <c r="AA7" s="129">
        <v>0.5</v>
      </c>
      <c r="AB7" s="129">
        <v>0.53846153846153844</v>
      </c>
      <c r="AC7" s="129">
        <v>0.5</v>
      </c>
      <c r="AD7" s="128">
        <v>0.75</v>
      </c>
      <c r="AE7" s="129">
        <v>0.66666666666666663</v>
      </c>
      <c r="AF7" s="129">
        <v>0.42857142857142855</v>
      </c>
      <c r="AG7" s="142">
        <f>AG21/AG24</f>
        <v>0.43795620437956206</v>
      </c>
    </row>
    <row r="8" spans="1:33" x14ac:dyDescent="0.3">
      <c r="A8" s="39" t="s">
        <v>169</v>
      </c>
      <c r="B8" s="128">
        <v>1</v>
      </c>
      <c r="C8" s="129">
        <v>0.92307692307692313</v>
      </c>
      <c r="D8" s="129">
        <v>1</v>
      </c>
      <c r="E8" s="148">
        <v>1</v>
      </c>
      <c r="F8" s="129">
        <v>1</v>
      </c>
      <c r="G8" s="129">
        <v>0.8</v>
      </c>
      <c r="H8" s="129">
        <v>1</v>
      </c>
      <c r="I8" s="129">
        <v>1</v>
      </c>
      <c r="J8" s="129">
        <v>1</v>
      </c>
      <c r="K8" s="128">
        <v>0.8571428571428571</v>
      </c>
      <c r="L8" s="129">
        <v>1</v>
      </c>
      <c r="M8" s="128">
        <v>1</v>
      </c>
      <c r="N8" s="128">
        <v>1</v>
      </c>
      <c r="O8" s="128">
        <v>1</v>
      </c>
      <c r="P8" s="129">
        <v>0.88888888888888884</v>
      </c>
      <c r="Q8" s="129">
        <v>1</v>
      </c>
      <c r="R8" s="129">
        <v>1</v>
      </c>
      <c r="S8" s="129">
        <v>1</v>
      </c>
      <c r="T8" s="129">
        <v>1</v>
      </c>
      <c r="U8" s="129">
        <v>1</v>
      </c>
      <c r="V8" s="129">
        <v>1</v>
      </c>
      <c r="W8" s="129">
        <v>1</v>
      </c>
      <c r="X8" s="129">
        <v>0.81818181818181823</v>
      </c>
      <c r="Y8" s="129">
        <v>1</v>
      </c>
      <c r="Z8" s="129">
        <v>0.8571428571428571</v>
      </c>
      <c r="AA8" s="129">
        <v>1</v>
      </c>
      <c r="AB8" s="129">
        <v>1</v>
      </c>
      <c r="AC8" s="129">
        <v>1</v>
      </c>
      <c r="AD8" s="128">
        <v>1</v>
      </c>
      <c r="AE8" s="129">
        <v>1</v>
      </c>
      <c r="AF8" s="129">
        <v>1</v>
      </c>
      <c r="AG8" s="142">
        <f>(AG21+AG22)/AG24</f>
        <v>0.97080291970802923</v>
      </c>
    </row>
    <row r="9" spans="1:33" x14ac:dyDescent="0.3">
      <c r="A9" s="39" t="s">
        <v>196</v>
      </c>
      <c r="B9" s="126">
        <v>80</v>
      </c>
      <c r="C9" s="126">
        <v>106</v>
      </c>
      <c r="D9" s="126">
        <v>75</v>
      </c>
      <c r="E9" s="146">
        <v>41</v>
      </c>
      <c r="F9" s="126">
        <v>24</v>
      </c>
      <c r="G9" s="126">
        <v>46</v>
      </c>
      <c r="H9" s="126">
        <v>79</v>
      </c>
      <c r="I9" s="126">
        <v>75</v>
      </c>
      <c r="J9" s="126">
        <v>66</v>
      </c>
      <c r="K9" s="126">
        <v>43</v>
      </c>
      <c r="L9" s="126">
        <v>50</v>
      </c>
      <c r="M9" s="126">
        <v>33</v>
      </c>
      <c r="N9" s="126">
        <v>40</v>
      </c>
      <c r="O9" s="126">
        <v>71</v>
      </c>
      <c r="P9" s="126">
        <v>90</v>
      </c>
      <c r="Q9" s="126">
        <v>65</v>
      </c>
      <c r="R9" s="126">
        <v>80</v>
      </c>
      <c r="S9" s="126">
        <v>57</v>
      </c>
      <c r="T9" s="126">
        <v>33</v>
      </c>
      <c r="U9" s="126">
        <v>75</v>
      </c>
      <c r="V9" s="126">
        <v>91</v>
      </c>
      <c r="W9" s="126">
        <v>104</v>
      </c>
      <c r="X9" s="126">
        <v>90</v>
      </c>
      <c r="Y9" s="126">
        <v>61</v>
      </c>
      <c r="Z9" s="126">
        <v>55</v>
      </c>
      <c r="AA9" s="126">
        <v>37</v>
      </c>
      <c r="AB9" s="126">
        <v>50</v>
      </c>
      <c r="AC9" s="126">
        <v>74</v>
      </c>
      <c r="AD9" s="126">
        <v>62</v>
      </c>
      <c r="AE9" s="126">
        <v>57</v>
      </c>
      <c r="AF9" s="126">
        <v>80</v>
      </c>
      <c r="AG9" s="139">
        <f>SUM(B9:AF9)</f>
        <v>1990</v>
      </c>
    </row>
    <row r="10" spans="1:33" x14ac:dyDescent="0.3">
      <c r="A10" s="39" t="s">
        <v>197</v>
      </c>
      <c r="B10" s="126">
        <v>5</v>
      </c>
      <c r="C10" s="126">
        <v>4</v>
      </c>
      <c r="D10" s="126">
        <v>3</v>
      </c>
      <c r="E10" s="146">
        <v>1</v>
      </c>
      <c r="F10" s="126">
        <v>0</v>
      </c>
      <c r="G10" s="126">
        <v>4</v>
      </c>
      <c r="H10" s="126">
        <v>2</v>
      </c>
      <c r="I10" s="126">
        <v>1</v>
      </c>
      <c r="J10" s="126">
        <v>1</v>
      </c>
      <c r="K10" s="126">
        <v>1</v>
      </c>
      <c r="L10" s="126">
        <v>2</v>
      </c>
      <c r="M10" s="126">
        <v>0</v>
      </c>
      <c r="N10" s="126">
        <v>2</v>
      </c>
      <c r="O10" s="126">
        <v>4</v>
      </c>
      <c r="P10" s="126">
        <v>3</v>
      </c>
      <c r="Q10" s="126">
        <v>0</v>
      </c>
      <c r="R10" s="126">
        <v>4</v>
      </c>
      <c r="S10" s="126">
        <v>1</v>
      </c>
      <c r="T10" s="126">
        <v>0</v>
      </c>
      <c r="U10" s="126">
        <v>2</v>
      </c>
      <c r="V10" s="126">
        <v>2</v>
      </c>
      <c r="W10" s="126">
        <v>6</v>
      </c>
      <c r="X10" s="126">
        <v>0</v>
      </c>
      <c r="Y10" s="126">
        <v>1</v>
      </c>
      <c r="Z10" s="126">
        <v>0</v>
      </c>
      <c r="AA10" s="126">
        <v>1</v>
      </c>
      <c r="AB10" s="126">
        <v>1</v>
      </c>
      <c r="AC10" s="126">
        <v>2</v>
      </c>
      <c r="AD10" s="126">
        <v>2</v>
      </c>
      <c r="AE10" s="126">
        <v>4</v>
      </c>
      <c r="AF10" s="126">
        <v>2</v>
      </c>
      <c r="AG10" s="139">
        <f>SUM(B10:AF10)</f>
        <v>61</v>
      </c>
    </row>
    <row r="11" spans="1:33" x14ac:dyDescent="0.3">
      <c r="A11" s="39" t="s">
        <v>198</v>
      </c>
      <c r="B11" s="128">
        <v>0.9375</v>
      </c>
      <c r="C11" s="130">
        <v>0.96226415094339623</v>
      </c>
      <c r="D11" s="130">
        <v>0.96</v>
      </c>
      <c r="E11" s="148">
        <v>0.97560975609756095</v>
      </c>
      <c r="F11" s="130">
        <v>1</v>
      </c>
      <c r="G11" s="130">
        <v>0.91304347826086962</v>
      </c>
      <c r="H11" s="130">
        <v>0.97468354430379744</v>
      </c>
      <c r="I11" s="130">
        <v>0.98666666666666669</v>
      </c>
      <c r="J11" s="130">
        <v>0.98484848484848486</v>
      </c>
      <c r="K11" s="128">
        <v>0.97674418604651159</v>
      </c>
      <c r="L11" s="130">
        <v>0.96</v>
      </c>
      <c r="M11" s="128">
        <v>1</v>
      </c>
      <c r="N11" s="128">
        <v>0.95</v>
      </c>
      <c r="O11" s="128">
        <v>0.94366197183098588</v>
      </c>
      <c r="P11" s="130">
        <v>0.96666666666666667</v>
      </c>
      <c r="Q11" s="130">
        <v>1</v>
      </c>
      <c r="R11" s="130">
        <v>0.95</v>
      </c>
      <c r="S11" s="130">
        <v>0.98245614035087714</v>
      </c>
      <c r="T11" s="130">
        <v>1</v>
      </c>
      <c r="U11" s="130">
        <v>0.97333333333333338</v>
      </c>
      <c r="V11" s="130">
        <v>0.97802197802197799</v>
      </c>
      <c r="W11" s="130">
        <v>0.94230769230769229</v>
      </c>
      <c r="X11" s="130">
        <v>1</v>
      </c>
      <c r="Y11" s="130">
        <v>0.98360655737704916</v>
      </c>
      <c r="Z11" s="130">
        <v>1</v>
      </c>
      <c r="AA11" s="130">
        <v>0.97297297297297303</v>
      </c>
      <c r="AB11" s="130">
        <v>0.98</v>
      </c>
      <c r="AC11" s="130">
        <v>0.97297297297297303</v>
      </c>
      <c r="AD11" s="128">
        <v>0.967741935483871</v>
      </c>
      <c r="AE11" s="130">
        <v>0.92982456140350878</v>
      </c>
      <c r="AF11" s="130">
        <v>0.97499999999999998</v>
      </c>
      <c r="AG11" s="142">
        <f>1-(AG10/AG9)</f>
        <v>0.96934673366834168</v>
      </c>
    </row>
    <row r="12" spans="1:33" x14ac:dyDescent="0.3">
      <c r="A12" s="39" t="s">
        <v>199</v>
      </c>
      <c r="B12" s="126"/>
      <c r="C12" s="126"/>
      <c r="D12" s="126"/>
      <c r="E12" s="14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x14ac:dyDescent="0.3">
      <c r="A13" s="39" t="s">
        <v>148</v>
      </c>
      <c r="B13" s="126">
        <v>5</v>
      </c>
      <c r="C13" s="126">
        <v>4</v>
      </c>
      <c r="D13" s="126">
        <v>3</v>
      </c>
      <c r="E13" s="146">
        <v>1</v>
      </c>
      <c r="F13" s="126">
        <v>0</v>
      </c>
      <c r="G13" s="126">
        <v>4</v>
      </c>
      <c r="H13" s="126">
        <v>2</v>
      </c>
      <c r="I13" s="126">
        <v>1</v>
      </c>
      <c r="J13" s="126">
        <v>1</v>
      </c>
      <c r="K13" s="126">
        <v>1</v>
      </c>
      <c r="L13" s="126">
        <v>2</v>
      </c>
      <c r="M13" s="126">
        <v>0</v>
      </c>
      <c r="N13" s="126">
        <v>2</v>
      </c>
      <c r="O13" s="126">
        <v>4</v>
      </c>
      <c r="P13" s="126">
        <v>3</v>
      </c>
      <c r="Q13" s="126">
        <v>0</v>
      </c>
      <c r="R13" s="126">
        <v>4</v>
      </c>
      <c r="S13" s="126">
        <v>1</v>
      </c>
      <c r="T13" s="126">
        <v>0</v>
      </c>
      <c r="U13" s="126">
        <v>2</v>
      </c>
      <c r="V13" s="126">
        <v>2</v>
      </c>
      <c r="W13" s="126">
        <v>6</v>
      </c>
      <c r="X13" s="126">
        <v>0</v>
      </c>
      <c r="Y13" s="126">
        <v>1</v>
      </c>
      <c r="Z13" s="126">
        <v>0</v>
      </c>
      <c r="AA13" s="126">
        <v>1</v>
      </c>
      <c r="AB13" s="126">
        <v>1</v>
      </c>
      <c r="AC13" s="126">
        <v>2</v>
      </c>
      <c r="AD13" s="126">
        <v>2</v>
      </c>
      <c r="AE13" s="126">
        <v>4</v>
      </c>
      <c r="AF13" s="126">
        <v>2</v>
      </c>
      <c r="AG13" s="140">
        <f>SUM(B13:AF13)</f>
        <v>61</v>
      </c>
    </row>
    <row r="14" spans="1:33" x14ac:dyDescent="0.3">
      <c r="A14" s="150" t="s">
        <v>200</v>
      </c>
      <c r="B14" s="126"/>
      <c r="C14" s="126"/>
      <c r="D14" s="126"/>
      <c r="E14" s="14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4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x14ac:dyDescent="0.3">
      <c r="A16" s="144" t="s">
        <v>173</v>
      </c>
      <c r="B16" s="35">
        <v>10</v>
      </c>
      <c r="C16" s="35">
        <v>5</v>
      </c>
      <c r="D16" s="35">
        <v>15</v>
      </c>
      <c r="E16" s="35">
        <v>15</v>
      </c>
      <c r="F16" s="35">
        <v>15</v>
      </c>
      <c r="G16" s="35">
        <v>5</v>
      </c>
      <c r="H16" s="35">
        <v>10</v>
      </c>
      <c r="I16" s="35">
        <v>10</v>
      </c>
      <c r="J16" s="35">
        <v>10</v>
      </c>
      <c r="K16" s="35">
        <v>5</v>
      </c>
      <c r="L16" s="35">
        <v>10</v>
      </c>
      <c r="M16" s="35">
        <v>10</v>
      </c>
      <c r="N16" s="35">
        <v>10</v>
      </c>
      <c r="O16" s="35">
        <v>10</v>
      </c>
      <c r="P16" s="35">
        <v>5</v>
      </c>
      <c r="Q16" s="35">
        <v>10</v>
      </c>
      <c r="R16" s="35">
        <v>10</v>
      </c>
      <c r="S16" s="151">
        <v>10</v>
      </c>
      <c r="T16" s="35">
        <v>10</v>
      </c>
      <c r="U16" s="35">
        <v>10</v>
      </c>
      <c r="V16" s="35">
        <v>10</v>
      </c>
      <c r="W16" s="35">
        <v>10</v>
      </c>
      <c r="X16" s="35">
        <v>5</v>
      </c>
      <c r="Y16" s="35">
        <v>10</v>
      </c>
      <c r="Z16" s="35">
        <v>5</v>
      </c>
      <c r="AA16" s="35">
        <v>10</v>
      </c>
      <c r="AB16" s="35">
        <v>10</v>
      </c>
      <c r="AC16" s="35">
        <v>10</v>
      </c>
      <c r="AD16" s="35">
        <v>10</v>
      </c>
      <c r="AE16" s="35">
        <v>10</v>
      </c>
      <c r="AF16" s="35">
        <v>10</v>
      </c>
      <c r="AG16" s="35"/>
    </row>
    <row r="17" spans="1:33" ht="15" thickBot="1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  <c r="AG19" s="33"/>
    </row>
    <row r="20" spans="1:33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 x14ac:dyDescent="0.3">
      <c r="A21" s="132" t="s">
        <v>34</v>
      </c>
      <c r="B21" s="137">
        <f t="shared" ref="B21:AF21" si="0">B7*B6</f>
        <v>3</v>
      </c>
      <c r="C21" s="137">
        <f t="shared" si="0"/>
        <v>4</v>
      </c>
      <c r="D21" s="137">
        <f t="shared" si="0"/>
        <v>2</v>
      </c>
      <c r="E21" s="137">
        <f t="shared" si="0"/>
        <v>2</v>
      </c>
      <c r="F21" s="137">
        <f t="shared" si="0"/>
        <v>0</v>
      </c>
      <c r="G21" s="137">
        <f t="shared" si="0"/>
        <v>0</v>
      </c>
      <c r="H21" s="137">
        <f t="shared" si="0"/>
        <v>2</v>
      </c>
      <c r="I21" s="137">
        <f t="shared" si="0"/>
        <v>5</v>
      </c>
      <c r="J21" s="137">
        <f t="shared" si="0"/>
        <v>3</v>
      </c>
      <c r="K21" s="137">
        <f t="shared" si="0"/>
        <v>2</v>
      </c>
      <c r="L21" s="137">
        <f t="shared" si="0"/>
        <v>2</v>
      </c>
      <c r="M21" s="137">
        <f t="shared" si="0"/>
        <v>1</v>
      </c>
      <c r="N21" s="137">
        <f t="shared" si="0"/>
        <v>4</v>
      </c>
      <c r="O21" s="137">
        <f t="shared" si="0"/>
        <v>11</v>
      </c>
      <c r="P21" s="137">
        <f>P7*P6</f>
        <v>3</v>
      </c>
      <c r="Q21" s="137">
        <f>Q7*Q6</f>
        <v>5</v>
      </c>
      <c r="R21" s="137">
        <f>R7*R6</f>
        <v>4</v>
      </c>
      <c r="S21" s="137">
        <f t="shared" si="0"/>
        <v>2</v>
      </c>
      <c r="T21" s="137">
        <f t="shared" si="0"/>
        <v>2</v>
      </c>
      <c r="U21" s="137">
        <f t="shared" si="0"/>
        <v>9</v>
      </c>
      <c r="V21" s="137">
        <f t="shared" si="0"/>
        <v>6</v>
      </c>
      <c r="W21" s="137">
        <f t="shared" si="0"/>
        <v>6</v>
      </c>
      <c r="X21" s="137">
        <f t="shared" si="0"/>
        <v>4</v>
      </c>
      <c r="Y21" s="137">
        <f t="shared" si="0"/>
        <v>6</v>
      </c>
      <c r="Z21" s="137">
        <f t="shared" si="0"/>
        <v>1</v>
      </c>
      <c r="AA21" s="137">
        <f t="shared" si="0"/>
        <v>3</v>
      </c>
      <c r="AB21" s="137">
        <f t="shared" si="0"/>
        <v>7</v>
      </c>
      <c r="AC21" s="137">
        <f t="shared" si="0"/>
        <v>6</v>
      </c>
      <c r="AD21" s="137">
        <f t="shared" si="0"/>
        <v>3</v>
      </c>
      <c r="AE21" s="137">
        <f t="shared" ref="AE21" si="1">AE7*AE6</f>
        <v>6</v>
      </c>
      <c r="AF21" s="137">
        <f t="shared" si="0"/>
        <v>6</v>
      </c>
      <c r="AG21" s="139">
        <f>SUM(B21:AF21)</f>
        <v>120</v>
      </c>
    </row>
    <row r="22" spans="1:33" x14ac:dyDescent="0.3">
      <c r="A22" s="132" t="s">
        <v>169</v>
      </c>
      <c r="B22" s="126">
        <f t="shared" ref="B22:AF22" si="2">(B8*B6)-B21</f>
        <v>10</v>
      </c>
      <c r="C22" s="126">
        <f t="shared" si="2"/>
        <v>8</v>
      </c>
      <c r="D22" s="126">
        <f t="shared" si="2"/>
        <v>3</v>
      </c>
      <c r="E22" s="126">
        <f t="shared" si="2"/>
        <v>1</v>
      </c>
      <c r="F22" s="126">
        <f t="shared" si="2"/>
        <v>1</v>
      </c>
      <c r="G22" s="126">
        <f t="shared" si="2"/>
        <v>8</v>
      </c>
      <c r="H22" s="126">
        <f t="shared" si="2"/>
        <v>6</v>
      </c>
      <c r="I22" s="126">
        <f t="shared" si="2"/>
        <v>8</v>
      </c>
      <c r="J22" s="126">
        <f t="shared" si="2"/>
        <v>3</v>
      </c>
      <c r="K22" s="126">
        <f t="shared" si="2"/>
        <v>4</v>
      </c>
      <c r="L22" s="126">
        <f t="shared" si="2"/>
        <v>2</v>
      </c>
      <c r="M22" s="126">
        <f t="shared" si="2"/>
        <v>1</v>
      </c>
      <c r="N22" s="126">
        <f t="shared" si="2"/>
        <v>2</v>
      </c>
      <c r="O22" s="126">
        <f t="shared" si="2"/>
        <v>7</v>
      </c>
      <c r="P22" s="126">
        <f>(P8*P6)-P21</f>
        <v>5</v>
      </c>
      <c r="Q22" s="126">
        <f>(Q8*Q6)-Q21</f>
        <v>2</v>
      </c>
      <c r="R22" s="126">
        <f>(R8*R6)-R21</f>
        <v>5</v>
      </c>
      <c r="S22" s="126">
        <f t="shared" si="2"/>
        <v>2</v>
      </c>
      <c r="T22" s="126">
        <f t="shared" si="2"/>
        <v>2</v>
      </c>
      <c r="U22" s="126">
        <f t="shared" si="2"/>
        <v>7</v>
      </c>
      <c r="V22" s="126">
        <f t="shared" si="2"/>
        <v>6</v>
      </c>
      <c r="W22" s="126">
        <f t="shared" si="2"/>
        <v>11</v>
      </c>
      <c r="X22" s="126">
        <f t="shared" si="2"/>
        <v>5</v>
      </c>
      <c r="Y22" s="126">
        <f t="shared" si="2"/>
        <v>5</v>
      </c>
      <c r="Z22" s="126">
        <f t="shared" si="2"/>
        <v>5</v>
      </c>
      <c r="AA22" s="126">
        <f>(AA8*AA6)-AA21</f>
        <v>3</v>
      </c>
      <c r="AB22" s="126">
        <f t="shared" si="2"/>
        <v>6</v>
      </c>
      <c r="AC22" s="126">
        <f t="shared" si="2"/>
        <v>6</v>
      </c>
      <c r="AD22" s="126">
        <f t="shared" si="2"/>
        <v>1</v>
      </c>
      <c r="AE22" s="126">
        <f t="shared" ref="AE22" si="3">(AE8*AE6)-AE21</f>
        <v>3</v>
      </c>
      <c r="AF22" s="126">
        <f t="shared" si="2"/>
        <v>8</v>
      </c>
      <c r="AG22" s="139">
        <f>SUM(B22:AF22)</f>
        <v>146</v>
      </c>
    </row>
    <row r="23" spans="1:33" x14ac:dyDescent="0.3">
      <c r="A23" s="132" t="s">
        <v>202</v>
      </c>
      <c r="B23" s="137">
        <f t="shared" ref="B23:AF23" si="4">B6-(B22+B21)</f>
        <v>0</v>
      </c>
      <c r="C23" s="137">
        <f t="shared" si="4"/>
        <v>1</v>
      </c>
      <c r="D23" s="137">
        <f t="shared" si="4"/>
        <v>0</v>
      </c>
      <c r="E23" s="137">
        <f t="shared" si="4"/>
        <v>0</v>
      </c>
      <c r="F23" s="137">
        <f t="shared" si="4"/>
        <v>0</v>
      </c>
      <c r="G23" s="137">
        <f t="shared" si="4"/>
        <v>2</v>
      </c>
      <c r="H23" s="137">
        <f t="shared" si="4"/>
        <v>0</v>
      </c>
      <c r="I23" s="137">
        <f t="shared" si="4"/>
        <v>0</v>
      </c>
      <c r="J23" s="137">
        <f t="shared" si="4"/>
        <v>0</v>
      </c>
      <c r="K23" s="137">
        <f t="shared" si="4"/>
        <v>1</v>
      </c>
      <c r="L23" s="137">
        <f t="shared" si="4"/>
        <v>0</v>
      </c>
      <c r="M23" s="137">
        <f t="shared" si="4"/>
        <v>0</v>
      </c>
      <c r="N23" s="137">
        <f t="shared" si="4"/>
        <v>0</v>
      </c>
      <c r="O23" s="137">
        <f t="shared" si="4"/>
        <v>0</v>
      </c>
      <c r="P23" s="137">
        <f>P6-(P22+P21)</f>
        <v>1</v>
      </c>
      <c r="Q23" s="137">
        <f>Q6-(Q22+Q21)</f>
        <v>0</v>
      </c>
      <c r="R23" s="137">
        <f>R6-(R22+R21)</f>
        <v>0</v>
      </c>
      <c r="S23" s="137">
        <f t="shared" si="4"/>
        <v>0</v>
      </c>
      <c r="T23" s="137">
        <f t="shared" si="4"/>
        <v>0</v>
      </c>
      <c r="U23" s="137">
        <f t="shared" si="4"/>
        <v>0</v>
      </c>
      <c r="V23" s="137">
        <f t="shared" si="4"/>
        <v>0</v>
      </c>
      <c r="W23" s="137">
        <f t="shared" si="4"/>
        <v>0</v>
      </c>
      <c r="X23" s="137">
        <f t="shared" si="4"/>
        <v>2</v>
      </c>
      <c r="Y23" s="137">
        <f t="shared" si="4"/>
        <v>0</v>
      </c>
      <c r="Z23" s="137">
        <f t="shared" si="4"/>
        <v>1</v>
      </c>
      <c r="AA23" s="137">
        <f t="shared" si="4"/>
        <v>0</v>
      </c>
      <c r="AB23" s="137">
        <f t="shared" si="4"/>
        <v>0</v>
      </c>
      <c r="AC23" s="137">
        <f t="shared" si="4"/>
        <v>0</v>
      </c>
      <c r="AD23" s="137">
        <f t="shared" si="4"/>
        <v>0</v>
      </c>
      <c r="AE23" s="137">
        <f t="shared" ref="AE23" si="5">AE6-(AE22+AE21)</f>
        <v>0</v>
      </c>
      <c r="AF23" s="137">
        <f t="shared" si="4"/>
        <v>0</v>
      </c>
      <c r="AG23" s="139">
        <f>SUM(B23:AF23)</f>
        <v>8</v>
      </c>
    </row>
    <row r="24" spans="1:33" x14ac:dyDescent="0.3">
      <c r="A24" s="136"/>
      <c r="B24" s="138">
        <f t="shared" ref="B24:AF24" si="6">SUM(B21:B23)</f>
        <v>13</v>
      </c>
      <c r="C24" s="138">
        <f t="shared" si="6"/>
        <v>13</v>
      </c>
      <c r="D24" s="138">
        <f t="shared" si="6"/>
        <v>5</v>
      </c>
      <c r="E24" s="138">
        <f t="shared" si="6"/>
        <v>3</v>
      </c>
      <c r="F24" s="138">
        <f t="shared" si="6"/>
        <v>1</v>
      </c>
      <c r="G24" s="138">
        <f t="shared" si="6"/>
        <v>10</v>
      </c>
      <c r="H24" s="138">
        <f t="shared" si="6"/>
        <v>8</v>
      </c>
      <c r="I24" s="138">
        <f t="shared" si="6"/>
        <v>13</v>
      </c>
      <c r="J24" s="138">
        <f t="shared" si="6"/>
        <v>6</v>
      </c>
      <c r="K24" s="138">
        <f t="shared" si="6"/>
        <v>7</v>
      </c>
      <c r="L24" s="138">
        <f t="shared" si="6"/>
        <v>4</v>
      </c>
      <c r="M24" s="138">
        <f t="shared" si="6"/>
        <v>2</v>
      </c>
      <c r="N24" s="138">
        <f t="shared" si="6"/>
        <v>6</v>
      </c>
      <c r="O24" s="138">
        <f t="shared" si="6"/>
        <v>18</v>
      </c>
      <c r="P24" s="138">
        <f t="shared" si="6"/>
        <v>9</v>
      </c>
      <c r="Q24" s="138">
        <f t="shared" si="6"/>
        <v>7</v>
      </c>
      <c r="R24" s="138">
        <f t="shared" si="6"/>
        <v>9</v>
      </c>
      <c r="S24" s="138">
        <f t="shared" si="6"/>
        <v>4</v>
      </c>
      <c r="T24" s="138">
        <f t="shared" si="6"/>
        <v>4</v>
      </c>
      <c r="U24" s="138">
        <f t="shared" si="6"/>
        <v>16</v>
      </c>
      <c r="V24" s="138">
        <f t="shared" si="6"/>
        <v>12</v>
      </c>
      <c r="W24" s="138">
        <f t="shared" si="6"/>
        <v>17</v>
      </c>
      <c r="X24" s="138">
        <f t="shared" si="6"/>
        <v>11</v>
      </c>
      <c r="Y24" s="138">
        <f t="shared" si="6"/>
        <v>11</v>
      </c>
      <c r="Z24" s="138">
        <f t="shared" si="6"/>
        <v>7</v>
      </c>
      <c r="AA24" s="138">
        <f t="shared" si="6"/>
        <v>6</v>
      </c>
      <c r="AB24" s="138">
        <f t="shared" si="6"/>
        <v>13</v>
      </c>
      <c r="AC24" s="138">
        <f t="shared" si="6"/>
        <v>12</v>
      </c>
      <c r="AD24" s="138">
        <f t="shared" si="6"/>
        <v>4</v>
      </c>
      <c r="AE24" s="138">
        <f t="shared" ref="AE24" si="7">SUM(AE21:AE23)</f>
        <v>9</v>
      </c>
      <c r="AF24" s="138">
        <f t="shared" si="6"/>
        <v>14</v>
      </c>
      <c r="AG24" s="139">
        <f>SUM(B24:AF24)</f>
        <v>274</v>
      </c>
    </row>
  </sheetData>
  <conditionalFormatting sqref="A16">
    <cfRule type="iconSet" priority="6">
      <iconSet iconSet="3TrafficLights2" showValue="0">
        <cfvo type="percent" val="0"/>
        <cfvo type="num" val="5"/>
        <cfvo type="num" val="10"/>
      </iconSet>
    </cfRule>
  </conditionalFormatting>
  <conditionalFormatting sqref="AB16:AC16">
    <cfRule type="iconSet" priority="3">
      <iconSet iconSet="3TrafficLights2" showValue="0">
        <cfvo type="percent" val="0"/>
        <cfvo type="num" val="5"/>
        <cfvo type="num" val="10"/>
      </iconSet>
    </cfRule>
    <cfRule type="iconSet" priority="4">
      <iconSet iconSet="3TrafficLights2" showValue="0">
        <cfvo type="percent" val="0"/>
        <cfvo type="num" val="5"/>
        <cfvo type="num" val="10"/>
      </iconSet>
    </cfRule>
  </conditionalFormatting>
  <conditionalFormatting sqref="AD16:AE16 AG16 A16:AA16">
    <cfRule type="iconSet" priority="7">
      <iconSet iconSet="3TrafficLights2" showValue="0">
        <cfvo type="percent" val="0"/>
        <cfvo type="num" val="5"/>
        <cfvo type="num" val="10"/>
      </iconSet>
    </cfRule>
    <cfRule type="iconSet" priority="8">
      <iconSet iconSet="3TrafficLights2" showValue="0">
        <cfvo type="percent" val="0"/>
        <cfvo type="num" val="5"/>
        <cfvo type="num" val="10"/>
      </iconSet>
    </cfRule>
  </conditionalFormatting>
  <conditionalFormatting sqref="AF16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5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6D92-8A10-4F62-840F-232992AABFA1}">
  <dimension ref="A1:AF24"/>
  <sheetViews>
    <sheetView topLeftCell="S3" workbookViewId="0">
      <selection activeCell="Q9" sqref="B9:Q9"/>
    </sheetView>
  </sheetViews>
  <sheetFormatPr baseColWidth="10" defaultColWidth="11.44140625" defaultRowHeight="14.4" x14ac:dyDescent="0.3"/>
  <cols>
    <col min="1" max="1" width="31.5546875" customWidth="1"/>
  </cols>
  <sheetData>
    <row r="1" spans="1:32" ht="15" thickBot="1" x14ac:dyDescent="0.35">
      <c r="A1" s="44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ht="15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43"/>
    </row>
    <row r="3" spans="1:32" ht="28.8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141" t="s">
        <v>214</v>
      </c>
    </row>
    <row r="4" spans="1:32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45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40"/>
    </row>
    <row r="6" spans="1:32" x14ac:dyDescent="0.3">
      <c r="A6" s="40" t="s">
        <v>195</v>
      </c>
      <c r="B6" s="126">
        <v>7</v>
      </c>
      <c r="C6" s="126">
        <v>5</v>
      </c>
      <c r="D6" s="126">
        <v>15</v>
      </c>
      <c r="E6" s="146">
        <v>23</v>
      </c>
      <c r="F6" s="126">
        <v>14</v>
      </c>
      <c r="G6" s="126">
        <v>15</v>
      </c>
      <c r="H6" s="126">
        <v>13</v>
      </c>
      <c r="I6" s="126">
        <v>10</v>
      </c>
      <c r="J6" s="126">
        <v>4</v>
      </c>
      <c r="K6" s="126">
        <v>11</v>
      </c>
      <c r="L6" s="126">
        <v>15</v>
      </c>
      <c r="M6" s="126">
        <v>9</v>
      </c>
      <c r="N6" s="126">
        <v>10</v>
      </c>
      <c r="O6" s="126">
        <v>13</v>
      </c>
      <c r="P6" s="126">
        <v>4</v>
      </c>
      <c r="Q6" s="126">
        <v>5</v>
      </c>
      <c r="R6" s="126">
        <v>11</v>
      </c>
      <c r="S6" s="126">
        <v>19</v>
      </c>
      <c r="T6" s="126">
        <v>9</v>
      </c>
      <c r="U6" s="126">
        <v>19</v>
      </c>
      <c r="V6" s="126">
        <v>5</v>
      </c>
      <c r="W6" s="126">
        <v>6</v>
      </c>
      <c r="X6" s="126">
        <v>1</v>
      </c>
      <c r="Y6" s="126">
        <v>10</v>
      </c>
      <c r="Z6" s="126">
        <v>5</v>
      </c>
      <c r="AA6" s="126">
        <v>7</v>
      </c>
      <c r="AB6" s="126">
        <v>13</v>
      </c>
      <c r="AC6" s="126">
        <v>5</v>
      </c>
      <c r="AD6" s="126">
        <v>1</v>
      </c>
      <c r="AE6" s="126">
        <v>1</v>
      </c>
      <c r="AF6" s="140">
        <f>SUM(B6:AE6)</f>
        <v>285</v>
      </c>
    </row>
    <row r="7" spans="1:32" x14ac:dyDescent="0.3">
      <c r="A7" s="39" t="s">
        <v>34</v>
      </c>
      <c r="B7" s="127">
        <v>0.5714285714285714</v>
      </c>
      <c r="C7" s="129">
        <v>0.4</v>
      </c>
      <c r="D7" s="128">
        <v>0.6</v>
      </c>
      <c r="E7" s="147">
        <v>0.56521739130434778</v>
      </c>
      <c r="F7" s="129">
        <v>0.5</v>
      </c>
      <c r="G7" s="129">
        <v>0.33333333333333331</v>
      </c>
      <c r="H7" s="129">
        <v>0.30769230769230771</v>
      </c>
      <c r="I7" s="129">
        <v>0.5</v>
      </c>
      <c r="J7" s="129">
        <v>0.5</v>
      </c>
      <c r="K7" s="127">
        <v>0.36363636363636365</v>
      </c>
      <c r="L7" s="129">
        <v>0.2</v>
      </c>
      <c r="M7" s="127">
        <v>0.33333333333333331</v>
      </c>
      <c r="N7" s="127">
        <v>0.6</v>
      </c>
      <c r="O7" s="127">
        <v>0.46153846153846156</v>
      </c>
      <c r="P7" s="129">
        <v>0.75</v>
      </c>
      <c r="Q7" s="129">
        <v>0</v>
      </c>
      <c r="R7" s="129">
        <v>0.36363636363636365</v>
      </c>
      <c r="S7" s="129">
        <v>0.47368421052631576</v>
      </c>
      <c r="T7" s="129">
        <v>0.44444444444444442</v>
      </c>
      <c r="U7" s="129">
        <v>0.42105263157894735</v>
      </c>
      <c r="V7" s="129">
        <v>0.2</v>
      </c>
      <c r="W7" s="129">
        <v>0.5</v>
      </c>
      <c r="X7" s="129">
        <v>1</v>
      </c>
      <c r="Y7" s="129">
        <v>0.4</v>
      </c>
      <c r="Z7" s="129">
        <v>0.8</v>
      </c>
      <c r="AA7" s="129">
        <v>0.7142857142857143</v>
      </c>
      <c r="AB7" s="129">
        <v>0.53846153846153844</v>
      </c>
      <c r="AC7" s="129">
        <v>0.8</v>
      </c>
      <c r="AD7" s="128">
        <v>0</v>
      </c>
      <c r="AE7" s="129">
        <v>0</v>
      </c>
      <c r="AF7" s="142">
        <f>AF21/AF24</f>
        <v>0.45614035087719296</v>
      </c>
    </row>
    <row r="8" spans="1:32" x14ac:dyDescent="0.3">
      <c r="A8" s="39" t="s">
        <v>169</v>
      </c>
      <c r="B8" s="128">
        <v>0.8571428571428571</v>
      </c>
      <c r="C8" s="129">
        <v>1</v>
      </c>
      <c r="D8" s="128">
        <v>1</v>
      </c>
      <c r="E8" s="148">
        <v>0.95652173913043481</v>
      </c>
      <c r="F8" s="129">
        <v>0.9285714285714286</v>
      </c>
      <c r="G8" s="129">
        <v>1</v>
      </c>
      <c r="H8" s="129">
        <v>1</v>
      </c>
      <c r="I8" s="129">
        <v>1</v>
      </c>
      <c r="J8" s="129">
        <v>1</v>
      </c>
      <c r="K8" s="128">
        <v>1</v>
      </c>
      <c r="L8" s="129">
        <v>1</v>
      </c>
      <c r="M8" s="128">
        <v>1</v>
      </c>
      <c r="N8" s="128">
        <v>1</v>
      </c>
      <c r="O8" s="128">
        <v>1</v>
      </c>
      <c r="P8" s="129">
        <v>1</v>
      </c>
      <c r="Q8" s="129">
        <v>1</v>
      </c>
      <c r="R8" s="129">
        <v>1</v>
      </c>
      <c r="S8" s="129">
        <v>0.94736842105263153</v>
      </c>
      <c r="T8" s="129">
        <v>1</v>
      </c>
      <c r="U8" s="129">
        <v>1</v>
      </c>
      <c r="V8" s="129">
        <v>1</v>
      </c>
      <c r="W8" s="129">
        <v>1</v>
      </c>
      <c r="X8" s="129">
        <v>1</v>
      </c>
      <c r="Y8" s="129">
        <v>1</v>
      </c>
      <c r="Z8" s="129">
        <v>1</v>
      </c>
      <c r="AA8" s="129">
        <v>1</v>
      </c>
      <c r="AB8" s="129">
        <v>1</v>
      </c>
      <c r="AC8" s="129">
        <v>1</v>
      </c>
      <c r="AD8" s="128">
        <v>1</v>
      </c>
      <c r="AE8" s="129">
        <v>1</v>
      </c>
      <c r="AF8" s="142">
        <f>(AF21+AF22)/AF24</f>
        <v>0.98596491228070171</v>
      </c>
    </row>
    <row r="9" spans="1:32" x14ac:dyDescent="0.3">
      <c r="A9" s="39" t="s">
        <v>196</v>
      </c>
      <c r="B9" s="126">
        <v>59</v>
      </c>
      <c r="C9" s="126">
        <v>39</v>
      </c>
      <c r="D9" s="126">
        <v>79</v>
      </c>
      <c r="E9" s="146">
        <v>111</v>
      </c>
      <c r="F9" s="126">
        <v>92</v>
      </c>
      <c r="G9" s="126">
        <v>108</v>
      </c>
      <c r="H9" s="126">
        <v>100</v>
      </c>
      <c r="I9" s="126">
        <v>71</v>
      </c>
      <c r="J9" s="126">
        <v>57</v>
      </c>
      <c r="K9" s="126">
        <v>67</v>
      </c>
      <c r="L9" s="126">
        <v>77</v>
      </c>
      <c r="M9" s="126">
        <v>80</v>
      </c>
      <c r="N9" s="126">
        <v>84</v>
      </c>
      <c r="O9" s="126">
        <v>80</v>
      </c>
      <c r="P9" s="126">
        <v>46</v>
      </c>
      <c r="Q9" s="126">
        <v>32</v>
      </c>
      <c r="R9" s="126">
        <v>39</v>
      </c>
      <c r="S9" s="126">
        <v>95</v>
      </c>
      <c r="T9" s="126">
        <v>71</v>
      </c>
      <c r="U9" s="126">
        <v>96</v>
      </c>
      <c r="V9" s="126">
        <v>95</v>
      </c>
      <c r="W9" s="126">
        <v>66</v>
      </c>
      <c r="X9" s="126">
        <v>32</v>
      </c>
      <c r="Y9" s="126">
        <v>43</v>
      </c>
      <c r="Z9" s="126">
        <v>30</v>
      </c>
      <c r="AA9" s="126">
        <v>44</v>
      </c>
      <c r="AB9" s="126">
        <v>89</v>
      </c>
      <c r="AC9" s="126">
        <v>60</v>
      </c>
      <c r="AD9" s="126">
        <v>30</v>
      </c>
      <c r="AE9" s="126">
        <v>14</v>
      </c>
      <c r="AF9" s="139">
        <f>SUM(B9:AE9)</f>
        <v>1986</v>
      </c>
    </row>
    <row r="10" spans="1:32" x14ac:dyDescent="0.3">
      <c r="A10" s="39" t="s">
        <v>197</v>
      </c>
      <c r="B10" s="126">
        <v>3</v>
      </c>
      <c r="C10" s="126">
        <v>2</v>
      </c>
      <c r="D10" s="126">
        <v>4</v>
      </c>
      <c r="E10" s="146">
        <v>3</v>
      </c>
      <c r="F10" s="126">
        <v>3</v>
      </c>
      <c r="G10" s="126">
        <v>1</v>
      </c>
      <c r="H10" s="126">
        <v>0</v>
      </c>
      <c r="I10" s="126">
        <v>2</v>
      </c>
      <c r="J10" s="126">
        <v>1</v>
      </c>
      <c r="K10" s="126">
        <v>0</v>
      </c>
      <c r="L10" s="126">
        <v>5</v>
      </c>
      <c r="M10" s="126">
        <v>3</v>
      </c>
      <c r="N10" s="126">
        <v>1</v>
      </c>
      <c r="O10" s="126">
        <v>1</v>
      </c>
      <c r="P10" s="126">
        <v>0</v>
      </c>
      <c r="Q10" s="126">
        <v>1</v>
      </c>
      <c r="R10" s="126">
        <v>2</v>
      </c>
      <c r="S10" s="126">
        <v>7</v>
      </c>
      <c r="T10" s="126">
        <v>2</v>
      </c>
      <c r="U10" s="126">
        <v>5</v>
      </c>
      <c r="V10" s="126">
        <v>2</v>
      </c>
      <c r="W10" s="126">
        <v>0</v>
      </c>
      <c r="X10" s="126">
        <v>2</v>
      </c>
      <c r="Y10" s="126">
        <v>2</v>
      </c>
      <c r="Z10" s="126">
        <v>2</v>
      </c>
      <c r="AA10" s="126">
        <v>0</v>
      </c>
      <c r="AB10" s="126">
        <v>3</v>
      </c>
      <c r="AC10" s="126">
        <v>3</v>
      </c>
      <c r="AD10" s="126">
        <v>1</v>
      </c>
      <c r="AE10" s="126">
        <v>0</v>
      </c>
      <c r="AF10" s="139">
        <f>SUM(B10:AE10)</f>
        <v>61</v>
      </c>
    </row>
    <row r="11" spans="1:32" x14ac:dyDescent="0.3">
      <c r="A11" s="39" t="s">
        <v>198</v>
      </c>
      <c r="B11" s="128">
        <v>0.94915254237288138</v>
      </c>
      <c r="C11" s="130">
        <v>0.94871794871794868</v>
      </c>
      <c r="D11" s="128">
        <v>0.94936708860759489</v>
      </c>
      <c r="E11" s="148">
        <v>0.97297297297297303</v>
      </c>
      <c r="F11" s="130">
        <v>0.96739130434782605</v>
      </c>
      <c r="G11" s="130">
        <v>0.9907407407407407</v>
      </c>
      <c r="H11" s="130">
        <v>1</v>
      </c>
      <c r="I11" s="130">
        <v>0.971830985915493</v>
      </c>
      <c r="J11" s="130">
        <v>0.98245614035087714</v>
      </c>
      <c r="K11" s="128">
        <v>1</v>
      </c>
      <c r="L11" s="130">
        <v>0.93506493506493504</v>
      </c>
      <c r="M11" s="128">
        <v>0.96250000000000002</v>
      </c>
      <c r="N11" s="128">
        <v>0.98809523809523814</v>
      </c>
      <c r="O11" s="128">
        <v>0.98750000000000004</v>
      </c>
      <c r="P11" s="130">
        <v>1</v>
      </c>
      <c r="Q11" s="130">
        <v>0.96875</v>
      </c>
      <c r="R11" s="130">
        <v>0.94871794871794868</v>
      </c>
      <c r="S11" s="130">
        <v>0.9263157894736842</v>
      </c>
      <c r="T11" s="130">
        <v>0.971830985915493</v>
      </c>
      <c r="U11" s="130">
        <v>0.94791666666666663</v>
      </c>
      <c r="V11" s="130">
        <v>0.97894736842105268</v>
      </c>
      <c r="W11" s="130">
        <v>1</v>
      </c>
      <c r="X11" s="130">
        <v>0.9375</v>
      </c>
      <c r="Y11" s="130">
        <v>0.95348837209302328</v>
      </c>
      <c r="Z11" s="130">
        <v>0.93333333333333335</v>
      </c>
      <c r="AA11" s="130">
        <v>1</v>
      </c>
      <c r="AB11" s="130">
        <v>0.9662921348314607</v>
      </c>
      <c r="AC11" s="130">
        <v>0.95</v>
      </c>
      <c r="AD11" s="128">
        <v>0.96666666666666667</v>
      </c>
      <c r="AE11" s="130">
        <v>1</v>
      </c>
      <c r="AF11" s="142">
        <f>1-(AF10/AF9)</f>
        <v>0.96928499496475329</v>
      </c>
    </row>
    <row r="12" spans="1:32" x14ac:dyDescent="0.3">
      <c r="A12" s="39" t="s">
        <v>199</v>
      </c>
      <c r="B12" s="126"/>
      <c r="C12" s="126"/>
      <c r="D12" s="126"/>
      <c r="E12" s="14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40"/>
    </row>
    <row r="13" spans="1:32" x14ac:dyDescent="0.3">
      <c r="A13" s="39" t="s">
        <v>148</v>
      </c>
      <c r="B13" s="126">
        <v>3</v>
      </c>
      <c r="C13" s="126">
        <v>2</v>
      </c>
      <c r="D13" s="126">
        <v>4</v>
      </c>
      <c r="E13" s="146">
        <v>3</v>
      </c>
      <c r="F13" s="126">
        <v>3</v>
      </c>
      <c r="G13" s="126">
        <v>1</v>
      </c>
      <c r="H13" s="126">
        <v>0</v>
      </c>
      <c r="I13" s="126">
        <v>2</v>
      </c>
      <c r="J13" s="126">
        <v>1</v>
      </c>
      <c r="K13" s="126">
        <v>0</v>
      </c>
      <c r="L13" s="126">
        <v>5</v>
      </c>
      <c r="M13" s="126">
        <v>3</v>
      </c>
      <c r="N13" s="126">
        <v>1</v>
      </c>
      <c r="O13" s="126">
        <v>1</v>
      </c>
      <c r="P13" s="126">
        <v>0</v>
      </c>
      <c r="Q13" s="126">
        <v>1</v>
      </c>
      <c r="R13" s="126">
        <v>2</v>
      </c>
      <c r="S13" s="126">
        <v>7</v>
      </c>
      <c r="T13" s="126">
        <v>2</v>
      </c>
      <c r="U13" s="126">
        <v>5</v>
      </c>
      <c r="V13" s="126">
        <v>2</v>
      </c>
      <c r="W13" s="126">
        <v>0</v>
      </c>
      <c r="X13" s="126">
        <v>2</v>
      </c>
      <c r="Y13" s="126">
        <v>2</v>
      </c>
      <c r="Z13" s="126">
        <v>2</v>
      </c>
      <c r="AA13" s="126">
        <v>0</v>
      </c>
      <c r="AB13" s="126">
        <v>3</v>
      </c>
      <c r="AC13" s="126">
        <v>3</v>
      </c>
      <c r="AD13" s="126">
        <v>1</v>
      </c>
      <c r="AE13" s="126">
        <v>0</v>
      </c>
      <c r="AF13" s="140">
        <f>SUM(B13:AE13)</f>
        <v>61</v>
      </c>
    </row>
    <row r="14" spans="1:32" x14ac:dyDescent="0.3">
      <c r="A14" s="150" t="s">
        <v>200</v>
      </c>
      <c r="B14" s="126"/>
      <c r="C14" s="126"/>
      <c r="D14" s="126"/>
      <c r="E14" s="14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40"/>
    </row>
    <row r="15" spans="1:32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4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40"/>
    </row>
    <row r="16" spans="1:32" x14ac:dyDescent="0.3">
      <c r="A16" s="144" t="s">
        <v>173</v>
      </c>
      <c r="B16" s="35">
        <v>5</v>
      </c>
      <c r="C16" s="35">
        <v>10</v>
      </c>
      <c r="D16" s="35">
        <v>10</v>
      </c>
      <c r="E16" s="35">
        <v>5</v>
      </c>
      <c r="F16" s="35">
        <v>5</v>
      </c>
      <c r="G16" s="35">
        <v>10</v>
      </c>
      <c r="H16" s="35">
        <v>10</v>
      </c>
      <c r="I16" s="35">
        <v>10</v>
      </c>
      <c r="J16" s="35">
        <v>10</v>
      </c>
      <c r="K16" s="35">
        <v>10</v>
      </c>
      <c r="L16" s="35">
        <v>10</v>
      </c>
      <c r="M16" s="35">
        <v>10</v>
      </c>
      <c r="N16" s="35">
        <v>10</v>
      </c>
      <c r="O16" s="35">
        <v>10</v>
      </c>
      <c r="P16" s="35">
        <v>10</v>
      </c>
      <c r="Q16" s="35">
        <v>10</v>
      </c>
      <c r="R16" s="35">
        <v>10</v>
      </c>
      <c r="S16" s="151">
        <v>5</v>
      </c>
      <c r="T16" s="35">
        <v>10</v>
      </c>
      <c r="U16" s="35">
        <v>10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10</v>
      </c>
      <c r="AB16" s="35">
        <v>10</v>
      </c>
      <c r="AC16" s="35">
        <v>10</v>
      </c>
      <c r="AD16" s="35">
        <v>10</v>
      </c>
      <c r="AE16" s="35">
        <v>10</v>
      </c>
      <c r="AF16" s="35"/>
    </row>
    <row r="17" spans="1:32" ht="15" thickBot="1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1:32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</row>
    <row r="19" spans="1:32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3"/>
    </row>
    <row r="20" spans="1:32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</row>
    <row r="21" spans="1:32" x14ac:dyDescent="0.3">
      <c r="A21" s="132" t="s">
        <v>34</v>
      </c>
      <c r="B21" s="137">
        <f t="shared" ref="B21:AE21" si="0">B7*B6</f>
        <v>4</v>
      </c>
      <c r="C21" s="137">
        <f t="shared" si="0"/>
        <v>2</v>
      </c>
      <c r="D21" s="137">
        <f t="shared" si="0"/>
        <v>9</v>
      </c>
      <c r="E21" s="137">
        <f t="shared" si="0"/>
        <v>12.999999999999998</v>
      </c>
      <c r="F21" s="137">
        <f t="shared" si="0"/>
        <v>7</v>
      </c>
      <c r="G21" s="137">
        <f t="shared" si="0"/>
        <v>5</v>
      </c>
      <c r="H21" s="137">
        <f t="shared" si="0"/>
        <v>4</v>
      </c>
      <c r="I21" s="137">
        <f t="shared" si="0"/>
        <v>5</v>
      </c>
      <c r="J21" s="137">
        <f t="shared" si="0"/>
        <v>2</v>
      </c>
      <c r="K21" s="137">
        <f t="shared" si="0"/>
        <v>4</v>
      </c>
      <c r="L21" s="137">
        <f t="shared" si="0"/>
        <v>3</v>
      </c>
      <c r="M21" s="137">
        <f t="shared" si="0"/>
        <v>3</v>
      </c>
      <c r="N21" s="137">
        <f t="shared" si="0"/>
        <v>6</v>
      </c>
      <c r="O21" s="137">
        <f t="shared" si="0"/>
        <v>6</v>
      </c>
      <c r="P21" s="137">
        <f>P7*P6</f>
        <v>3</v>
      </c>
      <c r="Q21" s="137">
        <f>Q7*Q6</f>
        <v>0</v>
      </c>
      <c r="R21" s="137">
        <f>R7*R6</f>
        <v>4</v>
      </c>
      <c r="S21" s="137">
        <f t="shared" si="0"/>
        <v>9</v>
      </c>
      <c r="T21" s="137">
        <f t="shared" si="0"/>
        <v>4</v>
      </c>
      <c r="U21" s="137">
        <f t="shared" si="0"/>
        <v>8</v>
      </c>
      <c r="V21" s="137">
        <f t="shared" si="0"/>
        <v>1</v>
      </c>
      <c r="W21" s="137">
        <f t="shared" si="0"/>
        <v>3</v>
      </c>
      <c r="X21" s="137">
        <f t="shared" si="0"/>
        <v>1</v>
      </c>
      <c r="Y21" s="137">
        <f t="shared" si="0"/>
        <v>4</v>
      </c>
      <c r="Z21" s="137">
        <f t="shared" ref="Z21" si="1">Z7*Z6</f>
        <v>4</v>
      </c>
      <c r="AA21" s="137">
        <f t="shared" si="0"/>
        <v>5</v>
      </c>
      <c r="AB21" s="137">
        <f t="shared" si="0"/>
        <v>7</v>
      </c>
      <c r="AC21" s="137">
        <f t="shared" si="0"/>
        <v>4</v>
      </c>
      <c r="AD21" s="137">
        <f t="shared" si="0"/>
        <v>0</v>
      </c>
      <c r="AE21" s="137">
        <f t="shared" si="0"/>
        <v>0</v>
      </c>
      <c r="AF21" s="139">
        <f>SUM(B21:AE21)</f>
        <v>130</v>
      </c>
    </row>
    <row r="22" spans="1:32" x14ac:dyDescent="0.3">
      <c r="A22" s="132" t="s">
        <v>169</v>
      </c>
      <c r="B22" s="126">
        <f t="shared" ref="B22:AE22" si="2">(B8*B6)-B21</f>
        <v>2</v>
      </c>
      <c r="C22" s="126">
        <f t="shared" si="2"/>
        <v>3</v>
      </c>
      <c r="D22" s="126">
        <f t="shared" si="2"/>
        <v>6</v>
      </c>
      <c r="E22" s="126">
        <f t="shared" si="2"/>
        <v>9.0000000000000018</v>
      </c>
      <c r="F22" s="126">
        <f t="shared" si="2"/>
        <v>6</v>
      </c>
      <c r="G22" s="126">
        <f t="shared" si="2"/>
        <v>10</v>
      </c>
      <c r="H22" s="126">
        <f t="shared" si="2"/>
        <v>9</v>
      </c>
      <c r="I22" s="126">
        <f t="shared" si="2"/>
        <v>5</v>
      </c>
      <c r="J22" s="126">
        <f t="shared" si="2"/>
        <v>2</v>
      </c>
      <c r="K22" s="126">
        <f t="shared" si="2"/>
        <v>7</v>
      </c>
      <c r="L22" s="126">
        <f t="shared" si="2"/>
        <v>12</v>
      </c>
      <c r="M22" s="126">
        <f t="shared" si="2"/>
        <v>6</v>
      </c>
      <c r="N22" s="126">
        <f t="shared" si="2"/>
        <v>4</v>
      </c>
      <c r="O22" s="126">
        <f t="shared" si="2"/>
        <v>7</v>
      </c>
      <c r="P22" s="126">
        <f>(P8*P6)-P21</f>
        <v>1</v>
      </c>
      <c r="Q22" s="126">
        <f>(Q8*Q6)-Q21</f>
        <v>5</v>
      </c>
      <c r="R22" s="126">
        <f>(R8*R6)-R21</f>
        <v>7</v>
      </c>
      <c r="S22" s="126">
        <f t="shared" si="2"/>
        <v>9</v>
      </c>
      <c r="T22" s="126">
        <f t="shared" si="2"/>
        <v>5</v>
      </c>
      <c r="U22" s="126">
        <f t="shared" si="2"/>
        <v>11</v>
      </c>
      <c r="V22" s="126">
        <f t="shared" si="2"/>
        <v>4</v>
      </c>
      <c r="W22" s="126">
        <f t="shared" si="2"/>
        <v>3</v>
      </c>
      <c r="X22" s="126">
        <f t="shared" si="2"/>
        <v>0</v>
      </c>
      <c r="Y22" s="126">
        <f t="shared" si="2"/>
        <v>6</v>
      </c>
      <c r="Z22" s="126">
        <f t="shared" ref="Z22" si="3">(Z8*Z6)-Z21</f>
        <v>1</v>
      </c>
      <c r="AA22" s="126">
        <f>(AA8*AA6)-AA21</f>
        <v>2</v>
      </c>
      <c r="AB22" s="126">
        <f t="shared" si="2"/>
        <v>6</v>
      </c>
      <c r="AC22" s="126">
        <f t="shared" si="2"/>
        <v>1</v>
      </c>
      <c r="AD22" s="126">
        <f t="shared" si="2"/>
        <v>1</v>
      </c>
      <c r="AE22" s="126">
        <f t="shared" si="2"/>
        <v>1</v>
      </c>
      <c r="AF22" s="139">
        <f>SUM(B22:AE22)</f>
        <v>151</v>
      </c>
    </row>
    <row r="23" spans="1:32" x14ac:dyDescent="0.3">
      <c r="A23" s="132" t="s">
        <v>202</v>
      </c>
      <c r="B23" s="137">
        <f t="shared" ref="B23:AE23" si="4">B6-(B22+B21)</f>
        <v>1</v>
      </c>
      <c r="C23" s="137">
        <f t="shared" si="4"/>
        <v>0</v>
      </c>
      <c r="D23" s="137">
        <f t="shared" si="4"/>
        <v>0</v>
      </c>
      <c r="E23" s="137">
        <f t="shared" si="4"/>
        <v>1</v>
      </c>
      <c r="F23" s="137">
        <f t="shared" si="4"/>
        <v>1</v>
      </c>
      <c r="G23" s="137">
        <f t="shared" si="4"/>
        <v>0</v>
      </c>
      <c r="H23" s="137">
        <f t="shared" si="4"/>
        <v>0</v>
      </c>
      <c r="I23" s="137">
        <f t="shared" si="4"/>
        <v>0</v>
      </c>
      <c r="J23" s="137">
        <f t="shared" si="4"/>
        <v>0</v>
      </c>
      <c r="K23" s="137">
        <f t="shared" si="4"/>
        <v>0</v>
      </c>
      <c r="L23" s="137">
        <f t="shared" si="4"/>
        <v>0</v>
      </c>
      <c r="M23" s="137">
        <f t="shared" si="4"/>
        <v>0</v>
      </c>
      <c r="N23" s="137">
        <f t="shared" si="4"/>
        <v>0</v>
      </c>
      <c r="O23" s="137">
        <f t="shared" si="4"/>
        <v>0</v>
      </c>
      <c r="P23" s="137">
        <f>P6-(P22+P21)</f>
        <v>0</v>
      </c>
      <c r="Q23" s="137">
        <f>Q6-(Q22+Q21)</f>
        <v>0</v>
      </c>
      <c r="R23" s="137">
        <f>R6-(R22+R21)</f>
        <v>0</v>
      </c>
      <c r="S23" s="137">
        <f t="shared" si="4"/>
        <v>1</v>
      </c>
      <c r="T23" s="137">
        <f t="shared" si="4"/>
        <v>0</v>
      </c>
      <c r="U23" s="137">
        <f t="shared" si="4"/>
        <v>0</v>
      </c>
      <c r="V23" s="137">
        <f t="shared" si="4"/>
        <v>0</v>
      </c>
      <c r="W23" s="137">
        <f t="shared" si="4"/>
        <v>0</v>
      </c>
      <c r="X23" s="137">
        <f t="shared" si="4"/>
        <v>0</v>
      </c>
      <c r="Y23" s="137">
        <f t="shared" si="4"/>
        <v>0</v>
      </c>
      <c r="Z23" s="137">
        <f t="shared" ref="Z23" si="5">Z6-(Z22+Z21)</f>
        <v>0</v>
      </c>
      <c r="AA23" s="137">
        <f t="shared" si="4"/>
        <v>0</v>
      </c>
      <c r="AB23" s="137">
        <f t="shared" si="4"/>
        <v>0</v>
      </c>
      <c r="AC23" s="137">
        <f t="shared" si="4"/>
        <v>0</v>
      </c>
      <c r="AD23" s="137">
        <f t="shared" si="4"/>
        <v>0</v>
      </c>
      <c r="AE23" s="137">
        <f t="shared" si="4"/>
        <v>0</v>
      </c>
      <c r="AF23" s="139">
        <f>SUM(B23:AE23)</f>
        <v>4</v>
      </c>
    </row>
    <row r="24" spans="1:32" x14ac:dyDescent="0.3">
      <c r="A24" s="136"/>
      <c r="B24" s="138">
        <f t="shared" ref="B24:AE24" si="6">SUM(B21:B23)</f>
        <v>7</v>
      </c>
      <c r="C24" s="138">
        <f t="shared" si="6"/>
        <v>5</v>
      </c>
      <c r="D24" s="138">
        <f t="shared" si="6"/>
        <v>15</v>
      </c>
      <c r="E24" s="138">
        <f t="shared" si="6"/>
        <v>23</v>
      </c>
      <c r="F24" s="138">
        <f t="shared" si="6"/>
        <v>14</v>
      </c>
      <c r="G24" s="138">
        <f t="shared" si="6"/>
        <v>15</v>
      </c>
      <c r="H24" s="138">
        <f t="shared" si="6"/>
        <v>13</v>
      </c>
      <c r="I24" s="138">
        <f t="shared" si="6"/>
        <v>10</v>
      </c>
      <c r="J24" s="138">
        <f t="shared" si="6"/>
        <v>4</v>
      </c>
      <c r="K24" s="138">
        <f t="shared" si="6"/>
        <v>11</v>
      </c>
      <c r="L24" s="138">
        <f t="shared" si="6"/>
        <v>15</v>
      </c>
      <c r="M24" s="138">
        <f t="shared" si="6"/>
        <v>9</v>
      </c>
      <c r="N24" s="138">
        <f t="shared" si="6"/>
        <v>10</v>
      </c>
      <c r="O24" s="138">
        <f t="shared" si="6"/>
        <v>13</v>
      </c>
      <c r="P24" s="138">
        <f t="shared" si="6"/>
        <v>4</v>
      </c>
      <c r="Q24" s="138">
        <f t="shared" si="6"/>
        <v>5</v>
      </c>
      <c r="R24" s="138">
        <f t="shared" si="6"/>
        <v>11</v>
      </c>
      <c r="S24" s="138">
        <f t="shared" si="6"/>
        <v>19</v>
      </c>
      <c r="T24" s="138">
        <f t="shared" si="6"/>
        <v>9</v>
      </c>
      <c r="U24" s="138">
        <f t="shared" si="6"/>
        <v>19</v>
      </c>
      <c r="V24" s="138">
        <f t="shared" si="6"/>
        <v>5</v>
      </c>
      <c r="W24" s="138">
        <f t="shared" si="6"/>
        <v>6</v>
      </c>
      <c r="X24" s="138">
        <f t="shared" si="6"/>
        <v>1</v>
      </c>
      <c r="Y24" s="138">
        <f t="shared" si="6"/>
        <v>10</v>
      </c>
      <c r="Z24" s="138">
        <f t="shared" ref="Z24" si="7">SUM(Z21:Z23)</f>
        <v>5</v>
      </c>
      <c r="AA24" s="138">
        <f t="shared" si="6"/>
        <v>7</v>
      </c>
      <c r="AB24" s="138">
        <f t="shared" si="6"/>
        <v>13</v>
      </c>
      <c r="AC24" s="138">
        <f t="shared" si="6"/>
        <v>5</v>
      </c>
      <c r="AD24" s="138">
        <f t="shared" si="6"/>
        <v>1</v>
      </c>
      <c r="AE24" s="138">
        <f t="shared" si="6"/>
        <v>1</v>
      </c>
      <c r="AF24" s="139">
        <f>SUM(B24:AE24)</f>
        <v>285</v>
      </c>
    </row>
  </sheetData>
  <conditionalFormatting sqref="A16">
    <cfRule type="iconSet" priority="8">
      <iconSet iconSet="3TrafficLights2" showValue="0">
        <cfvo type="percent" val="0"/>
        <cfvo type="num" val="5"/>
        <cfvo type="num" val="10"/>
      </iconSet>
    </cfRule>
  </conditionalFormatting>
  <conditionalFormatting sqref="Z16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AB16:AE16">
    <cfRule type="iconSet" priority="5">
      <iconSet iconSet="3TrafficLights2" showValue="0">
        <cfvo type="percent" val="0"/>
        <cfvo type="num" val="5"/>
        <cfvo type="num" val="10"/>
      </iconSet>
    </cfRule>
    <cfRule type="iconSet" priority="6">
      <iconSet iconSet="3TrafficLights2" showValue="0">
        <cfvo type="percent" val="0"/>
        <cfvo type="num" val="5"/>
        <cfvo type="num" val="10"/>
      </iconSet>
    </cfRule>
  </conditionalFormatting>
  <conditionalFormatting sqref="AF16 A16:Y16 AA16">
    <cfRule type="iconSet" priority="9">
      <iconSet iconSet="3TrafficLights2" showValue="0">
        <cfvo type="percent" val="0"/>
        <cfvo type="num" val="5"/>
        <cfvo type="num" val="10"/>
      </iconSet>
    </cfRule>
    <cfRule type="iconSet" priority="10">
      <iconSet iconSet="3TrafficLights2" showValue="0">
        <cfvo type="percent" val="0"/>
        <cfvo type="num" val="5"/>
        <cfvo type="num" val="10"/>
      </iconSet>
    </cfRule>
  </conditionalFormatting>
  <conditionalFormatting sqref="AF16">
    <cfRule type="iconSet" priority="7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C2EB-504F-4673-BC6C-BAD9A7F04922}">
  <dimension ref="A1:AG24"/>
  <sheetViews>
    <sheetView tabSelected="1" topLeftCell="A2" workbookViewId="0">
      <selection activeCell="A13" sqref="A13"/>
    </sheetView>
  </sheetViews>
  <sheetFormatPr baseColWidth="10" defaultColWidth="11.44140625" defaultRowHeight="14.4" x14ac:dyDescent="0.3"/>
  <cols>
    <col min="1" max="1" width="31.5546875" customWidth="1"/>
  </cols>
  <sheetData>
    <row r="1" spans="1:33" ht="15" thickBot="1" x14ac:dyDescent="0.35">
      <c r="A1" s="44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3" ht="15" thickBot="1" x14ac:dyDescent="0.35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ht="28.8" x14ac:dyDescent="0.3">
      <c r="A3" s="149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215</v>
      </c>
    </row>
    <row r="4" spans="1:33" x14ac:dyDescent="0.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9" t="s">
        <v>194</v>
      </c>
      <c r="B5" s="126" t="s">
        <v>15</v>
      </c>
      <c r="C5" s="126" t="s">
        <v>15</v>
      </c>
      <c r="D5" s="126" t="s">
        <v>15</v>
      </c>
      <c r="E5" s="145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26" t="s">
        <v>15</v>
      </c>
      <c r="AG5" s="140"/>
    </row>
    <row r="6" spans="1:33" x14ac:dyDescent="0.3">
      <c r="A6" s="40" t="s">
        <v>195</v>
      </c>
      <c r="B6" s="126">
        <v>9</v>
      </c>
      <c r="C6" s="126">
        <v>10</v>
      </c>
      <c r="D6" s="126">
        <v>9</v>
      </c>
      <c r="E6" s="146">
        <v>14</v>
      </c>
      <c r="F6" s="126">
        <v>7</v>
      </c>
      <c r="G6" s="126">
        <v>5</v>
      </c>
      <c r="H6" s="126">
        <v>2</v>
      </c>
      <c r="I6" s="126">
        <v>3</v>
      </c>
      <c r="J6" s="126">
        <v>9</v>
      </c>
      <c r="K6" s="126">
        <v>11</v>
      </c>
      <c r="L6" s="126">
        <v>10</v>
      </c>
      <c r="M6" s="126">
        <v>6</v>
      </c>
      <c r="N6" s="126">
        <v>1</v>
      </c>
      <c r="O6" s="126">
        <v>3</v>
      </c>
      <c r="P6" s="126">
        <v>12</v>
      </c>
      <c r="Q6" s="126">
        <v>4</v>
      </c>
      <c r="R6" s="126">
        <v>9</v>
      </c>
      <c r="S6" s="126">
        <v>6</v>
      </c>
      <c r="T6" s="126">
        <v>9</v>
      </c>
      <c r="U6" s="126">
        <v>1</v>
      </c>
      <c r="V6" s="126">
        <v>2</v>
      </c>
      <c r="W6" s="126">
        <v>10</v>
      </c>
      <c r="X6" s="126">
        <v>5</v>
      </c>
      <c r="Y6" s="126">
        <v>3</v>
      </c>
      <c r="Z6" s="126">
        <v>2</v>
      </c>
      <c r="AA6" s="126">
        <v>8</v>
      </c>
      <c r="AB6" s="126">
        <v>2</v>
      </c>
      <c r="AC6" s="126">
        <v>2</v>
      </c>
      <c r="AD6" s="126">
        <v>7</v>
      </c>
      <c r="AE6" s="126">
        <v>7</v>
      </c>
      <c r="AF6" s="126">
        <v>3</v>
      </c>
      <c r="AG6" s="140">
        <f>SUM(B6:AE6)</f>
        <v>188</v>
      </c>
    </row>
    <row r="7" spans="1:33" x14ac:dyDescent="0.3">
      <c r="A7" s="39" t="s">
        <v>34</v>
      </c>
      <c r="B7" s="127">
        <v>0.44444444444444442</v>
      </c>
      <c r="C7" s="129">
        <v>0.3</v>
      </c>
      <c r="D7" s="128">
        <v>0.33333333333333331</v>
      </c>
      <c r="E7" s="147">
        <v>0.2857142857142857</v>
      </c>
      <c r="F7" s="129">
        <v>0.14285714285714285</v>
      </c>
      <c r="G7" s="129">
        <v>0</v>
      </c>
      <c r="H7" s="129">
        <v>1</v>
      </c>
      <c r="I7" s="129">
        <v>0.66666666666666663</v>
      </c>
      <c r="J7" s="129">
        <v>0.33333333333333331</v>
      </c>
      <c r="K7" s="127">
        <v>0.72727272727272729</v>
      </c>
      <c r="L7" s="129">
        <v>0.3</v>
      </c>
      <c r="M7" s="127">
        <v>0.33333333333333331</v>
      </c>
      <c r="N7" s="127">
        <v>1</v>
      </c>
      <c r="O7" s="127">
        <v>0.33333333333333331</v>
      </c>
      <c r="P7" s="129">
        <v>0.41666666666666669</v>
      </c>
      <c r="Q7" s="129">
        <v>1</v>
      </c>
      <c r="R7" s="129">
        <v>0.22222222222222221</v>
      </c>
      <c r="S7" s="129">
        <v>0.66666666666666663</v>
      </c>
      <c r="T7" s="129">
        <v>0.33333333333333331</v>
      </c>
      <c r="U7" s="129">
        <v>0</v>
      </c>
      <c r="V7" s="129">
        <v>1</v>
      </c>
      <c r="W7" s="129">
        <v>0.5</v>
      </c>
      <c r="X7" s="129">
        <v>0.2</v>
      </c>
      <c r="Y7" s="129">
        <v>0.33333333333333331</v>
      </c>
      <c r="Z7" s="129">
        <v>1</v>
      </c>
      <c r="AA7" s="129">
        <v>0.375</v>
      </c>
      <c r="AB7" s="129">
        <v>0</v>
      </c>
      <c r="AC7" s="129">
        <v>0</v>
      </c>
      <c r="AD7" s="128">
        <v>0.5714285714285714</v>
      </c>
      <c r="AE7" s="129">
        <v>0.5714285714285714</v>
      </c>
      <c r="AF7" s="129">
        <v>0</v>
      </c>
      <c r="AG7" s="142">
        <f>AG21/AG24</f>
        <v>0.40957446808510639</v>
      </c>
    </row>
    <row r="8" spans="1:33" x14ac:dyDescent="0.3">
      <c r="A8" s="39" t="s">
        <v>169</v>
      </c>
      <c r="B8" s="128">
        <v>1</v>
      </c>
      <c r="C8" s="129">
        <v>0.9</v>
      </c>
      <c r="D8" s="128">
        <v>1</v>
      </c>
      <c r="E8" s="148">
        <v>0.9285714285714286</v>
      </c>
      <c r="F8" s="129">
        <v>1</v>
      </c>
      <c r="G8" s="129">
        <v>1</v>
      </c>
      <c r="H8" s="129">
        <v>1</v>
      </c>
      <c r="I8" s="129">
        <v>1</v>
      </c>
      <c r="J8" s="129">
        <v>1</v>
      </c>
      <c r="K8" s="128">
        <v>1</v>
      </c>
      <c r="L8" s="129">
        <v>1</v>
      </c>
      <c r="M8" s="128">
        <v>1</v>
      </c>
      <c r="N8" s="128">
        <v>1</v>
      </c>
      <c r="O8" s="128">
        <v>1</v>
      </c>
      <c r="P8" s="129">
        <v>1</v>
      </c>
      <c r="Q8" s="129">
        <v>1</v>
      </c>
      <c r="R8" s="129">
        <v>0.77777777777777779</v>
      </c>
      <c r="S8" s="129">
        <v>1</v>
      </c>
      <c r="T8" s="129">
        <v>1</v>
      </c>
      <c r="U8" s="129">
        <v>1</v>
      </c>
      <c r="V8" s="129">
        <v>1</v>
      </c>
      <c r="W8" s="129">
        <v>1</v>
      </c>
      <c r="X8" s="129">
        <v>1</v>
      </c>
      <c r="Y8" s="129">
        <v>1</v>
      </c>
      <c r="Z8" s="129">
        <v>1</v>
      </c>
      <c r="AA8" s="129">
        <v>1</v>
      </c>
      <c r="AB8" s="129">
        <v>1</v>
      </c>
      <c r="AC8" s="129">
        <v>1</v>
      </c>
      <c r="AD8" s="128">
        <v>1</v>
      </c>
      <c r="AE8" s="129">
        <v>1</v>
      </c>
      <c r="AF8" s="129">
        <v>1</v>
      </c>
      <c r="AG8" s="142">
        <f>(AG21+AG22)/AG24</f>
        <v>0.97872340425531912</v>
      </c>
    </row>
    <row r="9" spans="1:33" x14ac:dyDescent="0.3">
      <c r="A9" s="39" t="s">
        <v>196</v>
      </c>
      <c r="B9" s="126">
        <v>37</v>
      </c>
      <c r="C9" s="145">
        <v>65</v>
      </c>
      <c r="D9" s="126">
        <v>70</v>
      </c>
      <c r="E9" s="146">
        <v>100</v>
      </c>
      <c r="F9" s="126">
        <v>70</v>
      </c>
      <c r="G9" s="126">
        <v>36</v>
      </c>
      <c r="H9" s="126">
        <v>20</v>
      </c>
      <c r="I9" s="126">
        <v>14</v>
      </c>
      <c r="J9" s="126">
        <v>34</v>
      </c>
      <c r="K9" s="126">
        <v>56</v>
      </c>
      <c r="L9" s="126">
        <v>53</v>
      </c>
      <c r="M9" s="126">
        <v>50</v>
      </c>
      <c r="N9" s="126">
        <v>29</v>
      </c>
      <c r="O9" s="126">
        <v>13</v>
      </c>
      <c r="P9" s="126">
        <v>46</v>
      </c>
      <c r="Q9" s="126">
        <v>56</v>
      </c>
      <c r="R9" s="126">
        <v>49</v>
      </c>
      <c r="S9" s="126">
        <v>63</v>
      </c>
      <c r="T9" s="126">
        <v>62</v>
      </c>
      <c r="U9" s="126">
        <v>37</v>
      </c>
      <c r="V9" s="126">
        <v>15</v>
      </c>
      <c r="W9" s="126">
        <v>33</v>
      </c>
      <c r="X9" s="126">
        <v>41</v>
      </c>
      <c r="Y9" s="126">
        <v>27</v>
      </c>
      <c r="Z9" s="126">
        <v>17</v>
      </c>
      <c r="AA9" s="126">
        <v>31</v>
      </c>
      <c r="AB9" s="126">
        <v>35</v>
      </c>
      <c r="AC9" s="126">
        <v>10</v>
      </c>
      <c r="AD9" s="126">
        <v>35</v>
      </c>
      <c r="AE9" s="126">
        <v>55</v>
      </c>
      <c r="AF9" s="126">
        <v>53</v>
      </c>
      <c r="AG9" s="139">
        <f>SUM(B9:AE9)</f>
        <v>1259</v>
      </c>
    </row>
    <row r="10" spans="1:33" x14ac:dyDescent="0.3">
      <c r="A10" s="39" t="s">
        <v>197</v>
      </c>
      <c r="B10" s="126">
        <v>1</v>
      </c>
      <c r="C10" s="146">
        <v>3</v>
      </c>
      <c r="D10" s="126">
        <v>2</v>
      </c>
      <c r="E10" s="158">
        <v>2</v>
      </c>
      <c r="F10" s="126">
        <v>1</v>
      </c>
      <c r="G10" s="126">
        <v>0</v>
      </c>
      <c r="H10" s="126">
        <v>1</v>
      </c>
      <c r="I10" s="126">
        <v>0</v>
      </c>
      <c r="J10" s="126">
        <v>0</v>
      </c>
      <c r="K10" s="126">
        <v>0</v>
      </c>
      <c r="L10" s="126">
        <v>0</v>
      </c>
      <c r="M10" s="126">
        <v>0</v>
      </c>
      <c r="N10" s="126">
        <v>1</v>
      </c>
      <c r="O10" s="126">
        <v>0</v>
      </c>
      <c r="P10" s="126">
        <v>1</v>
      </c>
      <c r="Q10" s="126">
        <v>0</v>
      </c>
      <c r="R10" s="126">
        <v>0</v>
      </c>
      <c r="S10" s="126">
        <v>2</v>
      </c>
      <c r="T10" s="126">
        <v>0</v>
      </c>
      <c r="U10" s="126">
        <v>0</v>
      </c>
      <c r="V10" s="126">
        <v>0</v>
      </c>
      <c r="W10" s="126">
        <v>0</v>
      </c>
      <c r="X10" s="126">
        <v>2</v>
      </c>
      <c r="Y10" s="126">
        <v>1</v>
      </c>
      <c r="Z10" s="126">
        <v>0</v>
      </c>
      <c r="AA10" s="126">
        <v>2</v>
      </c>
      <c r="AB10" s="126">
        <v>1</v>
      </c>
      <c r="AC10" s="126">
        <v>0</v>
      </c>
      <c r="AD10" s="126">
        <v>0</v>
      </c>
      <c r="AE10" s="126">
        <v>1</v>
      </c>
      <c r="AF10" s="126">
        <v>0</v>
      </c>
      <c r="AG10" s="139">
        <f>SUM(B10:AE10)</f>
        <v>21</v>
      </c>
    </row>
    <row r="11" spans="1:33" x14ac:dyDescent="0.3">
      <c r="A11" s="39" t="s">
        <v>198</v>
      </c>
      <c r="B11" s="128">
        <v>0.97297297297297303</v>
      </c>
      <c r="C11" s="148">
        <v>0.95379999999999998</v>
      </c>
      <c r="D11" s="128">
        <v>0.97142857142857142</v>
      </c>
      <c r="E11" s="159">
        <v>0.97142857142857142</v>
      </c>
      <c r="F11" s="160">
        <v>1</v>
      </c>
      <c r="G11" s="130">
        <v>1</v>
      </c>
      <c r="H11" s="130">
        <v>0.95</v>
      </c>
      <c r="I11" s="130">
        <v>1</v>
      </c>
      <c r="J11" s="130">
        <v>1</v>
      </c>
      <c r="K11" s="128">
        <v>1</v>
      </c>
      <c r="L11" s="130">
        <v>1</v>
      </c>
      <c r="M11" s="128">
        <v>1</v>
      </c>
      <c r="N11" s="128">
        <v>0.96551724137931039</v>
      </c>
      <c r="O11" s="128">
        <v>1</v>
      </c>
      <c r="P11" s="130">
        <v>0.97826086956521741</v>
      </c>
      <c r="Q11" s="130">
        <v>1</v>
      </c>
      <c r="R11" s="130">
        <v>1</v>
      </c>
      <c r="S11" s="130">
        <v>0.96825396825396826</v>
      </c>
      <c r="T11" s="130">
        <v>1</v>
      </c>
      <c r="U11" s="130">
        <v>1</v>
      </c>
      <c r="V11" s="130">
        <v>1</v>
      </c>
      <c r="W11" s="130">
        <v>1</v>
      </c>
      <c r="X11" s="130">
        <v>0.95121951219512191</v>
      </c>
      <c r="Y11" s="130">
        <v>0.96296296296296302</v>
      </c>
      <c r="Z11" s="130">
        <v>1</v>
      </c>
      <c r="AA11" s="130">
        <v>0.93548387096774199</v>
      </c>
      <c r="AB11" s="130">
        <v>0.97142857142857142</v>
      </c>
      <c r="AC11" s="130">
        <v>1</v>
      </c>
      <c r="AD11" s="128">
        <v>1</v>
      </c>
      <c r="AE11" s="130">
        <v>0.98181818181818181</v>
      </c>
      <c r="AF11" s="130">
        <v>1</v>
      </c>
      <c r="AG11" s="142">
        <f>1-(AG10/AG9)</f>
        <v>0.98332009531374109</v>
      </c>
    </row>
    <row r="12" spans="1:33" x14ac:dyDescent="0.3">
      <c r="A12" s="39" t="s">
        <v>199</v>
      </c>
      <c r="B12" s="126"/>
      <c r="C12" s="146"/>
      <c r="D12" s="126"/>
      <c r="E12" s="158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x14ac:dyDescent="0.3">
      <c r="A13" s="39" t="s">
        <v>148</v>
      </c>
      <c r="B13" s="126">
        <v>1</v>
      </c>
      <c r="C13" s="146">
        <v>3</v>
      </c>
      <c r="D13" s="126">
        <v>2</v>
      </c>
      <c r="E13" s="158">
        <v>2</v>
      </c>
      <c r="F13" s="126">
        <v>1</v>
      </c>
      <c r="G13" s="126">
        <v>0</v>
      </c>
      <c r="H13" s="126">
        <v>1</v>
      </c>
      <c r="I13" s="126">
        <v>0</v>
      </c>
      <c r="J13" s="126">
        <v>0</v>
      </c>
      <c r="K13" s="126">
        <v>0</v>
      </c>
      <c r="L13" s="126">
        <v>0</v>
      </c>
      <c r="M13" s="126">
        <v>0</v>
      </c>
      <c r="N13" s="126">
        <v>1</v>
      </c>
      <c r="O13" s="126">
        <v>0</v>
      </c>
      <c r="P13" s="126">
        <v>1</v>
      </c>
      <c r="Q13" s="126">
        <v>0</v>
      </c>
      <c r="R13" s="126">
        <v>0</v>
      </c>
      <c r="S13" s="126">
        <v>2</v>
      </c>
      <c r="T13" s="126">
        <v>0</v>
      </c>
      <c r="U13" s="126">
        <v>0</v>
      </c>
      <c r="V13" s="126">
        <v>0</v>
      </c>
      <c r="W13" s="126">
        <v>0</v>
      </c>
      <c r="X13" s="126">
        <v>2</v>
      </c>
      <c r="Y13" s="126">
        <v>1</v>
      </c>
      <c r="Z13" s="126">
        <v>0</v>
      </c>
      <c r="AA13" s="126">
        <v>2</v>
      </c>
      <c r="AB13" s="126">
        <v>1</v>
      </c>
      <c r="AC13" s="126">
        <v>0</v>
      </c>
      <c r="AD13" s="126">
        <v>0</v>
      </c>
      <c r="AE13" s="126">
        <v>1</v>
      </c>
      <c r="AF13" s="126">
        <v>0</v>
      </c>
      <c r="AG13" s="140">
        <f>SUM(B13:AE13)</f>
        <v>21</v>
      </c>
    </row>
    <row r="14" spans="1:33" x14ac:dyDescent="0.3">
      <c r="A14" s="150" t="s">
        <v>200</v>
      </c>
      <c r="B14" s="126"/>
      <c r="C14" s="126"/>
      <c r="D14" s="126"/>
      <c r="E14" s="14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x14ac:dyDescent="0.3">
      <c r="A15" s="150" t="s">
        <v>201</v>
      </c>
      <c r="B15" s="126" t="s">
        <v>15</v>
      </c>
      <c r="C15" s="126" t="s">
        <v>15</v>
      </c>
      <c r="D15" s="126" t="s">
        <v>15</v>
      </c>
      <c r="E15" s="14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x14ac:dyDescent="0.3">
      <c r="A16" s="144" t="s">
        <v>173</v>
      </c>
      <c r="B16" s="35">
        <v>10</v>
      </c>
      <c r="C16" s="35">
        <v>5</v>
      </c>
      <c r="D16" s="35">
        <v>10</v>
      </c>
      <c r="E16" s="35">
        <v>5</v>
      </c>
      <c r="F16" s="35">
        <v>10</v>
      </c>
      <c r="G16" s="35">
        <v>10</v>
      </c>
      <c r="H16" s="35">
        <v>10</v>
      </c>
      <c r="I16" s="35">
        <v>10</v>
      </c>
      <c r="J16" s="35">
        <v>10</v>
      </c>
      <c r="K16" s="35">
        <v>10</v>
      </c>
      <c r="L16" s="35">
        <v>10</v>
      </c>
      <c r="M16" s="35">
        <v>10</v>
      </c>
      <c r="N16" s="35">
        <v>10</v>
      </c>
      <c r="O16" s="35">
        <v>10</v>
      </c>
      <c r="P16" s="35">
        <v>10</v>
      </c>
      <c r="Q16" s="35">
        <v>10</v>
      </c>
      <c r="R16" s="35">
        <v>5</v>
      </c>
      <c r="S16" s="35">
        <v>10</v>
      </c>
      <c r="T16" s="35">
        <v>10</v>
      </c>
      <c r="U16" s="35">
        <v>10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10</v>
      </c>
      <c r="AB16" s="35">
        <v>10</v>
      </c>
      <c r="AC16" s="35">
        <v>10</v>
      </c>
      <c r="AD16" s="35">
        <v>10</v>
      </c>
      <c r="AE16" s="35">
        <v>10</v>
      </c>
      <c r="AF16" s="35">
        <v>10</v>
      </c>
      <c r="AG16" s="35"/>
    </row>
    <row r="17" spans="1:33" ht="15" thickBot="1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 ht="15" thickBot="1" x14ac:dyDescent="0.35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x14ac:dyDescent="0.3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  <c r="AG19" s="33"/>
    </row>
    <row r="20" spans="1:33" x14ac:dyDescent="0.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 x14ac:dyDescent="0.3">
      <c r="A21" s="132" t="s">
        <v>34</v>
      </c>
      <c r="B21" s="137">
        <f t="shared" ref="B21:AF21" si="0">B7*B6</f>
        <v>4</v>
      </c>
      <c r="C21" s="137">
        <f t="shared" si="0"/>
        <v>3</v>
      </c>
      <c r="D21" s="137">
        <f t="shared" si="0"/>
        <v>3</v>
      </c>
      <c r="E21" s="137">
        <f t="shared" si="0"/>
        <v>4</v>
      </c>
      <c r="F21" s="137">
        <f t="shared" si="0"/>
        <v>1</v>
      </c>
      <c r="G21" s="137">
        <f t="shared" si="0"/>
        <v>0</v>
      </c>
      <c r="H21" s="137">
        <f t="shared" si="0"/>
        <v>2</v>
      </c>
      <c r="I21" s="137">
        <f t="shared" si="0"/>
        <v>2</v>
      </c>
      <c r="J21" s="137">
        <f t="shared" si="0"/>
        <v>3</v>
      </c>
      <c r="K21" s="137">
        <f t="shared" si="0"/>
        <v>8</v>
      </c>
      <c r="L21" s="137">
        <f t="shared" si="0"/>
        <v>3</v>
      </c>
      <c r="M21" s="137">
        <f t="shared" si="0"/>
        <v>2</v>
      </c>
      <c r="N21" s="137">
        <f t="shared" si="0"/>
        <v>1</v>
      </c>
      <c r="O21" s="137">
        <f t="shared" si="0"/>
        <v>1</v>
      </c>
      <c r="P21" s="137">
        <f t="shared" si="0"/>
        <v>5</v>
      </c>
      <c r="Q21" s="137">
        <f t="shared" si="0"/>
        <v>4</v>
      </c>
      <c r="R21" s="137">
        <f t="shared" si="0"/>
        <v>2</v>
      </c>
      <c r="S21" s="137">
        <f t="shared" si="0"/>
        <v>4</v>
      </c>
      <c r="T21" s="137">
        <f t="shared" si="0"/>
        <v>3</v>
      </c>
      <c r="U21" s="137">
        <f t="shared" si="0"/>
        <v>0</v>
      </c>
      <c r="V21" s="137">
        <f t="shared" si="0"/>
        <v>2</v>
      </c>
      <c r="W21" s="137">
        <f t="shared" si="0"/>
        <v>5</v>
      </c>
      <c r="X21" s="137">
        <f t="shared" si="0"/>
        <v>1</v>
      </c>
      <c r="Y21" s="137">
        <f t="shared" si="0"/>
        <v>1</v>
      </c>
      <c r="Z21" s="137">
        <f t="shared" si="0"/>
        <v>2</v>
      </c>
      <c r="AA21" s="137">
        <f t="shared" si="0"/>
        <v>3</v>
      </c>
      <c r="AB21" s="137">
        <f t="shared" si="0"/>
        <v>0</v>
      </c>
      <c r="AC21" s="137">
        <f t="shared" si="0"/>
        <v>0</v>
      </c>
      <c r="AD21" s="137">
        <f t="shared" si="0"/>
        <v>4</v>
      </c>
      <c r="AE21" s="137">
        <f t="shared" si="0"/>
        <v>4</v>
      </c>
      <c r="AF21" s="137">
        <f t="shared" si="0"/>
        <v>0</v>
      </c>
      <c r="AG21" s="139">
        <f>SUM(B21:AE21)</f>
        <v>77</v>
      </c>
    </row>
    <row r="22" spans="1:33" x14ac:dyDescent="0.3">
      <c r="A22" s="132" t="s">
        <v>169</v>
      </c>
      <c r="B22" s="126">
        <f t="shared" ref="B22:AF22" si="1">(B8*B6)-B21</f>
        <v>5</v>
      </c>
      <c r="C22" s="126">
        <f t="shared" si="1"/>
        <v>6</v>
      </c>
      <c r="D22" s="126">
        <f t="shared" si="1"/>
        <v>6</v>
      </c>
      <c r="E22" s="126">
        <f t="shared" si="1"/>
        <v>9</v>
      </c>
      <c r="F22" s="126">
        <f t="shared" si="1"/>
        <v>6</v>
      </c>
      <c r="G22" s="126">
        <f t="shared" si="1"/>
        <v>5</v>
      </c>
      <c r="H22" s="126">
        <f t="shared" si="1"/>
        <v>0</v>
      </c>
      <c r="I22" s="126">
        <f t="shared" si="1"/>
        <v>1</v>
      </c>
      <c r="J22" s="126">
        <f t="shared" si="1"/>
        <v>6</v>
      </c>
      <c r="K22" s="126">
        <f t="shared" si="1"/>
        <v>3</v>
      </c>
      <c r="L22" s="126">
        <f t="shared" si="1"/>
        <v>7</v>
      </c>
      <c r="M22" s="126">
        <f t="shared" si="1"/>
        <v>4</v>
      </c>
      <c r="N22" s="126">
        <f t="shared" si="1"/>
        <v>0</v>
      </c>
      <c r="O22" s="126">
        <f t="shared" si="1"/>
        <v>2</v>
      </c>
      <c r="P22" s="126">
        <f t="shared" si="1"/>
        <v>7</v>
      </c>
      <c r="Q22" s="126">
        <f t="shared" si="1"/>
        <v>0</v>
      </c>
      <c r="R22" s="126">
        <f t="shared" si="1"/>
        <v>5</v>
      </c>
      <c r="S22" s="126">
        <f t="shared" si="1"/>
        <v>2</v>
      </c>
      <c r="T22" s="126">
        <f t="shared" si="1"/>
        <v>6</v>
      </c>
      <c r="U22" s="126">
        <f t="shared" si="1"/>
        <v>1</v>
      </c>
      <c r="V22" s="126">
        <f t="shared" si="1"/>
        <v>0</v>
      </c>
      <c r="W22" s="126">
        <f t="shared" si="1"/>
        <v>5</v>
      </c>
      <c r="X22" s="126">
        <f t="shared" si="1"/>
        <v>4</v>
      </c>
      <c r="Y22" s="126">
        <f t="shared" si="1"/>
        <v>2</v>
      </c>
      <c r="Z22" s="126">
        <f t="shared" si="1"/>
        <v>0</v>
      </c>
      <c r="AA22" s="126">
        <f t="shared" si="1"/>
        <v>5</v>
      </c>
      <c r="AB22" s="126">
        <f t="shared" si="1"/>
        <v>2</v>
      </c>
      <c r="AC22" s="126">
        <f t="shared" si="1"/>
        <v>2</v>
      </c>
      <c r="AD22" s="126">
        <f t="shared" si="1"/>
        <v>3</v>
      </c>
      <c r="AE22" s="126">
        <f t="shared" si="1"/>
        <v>3</v>
      </c>
      <c r="AF22" s="126">
        <f t="shared" si="1"/>
        <v>3</v>
      </c>
      <c r="AG22" s="139">
        <f>SUM(B22:AE22)</f>
        <v>107</v>
      </c>
    </row>
    <row r="23" spans="1:33" x14ac:dyDescent="0.3">
      <c r="A23" s="132" t="s">
        <v>202</v>
      </c>
      <c r="B23" s="137">
        <f t="shared" ref="B23:AF23" si="2">B6-(B22+B21)</f>
        <v>0</v>
      </c>
      <c r="C23" s="137">
        <f t="shared" si="2"/>
        <v>1</v>
      </c>
      <c r="D23" s="137">
        <f t="shared" si="2"/>
        <v>0</v>
      </c>
      <c r="E23" s="137">
        <f t="shared" si="2"/>
        <v>1</v>
      </c>
      <c r="F23" s="137">
        <f t="shared" si="2"/>
        <v>0</v>
      </c>
      <c r="G23" s="137">
        <f t="shared" si="2"/>
        <v>0</v>
      </c>
      <c r="H23" s="137">
        <f t="shared" si="2"/>
        <v>0</v>
      </c>
      <c r="I23" s="137">
        <f t="shared" si="2"/>
        <v>0</v>
      </c>
      <c r="J23" s="137">
        <f t="shared" si="2"/>
        <v>0</v>
      </c>
      <c r="K23" s="137">
        <f t="shared" si="2"/>
        <v>0</v>
      </c>
      <c r="L23" s="137">
        <f t="shared" si="2"/>
        <v>0</v>
      </c>
      <c r="M23" s="137">
        <f t="shared" si="2"/>
        <v>0</v>
      </c>
      <c r="N23" s="137">
        <f t="shared" si="2"/>
        <v>0</v>
      </c>
      <c r="O23" s="137">
        <f t="shared" si="2"/>
        <v>0</v>
      </c>
      <c r="P23" s="137">
        <f t="shared" si="2"/>
        <v>0</v>
      </c>
      <c r="Q23" s="137">
        <f t="shared" si="2"/>
        <v>0</v>
      </c>
      <c r="R23" s="137">
        <f t="shared" si="2"/>
        <v>2</v>
      </c>
      <c r="S23" s="137">
        <f t="shared" si="2"/>
        <v>0</v>
      </c>
      <c r="T23" s="137">
        <f t="shared" si="2"/>
        <v>0</v>
      </c>
      <c r="U23" s="137">
        <f t="shared" si="2"/>
        <v>0</v>
      </c>
      <c r="V23" s="137">
        <f t="shared" si="2"/>
        <v>0</v>
      </c>
      <c r="W23" s="137">
        <f t="shared" si="2"/>
        <v>0</v>
      </c>
      <c r="X23" s="137">
        <f t="shared" si="2"/>
        <v>0</v>
      </c>
      <c r="Y23" s="137">
        <f t="shared" si="2"/>
        <v>0</v>
      </c>
      <c r="Z23" s="137">
        <f t="shared" si="2"/>
        <v>0</v>
      </c>
      <c r="AA23" s="137">
        <f t="shared" si="2"/>
        <v>0</v>
      </c>
      <c r="AB23" s="137">
        <f t="shared" si="2"/>
        <v>0</v>
      </c>
      <c r="AC23" s="137">
        <f t="shared" si="2"/>
        <v>0</v>
      </c>
      <c r="AD23" s="137">
        <f t="shared" si="2"/>
        <v>0</v>
      </c>
      <c r="AE23" s="137">
        <f t="shared" si="2"/>
        <v>0</v>
      </c>
      <c r="AF23" s="137">
        <f t="shared" si="2"/>
        <v>0</v>
      </c>
      <c r="AG23" s="139">
        <f>SUM(B23:AE23)</f>
        <v>4</v>
      </c>
    </row>
    <row r="24" spans="1:33" x14ac:dyDescent="0.3">
      <c r="A24" s="136"/>
      <c r="B24" s="138">
        <f t="shared" ref="B24:AF24" si="3">SUM(B21:B23)</f>
        <v>9</v>
      </c>
      <c r="C24" s="138">
        <f t="shared" si="3"/>
        <v>10</v>
      </c>
      <c r="D24" s="138">
        <f t="shared" si="3"/>
        <v>9</v>
      </c>
      <c r="E24" s="138">
        <f t="shared" si="3"/>
        <v>14</v>
      </c>
      <c r="F24" s="138">
        <f t="shared" si="3"/>
        <v>7</v>
      </c>
      <c r="G24" s="138">
        <f t="shared" si="3"/>
        <v>5</v>
      </c>
      <c r="H24" s="138">
        <f t="shared" si="3"/>
        <v>2</v>
      </c>
      <c r="I24" s="138">
        <f t="shared" si="3"/>
        <v>3</v>
      </c>
      <c r="J24" s="138">
        <f t="shared" si="3"/>
        <v>9</v>
      </c>
      <c r="K24" s="138">
        <f t="shared" si="3"/>
        <v>11</v>
      </c>
      <c r="L24" s="138">
        <f t="shared" si="3"/>
        <v>10</v>
      </c>
      <c r="M24" s="138">
        <f t="shared" si="3"/>
        <v>6</v>
      </c>
      <c r="N24" s="138">
        <f t="shared" si="3"/>
        <v>1</v>
      </c>
      <c r="O24" s="138">
        <f t="shared" si="3"/>
        <v>3</v>
      </c>
      <c r="P24" s="138">
        <f t="shared" si="3"/>
        <v>12</v>
      </c>
      <c r="Q24" s="138">
        <f t="shared" si="3"/>
        <v>4</v>
      </c>
      <c r="R24" s="138">
        <f t="shared" si="3"/>
        <v>9</v>
      </c>
      <c r="S24" s="138">
        <f t="shared" si="3"/>
        <v>6</v>
      </c>
      <c r="T24" s="138">
        <f t="shared" si="3"/>
        <v>9</v>
      </c>
      <c r="U24" s="138">
        <f t="shared" si="3"/>
        <v>1</v>
      </c>
      <c r="V24" s="138">
        <f t="shared" si="3"/>
        <v>2</v>
      </c>
      <c r="W24" s="138">
        <f t="shared" si="3"/>
        <v>10</v>
      </c>
      <c r="X24" s="138">
        <f t="shared" si="3"/>
        <v>5</v>
      </c>
      <c r="Y24" s="138">
        <f t="shared" si="3"/>
        <v>3</v>
      </c>
      <c r="Z24" s="138">
        <f t="shared" si="3"/>
        <v>2</v>
      </c>
      <c r="AA24" s="138">
        <f t="shared" si="3"/>
        <v>8</v>
      </c>
      <c r="AB24" s="138">
        <f t="shared" si="3"/>
        <v>2</v>
      </c>
      <c r="AC24" s="138">
        <f t="shared" si="3"/>
        <v>2</v>
      </c>
      <c r="AD24" s="138">
        <f t="shared" si="3"/>
        <v>7</v>
      </c>
      <c r="AE24" s="138">
        <f t="shared" si="3"/>
        <v>7</v>
      </c>
      <c r="AF24" s="138">
        <f t="shared" si="3"/>
        <v>3</v>
      </c>
      <c r="AG24" s="139">
        <f>SUM(B24:AE24)</f>
        <v>188</v>
      </c>
    </row>
  </sheetData>
  <conditionalFormatting sqref="A16">
    <cfRule type="iconSet" priority="6">
      <iconSet iconSet="3TrafficLights2" showValue="0">
        <cfvo type="percent" val="0"/>
        <cfvo type="num" val="5"/>
        <cfvo type="num" val="10"/>
      </iconSet>
    </cfRule>
  </conditionalFormatting>
  <conditionalFormatting sqref="A16:AG16">
    <cfRule type="iconSet" priority="7">
      <iconSet iconSet="3TrafficLights2" showValue="0">
        <cfvo type="percent" val="0"/>
        <cfvo type="num" val="5"/>
        <cfvo type="num" val="10"/>
      </iconSet>
    </cfRule>
    <cfRule type="iconSet" priority="8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5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05be82777fdc7fdf29882453c6c6a7cb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4ba72682a79310710f916577017439ba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ea02d4-fa21-4b0d-ae81-62618081dde3" xsi:nil="true"/>
    <lcf76f155ced4ddcb4097134ff3c332f xmlns="f2d69cfc-9e5e-49f5-89c5-c4254f1df4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44CC06-3A0C-4FD8-9787-FBCB9C7573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8ECD3-C95E-4CFD-B971-00E4C5DF0AA2}"/>
</file>

<file path=customXml/itemProps3.xml><?xml version="1.0" encoding="utf-8"?>
<ds:datastoreItem xmlns:ds="http://schemas.openxmlformats.org/officeDocument/2006/customXml" ds:itemID="{7AD1183F-B16E-4751-B31D-E75707867E6B}">
  <ds:schemaRefs>
    <ds:schemaRef ds:uri="http://schemas.microsoft.com/office/2006/metadata/properties"/>
    <ds:schemaRef ds:uri="http://schemas.microsoft.com/office/infopath/2007/PartnerControls"/>
    <ds:schemaRef ds:uri="c4ea02d4-fa21-4b0d-ae81-62618081dde3"/>
    <ds:schemaRef ds:uri="f2d69cfc-9e5e-49f5-89c5-c4254f1df4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SLA Contrato</vt:lpstr>
      <vt:lpstr>New_Dashboard</vt:lpstr>
      <vt:lpstr>Definition</vt:lpstr>
      <vt:lpstr>Dashboard_Sep_17</vt:lpstr>
      <vt:lpstr>Totales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>BT Plc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Ramirez,G,Gema,JSW2 R</dc:creator>
  <cp:keywords/>
  <dc:description/>
  <cp:lastModifiedBy>Sape Dolor Kristina</cp:lastModifiedBy>
  <cp:revision/>
  <dcterms:created xsi:type="dcterms:W3CDTF">2017-11-03T14:17:57Z</dcterms:created>
  <dcterms:modified xsi:type="dcterms:W3CDTF">2026-01-05T08:17:05Z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75407048-2ee6-43cc-8479-34e216f3e718</vt:lpwstr>
  </property>
  <property fmtid="{D5CDD505-2E9C-101B-9397-08002B2CF9AE}" pid="3" name="ContentTypeId">
    <vt:lpwstr>0x010100053D453421A95D4FAA4AEEF46A964E01</vt:lpwstr>
  </property>
  <property fmtid="{D5CDD505-2E9C-101B-9397-08002B2CF9AE}" pid="4" name="MSIP_Label_55818d02-8d25-4bb9-b27c-e4db64670887_Enabled">
    <vt:lpwstr>true</vt:lpwstr>
  </property>
  <property fmtid="{D5CDD505-2E9C-101B-9397-08002B2CF9AE}" pid="5" name="MSIP_Label_55818d02-8d25-4bb9-b27c-e4db64670887_SetDate">
    <vt:lpwstr>2021-02-04T09:53:17Z</vt:lpwstr>
  </property>
  <property fmtid="{D5CDD505-2E9C-101B-9397-08002B2CF9AE}" pid="6" name="MSIP_Label_55818d02-8d25-4bb9-b27c-e4db64670887_Method">
    <vt:lpwstr>Standard</vt:lpwstr>
  </property>
  <property fmtid="{D5CDD505-2E9C-101B-9397-08002B2CF9AE}" pid="7" name="MSIP_Label_55818d02-8d25-4bb9-b27c-e4db64670887_Name">
    <vt:lpwstr>55818d02-8d25-4bb9-b27c-e4db64670887</vt:lpwstr>
  </property>
  <property fmtid="{D5CDD505-2E9C-101B-9397-08002B2CF9AE}" pid="8" name="MSIP_Label_55818d02-8d25-4bb9-b27c-e4db64670887_SiteId">
    <vt:lpwstr>a7f35688-9c00-4d5e-ba41-29f146377ab0</vt:lpwstr>
  </property>
  <property fmtid="{D5CDD505-2E9C-101B-9397-08002B2CF9AE}" pid="9" name="MSIP_Label_55818d02-8d25-4bb9-b27c-e4db64670887_ActionId">
    <vt:lpwstr>3587f1d1-9253-4b70-90f8-6ab7a912354d</vt:lpwstr>
  </property>
  <property fmtid="{D5CDD505-2E9C-101B-9397-08002B2CF9AE}" pid="10" name="MSIP_Label_55818d02-8d25-4bb9-b27c-e4db64670887_ContentBits">
    <vt:lpwstr>0</vt:lpwstr>
  </property>
  <property fmtid="{D5CDD505-2E9C-101B-9397-08002B2CF9AE}" pid="11" name="MediaServiceImageTags">
    <vt:lpwstr/>
  </property>
  <property fmtid="{D5CDD505-2E9C-101B-9397-08002B2CF9AE}" pid="12" name="MSIP_Label_41b88ec2-a72b-4523-9e84-0458a1764731_Enabled">
    <vt:lpwstr>true</vt:lpwstr>
  </property>
  <property fmtid="{D5CDD505-2E9C-101B-9397-08002B2CF9AE}" pid="13" name="MSIP_Label_41b88ec2-a72b-4523-9e84-0458a1764731_SetDate">
    <vt:lpwstr>2024-06-06T11:23:36Z</vt:lpwstr>
  </property>
  <property fmtid="{D5CDD505-2E9C-101B-9397-08002B2CF9AE}" pid="14" name="MSIP_Label_41b88ec2-a72b-4523-9e84-0458a1764731_Method">
    <vt:lpwstr>Privileged</vt:lpwstr>
  </property>
  <property fmtid="{D5CDD505-2E9C-101B-9397-08002B2CF9AE}" pid="15" name="MSIP_Label_41b88ec2-a72b-4523-9e84-0458a1764731_Name">
    <vt:lpwstr>Public O365</vt:lpwstr>
  </property>
  <property fmtid="{D5CDD505-2E9C-101B-9397-08002B2CF9AE}" pid="16" name="MSIP_Label_41b88ec2-a72b-4523-9e84-0458a1764731_SiteId">
    <vt:lpwstr>35595a02-4d6d-44ac-99e1-f9ab4cd872db</vt:lpwstr>
  </property>
  <property fmtid="{D5CDD505-2E9C-101B-9397-08002B2CF9AE}" pid="17" name="MSIP_Label_41b88ec2-a72b-4523-9e84-0458a1764731_ActionId">
    <vt:lpwstr>b4886f7b-dc29-4de2-a1f7-dd73d238a376</vt:lpwstr>
  </property>
  <property fmtid="{D5CDD505-2E9C-101B-9397-08002B2CF9AE}" pid="18" name="MSIP_Label_41b88ec2-a72b-4523-9e84-0458a1764731_ContentBits">
    <vt:lpwstr>0</vt:lpwstr>
  </property>
</Properties>
</file>