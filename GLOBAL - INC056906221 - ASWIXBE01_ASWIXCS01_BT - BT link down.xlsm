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743472\Downloads\"/>
    </mc:Choice>
  </mc:AlternateContent>
  <xr:revisionPtr revIDLastSave="0" documentId="13_ncr:1_{83BC3F6F-6380-430A-93B6-730683F6EEE0}" xr6:coauthVersionLast="47" xr6:coauthVersionMax="47" xr10:uidLastSave="{00000000-0000-0000-0000-000000000000}"/>
  <bookViews>
    <workbookView xWindow="-110" yWindow="-110" windowWidth="19420" windowHeight="10300" activeTab="1" xr2:uid="{A56A25AF-F264-4809-849A-97F9AAB1E64A}"/>
  </bookViews>
  <sheets>
    <sheet name="NOTIFICACIÓN" sheetId="1" r:id="rId1"/>
    <sheet name="Incident Com. (COMPLETAR)" sheetId="2" r:id="rId2"/>
    <sheet name="BBDD" sheetId="4" r:id="rId3"/>
    <sheet name="Listas" sheetId="5" r:id="rId4"/>
    <sheet name="Fórmulas" sheetId="3" r:id="rId5"/>
    <sheet name="BCKP" sheetId="11" r:id="rId6"/>
  </sheets>
  <definedNames>
    <definedName name="_xlnm._FilterDatabase" localSheetId="2" hidden="1">BBDD!$A$1:$C$347</definedName>
    <definedName name="_xleta.AND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E14" i="2" s="1"/>
  <c r="C15" i="11"/>
  <c r="C14" i="11"/>
  <c r="H13" i="11"/>
  <c r="C13" i="11"/>
  <c r="E12" i="11"/>
  <c r="C12" i="11"/>
  <c r="C11" i="11"/>
  <c r="E10" i="11"/>
  <c r="I24" i="2" l="1"/>
  <c r="J24" i="2" s="1"/>
  <c r="C13" i="1"/>
  <c r="H13" i="1" l="1"/>
  <c r="I38" i="2" l="1"/>
  <c r="J38" i="2" s="1"/>
  <c r="I39" i="2"/>
  <c r="J39" i="2" s="1"/>
  <c r="I40" i="2"/>
  <c r="J40" i="2" s="1"/>
  <c r="I41" i="2"/>
  <c r="J41" i="2" s="1"/>
  <c r="I42" i="2"/>
  <c r="J42" i="2" s="1"/>
  <c r="I43" i="2"/>
  <c r="I44" i="2"/>
  <c r="J44" i="2" s="1"/>
  <c r="I45" i="2"/>
  <c r="J45" i="2" s="1"/>
  <c r="I46" i="2"/>
  <c r="J46" i="2" s="1"/>
  <c r="I47" i="2"/>
  <c r="I48" i="2"/>
  <c r="I49" i="2"/>
  <c r="I50" i="2"/>
  <c r="I51" i="2"/>
  <c r="J51" i="2" s="1"/>
  <c r="I52" i="2"/>
  <c r="J52" i="2" s="1"/>
  <c r="I37" i="2"/>
  <c r="J37" i="2" s="1"/>
  <c r="X2" i="3"/>
  <c r="I6" i="2"/>
  <c r="I8" i="2"/>
  <c r="I10" i="2"/>
  <c r="I16" i="2"/>
  <c r="I20" i="2"/>
  <c r="I22" i="2"/>
  <c r="J22" i="2" s="1"/>
  <c r="I30" i="2"/>
  <c r="I36" i="2"/>
  <c r="J47" i="2"/>
  <c r="J48" i="2"/>
  <c r="J49" i="2"/>
  <c r="J50" i="2"/>
  <c r="I53" i="2"/>
  <c r="J53" i="2" s="1"/>
  <c r="J43" i="2"/>
  <c r="G19" i="3"/>
  <c r="H19" i="3"/>
  <c r="G20" i="3"/>
  <c r="H20" i="3"/>
  <c r="G21" i="3"/>
  <c r="H21" i="3"/>
  <c r="G22" i="3"/>
  <c r="K22" i="3" s="1"/>
  <c r="K23" i="3" s="1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J30" i="2"/>
  <c r="I20" i="3" l="1"/>
  <c r="C8" i="11"/>
  <c r="I25" i="3"/>
  <c r="I28" i="3"/>
  <c r="I22" i="3"/>
  <c r="M22" i="3" s="1"/>
  <c r="I21" i="3"/>
  <c r="J6" i="2"/>
  <c r="I23" i="3"/>
  <c r="M23" i="3" s="1"/>
  <c r="I27" i="3"/>
  <c r="L22" i="3"/>
  <c r="L23" i="3" s="1"/>
  <c r="L24" i="3" s="1"/>
  <c r="L25" i="3" s="1"/>
  <c r="L26" i="3" s="1"/>
  <c r="L27" i="3" s="1"/>
  <c r="L28" i="3" s="1"/>
  <c r="I14" i="2"/>
  <c r="K24" i="3"/>
  <c r="K25" i="3" s="1"/>
  <c r="K26" i="3" s="1"/>
  <c r="K27" i="3" s="1"/>
  <c r="K28" i="3" s="1"/>
  <c r="I24" i="3"/>
  <c r="M24" i="3" s="1"/>
  <c r="M25" i="3" s="1"/>
  <c r="I19" i="3"/>
  <c r="I26" i="3"/>
  <c r="Y2" i="3"/>
  <c r="S7" i="3" s="1"/>
  <c r="C7" i="3" a="1"/>
  <c r="C7" i="3" s="1"/>
  <c r="I18" i="2" s="1"/>
  <c r="AD2" i="3"/>
  <c r="AC2" i="3"/>
  <c r="AF2" i="3"/>
  <c r="AE2" i="3"/>
  <c r="J36" i="2"/>
  <c r="M26" i="3" l="1"/>
  <c r="M27" i="3" s="1"/>
  <c r="M28" i="3" s="1"/>
  <c r="J18" i="2"/>
  <c r="J20" i="2"/>
  <c r="J16" i="2"/>
  <c r="J8" i="2"/>
  <c r="J10" i="2" l="1"/>
  <c r="G12" i="3"/>
  <c r="C12" i="1"/>
  <c r="C11" i="1"/>
  <c r="H13" i="3"/>
  <c r="H14" i="3"/>
  <c r="H15" i="3"/>
  <c r="H16" i="3"/>
  <c r="H17" i="3"/>
  <c r="H18" i="3"/>
  <c r="H12" i="3"/>
  <c r="G13" i="3"/>
  <c r="G14" i="3"/>
  <c r="G15" i="3"/>
  <c r="G16" i="3"/>
  <c r="G17" i="3"/>
  <c r="G18" i="3"/>
  <c r="E12" i="1"/>
  <c r="L12" i="3" l="1"/>
  <c r="L13" i="3" s="1"/>
  <c r="L14" i="3" s="1"/>
  <c r="L15" i="3" s="1"/>
  <c r="L16" i="3" s="1"/>
  <c r="R11" i="3" a="1"/>
  <c r="R11" i="3" s="1"/>
  <c r="C5" i="3"/>
  <c r="E8" i="11" s="1"/>
  <c r="AB2" i="3"/>
  <c r="R7" i="3"/>
  <c r="E8" i="1" l="1"/>
  <c r="L17" i="3"/>
  <c r="L18" i="3" s="1"/>
  <c r="L19" i="3" s="1"/>
  <c r="L20" i="3" s="1"/>
  <c r="L21" i="3" s="1"/>
  <c r="C4" i="3"/>
  <c r="C7" i="1" s="1"/>
  <c r="K12" i="3"/>
  <c r="K13" i="3" s="1"/>
  <c r="H12" i="11" l="1"/>
  <c r="B4" i="1"/>
  <c r="C7" i="11"/>
  <c r="H12" i="1"/>
  <c r="I12" i="2"/>
  <c r="G6" i="11" s="1"/>
  <c r="Z2" i="3"/>
  <c r="C8" i="1"/>
  <c r="AA2" i="3"/>
  <c r="H7" i="3" a="1"/>
  <c r="H7" i="3" s="1"/>
  <c r="E9" i="11" s="1"/>
  <c r="I14" i="3"/>
  <c r="I18" i="3"/>
  <c r="I13" i="3"/>
  <c r="I16" i="3"/>
  <c r="I17" i="3"/>
  <c r="I12" i="3"/>
  <c r="M12" i="3" s="1"/>
  <c r="I15" i="3"/>
  <c r="C14" i="1"/>
  <c r="C15" i="1"/>
  <c r="E10" i="1"/>
  <c r="G4" i="1" l="1"/>
  <c r="X4" i="3"/>
  <c r="G6" i="1"/>
  <c r="J14" i="2"/>
  <c r="M13" i="3"/>
  <c r="M14" i="3" s="1"/>
  <c r="M15" i="3" s="1"/>
  <c r="M16" i="3" s="1"/>
  <c r="K14" i="3"/>
  <c r="K15" i="3" s="1"/>
  <c r="K16" i="3" s="1"/>
  <c r="C3" i="11" l="1"/>
  <c r="C2" i="1"/>
  <c r="K17" i="3"/>
  <c r="K18" i="3" s="1"/>
  <c r="K19" i="3" s="1"/>
  <c r="K20" i="3" s="1"/>
  <c r="K21" i="3" s="1"/>
  <c r="M17" i="3"/>
  <c r="M18" i="3" s="1"/>
  <c r="M19" i="3" s="1"/>
  <c r="M20" i="3" s="1"/>
  <c r="M21" i="3" s="1"/>
  <c r="E9" i="1"/>
  <c r="G7" i="3" l="1" a="1"/>
  <c r="G7" i="3" s="1"/>
  <c r="C9" i="11" s="1"/>
  <c r="I7" i="3" a="1"/>
  <c r="I7" i="3" s="1"/>
  <c r="C10" i="11" s="1"/>
  <c r="C10" i="1" l="1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<sst xmlns="http://schemas.openxmlformats.org/spreadsheetml/2006/main" count="1259" uniqueCount="619">
  <si>
    <t>Global Services</t>
  </si>
  <si>
    <t>Asunto Correo:</t>
  </si>
  <si>
    <t>Incident communication</t>
  </si>
  <si>
    <t>Copiar plantilla como imagen</t>
  </si>
  <si>
    <t>Site / Entity:</t>
  </si>
  <si>
    <t>ITSM Ticket:</t>
  </si>
  <si>
    <t>Incident Start Time (GMT+2):</t>
  </si>
  <si>
    <t>Incident End Time (GMT+2):</t>
  </si>
  <si>
    <t>Verificar formato correcto "dd/mm/dd hh:mm"</t>
  </si>
  <si>
    <r>
      <t xml:space="preserve">&lt;&lt; </t>
    </r>
    <r>
      <rPr>
        <u/>
        <sz val="11"/>
        <color theme="1"/>
        <rFont val="Calibri"/>
        <family val="2"/>
        <scheme val="minor"/>
      </rPr>
      <t>Ajustar celdas</t>
    </r>
  </si>
  <si>
    <t>Incident Duration:</t>
  </si>
  <si>
    <t>Status:</t>
  </si>
  <si>
    <t>Verificar Duración correcta</t>
  </si>
  <si>
    <r>
      <t>&lt;&lt;</t>
    </r>
    <r>
      <rPr>
        <u/>
        <sz val="11"/>
        <color theme="1"/>
        <rFont val="Calibri"/>
        <family val="2"/>
        <scheme val="minor"/>
      </rPr>
      <t xml:space="preserve"> Ajustar celdas</t>
    </r>
  </si>
  <si>
    <t>Incident Description:</t>
  </si>
  <si>
    <t>Customer Impact:</t>
  </si>
  <si>
    <t>Impact Detail:</t>
  </si>
  <si>
    <t>TIEMPO RESTANTE</t>
  </si>
  <si>
    <t>Devices / Circuits affected:</t>
  </si>
  <si>
    <t>HORA ACTUAL</t>
  </si>
  <si>
    <t>ETR:</t>
  </si>
  <si>
    <t>RFO:</t>
  </si>
  <si>
    <t>Incident Timeline Summary</t>
  </si>
  <si>
    <t xml:space="preserve"> </t>
  </si>
  <si>
    <t>Time stamp (GMT+2)</t>
  </si>
  <si>
    <t>Events</t>
  </si>
  <si>
    <t>ERRORES</t>
  </si>
  <si>
    <t>INCIDENT COMUNICATION (Global Services)</t>
  </si>
  <si>
    <t>Completa los siguientes datos</t>
  </si>
  <si>
    <t>Tipo de Notificación:</t>
  </si>
  <si>
    <t>Update Incident</t>
  </si>
  <si>
    <t>Ticket Service Now:</t>
  </si>
  <si>
    <t>Nombre del circuito/equipo de la alerta:</t>
  </si>
  <si>
    <t>SDWGS-NLD-AMS-AZU-EDG-02</t>
  </si>
  <si>
    <t>Entidad responsable Tunel (Cloud):</t>
  </si>
  <si>
    <t>Cyber</t>
  </si>
  <si>
    <r>
      <t xml:space="preserve">*Cloud: </t>
    </r>
    <r>
      <rPr>
        <i/>
        <u/>
        <sz val="11"/>
        <color rgb="FF002060"/>
        <rFont val="Calibri"/>
        <family val="2"/>
        <scheme val="minor"/>
      </rPr>
      <t>Indicar únicamente si la incidencia es sobre un tunel</t>
    </r>
  </si>
  <si>
    <t>Nombre del Site de la alerta:</t>
  </si>
  <si>
    <t>Azure Amsterdam</t>
  </si>
  <si>
    <t>Tipo incidencia</t>
  </si>
  <si>
    <t>Tunnel Down</t>
  </si>
  <si>
    <t>Estado actual del servicio (interfaz/tunel)</t>
  </si>
  <si>
    <t>Up</t>
  </si>
  <si>
    <t>Breve Descripción de la incidencia:</t>
  </si>
  <si>
    <t>¿Nos han indicado que hay impacto al servicio?:</t>
  </si>
  <si>
    <t>NO</t>
  </si>
  <si>
    <t>Estado confirmación impacto:</t>
  </si>
  <si>
    <t>Confirmed by CCS</t>
  </si>
  <si>
    <t>Tiempo estimado de Resolución (ETR):</t>
  </si>
  <si>
    <t>Causa de la alerta/caida. RFO:</t>
  </si>
  <si>
    <t>REVISED:</t>
  </si>
  <si>
    <t>Completa las horas siempre en horario España</t>
  </si>
  <si>
    <t>Fechas Inicio Alertas:</t>
  </si>
  <si>
    <t>Fechas Fin Alertas:</t>
  </si>
  <si>
    <t>Name</t>
  </si>
  <si>
    <t>Virtual DC</t>
  </si>
  <si>
    <t>Site Entity</t>
  </si>
  <si>
    <t>Entidad Cloud</t>
  </si>
  <si>
    <t>Tunnel Description</t>
  </si>
  <si>
    <t>SDWGS-IRL-DUB-AWS-EDG-01</t>
  </si>
  <si>
    <t>GSNET Cloud</t>
  </si>
  <si>
    <t>AWS Dublin</t>
  </si>
  <si>
    <t>Universia</t>
  </si>
  <si>
    <t>CA_AWS_UNIVERSIA</t>
  </si>
  <si>
    <t>SDWGS-IRL-DUB-AWS-EDG-02</t>
  </si>
  <si>
    <t>Santander</t>
  </si>
  <si>
    <t>CA_Cliente_006</t>
  </si>
  <si>
    <t>SDWGS-IRL-DUB2-AWS-EDG-01</t>
  </si>
  <si>
    <t>AWS Dublin 2</t>
  </si>
  <si>
    <t>SCIB</t>
  </si>
  <si>
    <t>CA_Cliente_007</t>
  </si>
  <si>
    <t>SDWGS-IRL-DUB2-AWS-EDG-02</t>
  </si>
  <si>
    <t>Chile</t>
  </si>
  <si>
    <t>CA_Cliente_008</t>
  </si>
  <si>
    <t>SDWGS-GBR-LON-AWS-EDG-01</t>
  </si>
  <si>
    <t>AWS London</t>
  </si>
  <si>
    <t>Openbank</t>
  </si>
  <si>
    <t>CA_Cliente_010</t>
  </si>
  <si>
    <t>SDWGS-GBR-LON-AWS-EDG-02</t>
  </si>
  <si>
    <t>SGTO</t>
  </si>
  <si>
    <t>CA_Cliente_017</t>
  </si>
  <si>
    <t>SANGS-AWS01-OREUSA-US</t>
  </si>
  <si>
    <t>AWS Oregon - USA</t>
  </si>
  <si>
    <t>Portugal</t>
  </si>
  <si>
    <t>CA_Cliente_018</t>
  </si>
  <si>
    <t>SANGS-AWS02-OREUSA-US</t>
  </si>
  <si>
    <t>SCF</t>
  </si>
  <si>
    <t>CA_Cliente_020</t>
  </si>
  <si>
    <t>SDWGS-BRA-SAO-AWS-EDG-01</t>
  </si>
  <si>
    <t>AWS Sao Paulo</t>
  </si>
  <si>
    <t>Global Cards</t>
  </si>
  <si>
    <t>CA_Cliente_023</t>
  </si>
  <si>
    <t>SDWGS-BRA-SAO-AWS-EDG-02</t>
  </si>
  <si>
    <t>Pagonxt</t>
  </si>
  <si>
    <t>CA_Cliente_024</t>
  </si>
  <si>
    <t>SDWGS-USA-VIR-AWS-EDG-01</t>
  </si>
  <si>
    <t>AWS Virginia</t>
  </si>
  <si>
    <t>Santander Brasil</t>
  </si>
  <si>
    <t>CA_Cliente_025</t>
  </si>
  <si>
    <t>SDWGS-USA-VIR-AWS-EDG-02</t>
  </si>
  <si>
    <t>Santander UK</t>
  </si>
  <si>
    <t>CA_Cliente_026</t>
  </si>
  <si>
    <t>SANGS-AWS01-VIRARG-US</t>
  </si>
  <si>
    <t>AWS Virginia - Arg</t>
  </si>
  <si>
    <t>Poland</t>
  </si>
  <si>
    <t>CA_Cliente_028</t>
  </si>
  <si>
    <t>SANGS-AWS02-VIRARG-US</t>
  </si>
  <si>
    <t>SAM</t>
  </si>
  <si>
    <t>CA_Cliente_029</t>
  </si>
  <si>
    <t>SANGS-AWS01-VIRMEX-US</t>
  </si>
  <si>
    <t>AWS Virginia - Mexico</t>
  </si>
  <si>
    <t>Global COE</t>
  </si>
  <si>
    <t>CA_Cliente_030</t>
  </si>
  <si>
    <t>SANGS-AWS02-VIRMEX-US</t>
  </si>
  <si>
    <t>CA_Cliente_031</t>
  </si>
  <si>
    <t>SANGS-AWS01-VIRUSA-US</t>
  </si>
  <si>
    <t>AWS Virginia - Usa</t>
  </si>
  <si>
    <t>Peru</t>
  </si>
  <si>
    <t>CA_Cliente_032</t>
  </si>
  <si>
    <t>SANGS-AWS02-VIRUSA-US</t>
  </si>
  <si>
    <t>Uruguay</t>
  </si>
  <si>
    <t>CA_Cliente_033</t>
  </si>
  <si>
    <t>SDWGS-NLD-AMS-AZU-EDG-01</t>
  </si>
  <si>
    <t>Mexico</t>
  </si>
  <si>
    <t>CA_Cliente_034</t>
  </si>
  <si>
    <t>Appian</t>
  </si>
  <si>
    <t>CA_Cliente_035</t>
  </si>
  <si>
    <t>SDWGS-NLD-AMS2-AZU-EDG-01</t>
  </si>
  <si>
    <t>Azure Amsterdam 2</t>
  </si>
  <si>
    <t>CORPORACION</t>
  </si>
  <si>
    <t>CA_Cliente_015</t>
  </si>
  <si>
    <t>SDWGS-NLD-AMS2-AZU-EDG-02</t>
  </si>
  <si>
    <t>Multiple Entities</t>
  </si>
  <si>
    <t>-</t>
  </si>
  <si>
    <t>SANGS-AZU01-POLAMS1-EU</t>
  </si>
  <si>
    <t>Azure Poland</t>
  </si>
  <si>
    <t>SANGS-AZU02-POLAMS1-EU</t>
  </si>
  <si>
    <t>SDWGS-BRA-SAO-AZU-EDG-01</t>
  </si>
  <si>
    <t>Azure Sao Paulo</t>
  </si>
  <si>
    <t>SDWGS-BRA-SAO-AZU-EDG-02</t>
  </si>
  <si>
    <t>SDWGS-USA-VIR-AZU-EDG-01</t>
  </si>
  <si>
    <t>Azure Washington (Virginia)</t>
  </si>
  <si>
    <t>SDWGS-USA-VIR-AZU-EDG-02</t>
  </si>
  <si>
    <t>SANGS-BOA70-INT1</t>
  </si>
  <si>
    <t>Hybrid Cloud</t>
  </si>
  <si>
    <t>SANGS-BOA72-INT1</t>
  </si>
  <si>
    <t>ASWREPAPO</t>
  </si>
  <si>
    <t>GSNET Data</t>
  </si>
  <si>
    <t>DR Chile</t>
  </si>
  <si>
    <t>ASWREPAPO_ASWREPCLCPQN</t>
  </si>
  <si>
    <t>ASWREPCDLV</t>
  </si>
  <si>
    <t>ASWREPCDLV_ASWREPCLCPQS</t>
  </si>
  <si>
    <t>ASWREPCLCPQN</t>
  </si>
  <si>
    <t>ASWREPCLCPQN_DISDRBCECN2</t>
  </si>
  <si>
    <t>ASWREPCLCPQS</t>
  </si>
  <si>
    <t>ASWREPCLCPQS_DISDRBCEBO2</t>
  </si>
  <si>
    <t>DISDRBCEBE2</t>
  </si>
  <si>
    <t>DISDRBCEBO2</t>
  </si>
  <si>
    <t>DISDRBCECN2</t>
  </si>
  <si>
    <t>DISDRBCECS2</t>
  </si>
  <si>
    <t>RTREPAPO</t>
  </si>
  <si>
    <t>RTREPCDLV</t>
  </si>
  <si>
    <t>RTREPCLCPQN</t>
  </si>
  <si>
    <t>RTREPCLCPQS</t>
  </si>
  <si>
    <t>DISDRQRTCI1</t>
  </si>
  <si>
    <t>DR Mexico</t>
  </si>
  <si>
    <t>DISDRQRTCII1</t>
  </si>
  <si>
    <t>DISDRQRTCN2</t>
  </si>
  <si>
    <t>DISDRQRTCS2</t>
  </si>
  <si>
    <t>DSWDRCI1</t>
  </si>
  <si>
    <t>DSWDRCII1</t>
  </si>
  <si>
    <t>DSWDRTX1</t>
  </si>
  <si>
    <t>DSWDRTX1_DSWIXCN01</t>
  </si>
  <si>
    <t>DSWDRTX2</t>
  </si>
  <si>
    <t>DSWDRTX2_DSWIXCS01</t>
  </si>
  <si>
    <t>EXTQRTCI11</t>
  </si>
  <si>
    <t>EXTQRTCI12</t>
  </si>
  <si>
    <t xml:space="preserve">EXTQRTCI13 </t>
  </si>
  <si>
    <t>EXTQRTCI14</t>
  </si>
  <si>
    <t>EXTQRTCI15</t>
  </si>
  <si>
    <t>EXTQRTCII21</t>
  </si>
  <si>
    <t>EXTQRTCII22</t>
  </si>
  <si>
    <t xml:space="preserve">EXTQRTCII23 </t>
  </si>
  <si>
    <t>EXTQRTCII24</t>
  </si>
  <si>
    <t>EXTQRTCII25</t>
  </si>
  <si>
    <t>EXTQRTCS11</t>
  </si>
  <si>
    <t>EXTQRTCS12</t>
  </si>
  <si>
    <t>EXTQRTCS13</t>
  </si>
  <si>
    <t>EXTQRTCS14</t>
  </si>
  <si>
    <t>EXTQRTCS15</t>
  </si>
  <si>
    <t>EXTQRTCS21</t>
  </si>
  <si>
    <t>EXTQRTCS22</t>
  </si>
  <si>
    <t>EXTQRTCS23</t>
  </si>
  <si>
    <t>EXTQRTCS24</t>
  </si>
  <si>
    <t>EXTQRTCS25</t>
  </si>
  <si>
    <t>SANDRQRTCI1</t>
  </si>
  <si>
    <t>SANDRQRTCII1</t>
  </si>
  <si>
    <t>SANDRQRTCN11</t>
  </si>
  <si>
    <t>SANDRQRTCN21</t>
  </si>
  <si>
    <t>SANDRQRTCS1</t>
  </si>
  <si>
    <t>SANDRQRTCS2</t>
  </si>
  <si>
    <t>TR-QRT1</t>
  </si>
  <si>
    <t>TR-QRT1_DSWIXCN01</t>
  </si>
  <si>
    <t>TR-QRT2</t>
  </si>
  <si>
    <t>TR-QRT2_DSWIXCS01</t>
  </si>
  <si>
    <t>BSAN-ARG-BUE-IW-000001</t>
  </si>
  <si>
    <t>GSNET International</t>
  </si>
  <si>
    <t>Argentina - Antequera</t>
  </si>
  <si>
    <t>BSAN-ARG-BUE-MW-U-000001</t>
  </si>
  <si>
    <t>SDWGS-ARG-BUEANT-COO-EDG-01</t>
  </si>
  <si>
    <t>SDWGS-ARG-BUEANT-COO-EDG-02</t>
  </si>
  <si>
    <t>BSAN-ARG-BUE-IW-000082</t>
  </si>
  <si>
    <t>Argentina - Juan Garay</t>
  </si>
  <si>
    <t>BSAN-ARG-BUE-MW-U-000082</t>
  </si>
  <si>
    <t>SDWGS-ARG-BUEGAR-COO-EDG-01</t>
  </si>
  <si>
    <t>SDWGS-ARG-BUEGAR-COO-EDG-02</t>
  </si>
  <si>
    <t>SDWGS-USA-VIR-AWS-MGMT-EDG-01</t>
  </si>
  <si>
    <t>SDWGS-USA-VIR-AWS-VBO-01</t>
  </si>
  <si>
    <t>SDWGS-USA-VIR-AWS-VSM-01</t>
  </si>
  <si>
    <t>BSAN-BHS-NAS-IW-107167</t>
  </si>
  <si>
    <t>Bahamas- Nassau</t>
  </si>
  <si>
    <t>SDWGS-BHS-NAS-COO-EDG-01</t>
  </si>
  <si>
    <t>SDWGS-BHS-NAS-COO-EDG-02</t>
  </si>
  <si>
    <t>BOABE-CNF_MADDRY-CNF_COLT</t>
  </si>
  <si>
    <t>CNF</t>
  </si>
  <si>
    <t>BOABE-CNF_MADDRY-CNF_TELEFONICA</t>
  </si>
  <si>
    <t>BOABO-CNF_MADEQX-CNF_COLT</t>
  </si>
  <si>
    <t>BOABO-CNF_MADEQX-CNF_TELEFONICA</t>
  </si>
  <si>
    <t>SDWGS-ESP-BOABE-CNF-EDG-01</t>
  </si>
  <si>
    <t>SDWGS-ESP-BOABO-CNF-EDG-01</t>
  </si>
  <si>
    <t>SDWGS-ESP-MADDRY-CNF-EDG-01</t>
  </si>
  <si>
    <t>SDWGS-ESP-MADEQX-CNF-EDG-01</t>
  </si>
  <si>
    <t>BSAN-COL-COT-IW-000083</t>
  </si>
  <si>
    <t>Colombia BSN - Triara</t>
  </si>
  <si>
    <t>BSAN-COL-COT-MW-U-000083</t>
  </si>
  <si>
    <t>SDWGS-COL-COT-COO-EDG-01</t>
  </si>
  <si>
    <t>SDWGS-COL-COT-COO-EDG-02</t>
  </si>
  <si>
    <t>BSAN-ESP-BOE-MW-B-000015</t>
  </si>
  <si>
    <t>Corp. DC - Boadilla Este</t>
  </si>
  <si>
    <t>BSAN-ESP-BOE-MW-M-000015</t>
  </si>
  <si>
    <t>SDWGS-ESP-BOABE-CDC-EDG-01</t>
  </si>
  <si>
    <t>BSAN-ESP-BOO-MW-B-000016</t>
  </si>
  <si>
    <t>Corp. DC - Boadilla Oeste</t>
  </si>
  <si>
    <t>BSAN-ESP-BOO-MW-M-000016</t>
  </si>
  <si>
    <t>SDWGS-ESP-BOABO-CDC-EDG-01</t>
  </si>
  <si>
    <t>BSAN-BRA-CPN-MW-B-000003</t>
  </si>
  <si>
    <t>Corp. DC - Campinas Norte</t>
  </si>
  <si>
    <t>BSAN-BRA-CPN-MW-M-000003</t>
  </si>
  <si>
    <t>SDWGS-BRA-CPQN-CDC-EDG-01</t>
  </si>
  <si>
    <t>SDWGS-BRA-CPQN-CDC-OPT-01</t>
  </si>
  <si>
    <t>BSAN-BRA-CPS-MW-B-000004</t>
  </si>
  <si>
    <t>Corp. DC - Campinas Sur</t>
  </si>
  <si>
    <t>BSAN-BRA-CPS-MW-M-000004</t>
  </si>
  <si>
    <t>SDWGS-BRA-CPQS-CDC-EDG-01</t>
  </si>
  <si>
    <t>SDWGS-BRA-CPQS-CDC-OPT-01</t>
  </si>
  <si>
    <t>BSAN-ESP-SCN-MW-B-000020</t>
  </si>
  <si>
    <t>Corp. DC - Cantabria Norte</t>
  </si>
  <si>
    <t>BSAN-ESP-SCN-MW-M-000020</t>
  </si>
  <si>
    <t>SDWGS-ESP-CANCN-CDC-EDG-01</t>
  </si>
  <si>
    <t>BSAN-ESP-SCS-MW-B-000021</t>
  </si>
  <si>
    <t>Corp. DC - Cantabria Sur</t>
  </si>
  <si>
    <t>BSAN-ESP-SCS-MW-M-000021</t>
  </si>
  <si>
    <t>SDWGS-ESP-CANCS-CDC-EDG-01</t>
  </si>
  <si>
    <t>BSAN-GBR-LC1-MW-B-000051</t>
  </si>
  <si>
    <t>Corp. DC – Carlton Park DC1</t>
  </si>
  <si>
    <t>BSAN-GBR-LC1-MW-M-000051</t>
  </si>
  <si>
    <t>SDWGS-GBR-LEIFOX-CDC-EDG-01</t>
  </si>
  <si>
    <t>BSAN-GBR-LC2-MW-B-000052</t>
  </si>
  <si>
    <t>Corp. DC – Carlton Park DC2</t>
  </si>
  <si>
    <t>BSAN-GBR-LC2-MW-M-000052</t>
  </si>
  <si>
    <t>SDWGS-GBR-LEIFOX-CDC-EDG-02</t>
  </si>
  <si>
    <t>BSAN-CHI-SCL-MW-B-000072</t>
  </si>
  <si>
    <t>Corp. DC - CDLV Chile</t>
  </si>
  <si>
    <t>BSAN-CHI-SCL-MW-M-000072</t>
  </si>
  <si>
    <t>BSAN-CHL-SCL-IW-000072</t>
  </si>
  <si>
    <t>SDWGS-CHL-SAN-COD-EDG-01</t>
  </si>
  <si>
    <t>SDWGS-CHL-SAN-COD-OPT-01</t>
  </si>
  <si>
    <t>BSAN-CHL-LCO-IW-000009</t>
  </si>
  <si>
    <t>Corp. DC - Chile Apoquindo</t>
  </si>
  <si>
    <t>BSAN-CHL-LCO-MW-B-000009</t>
  </si>
  <si>
    <t>BSAN-CHL-LCO-MW-M-000009</t>
  </si>
  <si>
    <t>SDWGS-CHL-APO-COD-EDG-01</t>
  </si>
  <si>
    <t>SDWGS-CHL-APO-COD-EDG-012</t>
  </si>
  <si>
    <t>SDWGS-CHL-APO-COD-OPT-01</t>
  </si>
  <si>
    <t>BSAN-MEX-CT1-MW-B-000036</t>
  </si>
  <si>
    <t>Corp. DC - Querétaro CTOS1</t>
  </si>
  <si>
    <t>BSAN-MEX-CT1-MW-M-000036</t>
  </si>
  <si>
    <t>SDWGS-MEX-QRT-CDC-EDG-01</t>
  </si>
  <si>
    <t>SDWGS-MEX-QRT-CDC-OPT-01</t>
  </si>
  <si>
    <t>BSAN-MEX-CT2-MW-B-000037</t>
  </si>
  <si>
    <t>Corp. DC - Querétaro CTOS2</t>
  </si>
  <si>
    <t>BSAN-MEX-CT2-MW-M-000037</t>
  </si>
  <si>
    <t>SDWGS-MEX-QRT-CDC-EDG-02</t>
  </si>
  <si>
    <t>SDWGS-MEX-QRT-CDC-OPT-02</t>
  </si>
  <si>
    <t>SDWGS-UAE-DXB-BPI-EDG-01</t>
  </si>
  <si>
    <t>Dubai</t>
  </si>
  <si>
    <t>SDWGS-UAE-DXB-BPI-EDG-02</t>
  </si>
  <si>
    <t>DSWIXCPQN01</t>
  </si>
  <si>
    <t>IX Brazil</t>
  </si>
  <si>
    <t>DSWIXCPQS01</t>
  </si>
  <si>
    <t>DSWIXQRT01</t>
  </si>
  <si>
    <t>IX Mexico</t>
  </si>
  <si>
    <t>DSWIXQRT02</t>
  </si>
  <si>
    <t>IXQRT1</t>
  </si>
  <si>
    <t>IXQRT2</t>
  </si>
  <si>
    <t>IXQRT3</t>
  </si>
  <si>
    <t>IXQRT4</t>
  </si>
  <si>
    <t>ASWIXBE01</t>
  </si>
  <si>
    <t>IX Spain</t>
  </si>
  <si>
    <t>ASWIXBE01_ASWIXCS01_BT</t>
  </si>
  <si>
    <t>ASWIXBE01_ASWIXCS01_COLT</t>
  </si>
  <si>
    <t>ASWIXBO01</t>
  </si>
  <si>
    <t>ASWIXBO01_ASWIXCN01_TLF</t>
  </si>
  <si>
    <t>ASWIXCN01</t>
  </si>
  <si>
    <t>ASWIXCS01</t>
  </si>
  <si>
    <t>DSWIXBE01</t>
  </si>
  <si>
    <t>DSWIXBO01</t>
  </si>
  <si>
    <t>DSWIXCN01</t>
  </si>
  <si>
    <t>DSWIXCS01</t>
  </si>
  <si>
    <t>DSWIXFOX01</t>
  </si>
  <si>
    <t>IX UK</t>
  </si>
  <si>
    <t>DSWIXFOX02</t>
  </si>
  <si>
    <t>IXFOX1</t>
  </si>
  <si>
    <t>IXFOX2</t>
  </si>
  <si>
    <t>BSAN-CHE-GVA-IW-000006</t>
  </si>
  <si>
    <t>Office BPI - Geneva</t>
  </si>
  <si>
    <t>BSAN-CHE-GVA-MW-U-000006</t>
  </si>
  <si>
    <t>SDWGS-CHE-GEN-BPI-EDG-01</t>
  </si>
  <si>
    <t>SDWGS-CHE-GEN-BPI-EDG-02</t>
  </si>
  <si>
    <t>BSAN-USA-MIA-IA-000055</t>
  </si>
  <si>
    <t>Office BPI - Miami</t>
  </si>
  <si>
    <t>BSAN-USA-MIA-MW-U-000055</t>
  </si>
  <si>
    <t>SDWGS-USA-MIA-BPI-EDG-01</t>
  </si>
  <si>
    <t>SDWGS-USA-MIA-BPI-EDG-02</t>
  </si>
  <si>
    <t>BSAN-CHN-BJS-MW-B-000010</t>
  </si>
  <si>
    <t>Office CIB - Beijing</t>
  </si>
  <si>
    <t>BSAN-CHN-BJS-MW-M-000010</t>
  </si>
  <si>
    <t>SDWGS-CHN-BEI-CIB-EDG-01</t>
  </si>
  <si>
    <t>SDWGS-CHN-BEI-CIB-EDG-02</t>
  </si>
  <si>
    <t>BSAN-DEU-FRA-IW-B-000079</t>
  </si>
  <si>
    <t>CIB - DEU - Frankfurt</t>
  </si>
  <si>
    <t>BSAN-DEU-FRA-IW-M-000079</t>
  </si>
  <si>
    <t>BSAN-DEU-FRA-MW-B-000079</t>
  </si>
  <si>
    <t>BSAN-DEU-FRA-MW-M-000079</t>
  </si>
  <si>
    <t>SDWGS-DEU-FRA-CIB-EDG-01</t>
  </si>
  <si>
    <t>SDWGS-DEU-FRA-CIB-EDG-02</t>
  </si>
  <si>
    <t>BSAN-CHN-HKG-MW-B-000030</t>
  </si>
  <si>
    <t>Office CIB - Hong Kong</t>
  </si>
  <si>
    <t>BSAN-CHN-HKG-MW-M-000030</t>
  </si>
  <si>
    <t>SDWGS-CHN-HKG-CIBBK-EDG-01</t>
  </si>
  <si>
    <t>SDWGS-CHN-HKG-CIB-EDG-01</t>
  </si>
  <si>
    <t>SDWGS-CHN-HKG-CIB-EDG-02</t>
  </si>
  <si>
    <t>SDWGS-ITA-MIL-CIB-EDG-01</t>
  </si>
  <si>
    <t>Office CIB - Milano</t>
  </si>
  <si>
    <t>SDWGS-ITA-MIL-CIB-EDG-02</t>
  </si>
  <si>
    <t>BSAN-ITA-MIL-MW-M-000094</t>
  </si>
  <si>
    <t>BSAN-ITA-MIL-MW-B-000094</t>
  </si>
  <si>
    <t>BSAN-FRA-PAR-IW-000023</t>
  </si>
  <si>
    <t>CIB - FRA - Paris</t>
  </si>
  <si>
    <t>SDWGS-FRA-PAR-CIB-EDG-01</t>
  </si>
  <si>
    <t>SDWGS-FRA-PAR-CIB-EDG-02</t>
  </si>
  <si>
    <t>BSAN-CHN-SGH-MW-B-000012</t>
  </si>
  <si>
    <t>CIB - CHN - Shanghai</t>
  </si>
  <si>
    <t>BSAN-CHN-SGH-MW-M-000012</t>
  </si>
  <si>
    <t>SDWGS-CHN-SHA-CIB-EDG-01</t>
  </si>
  <si>
    <t>SDWGS-CHN-SHA-CIB-EDG-02</t>
  </si>
  <si>
    <t>BSAN-CHN-SGH-MW-U-000126</t>
  </si>
  <si>
    <t>CIB - CHN - Shanghai - BCP</t>
  </si>
  <si>
    <t>SDWGS-CHN-SHA-CIBBK-EDG-01</t>
  </si>
  <si>
    <t>BSAN-SGP-SIN-MW-B-000111</t>
  </si>
  <si>
    <t>CIB -  SGP - Singapore</t>
  </si>
  <si>
    <t>BSAN-SGP-SIN-MW-M-000111</t>
  </si>
  <si>
    <t>SDWGS-SGP-SGP-CIB-EDG-01</t>
  </si>
  <si>
    <t>SDWGS-SGP-SGP-CIB-EDG-02</t>
  </si>
  <si>
    <t>BSAN-SGP-SGP-MW-U-000127</t>
  </si>
  <si>
    <t>CIB -  SGP - Singapore - BCP</t>
  </si>
  <si>
    <t>SDWGS-SGP-SGP-CIBBK-EDG-01</t>
  </si>
  <si>
    <t>BSAN-ESP-MAD-IW-000135</t>
  </si>
  <si>
    <t>Office PCN - Abelias</t>
  </si>
  <si>
    <t>BSAN-ESP-MAD-MW-U-000135</t>
  </si>
  <si>
    <t>SDWGS-ESP-MADABE-PCN-EDG-01</t>
  </si>
  <si>
    <t>SDWGS-ESP-MADABE-PCN-EDG-02</t>
  </si>
  <si>
    <t>BSAN-ESP-BOA-IW-000087</t>
  </si>
  <si>
    <t>Office PCN - Ciudad Financiera (Maya)</t>
  </si>
  <si>
    <t>BSAN-ESP-MCF-MW-U-000087</t>
  </si>
  <si>
    <t>SDWGS-ESP-BOA-PCN-EDG-01</t>
  </si>
  <si>
    <t>SDWGS-ESP-BOA-PCN-EDG-02</t>
  </si>
  <si>
    <t>BSAN-ESP-MAD-IW-000081</t>
  </si>
  <si>
    <t>CIB - ESP - Madrid - Luca de Tena - BCP</t>
  </si>
  <si>
    <t>BSAN-ESP-MAD-MW-U-000081</t>
  </si>
  <si>
    <t>SDWGS-ESP-MADLDT-PCN-EDG-01</t>
  </si>
  <si>
    <t>SDWGS-ESP-MADLDT-PCN-EDG-02</t>
  </si>
  <si>
    <t>BSAN-DEU-FRA-IW-000088</t>
  </si>
  <si>
    <t>Office SAM - Germany</t>
  </si>
  <si>
    <t>SDWGS-DEU-FRA-SAM-EDG-01</t>
  </si>
  <si>
    <t>SDWGS-DEU-FRA-SAM-EDG-02</t>
  </si>
  <si>
    <t>BSAN-CAN-EDM-IW-000071</t>
  </si>
  <si>
    <t>Office SCF - Canada</t>
  </si>
  <si>
    <t>BSAN-CAN-EDM-MW-U-000071</t>
  </si>
  <si>
    <t>SDWGS-CAN-EDM-SCF-EDG-01</t>
  </si>
  <si>
    <t>SDWGS-CAN-EDM-SCF-EDG-02</t>
  </si>
  <si>
    <t>BSAN-DEU-FRA-MW-B-000025</t>
  </si>
  <si>
    <t>SCF - DEU - Frankfurt</t>
  </si>
  <si>
    <t>BSAN-DEU-FRA-MW-M-000025</t>
  </si>
  <si>
    <t>SDWGS-DEU-FRA-COD-EDG-01</t>
  </si>
  <si>
    <t>SDWGS-DEU-FRA-COD-EDG-02</t>
  </si>
  <si>
    <t>BSAN-BEL-MRL-IW-000038</t>
  </si>
  <si>
    <t>Office SCF - Merelbeke</t>
  </si>
  <si>
    <t>BSAN-BEL-MRL-MW-U-000038</t>
  </si>
  <si>
    <t>SDWGS-BEL-MER-SCF-EDG-01</t>
  </si>
  <si>
    <t>SDWGS-BEL-MER-SCF-EDG-02</t>
  </si>
  <si>
    <t>BSAN-ITA-MIL-MW-U-000033</t>
  </si>
  <si>
    <t>Office SCF - Milano</t>
  </si>
  <si>
    <t>SDWGS-ITA-MIL-SCF-EDG-01</t>
  </si>
  <si>
    <t>SDWGS-ITA-MIL-SCF-EDG-02</t>
  </si>
  <si>
    <t>SDWGS-NOR-OSL-SCF-EDG-01</t>
  </si>
  <si>
    <t>Office SCF - Oslo</t>
  </si>
  <si>
    <t>SDWGS-NOR-OSL-SCF-EDG-02</t>
  </si>
  <si>
    <t>BSAN-FRA-PAR-IW-000022</t>
  </si>
  <si>
    <t>SCF - FRA - Paris</t>
  </si>
  <si>
    <t>BSAN-FRA-PAR-MW-U-000022</t>
  </si>
  <si>
    <t>SDWGS-FRA-PAR-SCF-EDG-01</t>
  </si>
  <si>
    <t>SDWGS-FRA-PAR-SCF-EDG-02</t>
  </si>
  <si>
    <t>BSAN-NLD-UTC-IW-000039</t>
  </si>
  <si>
    <t>Office SCF - Utrecht</t>
  </si>
  <si>
    <t>BSAN-NLD-UTC-MW-U-000039</t>
  </si>
  <si>
    <t>SDWGS-NLD-UTR-SCF-EDG-01</t>
  </si>
  <si>
    <t>SDWGS-NLD-UTR-SCF-EDG-02</t>
  </si>
  <si>
    <t>BSAN-AUT-VIE-IW-000060</t>
  </si>
  <si>
    <t>SCF - AUT - Viena</t>
  </si>
  <si>
    <t>BSAN-AUT-VIE-MW-U-000060</t>
  </si>
  <si>
    <t>SDWGS-AUT-VIE-SCF-EDG-01</t>
  </si>
  <si>
    <t>SDWGS-AUT-VIE-SCF-EDG-02</t>
  </si>
  <si>
    <t>BSAN-POL-WAW-IW-000129</t>
  </si>
  <si>
    <t>Office SCF - Warsaw</t>
  </si>
  <si>
    <t>BSAN-POL-WAW-MW-U-000129</t>
  </si>
  <si>
    <t>SDWGS-POL-WAR-SCF-EDG-01</t>
  </si>
  <si>
    <t>SDWGS-POL-WAR-SCF-EDG-02</t>
  </si>
  <si>
    <t>BSAN-POL-GDY-IW-000043</t>
  </si>
  <si>
    <t>Office SGO - Gdynia</t>
  </si>
  <si>
    <t>SDWGS-POL-GDY-SGO-EDG-01</t>
  </si>
  <si>
    <t>SDWGS-POL-GDY-SGO-EDG-02</t>
  </si>
  <si>
    <t>SDWGS-POL-WRO-SGO-EDG-01</t>
  </si>
  <si>
    <t>Office SGO - Wroclaw</t>
  </si>
  <si>
    <t>SDWGS-POL-WRO-SGO-EDG-02</t>
  </si>
  <si>
    <t>BSAN-PER-LIM-IW-000007</t>
  </si>
  <si>
    <t>Peru - Lima</t>
  </si>
  <si>
    <t>BSAN-PER-LIM-MW-U-000007</t>
  </si>
  <si>
    <t>SDWGS-PER-LIM-COO-EDG-01</t>
  </si>
  <si>
    <t>SDWGS-PER-LIM-COO-EDG-02</t>
  </si>
  <si>
    <t>BSAN-POL-WAW-IW-000121</t>
  </si>
  <si>
    <t>Poland - Warsaw</t>
  </si>
  <si>
    <t>BSAN-POL-WAW-MW-U-000121</t>
  </si>
  <si>
    <t>BSAN-PRT-CNX-MW-B-000048</t>
  </si>
  <si>
    <t>PRT - Lisboa</t>
  </si>
  <si>
    <t>BSAN-PRT-CNX-MW-M-000048</t>
  </si>
  <si>
    <t>SDWGS-PRT-LIS-COD-EDG-01</t>
  </si>
  <si>
    <t>SDWGS-PRT-LIS-COD-EDG-02</t>
  </si>
  <si>
    <t>SDWGS-DEU-FRA-AWS-MGMT-EDG-01</t>
  </si>
  <si>
    <t>Pte. Completar</t>
  </si>
  <si>
    <t>SDWGS-DEU-FRA-AWS-VBO-01</t>
  </si>
  <si>
    <t>SDWGS-DEU-FRA-AWS-VMA-01</t>
  </si>
  <si>
    <t>SDWGS-DEU-FRA-AWS-VSM-01</t>
  </si>
  <si>
    <t>SDWGS-GBR-LONTSQ-GBU-EDG-01</t>
  </si>
  <si>
    <t>SDWGS-GBR-LONTSQ-GBU-EDG-02</t>
  </si>
  <si>
    <t>BSAN-URY-PDO-IW-000104</t>
  </si>
  <si>
    <t>Uruguay - Pando</t>
  </si>
  <si>
    <t>BSAN-URY-PDO-MW-U-000104</t>
  </si>
  <si>
    <t>SDWGS-URY-PAN-COO-EDG-01</t>
  </si>
  <si>
    <t>SDWGS-URY-PAN-COO-EDG-02</t>
  </si>
  <si>
    <t>SDWGS-URY-POC-COO-EDG-01</t>
  </si>
  <si>
    <t>URY - Pocitos</t>
  </si>
  <si>
    <t>SDWGS-URY-POC-COO-EDG-02</t>
  </si>
  <si>
    <t>BSAN-USA-ABN-IW-000054</t>
  </si>
  <si>
    <t>USA - Ashburn (VA)</t>
  </si>
  <si>
    <t>BSAN-USA-ABN-MW-U-000054</t>
  </si>
  <si>
    <t>SDWGS-USA-ASH-COD-EDG-01</t>
  </si>
  <si>
    <t>SDWGS-USA-ASH-COD-EDG-02</t>
  </si>
  <si>
    <t>BSAN-USA-RIN-IW-000059</t>
  </si>
  <si>
    <t>USA - Richardson (TX)</t>
  </si>
  <si>
    <t>BSAN-USA-RIN-MW-U-000059</t>
  </si>
  <si>
    <t>SDWGS-USA-RIC-COD-EDG-01</t>
  </si>
  <si>
    <t>SDWGS-USA-RIC-COD-EDG-02</t>
  </si>
  <si>
    <t>ASWSAFF01</t>
  </si>
  <si>
    <t>GSNET Internet</t>
  </si>
  <si>
    <t>AS Deutschland</t>
  </si>
  <si>
    <t>ASWSAFF02</t>
  </si>
  <si>
    <t>RBLACKHOLE2-M1</t>
  </si>
  <si>
    <t>RBLACKHOLE-BO</t>
  </si>
  <si>
    <t>RTSAFF01</t>
  </si>
  <si>
    <t>RTSAFF01_COLT</t>
  </si>
  <si>
    <t>RTSAFF01_TELEKOM</t>
  </si>
  <si>
    <t>RTSAFF02</t>
  </si>
  <si>
    <t>RTSAFF02_COLT</t>
  </si>
  <si>
    <t>RTSAFF02_TELEKOM</t>
  </si>
  <si>
    <t>ASWSABE01</t>
  </si>
  <si>
    <t>AS Spain</t>
  </si>
  <si>
    <t>ASWSABE01_TELEFONICA-ADDOS</t>
  </si>
  <si>
    <t>ASWSABO01</t>
  </si>
  <si>
    <t>ASWSABO01_COLT</t>
  </si>
  <si>
    <t>ASWSABO01_TELEFONICA-ADDOS</t>
  </si>
  <si>
    <t>ASWSACN01</t>
  </si>
  <si>
    <t>ASWSACN01_ASWSABO01-XCONNECT</t>
  </si>
  <si>
    <t>ASWSACN01_TELEFONICA-ADDOS</t>
  </si>
  <si>
    <t>ASWSACS01</t>
  </si>
  <si>
    <t>ASWSACS01_ASWSABE01-XCONNECT</t>
  </si>
  <si>
    <t>ASWSACS01_ASWSAME01</t>
  </si>
  <si>
    <t>ASWSACS01_COLT</t>
  </si>
  <si>
    <t>ASWSACS01_TELEFONICA-ADDOS</t>
  </si>
  <si>
    <t>ASWSAME01</t>
  </si>
  <si>
    <t>ASWSAME01_ESPANIX (LAN BAJA)</t>
  </si>
  <si>
    <t>ASWSAME02</t>
  </si>
  <si>
    <t>ASWSAME02_ASWSABE01</t>
  </si>
  <si>
    <t>ASWSAME02_ESPANIX (LAN ALTA)</t>
  </si>
  <si>
    <t>RTSABE01</t>
  </si>
  <si>
    <t>RTSABO01</t>
  </si>
  <si>
    <t>RTSACN01</t>
  </si>
  <si>
    <t>RTSACS01</t>
  </si>
  <si>
    <t>RTSAME01</t>
  </si>
  <si>
    <t>RTSAME02</t>
  </si>
  <si>
    <t>Estado Servicio</t>
  </si>
  <si>
    <t>Tipo afectación Incidencia</t>
  </si>
  <si>
    <t>Impact Detail</t>
  </si>
  <si>
    <t>Severidad</t>
  </si>
  <si>
    <t>Prioridad</t>
  </si>
  <si>
    <t>Impact</t>
  </si>
  <si>
    <t>REVISED</t>
  </si>
  <si>
    <t>Incident Description</t>
  </si>
  <si>
    <t>Tipo Notificación</t>
  </si>
  <si>
    <t>Saturation</t>
  </si>
  <si>
    <t>P1</t>
  </si>
  <si>
    <t>YES</t>
  </si>
  <si>
    <t>Yes</t>
  </si>
  <si>
    <t>A restart has been detected (COLD START)</t>
  </si>
  <si>
    <t>Aperture Incident</t>
  </si>
  <si>
    <t>Down</t>
  </si>
  <si>
    <t>Latency</t>
  </si>
  <si>
    <t>Confirmed by LCON</t>
  </si>
  <si>
    <t>P2</t>
  </si>
  <si>
    <t>No</t>
  </si>
  <si>
    <t>All BFD session for the node are down</t>
  </si>
  <si>
    <t>Errors</t>
  </si>
  <si>
    <t>Confirmed by NOC MX</t>
  </si>
  <si>
    <t>P3</t>
  </si>
  <si>
    <t>Pending</t>
  </si>
  <si>
    <t>All BFD session for the tloc are down [biz-internet]</t>
  </si>
  <si>
    <t>Closure Incident</t>
  </si>
  <si>
    <t>Discards</t>
  </si>
  <si>
    <t>Confirmed by NOC Chile</t>
  </si>
  <si>
    <t>P4</t>
  </si>
  <si>
    <t>N/A</t>
  </si>
  <si>
    <t>All BFD session for the tloc are down [private1]</t>
  </si>
  <si>
    <t>BGP Down</t>
  </si>
  <si>
    <t>P5</t>
  </si>
  <si>
    <t>All BFD session for the tloc are down [private2]</t>
  </si>
  <si>
    <t>Link Down</t>
  </si>
  <si>
    <t>P3+</t>
  </si>
  <si>
    <t>All BFD session for the tloc are down [public-internet]</t>
  </si>
  <si>
    <t>All BGP peering sessions are down</t>
  </si>
  <si>
    <t>Interface Down</t>
  </si>
  <si>
    <t>All Control connections for the tloc are down [biz-internet]</t>
  </si>
  <si>
    <t>Flaps</t>
  </si>
  <si>
    <t>All Control connections for the tloc are down [private1]</t>
  </si>
  <si>
    <t>All Control connections for the tloc are down [private2]</t>
  </si>
  <si>
    <t>All Control connections for the tloc are down [public-internet]</t>
  </si>
  <si>
    <t>An ospfNbrStateChange trap. The neighbor router is DOWN: [XXXX]</t>
  </si>
  <si>
    <t>Device has stoppped responding to ping</t>
  </si>
  <si>
    <t>Device has stoppped responding to polls</t>
  </si>
  <si>
    <t>HSRP State Change</t>
  </si>
  <si>
    <t>Inbound Discards over 0,2%</t>
  </si>
  <si>
    <t>Inbound Discards over 0,5%</t>
  </si>
  <si>
    <t>Inbound Errors over 0,5%</t>
  </si>
  <si>
    <t>Inbound Utilization over 80%</t>
  </si>
  <si>
    <t>Inbound Utilization over 90%</t>
  </si>
  <si>
    <t>Internet link us down</t>
  </si>
  <si>
    <t>Internet link us down [Backup]</t>
  </si>
  <si>
    <t>Internet link us down [Main]</t>
  </si>
  <si>
    <t>Latency increment</t>
  </si>
  <si>
    <t>MPLS link is down</t>
  </si>
  <si>
    <t>MPLS link is down [Backup]</t>
  </si>
  <si>
    <t>MPLS link is down [Main]</t>
  </si>
  <si>
    <t>Outbound Discards over 0,2%</t>
  </si>
  <si>
    <t>Outbound Discards over 0,5%</t>
  </si>
  <si>
    <t>Outbound Errors over 0,5%</t>
  </si>
  <si>
    <t>Outbound Utilization over 80%</t>
  </si>
  <si>
    <t>Outbound Utilization over 90%</t>
  </si>
  <si>
    <t>Peer router is down: XXXX</t>
  </si>
  <si>
    <t>Physical entity alarm asserted</t>
  </si>
  <si>
    <t>Power Supply Failure</t>
  </si>
  <si>
    <t>PW VC Down Virtual Connection</t>
  </si>
  <si>
    <t>Spanning tree root has changed</t>
  </si>
  <si>
    <t>The communication link is DOWN [XXXX]</t>
  </si>
  <si>
    <t>VPN Tunnel Down</t>
  </si>
  <si>
    <t>VRRP Group Status Change</t>
  </si>
  <si>
    <t>Asunto Correo</t>
  </si>
  <si>
    <t>Revised</t>
  </si>
  <si>
    <t>Tipo</t>
  </si>
  <si>
    <t>Servicio</t>
  </si>
  <si>
    <t>Devices/Circuits</t>
  </si>
  <si>
    <t>Tipo Incidencia</t>
  </si>
  <si>
    <t>Estado Incidencia</t>
  </si>
  <si>
    <t>Service Now</t>
  </si>
  <si>
    <t>Impacto</t>
  </si>
  <si>
    <t>Sede</t>
  </si>
  <si>
    <t>ASUNTO</t>
  </si>
  <si>
    <t>ISM Ticket</t>
  </si>
  <si>
    <t>Time stamp (GMT +1)</t>
  </si>
  <si>
    <t>Closure Message</t>
  </si>
  <si>
    <t>Hora de Inicio Alertas</t>
  </si>
  <si>
    <t>Hora Fin de la alerta</t>
  </si>
  <si>
    <t>Minutos</t>
  </si>
  <si>
    <t>indicar como min + min</t>
  </si>
  <si>
    <t>Utiliza esta página para modificar manualmente la plantilla</t>
  </si>
  <si>
    <t>Incident Start Time (GMT+1):</t>
  </si>
  <si>
    <t>Incident End Time (GMT+1):</t>
  </si>
  <si>
    <t>Time stamp (GMT+1)</t>
  </si>
  <si>
    <t>INC056906221</t>
  </si>
  <si>
    <t>THE COMMUNICATION LINK IS DOWN [Ethernet1/59]</t>
  </si>
  <si>
    <t>We have detected the circuit link down from 2:08 to 2:15 GMT+2, currently remains up and stable. NO impact reported by CCS. We will keep monitoring.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</si>
</sst>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sz val="36"/>
      <color theme="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name val="Aptos Narrow"/>
      <family val="2"/>
    </font>
    <font>
      <sz val="11"/>
      <color rgb="FF7030A0"/>
      <name val="Calibri"/>
      <family val="2"/>
      <scheme val="minor"/>
    </font>
    <font>
      <sz val="11"/>
      <color rgb="FF181B1D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i/>
      <u/>
      <sz val="11"/>
      <color rgb="FF002060"/>
      <name val="Calibri"/>
      <family val="2"/>
      <scheme val="minor"/>
    </font>
    <font>
      <i/>
      <u/>
      <sz val="11"/>
      <color rgb="FF00206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7B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</borders>
  <cellStyleXfs count="2">
    <xf numFmtId="0" fontId="0" fillId="0" borderId="0"/>
    <xf numFmtId="0" fontId="6" fillId="0" borderId="0"/>
  </cellStyleXfs>
  <cellXfs count="190">
    <xf numFmtId="0" fontId="0" fillId="0" borderId="0" xfId="0"/>
    <xf numFmtId="0" fontId="0" fillId="0" borderId="1" xfId="0" applyBorder="1"/>
    <xf numFmtId="0" fontId="1" fillId="3" borderId="2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22" fontId="0" fillId="0" borderId="0" xfId="0" applyNumberFormat="1"/>
    <xf numFmtId="2" fontId="0" fillId="0" borderId="0" xfId="0" applyNumberFormat="1"/>
    <xf numFmtId="22" fontId="0" fillId="0" borderId="1" xfId="0" applyNumberFormat="1" applyBorder="1"/>
    <xf numFmtId="22" fontId="0" fillId="4" borderId="1" xfId="0" applyNumberFormat="1" applyFill="1" applyBorder="1"/>
    <xf numFmtId="0" fontId="2" fillId="5" borderId="0" xfId="0" applyFont="1" applyFill="1"/>
    <xf numFmtId="0" fontId="0" fillId="0" borderId="0" xfId="0" applyAlignment="1">
      <alignment wrapText="1"/>
    </xf>
    <xf numFmtId="0" fontId="7" fillId="7" borderId="0" xfId="0" applyFont="1" applyFill="1"/>
    <xf numFmtId="0" fontId="3" fillId="3" borderId="2" xfId="0" applyFont="1" applyFill="1" applyBorder="1"/>
    <xf numFmtId="0" fontId="0" fillId="0" borderId="7" xfId="0" applyBorder="1"/>
    <xf numFmtId="0" fontId="0" fillId="8" borderId="5" xfId="0" applyFill="1" applyBorder="1"/>
    <xf numFmtId="0" fontId="0" fillId="0" borderId="18" xfId="0" applyBorder="1"/>
    <xf numFmtId="0" fontId="0" fillId="0" borderId="19" xfId="0" applyBorder="1"/>
    <xf numFmtId="0" fontId="2" fillId="0" borderId="16" xfId="0" applyFont="1" applyBorder="1"/>
    <xf numFmtId="0" fontId="2" fillId="4" borderId="16" xfId="0" applyFont="1" applyFill="1" applyBorder="1"/>
    <xf numFmtId="0" fontId="2" fillId="0" borderId="17" xfId="0" applyFont="1" applyBorder="1"/>
    <xf numFmtId="0" fontId="0" fillId="9" borderId="14" xfId="0" applyFill="1" applyBorder="1"/>
    <xf numFmtId="0" fontId="0" fillId="9" borderId="15" xfId="0" applyFill="1" applyBorder="1"/>
    <xf numFmtId="0" fontId="0" fillId="10" borderId="14" xfId="0" applyFill="1" applyBorder="1"/>
    <xf numFmtId="0" fontId="0" fillId="10" borderId="15" xfId="0" applyFill="1" applyBorder="1"/>
    <xf numFmtId="0" fontId="2" fillId="8" borderId="5" xfId="0" applyFont="1" applyFill="1" applyBorder="1"/>
    <xf numFmtId="0" fontId="0" fillId="0" borderId="0" xfId="0" applyAlignment="1">
      <alignment vertical="center"/>
    </xf>
    <xf numFmtId="22" fontId="0" fillId="0" borderId="18" xfId="0" applyNumberFormat="1" applyBorder="1"/>
    <xf numFmtId="0" fontId="0" fillId="0" borderId="0" xfId="0" applyAlignment="1">
      <alignment horizontal="left" wrapText="1"/>
    </xf>
    <xf numFmtId="0" fontId="1" fillId="6" borderId="0" xfId="0" applyFont="1" applyFill="1" applyAlignment="1">
      <alignment horizontal="center"/>
    </xf>
    <xf numFmtId="0" fontId="7" fillId="6" borderId="0" xfId="0" applyFont="1" applyFill="1" applyAlignment="1">
      <alignment wrapText="1"/>
    </xf>
    <xf numFmtId="22" fontId="0" fillId="0" borderId="11" xfId="0" applyNumberFormat="1" applyBorder="1" applyAlignment="1">
      <alignment wrapText="1"/>
    </xf>
    <xf numFmtId="0" fontId="2" fillId="6" borderId="1" xfId="0" applyFont="1" applyFill="1" applyBorder="1" applyAlignment="1">
      <alignment horizontal="right" vertical="center"/>
    </xf>
    <xf numFmtId="0" fontId="2" fillId="6" borderId="29" xfId="0" applyFont="1" applyFill="1" applyBorder="1" applyAlignment="1">
      <alignment horizontal="right" vertical="center"/>
    </xf>
    <xf numFmtId="0" fontId="2" fillId="6" borderId="32" xfId="0" applyFont="1" applyFill="1" applyBorder="1" applyAlignment="1">
      <alignment horizontal="right" vertical="center"/>
    </xf>
    <xf numFmtId="22" fontId="0" fillId="0" borderId="0" xfId="0" applyNumberFormat="1" applyAlignment="1">
      <alignment horizontal="left" wrapText="1"/>
    </xf>
    <xf numFmtId="2" fontId="9" fillId="0" borderId="0" xfId="0" applyNumberFormat="1" applyFont="1" applyAlignment="1">
      <alignment horizontal="left" wrapText="1"/>
    </xf>
    <xf numFmtId="22" fontId="0" fillId="0" borderId="5" xfId="0" applyNumberFormat="1" applyBorder="1" applyAlignment="1">
      <alignment wrapText="1"/>
    </xf>
    <xf numFmtId="22" fontId="0" fillId="0" borderId="36" xfId="0" applyNumberFormat="1" applyBorder="1" applyAlignment="1">
      <alignment wrapText="1"/>
    </xf>
    <xf numFmtId="0" fontId="14" fillId="6" borderId="0" xfId="0" applyFont="1" applyFill="1" applyAlignment="1">
      <alignment horizontal="left" vertical="center"/>
    </xf>
    <xf numFmtId="0" fontId="0" fillId="12" borderId="0" xfId="0" applyFill="1"/>
    <xf numFmtId="0" fontId="0" fillId="11" borderId="0" xfId="0" applyFill="1"/>
    <xf numFmtId="0" fontId="2" fillId="5" borderId="5" xfId="0" applyFont="1" applyFill="1" applyBorder="1" applyAlignment="1">
      <alignment wrapText="1"/>
    </xf>
    <xf numFmtId="22" fontId="13" fillId="6" borderId="3" xfId="0" applyNumberFormat="1" applyFont="1" applyFill="1" applyBorder="1" applyAlignment="1">
      <alignment horizontal="center" vertical="center"/>
    </xf>
    <xf numFmtId="22" fontId="13" fillId="6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" fillId="3" borderId="37" xfId="0" applyFont="1" applyFill="1" applyBorder="1" applyAlignment="1">
      <alignment horizontal="center" vertical="center"/>
    </xf>
    <xf numFmtId="0" fontId="3" fillId="6" borderId="0" xfId="0" applyFont="1" applyFill="1" applyAlignment="1">
      <alignment vertical="center" wrapText="1"/>
    </xf>
    <xf numFmtId="0" fontId="2" fillId="0" borderId="5" xfId="0" applyFont="1" applyBorder="1" applyAlignment="1">
      <alignment horizontal="center" vertical="center"/>
    </xf>
    <xf numFmtId="0" fontId="0" fillId="6" borderId="0" xfId="0" applyFill="1" applyAlignment="1">
      <alignment vertical="center" wrapText="1"/>
    </xf>
    <xf numFmtId="1" fontId="0" fillId="0" borderId="1" xfId="0" applyNumberFormat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0" borderId="39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7" fillId="0" borderId="0" xfId="0" applyFont="1" applyAlignment="1">
      <alignment vertical="center"/>
    </xf>
    <xf numFmtId="22" fontId="0" fillId="0" borderId="1" xfId="0" applyNumberForma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0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20" fillId="2" borderId="0" xfId="0" applyFont="1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22" fontId="0" fillId="6" borderId="0" xfId="0" applyNumberFormat="1" applyFill="1" applyAlignment="1">
      <alignment horizontal="center" vertical="center"/>
    </xf>
    <xf numFmtId="22" fontId="0" fillId="6" borderId="0" xfId="0" applyNumberForma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2" fontId="0" fillId="6" borderId="0" xfId="0" applyNumberFormat="1" applyFill="1" applyAlignment="1">
      <alignment wrapText="1"/>
    </xf>
    <xf numFmtId="0" fontId="2" fillId="6" borderId="0" xfId="0" applyFont="1" applyFill="1" applyAlignment="1">
      <alignment wrapText="1"/>
    </xf>
    <xf numFmtId="0" fontId="5" fillId="2" borderId="8" xfId="0" applyFont="1" applyFill="1" applyBorder="1" applyAlignment="1">
      <alignment vertical="center"/>
    </xf>
    <xf numFmtId="1" fontId="0" fillId="0" borderId="0" xfId="0" applyNumberFormat="1" applyAlignment="1">
      <alignment vertical="center"/>
    </xf>
    <xf numFmtId="0" fontId="0" fillId="14" borderId="21" xfId="0" applyFill="1" applyBorder="1" applyAlignment="1">
      <alignment horizontal="center" vertical="center"/>
    </xf>
    <xf numFmtId="0" fontId="14" fillId="14" borderId="23" xfId="0" applyFont="1" applyFill="1" applyBorder="1" applyAlignment="1">
      <alignment horizontal="left" vertical="center"/>
    </xf>
    <xf numFmtId="0" fontId="0" fillId="14" borderId="24" xfId="0" applyFill="1" applyBorder="1" applyAlignment="1">
      <alignment horizontal="center" vertical="center"/>
    </xf>
    <xf numFmtId="0" fontId="14" fillId="14" borderId="25" xfId="0" applyFont="1" applyFill="1" applyBorder="1" applyAlignment="1">
      <alignment horizontal="left" vertical="center"/>
    </xf>
    <xf numFmtId="0" fontId="23" fillId="14" borderId="24" xfId="0" applyFont="1" applyFill="1" applyBorder="1" applyAlignment="1">
      <alignment horizontal="center" vertical="center"/>
    </xf>
    <xf numFmtId="0" fontId="14" fillId="14" borderId="25" xfId="0" applyFont="1" applyFill="1" applyBorder="1" applyAlignment="1">
      <alignment horizontal="left" vertical="center" wrapText="1"/>
    </xf>
    <xf numFmtId="0" fontId="3" fillId="14" borderId="24" xfId="0" applyFont="1" applyFill="1" applyBorder="1" applyAlignment="1">
      <alignment vertical="center" wrapText="1"/>
    </xf>
    <xf numFmtId="0" fontId="3" fillId="14" borderId="25" xfId="0" applyFont="1" applyFill="1" applyBorder="1" applyAlignment="1">
      <alignment vertical="center" wrapText="1"/>
    </xf>
    <xf numFmtId="0" fontId="16" fillId="14" borderId="24" xfId="0" applyFont="1" applyFill="1" applyBorder="1" applyAlignment="1">
      <alignment horizontal="center" vertical="center" wrapText="1"/>
    </xf>
    <xf numFmtId="0" fontId="0" fillId="14" borderId="26" xfId="0" applyFill="1" applyBorder="1" applyAlignment="1">
      <alignment horizontal="center" vertical="center"/>
    </xf>
    <xf numFmtId="0" fontId="14" fillId="14" borderId="28" xfId="0" applyFont="1" applyFill="1" applyBorder="1" applyAlignment="1">
      <alignment horizontal="left" vertical="center"/>
    </xf>
    <xf numFmtId="0" fontId="0" fillId="14" borderId="24" xfId="0" applyFill="1" applyBorder="1"/>
    <xf numFmtId="0" fontId="11" fillId="14" borderId="25" xfId="0" applyFont="1" applyFill="1" applyBorder="1" applyAlignment="1">
      <alignment horizontal="center"/>
    </xf>
    <xf numFmtId="0" fontId="1" fillId="14" borderId="24" xfId="0" applyFont="1" applyFill="1" applyBorder="1" applyAlignment="1">
      <alignment vertical="center" wrapText="1"/>
    </xf>
    <xf numFmtId="0" fontId="0" fillId="14" borderId="0" xfId="0" applyFill="1" applyAlignment="1">
      <alignment wrapText="1"/>
    </xf>
    <xf numFmtId="0" fontId="1" fillId="14" borderId="0" xfId="0" applyFont="1" applyFill="1" applyAlignment="1">
      <alignment horizontal="center"/>
    </xf>
    <xf numFmtId="0" fontId="1" fillId="14" borderId="25" xfId="0" applyFont="1" applyFill="1" applyBorder="1" applyAlignment="1">
      <alignment horizontal="center"/>
    </xf>
    <xf numFmtId="0" fontId="1" fillId="14" borderId="24" xfId="0" applyFont="1" applyFill="1" applyBorder="1" applyAlignment="1">
      <alignment vertical="center"/>
    </xf>
    <xf numFmtId="0" fontId="2" fillId="14" borderId="0" xfId="0" applyFont="1" applyFill="1" applyAlignment="1">
      <alignment horizontal="center" vertical="center" wrapText="1"/>
    </xf>
    <xf numFmtId="22" fontId="0" fillId="14" borderId="25" xfId="0" applyNumberFormat="1" applyFill="1" applyBorder="1" applyAlignment="1">
      <alignment horizontal="center" vertical="center"/>
    </xf>
    <xf numFmtId="0" fontId="2" fillId="14" borderId="0" xfId="0" applyFont="1" applyFill="1" applyAlignment="1">
      <alignment horizontal="right" vertical="center" wrapText="1"/>
    </xf>
    <xf numFmtId="0" fontId="0" fillId="14" borderId="0" xfId="0" applyFill="1" applyAlignment="1">
      <alignment horizontal="center" vertical="center"/>
    </xf>
    <xf numFmtId="22" fontId="2" fillId="14" borderId="0" xfId="0" applyNumberFormat="1" applyFont="1" applyFill="1" applyAlignment="1">
      <alignment horizontal="center" vertical="center" wrapText="1"/>
    </xf>
    <xf numFmtId="22" fontId="2" fillId="14" borderId="0" xfId="0" applyNumberFormat="1" applyFont="1" applyFill="1" applyAlignment="1">
      <alignment horizontal="right" vertical="center" wrapText="1"/>
    </xf>
    <xf numFmtId="0" fontId="10" fillId="14" borderId="0" xfId="0" applyFont="1" applyFill="1" applyAlignment="1">
      <alignment horizontal="center" vertical="center" wrapText="1"/>
    </xf>
    <xf numFmtId="0" fontId="10" fillId="14" borderId="0" xfId="0" applyFont="1" applyFill="1" applyAlignment="1">
      <alignment horizontal="right" vertical="center" wrapText="1"/>
    </xf>
    <xf numFmtId="0" fontId="0" fillId="14" borderId="25" xfId="0" applyFill="1" applyBorder="1" applyAlignment="1">
      <alignment horizontal="center" vertical="center"/>
    </xf>
    <xf numFmtId="0" fontId="11" fillId="14" borderId="24" xfId="0" applyFont="1" applyFill="1" applyBorder="1"/>
    <xf numFmtId="0" fontId="11" fillId="14" borderId="0" xfId="0" applyFont="1" applyFill="1"/>
    <xf numFmtId="0" fontId="11" fillId="14" borderId="25" xfId="0" applyFont="1" applyFill="1" applyBorder="1"/>
    <xf numFmtId="0" fontId="2" fillId="14" borderId="0" xfId="0" applyFont="1" applyFill="1" applyAlignment="1">
      <alignment horizontal="center"/>
    </xf>
    <xf numFmtId="0" fontId="7" fillId="14" borderId="0" xfId="0" applyFont="1" applyFill="1" applyAlignment="1">
      <alignment wrapText="1"/>
    </xf>
    <xf numFmtId="0" fontId="7" fillId="14" borderId="25" xfId="0" applyFont="1" applyFill="1" applyBorder="1" applyAlignment="1">
      <alignment wrapText="1"/>
    </xf>
    <xf numFmtId="22" fontId="2" fillId="14" borderId="0" xfId="0" applyNumberFormat="1" applyFont="1" applyFill="1" applyAlignment="1">
      <alignment horizontal="center" wrapText="1"/>
    </xf>
    <xf numFmtId="22" fontId="0" fillId="14" borderId="0" xfId="0" applyNumberFormat="1" applyFill="1" applyAlignment="1">
      <alignment horizontal="center" vertical="center"/>
    </xf>
    <xf numFmtId="22" fontId="0" fillId="14" borderId="25" xfId="0" applyNumberFormat="1" applyFill="1" applyBorder="1" applyAlignment="1">
      <alignment horizontal="center" wrapText="1"/>
    </xf>
    <xf numFmtId="22" fontId="0" fillId="14" borderId="0" xfId="0" applyNumberFormat="1" applyFill="1" applyAlignment="1">
      <alignment horizontal="center" vertical="center" wrapText="1"/>
    </xf>
    <xf numFmtId="0" fontId="0" fillId="14" borderId="0" xfId="0" applyFill="1" applyAlignment="1">
      <alignment vertical="center" wrapText="1"/>
    </xf>
    <xf numFmtId="0" fontId="0" fillId="14" borderId="25" xfId="0" applyFill="1" applyBorder="1" applyAlignment="1">
      <alignment horizontal="center"/>
    </xf>
    <xf numFmtId="0" fontId="0" fillId="14" borderId="26" xfId="0" applyFill="1" applyBorder="1"/>
    <xf numFmtId="0" fontId="0" fillId="14" borderId="27" xfId="0" applyFill="1" applyBorder="1" applyAlignment="1">
      <alignment wrapText="1"/>
    </xf>
    <xf numFmtId="0" fontId="0" fillId="14" borderId="27" xfId="0" applyFill="1" applyBorder="1" applyAlignment="1">
      <alignment horizontal="center"/>
    </xf>
    <xf numFmtId="0" fontId="0" fillId="14" borderId="28" xfId="0" applyFill="1" applyBorder="1" applyAlignment="1">
      <alignment horizontal="center"/>
    </xf>
    <xf numFmtId="22" fontId="13" fillId="0" borderId="1" xfId="0" applyNumberFormat="1" applyFont="1" applyBorder="1" applyAlignment="1">
      <alignment horizontal="center" vertical="center"/>
    </xf>
    <xf numFmtId="22" fontId="13" fillId="0" borderId="3" xfId="0" applyNumberFormat="1" applyFont="1" applyBorder="1" applyAlignment="1">
      <alignment horizontal="center" vertical="center"/>
    </xf>
    <xf numFmtId="0" fontId="2" fillId="15" borderId="1" xfId="0" applyFont="1" applyFill="1" applyBorder="1" applyAlignment="1">
      <alignment horizontal="right" vertical="center" wrapText="1"/>
    </xf>
    <xf numFmtId="22" fontId="2" fillId="15" borderId="1" xfId="0" applyNumberFormat="1" applyFont="1" applyFill="1" applyBorder="1" applyAlignment="1">
      <alignment horizontal="right" vertical="center" wrapText="1"/>
    </xf>
    <xf numFmtId="0" fontId="10" fillId="15" borderId="1" xfId="0" applyFont="1" applyFill="1" applyBorder="1" applyAlignment="1">
      <alignment horizontal="right" vertical="center" wrapText="1"/>
    </xf>
    <xf numFmtId="22" fontId="2" fillId="15" borderId="1" xfId="0" applyNumberFormat="1" applyFont="1" applyFill="1" applyBorder="1" applyAlignment="1">
      <alignment horizontal="center" wrapText="1"/>
    </xf>
    <xf numFmtId="0" fontId="26" fillId="15" borderId="40" xfId="0" applyFont="1" applyFill="1" applyBorder="1" applyAlignment="1">
      <alignment horizontal="right" vertical="center" wrapText="1"/>
    </xf>
    <xf numFmtId="0" fontId="27" fillId="14" borderId="25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6" borderId="1" xfId="0" applyFill="1" applyBorder="1" applyAlignment="1">
      <alignment vertical="center" wrapText="1"/>
    </xf>
    <xf numFmtId="0" fontId="0" fillId="6" borderId="30" xfId="0" applyFill="1" applyBorder="1" applyAlignment="1">
      <alignment vertical="center"/>
    </xf>
    <xf numFmtId="22" fontId="0" fillId="6" borderId="1" xfId="0" applyNumberFormat="1" applyFill="1" applyBorder="1" applyAlignment="1">
      <alignment horizontal="left" vertical="center" wrapText="1"/>
    </xf>
    <xf numFmtId="22" fontId="0" fillId="6" borderId="30" xfId="0" applyNumberFormat="1" applyFill="1" applyBorder="1" applyAlignment="1">
      <alignment horizontal="left" vertical="center" wrapText="1"/>
    </xf>
    <xf numFmtId="2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center"/>
    </xf>
    <xf numFmtId="0" fontId="0" fillId="6" borderId="30" xfId="0" applyFill="1" applyBorder="1" applyAlignment="1">
      <alignment vertical="center" wrapText="1"/>
    </xf>
    <xf numFmtId="0" fontId="9" fillId="13" borderId="0" xfId="0" applyFont="1" applyFill="1" applyAlignment="1">
      <alignment vertical="center"/>
    </xf>
    <xf numFmtId="0" fontId="30" fillId="16" borderId="0" xfId="0" applyFont="1" applyFill="1" applyAlignment="1">
      <alignment vertical="center"/>
    </xf>
    <xf numFmtId="0" fontId="21" fillId="0" borderId="0" xfId="0" applyFont="1"/>
    <xf numFmtId="0" fontId="17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0" fontId="0" fillId="6" borderId="1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22" fontId="18" fillId="6" borderId="38" xfId="0" applyNumberFormat="1" applyFont="1" applyFill="1" applyBorder="1" applyAlignment="1">
      <alignment horizontal="center" vertical="center"/>
    </xf>
    <xf numFmtId="22" fontId="0" fillId="6" borderId="12" xfId="0" applyNumberFormat="1" applyFill="1" applyBorder="1" applyAlignment="1">
      <alignment horizontal="left" vertical="center"/>
    </xf>
    <xf numFmtId="22" fontId="0" fillId="6" borderId="13" xfId="0" applyNumberFormat="1" applyFill="1" applyBorder="1" applyAlignment="1">
      <alignment horizontal="left" vertical="center"/>
    </xf>
    <xf numFmtId="22" fontId="0" fillId="6" borderId="31" xfId="0" applyNumberFormat="1" applyFill="1" applyBorder="1" applyAlignment="1">
      <alignment horizontal="left" vertical="center"/>
    </xf>
    <xf numFmtId="0" fontId="15" fillId="0" borderId="5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6" borderId="30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0" fontId="0" fillId="6" borderId="30" xfId="0" applyFill="1" applyBorder="1" applyAlignment="1">
      <alignment horizontal="left" vertical="center"/>
    </xf>
    <xf numFmtId="0" fontId="11" fillId="11" borderId="1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left" vertical="center"/>
    </xf>
    <xf numFmtId="0" fontId="1" fillId="3" borderId="17" xfId="0" applyFont="1" applyFill="1" applyBorder="1" applyAlignment="1">
      <alignment horizontal="left" vertical="center"/>
    </xf>
    <xf numFmtId="0" fontId="5" fillId="2" borderId="26" xfId="0" applyFont="1" applyFill="1" applyBorder="1" applyAlignment="1">
      <alignment horizontal="left" vertical="center"/>
    </xf>
    <xf numFmtId="0" fontId="5" fillId="2" borderId="27" xfId="0" applyFont="1" applyFill="1" applyBorder="1" applyAlignment="1">
      <alignment horizontal="left" vertical="center"/>
    </xf>
    <xf numFmtId="0" fontId="5" fillId="2" borderId="28" xfId="0" applyFont="1" applyFill="1" applyBorder="1" applyAlignment="1">
      <alignment horizontal="left" vertical="center"/>
    </xf>
    <xf numFmtId="0" fontId="0" fillId="6" borderId="33" xfId="0" applyFill="1" applyBorder="1" applyAlignment="1">
      <alignment horizontal="left" vertical="center" wrapText="1"/>
    </xf>
    <xf numFmtId="0" fontId="0" fillId="6" borderId="34" xfId="0" applyFill="1" applyBorder="1" applyAlignment="1">
      <alignment horizontal="left" vertical="center" wrapText="1"/>
    </xf>
    <xf numFmtId="0" fontId="0" fillId="6" borderId="35" xfId="0" applyFill="1" applyBorder="1" applyAlignment="1">
      <alignment horizontal="left" vertical="center" wrapText="1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2" fillId="14" borderId="7" xfId="0" applyFont="1" applyFill="1" applyBorder="1" applyAlignment="1">
      <alignment horizontal="center" vertical="center"/>
    </xf>
    <xf numFmtId="0" fontId="25" fillId="14" borderId="21" xfId="0" applyFont="1" applyFill="1" applyBorder="1" applyAlignment="1">
      <alignment horizontal="center" wrapText="1"/>
    </xf>
    <xf numFmtId="0" fontId="25" fillId="14" borderId="22" xfId="0" applyFont="1" applyFill="1" applyBorder="1" applyAlignment="1">
      <alignment horizontal="center" wrapText="1"/>
    </xf>
    <xf numFmtId="0" fontId="25" fillId="14" borderId="23" xfId="0" applyFont="1" applyFill="1" applyBorder="1" applyAlignment="1">
      <alignment horizontal="center" wrapText="1"/>
    </xf>
    <xf numFmtId="0" fontId="13" fillId="0" borderId="5" xfId="0" applyFont="1" applyBorder="1" applyAlignment="1">
      <alignment horizontal="left" vertical="center" wrapText="1"/>
    </xf>
    <xf numFmtId="0" fontId="13" fillId="0" borderId="7" xfId="0" applyFont="1" applyBorder="1" applyAlignment="1">
      <alignment horizontal="left" vertical="center" wrapText="1"/>
    </xf>
    <xf numFmtId="0" fontId="11" fillId="14" borderId="0" xfId="0" applyFont="1" applyFill="1" applyAlignment="1">
      <alignment horizontal="center"/>
    </xf>
    <xf numFmtId="22" fontId="0" fillId="0" borderId="5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11" fillId="14" borderId="24" xfId="0" applyFont="1" applyFill="1" applyBorder="1" applyAlignment="1">
      <alignment horizontal="center"/>
    </xf>
    <xf numFmtId="0" fontId="11" fillId="14" borderId="25" xfId="0" applyFont="1" applyFill="1" applyBorder="1" applyAlignment="1">
      <alignment horizont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0" fillId="0" borderId="22" xfId="0" applyBorder="1"/>
    <xf numFmtId="0" fontId="2" fillId="13" borderId="8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6ADB719C-7905-4A83-BDAB-64EB9737DB82}"/>
  </cellStyles>
  <dxfs count="39">
    <dxf>
      <fill>
        <patternFill>
          <bgColor rgb="FFFF9F9F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F9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B9B"/>
        </patternFill>
      </fill>
    </dxf>
    <dxf>
      <fill>
        <patternFill>
          <bgColor rgb="FFFF9F9F"/>
        </patternFill>
      </fill>
    </dxf>
    <dxf>
      <fill>
        <patternFill>
          <bgColor rgb="FFFF8B8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8F8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F9F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F9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B9B"/>
        </patternFill>
      </fill>
    </dxf>
    <dxf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F9F"/>
        </patternFill>
      </fill>
    </dxf>
    <dxf>
      <fill>
        <patternFill>
          <bgColor rgb="FFFF8B8B"/>
        </patternFill>
      </fill>
    </dxf>
  </dxfs>
  <tableStyles count="0" defaultTableStyle="TableStyleMedium2" defaultPivotStyle="PivotStyleLight16"/>
  <colors>
    <mruColors>
      <color rgb="FFFFB7B7"/>
      <color rgb="FFFFFFCC"/>
      <color rgb="FFC7A1E3"/>
      <color rgb="FFD3EDDA"/>
      <color rgb="FFFFF5C1"/>
      <color rgb="FFFCC0C1"/>
      <color rgb="FFFF9F9F"/>
      <color rgb="FFFF9B9B"/>
      <color rgb="FFFF8B8B"/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14</xdr:row>
      <xdr:rowOff>0</xdr:rowOff>
    </xdr:from>
    <xdr:to>
      <xdr:col>7</xdr:col>
      <xdr:colOff>1485900</xdr:colOff>
      <xdr:row>16</xdr:row>
      <xdr:rowOff>219075</xdr:rowOff>
    </xdr:to>
    <xdr:sp macro="[0]!Macro2" textlink="">
      <xdr:nvSpPr>
        <xdr:cNvPr id="6" name="Elipse 8">
          <a:extLst>
            <a:ext uri="{FF2B5EF4-FFF2-40B4-BE49-F238E27FC236}">
              <a16:creationId xmlns:a16="http://schemas.microsoft.com/office/drawing/2014/main" id="{293D4AC8-1028-F683-D47C-65FD9AF60DA8}"/>
            </a:ext>
            <a:ext uri="{147F2762-F138-4A5C-976F-8EAC2B608ADB}">
              <a16:predDERef xmlns:a16="http://schemas.microsoft.com/office/drawing/2014/main" pred="{B00A7F1B-6431-02D3-2244-1AB9CB994880}"/>
            </a:ext>
          </a:extLst>
        </xdr:cNvPr>
        <xdr:cNvSpPr/>
      </xdr:nvSpPr>
      <xdr:spPr>
        <a:xfrm>
          <a:off x="7534275" y="4552950"/>
          <a:ext cx="2752725" cy="75247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lt"/>
              <a:cs typeface="+mn-lt"/>
            </a:rPr>
            <a:t>INSERTAR LÍNEA</a:t>
          </a:r>
        </a:p>
      </xdr:txBody>
    </xdr:sp>
    <xdr:clientData/>
  </xdr:twoCellAnchor>
  <xdr:twoCellAnchor editAs="oneCell">
    <xdr:from>
      <xdr:col>3</xdr:col>
      <xdr:colOff>148254</xdr:colOff>
      <xdr:row>5</xdr:row>
      <xdr:rowOff>102534</xdr:rowOff>
    </xdr:from>
    <xdr:to>
      <xdr:col>3</xdr:col>
      <xdr:colOff>1506631</xdr:colOff>
      <xdr:row>5</xdr:row>
      <xdr:rowOff>588558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612EFA-1B03-A777-73C0-E4364E355C1B}"/>
            </a:ext>
            <a:ext uri="{147F2762-F138-4A5C-976F-8EAC2B608ADB}">
              <a16:predDERef xmlns:a16="http://schemas.microsoft.com/office/drawing/2014/main" pred="{293D4AC8-1028-F683-D47C-65FD9AF60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4454" y="864534"/>
          <a:ext cx="1358377" cy="476499"/>
        </a:xfrm>
        <a:prstGeom prst="rect">
          <a:avLst/>
        </a:prstGeom>
      </xdr:spPr>
    </xdr:pic>
    <xdr:clientData/>
  </xdr:twoCellAnchor>
  <xdr:twoCellAnchor editAs="oneCell">
    <xdr:from>
      <xdr:col>1</xdr:col>
      <xdr:colOff>807497</xdr:colOff>
      <xdr:row>5</xdr:row>
      <xdr:rowOff>71046</xdr:rowOff>
    </xdr:from>
    <xdr:to>
      <xdr:col>1</xdr:col>
      <xdr:colOff>1793613</xdr:colOff>
      <xdr:row>5</xdr:row>
      <xdr:rowOff>667000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7CB40723-1051-4294-AF9B-3CDD578369D4}"/>
            </a:ext>
            <a:ext uri="{147F2762-F138-4A5C-976F-8EAC2B608ADB}">
              <a16:predDERef xmlns:a16="http://schemas.microsoft.com/office/drawing/2014/main" pred="{5A612EFA-1B03-A777-73C0-E4364E35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222" y="833046"/>
          <a:ext cx="986116" cy="5959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14</xdr:row>
      <xdr:rowOff>0</xdr:rowOff>
    </xdr:from>
    <xdr:to>
      <xdr:col>8</xdr:col>
      <xdr:colOff>3810</xdr:colOff>
      <xdr:row>16</xdr:row>
      <xdr:rowOff>57150</xdr:rowOff>
    </xdr:to>
    <xdr:sp macro="[0]!Macro2" textlink="">
      <xdr:nvSpPr>
        <xdr:cNvPr id="2" name="Elipse 8">
          <a:extLst>
            <a:ext uri="{FF2B5EF4-FFF2-40B4-BE49-F238E27FC236}">
              <a16:creationId xmlns:a16="http://schemas.microsoft.com/office/drawing/2014/main" id="{334A6B5C-4A86-457A-909F-C8CB9E826754}"/>
            </a:ext>
            <a:ext uri="{147F2762-F138-4A5C-976F-8EAC2B608ADB}">
              <a16:predDERef xmlns:a16="http://schemas.microsoft.com/office/drawing/2014/main" pred="{B00A7F1B-6431-02D3-2244-1AB9CB994880}"/>
            </a:ext>
          </a:extLst>
        </xdr:cNvPr>
        <xdr:cNvSpPr/>
      </xdr:nvSpPr>
      <xdr:spPr>
        <a:xfrm>
          <a:off x="7642861" y="4152900"/>
          <a:ext cx="2998469" cy="5905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lt"/>
              <a:cs typeface="+mn-lt"/>
            </a:rPr>
            <a:t>INSERTAR LÍNEA</a:t>
          </a:r>
        </a:p>
      </xdr:txBody>
    </xdr:sp>
    <xdr:clientData/>
  </xdr:twoCellAnchor>
  <xdr:twoCellAnchor editAs="oneCell">
    <xdr:from>
      <xdr:col>3</xdr:col>
      <xdr:colOff>148254</xdr:colOff>
      <xdr:row>5</xdr:row>
      <xdr:rowOff>102534</xdr:rowOff>
    </xdr:from>
    <xdr:to>
      <xdr:col>3</xdr:col>
      <xdr:colOff>1506631</xdr:colOff>
      <xdr:row>5</xdr:row>
      <xdr:rowOff>588558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BAA7684-5373-4ACF-BF0D-77D9C6988BD2}"/>
            </a:ext>
            <a:ext uri="{147F2762-F138-4A5C-976F-8EAC2B608ADB}">
              <a16:predDERef xmlns:a16="http://schemas.microsoft.com/office/drawing/2014/main" pred="{293D4AC8-1028-F683-D47C-65FD9AF60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754" y="1245534"/>
          <a:ext cx="1358377" cy="486024"/>
        </a:xfrm>
        <a:prstGeom prst="rect">
          <a:avLst/>
        </a:prstGeom>
      </xdr:spPr>
    </xdr:pic>
    <xdr:clientData/>
  </xdr:twoCellAnchor>
  <xdr:twoCellAnchor editAs="oneCell">
    <xdr:from>
      <xdr:col>1</xdr:col>
      <xdr:colOff>807497</xdr:colOff>
      <xdr:row>5</xdr:row>
      <xdr:rowOff>71046</xdr:rowOff>
    </xdr:from>
    <xdr:to>
      <xdr:col>1</xdr:col>
      <xdr:colOff>1793613</xdr:colOff>
      <xdr:row>5</xdr:row>
      <xdr:rowOff>667000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541D4730-4969-4440-9582-CEAF6B2B5734}"/>
            </a:ext>
            <a:ext uri="{147F2762-F138-4A5C-976F-8EAC2B608ADB}">
              <a16:predDERef xmlns:a16="http://schemas.microsoft.com/office/drawing/2014/main" pred="{5A612EFA-1B03-A777-73C0-E4364E35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7557" y="1214046"/>
          <a:ext cx="986116" cy="5959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59A2-EFD7-41FF-9961-3681D41DDFC7}">
  <sheetPr codeName="Hoja1">
    <tabColor theme="0" tint="-0.249977111117893"/>
  </sheetPr>
  <dimension ref="B1:I393"/>
  <sheetViews>
    <sheetView showGridLines="0" topLeftCell="A7" zoomScale="80" zoomScaleNormal="80" workbookViewId="0">
      <selection activeCell="A18" sqref="A18:XFD18"/>
    </sheetView>
  </sheetViews>
  <sheetFormatPr baseColWidth="10" defaultColWidth="11.453125" defaultRowHeight="14.5" x14ac:dyDescent="0.35"/>
  <cols>
    <col min="1" max="1" width="7" style="24" customWidth="1"/>
    <col min="2" max="2" width="30.453125" style="24" customWidth="1"/>
    <col min="3" max="3" width="20.81640625" style="24" customWidth="1"/>
    <col min="4" max="4" width="26.453125" style="24" customWidth="1"/>
    <col min="5" max="5" width="24.1796875" style="24" customWidth="1"/>
    <col min="6" max="6" width="2.54296875" style="24" customWidth="1"/>
    <col min="7" max="7" width="20.54296875" style="24" customWidth="1"/>
    <col min="8" max="8" width="23.1796875" style="24" customWidth="1"/>
    <col min="9" max="9" width="17.1796875" style="24" customWidth="1"/>
    <col min="10" max="10" width="18.54296875" style="24" customWidth="1"/>
    <col min="11" max="16384" width="11.453125" style="24"/>
  </cols>
  <sheetData>
    <row r="1" spans="2:9" ht="18" customHeight="1" thickBot="1" x14ac:dyDescent="0.4">
      <c r="B1" s="53" t="s">
        <v>0</v>
      </c>
    </row>
    <row r="2" spans="2:9" ht="18" customHeight="1" thickBot="1" x14ac:dyDescent="0.4">
      <c r="B2" s="46" t="s">
        <v>1</v>
      </c>
      <c r="C2" s="50" t="str">
        <f>Fórmulas!X4</f>
        <v>Aperture Incident // GSNET International // IX Spain // ASWIXBE01_ASWIXCS01_BT // Up // INC056906221 (P5) - Impact: NO</v>
      </c>
      <c r="D2" s="51"/>
      <c r="E2" s="51"/>
      <c r="F2" s="51"/>
      <c r="G2" s="51"/>
      <c r="H2" s="52"/>
    </row>
    <row r="3" spans="2:9" ht="18" customHeight="1" x14ac:dyDescent="0.35"/>
    <row r="4" spans="2:9" ht="30" customHeight="1" x14ac:dyDescent="0.35">
      <c r="B4" s="136" t="str">
        <f>IF(AND(OR(C7="GSNET International",C7="GSNET Cloud"),Fórmulas!AC2="Saturation"),"Traffic flow information at the headquarters is available at the following Client Dashboard link
URL: https://sevone.sgtech.corp/login -- Tenant: SDS-Customer -- Option: Flows","")</f>
        <v/>
      </c>
      <c r="C4" s="136"/>
      <c r="D4" s="136"/>
      <c r="E4" s="136"/>
      <c r="F4" s="125"/>
      <c r="G4" s="137" t="str">
        <f>IF(B4="","","Copiar al inicio del correo")</f>
        <v/>
      </c>
      <c r="H4" s="137"/>
    </row>
    <row r="5" spans="2:9" ht="18" customHeight="1" thickBot="1" x14ac:dyDescent="0.4"/>
    <row r="6" spans="2:9" ht="60" customHeight="1" thickBot="1" x14ac:dyDescent="0.4">
      <c r="B6" s="146"/>
      <c r="C6" s="147"/>
      <c r="D6" s="147"/>
      <c r="E6" s="148"/>
      <c r="G6" s="144" t="str">
        <f>CONCATENATE(SUM('Incident Com. (COMPLETAR)'!I:I)," ERRORES")</f>
        <v>0 ERRORES</v>
      </c>
      <c r="H6" s="145"/>
    </row>
    <row r="7" spans="2:9" ht="21" customHeight="1" x14ac:dyDescent="0.35">
      <c r="B7" s="71" t="s">
        <v>2</v>
      </c>
      <c r="C7" s="149" t="str">
        <f>Fórmulas!C4</f>
        <v>GSNET International</v>
      </c>
      <c r="D7" s="149"/>
      <c r="E7" s="150"/>
      <c r="G7" s="155" t="s">
        <v>3</v>
      </c>
      <c r="H7" s="155"/>
    </row>
    <row r="8" spans="2:9" ht="30" customHeight="1" x14ac:dyDescent="0.35">
      <c r="B8" s="31" t="s">
        <v>4</v>
      </c>
      <c r="C8" s="126" t="str">
        <f>'Incident Com. (COMPLETAR)'!E14</f>
        <v>IX Spain</v>
      </c>
      <c r="D8" s="30" t="s">
        <v>5</v>
      </c>
      <c r="E8" s="127" t="str">
        <f>IF('Incident Com. (COMPLETAR)'!E8="","",Fórmulas!C5)</f>
        <v>INC056906221 (P5)</v>
      </c>
    </row>
    <row r="9" spans="2:9" ht="40.5" customHeight="1" x14ac:dyDescent="0.35">
      <c r="B9" s="31" t="s">
        <v>6</v>
      </c>
      <c r="C9" s="128">
        <f>Fórmulas!G7</f>
        <v>45862.089456018519</v>
      </c>
      <c r="D9" s="30" t="s">
        <v>7</v>
      </c>
      <c r="E9" s="129">
        <f>Fórmulas!H7</f>
        <v>45862.09375</v>
      </c>
      <c r="G9" s="154" t="s">
        <v>8</v>
      </c>
      <c r="H9" s="154"/>
      <c r="I9" s="24" t="s">
        <v>9</v>
      </c>
    </row>
    <row r="10" spans="2:9" ht="21" customHeight="1" x14ac:dyDescent="0.35">
      <c r="B10" s="31" t="s">
        <v>10</v>
      </c>
      <c r="C10" s="130" t="str">
        <f>Fórmulas!I7</f>
        <v>6 min</v>
      </c>
      <c r="D10" s="30" t="s">
        <v>11</v>
      </c>
      <c r="E10" s="127" t="str">
        <f>'Incident Com. (COMPLETAR)'!E18</f>
        <v>Up</v>
      </c>
      <c r="G10" s="154" t="s">
        <v>12</v>
      </c>
      <c r="H10" s="154"/>
      <c r="I10" s="24" t="s">
        <v>13</v>
      </c>
    </row>
    <row r="11" spans="2:9" ht="21" customHeight="1" x14ac:dyDescent="0.35">
      <c r="B11" s="31" t="s">
        <v>14</v>
      </c>
      <c r="C11" s="138" t="str">
        <f>IF('Incident Com. (COMPLETAR)'!E20="","PENDIENTE",'Incident Com. (COMPLETAR)'!E20)</f>
        <v>THE COMMUNICATION LINK IS DOWN [Ethernet1/59]</v>
      </c>
      <c r="D11" s="138"/>
      <c r="E11" s="151"/>
    </row>
    <row r="12" spans="2:9" ht="21" customHeight="1" x14ac:dyDescent="0.35">
      <c r="B12" s="31" t="s">
        <v>15</v>
      </c>
      <c r="C12" s="131" t="str">
        <f>IF('Incident Com. (COMPLETAR)'!E22="","",'Incident Com. (COMPLETAR)'!E22)</f>
        <v>NO</v>
      </c>
      <c r="D12" s="30" t="s">
        <v>16</v>
      </c>
      <c r="E12" s="132" t="str">
        <f>IF('Incident Com. (COMPLETAR)'!E24="","",'Incident Com. (COMPLETAR)'!E24)</f>
        <v>Confirmed by CCS</v>
      </c>
      <c r="G12" s="49" t="s">
        <v>17</v>
      </c>
      <c r="H12" s="48">
        <f ca="1">IF('Incident Com. (COMPLETAR)'!E6="Aperture Incident",IF('Incident Com. (COMPLETAR)'!C36="","",IF(AND(Fórmulas!C4="GSNET DATA",Fórmulas!AC2="Saturation"),45-((NOW()-'Incident Com. (COMPLETAR)'!C36)*1440),30-((NOW()-'Incident Com. (COMPLETAR)'!C36)*1440))),"")</f>
        <v>-506.15416666609235</v>
      </c>
    </row>
    <row r="13" spans="2:9" ht="21" customHeight="1" x14ac:dyDescent="0.35">
      <c r="B13" s="31" t="s">
        <v>18</v>
      </c>
      <c r="C13" s="152" t="str">
        <f>IF('Incident Com. (COMPLETAR)'!E12="",'Incident Com. (COMPLETAR)'!E10,_xlfn.CONCAT('Incident Com. (COMPLETAR)'!E10," - ",'Incident Com. (COMPLETAR)'!E12))</f>
        <v>ASWIXBE01_ASWIXCS01_BT</v>
      </c>
      <c r="D13" s="152"/>
      <c r="E13" s="153"/>
      <c r="G13" s="49" t="s">
        <v>19</v>
      </c>
      <c r="H13" s="54">
        <f ca="1">NOW()</f>
        <v>45862.461785300926</v>
      </c>
    </row>
    <row r="14" spans="2:9" ht="21" customHeight="1" x14ac:dyDescent="0.35">
      <c r="B14" s="31" t="s">
        <v>20</v>
      </c>
      <c r="C14" s="141" t="str">
        <f>IF('Incident Com. (COMPLETAR)'!E26="","",'Incident Com. (COMPLETAR)'!E26)</f>
        <v/>
      </c>
      <c r="D14" s="142"/>
      <c r="E14" s="143"/>
    </row>
    <row r="15" spans="2:9" ht="21" customHeight="1" thickBot="1" x14ac:dyDescent="0.4">
      <c r="B15" s="32" t="s">
        <v>21</v>
      </c>
      <c r="C15" s="161" t="str">
        <f>IF('Incident Com. (COMPLETAR)'!E28="","",'Incident Com. (COMPLETAR)'!E28)</f>
        <v/>
      </c>
      <c r="D15" s="162"/>
      <c r="E15" s="163"/>
    </row>
    <row r="16" spans="2:9" ht="21" customHeight="1" thickBot="1" x14ac:dyDescent="0.4">
      <c r="B16" s="158" t="s">
        <v>22</v>
      </c>
      <c r="C16" s="159"/>
      <c r="D16" s="159"/>
      <c r="E16" s="160"/>
      <c r="G16" s="24" t="s">
        <v>23</v>
      </c>
    </row>
    <row r="17" spans="2:8" ht="21" customHeight="1" x14ac:dyDescent="0.35">
      <c r="B17" s="44" t="s">
        <v>24</v>
      </c>
      <c r="C17" s="156" t="s">
        <v>25</v>
      </c>
      <c r="D17" s="156"/>
      <c r="E17" s="157"/>
    </row>
    <row r="18" spans="2:8" ht="53.25" customHeight="1" x14ac:dyDescent="0.35">
      <c r="B18" s="116">
        <v>45862.102083333331</v>
      </c>
      <c r="C18" s="138" t="s">
        <v>618</v>
      </c>
      <c r="D18" s="138"/>
      <c r="E18" s="139"/>
    </row>
    <row r="19" spans="2:8" ht="39.65" customHeight="1" x14ac:dyDescent="0.35">
      <c r="B19" s="140"/>
      <c r="C19" s="140"/>
      <c r="D19" s="140"/>
      <c r="E19" s="140"/>
    </row>
    <row r="20" spans="2:8" ht="14.5" customHeight="1" x14ac:dyDescent="0.35">
      <c r="B20" s="42"/>
      <c r="C20" s="43"/>
      <c r="D20" s="43"/>
      <c r="H20" s="72"/>
    </row>
    <row r="21" spans="2:8" ht="40.4" customHeight="1" x14ac:dyDescent="0.35">
      <c r="B21" s="42"/>
      <c r="C21" s="43"/>
      <c r="D21" s="43"/>
      <c r="E21" s="43"/>
      <c r="H21" s="72"/>
    </row>
    <row r="22" spans="2:8" ht="40.4" customHeight="1" x14ac:dyDescent="0.35">
      <c r="B22" s="42"/>
      <c r="C22" s="43"/>
      <c r="D22" s="43"/>
      <c r="E22" s="43"/>
      <c r="H22" s="72"/>
    </row>
    <row r="23" spans="2:8" ht="14.5" customHeight="1" x14ac:dyDescent="0.35">
      <c r="B23" s="42"/>
      <c r="C23" s="43"/>
      <c r="D23" s="43"/>
      <c r="E23" s="43"/>
    </row>
    <row r="24" spans="2:8" ht="14.5" customHeight="1" x14ac:dyDescent="0.35">
      <c r="B24" s="42"/>
      <c r="C24" s="43"/>
      <c r="D24" s="43"/>
      <c r="E24" s="43"/>
    </row>
    <row r="25" spans="2:8" ht="14.5" customHeight="1" x14ac:dyDescent="0.35">
      <c r="B25" s="42"/>
      <c r="C25" s="43"/>
      <c r="D25" s="43"/>
      <c r="E25" s="43"/>
    </row>
    <row r="26" spans="2:8" ht="14.5" customHeight="1" x14ac:dyDescent="0.35">
      <c r="B26" s="42"/>
      <c r="C26" s="43"/>
      <c r="D26" s="43"/>
      <c r="E26" s="43"/>
    </row>
    <row r="27" spans="2:8" x14ac:dyDescent="0.35">
      <c r="B27" s="42"/>
      <c r="C27" s="47"/>
      <c r="D27" s="43"/>
      <c r="E27" s="43"/>
    </row>
    <row r="28" spans="2:8" x14ac:dyDescent="0.35">
      <c r="B28" s="42"/>
      <c r="C28" s="43"/>
      <c r="D28" s="43"/>
      <c r="E28" s="43"/>
    </row>
    <row r="29" spans="2:8" x14ac:dyDescent="0.35">
      <c r="B29" s="42"/>
      <c r="C29" s="43"/>
      <c r="D29" s="43"/>
      <c r="E29" s="43"/>
    </row>
    <row r="30" spans="2:8" x14ac:dyDescent="0.35">
      <c r="B30" s="42"/>
      <c r="C30" s="43"/>
      <c r="D30" s="43"/>
      <c r="E30" s="43"/>
    </row>
    <row r="31" spans="2:8" x14ac:dyDescent="0.35">
      <c r="B31" s="42"/>
      <c r="C31" s="43"/>
      <c r="D31" s="43"/>
      <c r="E31" s="43"/>
    </row>
    <row r="32" spans="2:8" x14ac:dyDescent="0.35">
      <c r="B32" s="42"/>
      <c r="C32" s="43"/>
      <c r="D32" s="43"/>
      <c r="E32" s="43"/>
    </row>
    <row r="33" spans="2:5" x14ac:dyDescent="0.35">
      <c r="B33" s="42"/>
      <c r="C33" s="43"/>
      <c r="D33" s="43"/>
      <c r="E33" s="43"/>
    </row>
    <row r="34" spans="2:5" x14ac:dyDescent="0.35">
      <c r="B34" s="42"/>
      <c r="C34" s="43"/>
      <c r="D34" s="43"/>
      <c r="E34" s="43"/>
    </row>
    <row r="35" spans="2:5" x14ac:dyDescent="0.35">
      <c r="B35" s="42"/>
      <c r="C35" s="43"/>
      <c r="D35" s="43"/>
      <c r="E35" s="43"/>
    </row>
    <row r="36" spans="2:5" x14ac:dyDescent="0.35">
      <c r="B36" s="42"/>
      <c r="C36" s="43"/>
      <c r="D36" s="43"/>
      <c r="E36" s="43"/>
    </row>
    <row r="37" spans="2:5" x14ac:dyDescent="0.35">
      <c r="B37" s="42"/>
      <c r="C37" s="43"/>
      <c r="D37" s="43"/>
      <c r="E37" s="43"/>
    </row>
    <row r="38" spans="2:5" x14ac:dyDescent="0.35">
      <c r="B38" s="42"/>
      <c r="C38" s="43"/>
      <c r="D38" s="43"/>
      <c r="E38" s="43"/>
    </row>
    <row r="39" spans="2:5" x14ac:dyDescent="0.35">
      <c r="B39" s="42"/>
      <c r="C39" s="43"/>
      <c r="D39" s="43"/>
      <c r="E39" s="43"/>
    </row>
    <row r="40" spans="2:5" x14ac:dyDescent="0.35">
      <c r="B40" s="42"/>
      <c r="C40" s="43"/>
      <c r="D40" s="43"/>
      <c r="E40" s="43"/>
    </row>
    <row r="41" spans="2:5" x14ac:dyDescent="0.35">
      <c r="B41" s="42"/>
      <c r="C41" s="43"/>
      <c r="D41" s="43"/>
      <c r="E41" s="43"/>
    </row>
    <row r="42" spans="2:5" x14ac:dyDescent="0.35">
      <c r="B42" s="42"/>
      <c r="C42" s="43"/>
      <c r="D42" s="43"/>
      <c r="E42" s="43"/>
    </row>
    <row r="43" spans="2:5" x14ac:dyDescent="0.35">
      <c r="B43" s="42"/>
      <c r="C43" s="43"/>
      <c r="D43" s="43"/>
      <c r="E43" s="43"/>
    </row>
    <row r="44" spans="2:5" x14ac:dyDescent="0.35">
      <c r="B44" s="42"/>
      <c r="C44" s="43"/>
      <c r="D44" s="43"/>
      <c r="E44" s="43"/>
    </row>
    <row r="45" spans="2:5" x14ac:dyDescent="0.35">
      <c r="B45" s="42"/>
      <c r="C45" s="43"/>
      <c r="D45" s="43"/>
      <c r="E45" s="43"/>
    </row>
    <row r="46" spans="2:5" x14ac:dyDescent="0.35">
      <c r="B46" s="42"/>
      <c r="C46" s="43"/>
      <c r="D46" s="43"/>
      <c r="E46" s="43"/>
    </row>
    <row r="47" spans="2:5" x14ac:dyDescent="0.35">
      <c r="B47" s="42"/>
      <c r="C47" s="43"/>
      <c r="D47" s="43"/>
      <c r="E47" s="43"/>
    </row>
    <row r="48" spans="2:5" x14ac:dyDescent="0.35">
      <c r="B48" s="42"/>
      <c r="C48" s="43"/>
      <c r="D48" s="43"/>
      <c r="E48" s="43"/>
    </row>
    <row r="49" spans="2:5" x14ac:dyDescent="0.35">
      <c r="B49" s="42"/>
      <c r="C49" s="43"/>
      <c r="D49" s="43"/>
      <c r="E49" s="43"/>
    </row>
    <row r="50" spans="2:5" x14ac:dyDescent="0.35">
      <c r="B50" s="42"/>
      <c r="C50" s="43"/>
      <c r="D50" s="43"/>
      <c r="E50" s="43"/>
    </row>
    <row r="51" spans="2:5" x14ac:dyDescent="0.35">
      <c r="B51" s="42"/>
      <c r="C51" s="43"/>
      <c r="D51" s="43"/>
      <c r="E51" s="43"/>
    </row>
    <row r="52" spans="2:5" x14ac:dyDescent="0.35">
      <c r="B52" s="42"/>
      <c r="C52" s="43"/>
      <c r="D52" s="43"/>
      <c r="E52" s="43"/>
    </row>
    <row r="53" spans="2:5" x14ac:dyDescent="0.35">
      <c r="B53" s="42"/>
      <c r="C53" s="43"/>
      <c r="D53" s="43"/>
      <c r="E53" s="43"/>
    </row>
    <row r="54" spans="2:5" x14ac:dyDescent="0.35">
      <c r="B54" s="42"/>
      <c r="C54" s="43"/>
      <c r="D54" s="43"/>
      <c r="E54" s="43"/>
    </row>
    <row r="55" spans="2:5" x14ac:dyDescent="0.35">
      <c r="B55" s="42"/>
      <c r="C55" s="43"/>
      <c r="D55" s="43"/>
      <c r="E55" s="43"/>
    </row>
    <row r="56" spans="2:5" x14ac:dyDescent="0.35">
      <c r="B56" s="42"/>
      <c r="C56" s="43"/>
      <c r="D56" s="43"/>
      <c r="E56" s="43"/>
    </row>
    <row r="57" spans="2:5" x14ac:dyDescent="0.35">
      <c r="B57" s="42"/>
      <c r="C57" s="43"/>
      <c r="D57" s="43"/>
      <c r="E57" s="43"/>
    </row>
    <row r="58" spans="2:5" x14ac:dyDescent="0.35">
      <c r="B58" s="42"/>
      <c r="C58" s="43"/>
      <c r="D58" s="43"/>
      <c r="E58" s="43"/>
    </row>
    <row r="59" spans="2:5" x14ac:dyDescent="0.35">
      <c r="B59" s="42"/>
      <c r="C59" s="43"/>
      <c r="D59" s="43"/>
      <c r="E59" s="43"/>
    </row>
    <row r="60" spans="2:5" x14ac:dyDescent="0.35">
      <c r="B60" s="42"/>
      <c r="C60" s="43"/>
      <c r="D60" s="43"/>
      <c r="E60" s="43"/>
    </row>
    <row r="61" spans="2:5" x14ac:dyDescent="0.35">
      <c r="B61" s="42"/>
      <c r="C61" s="43"/>
      <c r="D61" s="43"/>
      <c r="E61" s="43"/>
    </row>
    <row r="62" spans="2:5" x14ac:dyDescent="0.35">
      <c r="B62" s="42"/>
      <c r="C62" s="43"/>
      <c r="D62" s="43"/>
      <c r="E62" s="43"/>
    </row>
    <row r="63" spans="2:5" x14ac:dyDescent="0.35">
      <c r="B63" s="42"/>
      <c r="C63" s="43"/>
      <c r="D63" s="43"/>
      <c r="E63" s="43"/>
    </row>
    <row r="64" spans="2:5" x14ac:dyDescent="0.35">
      <c r="B64" s="42"/>
      <c r="C64" s="43"/>
      <c r="D64" s="43"/>
      <c r="E64" s="43"/>
    </row>
    <row r="65" spans="2:5" x14ac:dyDescent="0.35">
      <c r="B65" s="42"/>
      <c r="C65" s="43"/>
      <c r="D65" s="43"/>
      <c r="E65" s="43"/>
    </row>
    <row r="66" spans="2:5" x14ac:dyDescent="0.35">
      <c r="B66" s="42"/>
      <c r="C66" s="43"/>
      <c r="D66" s="43"/>
      <c r="E66" s="43"/>
    </row>
    <row r="67" spans="2:5" x14ac:dyDescent="0.35">
      <c r="B67" s="42"/>
      <c r="C67" s="43"/>
      <c r="D67" s="43"/>
      <c r="E67" s="43"/>
    </row>
    <row r="68" spans="2:5" x14ac:dyDescent="0.35">
      <c r="B68" s="42"/>
      <c r="C68" s="43"/>
      <c r="D68" s="43"/>
      <c r="E68" s="43"/>
    </row>
    <row r="69" spans="2:5" x14ac:dyDescent="0.35">
      <c r="B69" s="42"/>
      <c r="C69" s="43"/>
      <c r="D69" s="43"/>
      <c r="E69" s="43"/>
    </row>
    <row r="70" spans="2:5" x14ac:dyDescent="0.35">
      <c r="B70" s="42"/>
      <c r="C70" s="43"/>
      <c r="D70" s="43"/>
      <c r="E70" s="43"/>
    </row>
    <row r="71" spans="2:5" x14ac:dyDescent="0.35">
      <c r="B71" s="42"/>
      <c r="C71" s="43"/>
      <c r="D71" s="43"/>
      <c r="E71" s="43"/>
    </row>
    <row r="72" spans="2:5" x14ac:dyDescent="0.35">
      <c r="B72" s="42"/>
      <c r="C72" s="43"/>
      <c r="D72" s="43"/>
      <c r="E72" s="43"/>
    </row>
    <row r="73" spans="2:5" x14ac:dyDescent="0.35">
      <c r="B73" s="42"/>
      <c r="C73" s="43"/>
      <c r="D73" s="43"/>
      <c r="E73" s="43"/>
    </row>
    <row r="74" spans="2:5" x14ac:dyDescent="0.35">
      <c r="B74" s="42"/>
      <c r="C74" s="43"/>
      <c r="D74" s="43"/>
      <c r="E74" s="43"/>
    </row>
    <row r="75" spans="2:5" x14ac:dyDescent="0.35">
      <c r="B75" s="42"/>
      <c r="C75" s="43"/>
      <c r="D75" s="43"/>
      <c r="E75" s="43"/>
    </row>
    <row r="76" spans="2:5" x14ac:dyDescent="0.35">
      <c r="B76" s="42"/>
      <c r="C76" s="43"/>
      <c r="D76" s="43"/>
      <c r="E76" s="43"/>
    </row>
    <row r="77" spans="2:5" x14ac:dyDescent="0.35">
      <c r="B77" s="42"/>
      <c r="C77" s="43"/>
      <c r="D77" s="43"/>
      <c r="E77" s="43"/>
    </row>
    <row r="78" spans="2:5" x14ac:dyDescent="0.35">
      <c r="B78" s="42"/>
      <c r="C78" s="43"/>
      <c r="D78" s="43"/>
      <c r="E78" s="43"/>
    </row>
    <row r="79" spans="2:5" x14ac:dyDescent="0.35">
      <c r="B79" s="42"/>
      <c r="C79" s="43"/>
      <c r="D79" s="43"/>
      <c r="E79" s="43"/>
    </row>
    <row r="80" spans="2:5" x14ac:dyDescent="0.35">
      <c r="B80" s="42"/>
      <c r="C80" s="43"/>
      <c r="D80" s="43"/>
      <c r="E80" s="43"/>
    </row>
    <row r="81" spans="2:5" x14ac:dyDescent="0.35">
      <c r="B81" s="42"/>
      <c r="C81" s="43"/>
      <c r="D81" s="43"/>
      <c r="E81" s="43"/>
    </row>
    <row r="82" spans="2:5" x14ac:dyDescent="0.35">
      <c r="B82" s="42"/>
      <c r="C82" s="43"/>
      <c r="D82" s="43"/>
      <c r="E82" s="43"/>
    </row>
    <row r="83" spans="2:5" x14ac:dyDescent="0.35">
      <c r="B83" s="42"/>
      <c r="C83" s="43"/>
      <c r="D83" s="43"/>
      <c r="E83" s="43"/>
    </row>
    <row r="84" spans="2:5" x14ac:dyDescent="0.35">
      <c r="B84" s="42"/>
      <c r="C84" s="43"/>
      <c r="D84" s="43"/>
      <c r="E84" s="43"/>
    </row>
    <row r="85" spans="2:5" x14ac:dyDescent="0.35">
      <c r="B85" s="42"/>
      <c r="C85" s="43"/>
      <c r="D85" s="43"/>
      <c r="E85" s="43"/>
    </row>
    <row r="86" spans="2:5" x14ac:dyDescent="0.35">
      <c r="B86" s="42"/>
      <c r="C86" s="43"/>
      <c r="D86" s="43"/>
      <c r="E86" s="43"/>
    </row>
    <row r="87" spans="2:5" x14ac:dyDescent="0.35">
      <c r="B87" s="42"/>
      <c r="C87" s="43"/>
      <c r="D87" s="43"/>
      <c r="E87" s="43"/>
    </row>
    <row r="88" spans="2:5" x14ac:dyDescent="0.35">
      <c r="B88" s="42"/>
      <c r="C88" s="43"/>
      <c r="D88" s="43"/>
      <c r="E88" s="43"/>
    </row>
    <row r="89" spans="2:5" x14ac:dyDescent="0.35">
      <c r="B89" s="42"/>
      <c r="C89" s="43"/>
      <c r="D89" s="43"/>
      <c r="E89" s="43"/>
    </row>
    <row r="90" spans="2:5" x14ac:dyDescent="0.35">
      <c r="B90" s="42"/>
      <c r="C90" s="43"/>
      <c r="D90" s="43"/>
      <c r="E90" s="43"/>
    </row>
    <row r="91" spans="2:5" x14ac:dyDescent="0.35">
      <c r="B91" s="42"/>
      <c r="C91" s="43"/>
      <c r="D91" s="43"/>
      <c r="E91" s="43"/>
    </row>
    <row r="92" spans="2:5" x14ac:dyDescent="0.35">
      <c r="B92" s="42"/>
      <c r="C92" s="43"/>
      <c r="D92" s="43"/>
      <c r="E92" s="43"/>
    </row>
    <row r="93" spans="2:5" x14ac:dyDescent="0.35">
      <c r="B93" s="42"/>
      <c r="C93" s="43"/>
      <c r="D93" s="43"/>
      <c r="E93" s="43"/>
    </row>
    <row r="94" spans="2:5" x14ac:dyDescent="0.35">
      <c r="B94" s="42"/>
      <c r="C94" s="43"/>
      <c r="D94" s="43"/>
      <c r="E94" s="43"/>
    </row>
    <row r="95" spans="2:5" x14ac:dyDescent="0.35">
      <c r="B95" s="42"/>
      <c r="C95" s="43"/>
      <c r="D95" s="43"/>
      <c r="E95" s="43"/>
    </row>
    <row r="96" spans="2:5" x14ac:dyDescent="0.35">
      <c r="B96" s="42"/>
      <c r="C96" s="43"/>
      <c r="D96" s="43"/>
      <c r="E96" s="43"/>
    </row>
    <row r="97" spans="2:5" x14ac:dyDescent="0.35">
      <c r="B97" s="42"/>
      <c r="C97" s="43"/>
      <c r="D97" s="43"/>
      <c r="E97" s="43"/>
    </row>
    <row r="98" spans="2:5" x14ac:dyDescent="0.35">
      <c r="B98" s="42"/>
      <c r="C98" s="43"/>
      <c r="D98" s="43"/>
      <c r="E98" s="43"/>
    </row>
    <row r="99" spans="2:5" x14ac:dyDescent="0.35">
      <c r="B99" s="42"/>
      <c r="C99" s="43"/>
      <c r="D99" s="43"/>
      <c r="E99" s="43"/>
    </row>
    <row r="100" spans="2:5" x14ac:dyDescent="0.35">
      <c r="B100" s="42"/>
      <c r="C100" s="43"/>
      <c r="D100" s="43"/>
      <c r="E100" s="43"/>
    </row>
    <row r="101" spans="2:5" x14ac:dyDescent="0.35">
      <c r="B101" s="42"/>
      <c r="C101" s="43"/>
      <c r="D101" s="43"/>
      <c r="E101" s="43"/>
    </row>
    <row r="102" spans="2:5" x14ac:dyDescent="0.35">
      <c r="B102" s="42"/>
      <c r="C102" s="43"/>
      <c r="D102" s="43"/>
      <c r="E102" s="43"/>
    </row>
    <row r="103" spans="2:5" x14ac:dyDescent="0.35">
      <c r="B103" s="42"/>
      <c r="C103" s="43"/>
      <c r="D103" s="43"/>
      <c r="E103" s="43"/>
    </row>
    <row r="104" spans="2:5" x14ac:dyDescent="0.35">
      <c r="B104" s="42"/>
      <c r="C104" s="43"/>
      <c r="D104" s="43"/>
      <c r="E104" s="43"/>
    </row>
    <row r="105" spans="2:5" x14ac:dyDescent="0.35">
      <c r="B105" s="42"/>
      <c r="C105" s="43"/>
      <c r="D105" s="43"/>
      <c r="E105" s="43"/>
    </row>
    <row r="106" spans="2:5" x14ac:dyDescent="0.35">
      <c r="B106" s="42"/>
      <c r="C106" s="43"/>
      <c r="D106" s="43"/>
      <c r="E106" s="43"/>
    </row>
    <row r="107" spans="2:5" x14ac:dyDescent="0.35">
      <c r="B107" s="42"/>
      <c r="C107" s="43"/>
      <c r="D107" s="43"/>
      <c r="E107" s="43"/>
    </row>
    <row r="108" spans="2:5" x14ac:dyDescent="0.35">
      <c r="B108" s="42"/>
      <c r="C108" s="43"/>
      <c r="D108" s="43"/>
      <c r="E108" s="43"/>
    </row>
    <row r="109" spans="2:5" x14ac:dyDescent="0.35">
      <c r="B109" s="42"/>
      <c r="C109" s="43"/>
      <c r="D109" s="43"/>
      <c r="E109" s="43"/>
    </row>
    <row r="110" spans="2:5" x14ac:dyDescent="0.35">
      <c r="B110" s="42"/>
      <c r="C110" s="43"/>
      <c r="D110" s="43"/>
      <c r="E110" s="43"/>
    </row>
    <row r="111" spans="2:5" x14ac:dyDescent="0.35">
      <c r="B111" s="42"/>
      <c r="C111" s="43"/>
      <c r="D111" s="43"/>
      <c r="E111" s="43"/>
    </row>
    <row r="112" spans="2:5" x14ac:dyDescent="0.35">
      <c r="B112" s="42"/>
      <c r="C112" s="43"/>
      <c r="D112" s="43"/>
      <c r="E112" s="43"/>
    </row>
    <row r="113" spans="2:5" x14ac:dyDescent="0.35">
      <c r="B113" s="42"/>
      <c r="C113" s="43"/>
      <c r="D113" s="43"/>
      <c r="E113" s="43"/>
    </row>
    <row r="114" spans="2:5" x14ac:dyDescent="0.35">
      <c r="B114" s="42"/>
      <c r="C114" s="43"/>
      <c r="D114" s="43"/>
      <c r="E114" s="43"/>
    </row>
    <row r="115" spans="2:5" x14ac:dyDescent="0.35">
      <c r="B115" s="42"/>
      <c r="C115" s="43"/>
      <c r="D115" s="43"/>
      <c r="E115" s="43"/>
    </row>
    <row r="116" spans="2:5" x14ac:dyDescent="0.35">
      <c r="B116" s="42"/>
      <c r="C116" s="43"/>
      <c r="D116" s="43"/>
      <c r="E116" s="43"/>
    </row>
    <row r="117" spans="2:5" x14ac:dyDescent="0.35">
      <c r="B117" s="42"/>
      <c r="C117" s="43"/>
      <c r="D117" s="43"/>
      <c r="E117" s="43"/>
    </row>
    <row r="118" spans="2:5" x14ac:dyDescent="0.35">
      <c r="B118" s="42"/>
      <c r="C118" s="43"/>
      <c r="D118" s="43"/>
      <c r="E118" s="43"/>
    </row>
    <row r="119" spans="2:5" x14ac:dyDescent="0.35">
      <c r="B119" s="42"/>
      <c r="C119" s="43"/>
      <c r="D119" s="43"/>
      <c r="E119" s="43"/>
    </row>
    <row r="120" spans="2:5" x14ac:dyDescent="0.35">
      <c r="B120" s="42"/>
      <c r="C120" s="43"/>
      <c r="D120" s="43"/>
      <c r="E120" s="43"/>
    </row>
    <row r="121" spans="2:5" x14ac:dyDescent="0.35">
      <c r="B121" s="42"/>
      <c r="C121" s="43"/>
      <c r="D121" s="43"/>
      <c r="E121" s="43"/>
    </row>
    <row r="122" spans="2:5" x14ac:dyDescent="0.35">
      <c r="B122" s="42"/>
      <c r="C122" s="43"/>
      <c r="D122" s="43"/>
      <c r="E122" s="43"/>
    </row>
    <row r="123" spans="2:5" x14ac:dyDescent="0.35">
      <c r="B123" s="42"/>
      <c r="C123" s="43"/>
      <c r="D123" s="43"/>
      <c r="E123" s="43"/>
    </row>
    <row r="124" spans="2:5" x14ac:dyDescent="0.35">
      <c r="B124" s="42"/>
      <c r="C124" s="43"/>
      <c r="D124" s="43"/>
      <c r="E124" s="43"/>
    </row>
    <row r="125" spans="2:5" x14ac:dyDescent="0.35">
      <c r="B125" s="42"/>
      <c r="C125" s="43"/>
      <c r="D125" s="43"/>
      <c r="E125" s="43"/>
    </row>
    <row r="126" spans="2:5" x14ac:dyDescent="0.35">
      <c r="B126" s="42"/>
      <c r="C126" s="43"/>
      <c r="D126" s="43"/>
      <c r="E126" s="43"/>
    </row>
    <row r="127" spans="2:5" x14ac:dyDescent="0.35">
      <c r="B127" s="42"/>
      <c r="C127" s="43"/>
      <c r="D127" s="43"/>
      <c r="E127" s="43"/>
    </row>
    <row r="128" spans="2:5" x14ac:dyDescent="0.35">
      <c r="B128" s="42"/>
      <c r="C128" s="43"/>
      <c r="D128" s="43"/>
      <c r="E128" s="43"/>
    </row>
    <row r="129" spans="2:5" x14ac:dyDescent="0.35">
      <c r="B129" s="42"/>
      <c r="C129" s="43"/>
      <c r="D129" s="43"/>
      <c r="E129" s="43"/>
    </row>
    <row r="130" spans="2:5" x14ac:dyDescent="0.35">
      <c r="B130" s="42"/>
      <c r="C130" s="43"/>
      <c r="D130" s="43"/>
      <c r="E130" s="43"/>
    </row>
    <row r="131" spans="2:5" x14ac:dyDescent="0.35">
      <c r="B131" s="42"/>
      <c r="C131" s="43"/>
      <c r="D131" s="43"/>
      <c r="E131" s="43"/>
    </row>
    <row r="132" spans="2:5" x14ac:dyDescent="0.35">
      <c r="B132" s="42"/>
      <c r="C132" s="43"/>
      <c r="D132" s="43"/>
      <c r="E132" s="43"/>
    </row>
    <row r="133" spans="2:5" x14ac:dyDescent="0.35">
      <c r="B133" s="42"/>
      <c r="C133" s="43"/>
      <c r="D133" s="43"/>
      <c r="E133" s="43"/>
    </row>
    <row r="134" spans="2:5" x14ac:dyDescent="0.35">
      <c r="B134" s="42"/>
      <c r="C134" s="43"/>
      <c r="D134" s="43"/>
      <c r="E134" s="43"/>
    </row>
    <row r="135" spans="2:5" x14ac:dyDescent="0.35">
      <c r="B135" s="42"/>
      <c r="C135" s="43"/>
      <c r="D135" s="43"/>
      <c r="E135" s="43"/>
    </row>
    <row r="136" spans="2:5" x14ac:dyDescent="0.35">
      <c r="B136" s="42"/>
      <c r="C136" s="43"/>
      <c r="D136" s="43"/>
      <c r="E136" s="43"/>
    </row>
    <row r="137" spans="2:5" x14ac:dyDescent="0.35">
      <c r="B137" s="42"/>
      <c r="C137" s="43"/>
      <c r="D137" s="43"/>
      <c r="E137" s="43"/>
    </row>
    <row r="138" spans="2:5" x14ac:dyDescent="0.35">
      <c r="B138" s="42"/>
      <c r="C138" s="43"/>
      <c r="D138" s="43"/>
      <c r="E138" s="43"/>
    </row>
    <row r="139" spans="2:5" x14ac:dyDescent="0.35">
      <c r="B139" s="42"/>
      <c r="C139" s="43"/>
      <c r="D139" s="43"/>
      <c r="E139" s="43"/>
    </row>
    <row r="140" spans="2:5" x14ac:dyDescent="0.35">
      <c r="B140" s="42"/>
      <c r="C140" s="43"/>
      <c r="D140" s="43"/>
      <c r="E140" s="43"/>
    </row>
    <row r="141" spans="2:5" x14ac:dyDescent="0.35">
      <c r="B141" s="42"/>
      <c r="C141" s="43"/>
      <c r="D141" s="43"/>
      <c r="E141" s="43"/>
    </row>
    <row r="142" spans="2:5" x14ac:dyDescent="0.35">
      <c r="B142" s="42"/>
      <c r="C142" s="43"/>
      <c r="D142" s="43"/>
      <c r="E142" s="43"/>
    </row>
    <row r="143" spans="2:5" x14ac:dyDescent="0.35">
      <c r="B143" s="42"/>
      <c r="C143" s="43"/>
      <c r="D143" s="43"/>
      <c r="E143" s="43"/>
    </row>
    <row r="144" spans="2:5" x14ac:dyDescent="0.35">
      <c r="B144" s="42"/>
      <c r="C144" s="43"/>
      <c r="D144" s="43"/>
      <c r="E144" s="43"/>
    </row>
    <row r="145" spans="2:5" x14ac:dyDescent="0.35">
      <c r="B145" s="42"/>
      <c r="C145" s="43"/>
      <c r="D145" s="43"/>
      <c r="E145" s="43"/>
    </row>
    <row r="146" spans="2:5" x14ac:dyDescent="0.35">
      <c r="B146" s="42"/>
      <c r="C146" s="43"/>
      <c r="D146" s="43"/>
      <c r="E146" s="43"/>
    </row>
    <row r="147" spans="2:5" x14ac:dyDescent="0.35">
      <c r="B147" s="42"/>
      <c r="C147" s="43"/>
      <c r="D147" s="43"/>
      <c r="E147" s="43"/>
    </row>
    <row r="148" spans="2:5" x14ac:dyDescent="0.35">
      <c r="B148" s="42"/>
      <c r="C148" s="43"/>
      <c r="D148" s="43"/>
      <c r="E148" s="43"/>
    </row>
    <row r="149" spans="2:5" x14ac:dyDescent="0.35">
      <c r="B149" s="42"/>
      <c r="C149" s="43"/>
      <c r="D149" s="43"/>
      <c r="E149" s="43"/>
    </row>
    <row r="150" spans="2:5" x14ac:dyDescent="0.35">
      <c r="B150" s="42"/>
      <c r="C150" s="43"/>
      <c r="D150" s="43"/>
      <c r="E150" s="43"/>
    </row>
    <row r="151" spans="2:5" x14ac:dyDescent="0.35">
      <c r="B151" s="42"/>
      <c r="C151" s="43"/>
      <c r="D151" s="43"/>
      <c r="E151" s="43"/>
    </row>
    <row r="152" spans="2:5" x14ac:dyDescent="0.35">
      <c r="B152" s="42"/>
      <c r="C152" s="43"/>
      <c r="D152" s="43"/>
      <c r="E152" s="43"/>
    </row>
    <row r="153" spans="2:5" x14ac:dyDescent="0.35">
      <c r="B153" s="42"/>
      <c r="C153" s="43"/>
      <c r="D153" s="43"/>
      <c r="E153" s="43"/>
    </row>
    <row r="154" spans="2:5" x14ac:dyDescent="0.35">
      <c r="B154" s="42"/>
      <c r="C154" s="43"/>
      <c r="D154" s="43"/>
      <c r="E154" s="43"/>
    </row>
    <row r="155" spans="2:5" x14ac:dyDescent="0.35">
      <c r="B155" s="42"/>
      <c r="C155" s="43"/>
      <c r="D155" s="43"/>
      <c r="E155" s="43"/>
    </row>
    <row r="156" spans="2:5" x14ac:dyDescent="0.35">
      <c r="B156" s="42"/>
      <c r="C156" s="43"/>
      <c r="D156" s="43"/>
      <c r="E156" s="43"/>
    </row>
    <row r="157" spans="2:5" x14ac:dyDescent="0.35">
      <c r="B157" s="42"/>
      <c r="C157" s="43"/>
      <c r="D157" s="43"/>
      <c r="E157" s="43"/>
    </row>
    <row r="158" spans="2:5" x14ac:dyDescent="0.35">
      <c r="B158" s="42"/>
      <c r="C158" s="43"/>
      <c r="D158" s="43"/>
      <c r="E158" s="43"/>
    </row>
    <row r="159" spans="2:5" x14ac:dyDescent="0.35">
      <c r="B159" s="42"/>
      <c r="C159" s="43"/>
      <c r="D159" s="43"/>
      <c r="E159" s="43"/>
    </row>
    <row r="160" spans="2:5" x14ac:dyDescent="0.35">
      <c r="B160" s="42"/>
      <c r="C160" s="43"/>
      <c r="D160" s="43"/>
      <c r="E160" s="43"/>
    </row>
    <row r="161" spans="2:5" x14ac:dyDescent="0.35">
      <c r="B161" s="42"/>
      <c r="C161" s="43"/>
      <c r="D161" s="43"/>
      <c r="E161" s="43"/>
    </row>
    <row r="162" spans="2:5" x14ac:dyDescent="0.35">
      <c r="B162" s="42"/>
      <c r="C162" s="43"/>
      <c r="D162" s="43"/>
      <c r="E162" s="43"/>
    </row>
    <row r="163" spans="2:5" x14ac:dyDescent="0.35">
      <c r="B163" s="42"/>
      <c r="C163" s="43"/>
      <c r="D163" s="43"/>
      <c r="E163" s="43"/>
    </row>
    <row r="164" spans="2:5" x14ac:dyDescent="0.35">
      <c r="B164" s="42"/>
      <c r="C164" s="43"/>
      <c r="D164" s="43"/>
      <c r="E164" s="43"/>
    </row>
    <row r="165" spans="2:5" x14ac:dyDescent="0.35">
      <c r="B165" s="42"/>
      <c r="C165" s="43"/>
      <c r="D165" s="43"/>
      <c r="E165" s="43"/>
    </row>
    <row r="166" spans="2:5" x14ac:dyDescent="0.35">
      <c r="B166" s="42"/>
      <c r="C166" s="43"/>
      <c r="D166" s="43"/>
      <c r="E166" s="43"/>
    </row>
    <row r="167" spans="2:5" x14ac:dyDescent="0.35">
      <c r="B167" s="42"/>
      <c r="C167" s="43"/>
      <c r="D167" s="43"/>
      <c r="E167" s="43"/>
    </row>
    <row r="168" spans="2:5" x14ac:dyDescent="0.35">
      <c r="B168" s="42"/>
      <c r="C168" s="43"/>
      <c r="D168" s="43"/>
      <c r="E168" s="43"/>
    </row>
    <row r="169" spans="2:5" x14ac:dyDescent="0.35">
      <c r="B169" s="42"/>
      <c r="C169" s="43"/>
      <c r="D169" s="43"/>
      <c r="E169" s="43"/>
    </row>
    <row r="170" spans="2:5" x14ac:dyDescent="0.35">
      <c r="B170" s="42"/>
      <c r="C170" s="43"/>
      <c r="D170" s="43"/>
      <c r="E170" s="43"/>
    </row>
    <row r="171" spans="2:5" x14ac:dyDescent="0.35">
      <c r="B171" s="42"/>
      <c r="C171" s="43"/>
      <c r="D171" s="43"/>
      <c r="E171" s="43"/>
    </row>
    <row r="172" spans="2:5" x14ac:dyDescent="0.35">
      <c r="B172" s="42"/>
      <c r="C172" s="43"/>
      <c r="D172" s="43"/>
      <c r="E172" s="43"/>
    </row>
    <row r="173" spans="2:5" x14ac:dyDescent="0.35">
      <c r="B173" s="42"/>
      <c r="C173" s="43"/>
      <c r="D173" s="43"/>
      <c r="E173" s="43"/>
    </row>
    <row r="174" spans="2:5" x14ac:dyDescent="0.35">
      <c r="B174" s="42"/>
      <c r="C174" s="43"/>
      <c r="D174" s="43"/>
      <c r="E174" s="43"/>
    </row>
    <row r="175" spans="2:5" x14ac:dyDescent="0.35">
      <c r="B175" s="42"/>
      <c r="C175" s="43"/>
      <c r="D175" s="43"/>
      <c r="E175" s="43"/>
    </row>
    <row r="176" spans="2:5" x14ac:dyDescent="0.35">
      <c r="B176" s="42"/>
      <c r="C176" s="43"/>
      <c r="D176" s="43"/>
      <c r="E176" s="43"/>
    </row>
    <row r="177" spans="2:5" x14ac:dyDescent="0.35">
      <c r="B177" s="42"/>
      <c r="C177" s="43"/>
      <c r="D177" s="43"/>
      <c r="E177" s="43"/>
    </row>
    <row r="178" spans="2:5" x14ac:dyDescent="0.35">
      <c r="B178" s="42"/>
      <c r="C178" s="43"/>
      <c r="D178" s="43"/>
      <c r="E178" s="43"/>
    </row>
    <row r="179" spans="2:5" x14ac:dyDescent="0.35">
      <c r="B179" s="42"/>
      <c r="C179" s="43"/>
      <c r="D179" s="43"/>
      <c r="E179" s="43"/>
    </row>
    <row r="180" spans="2:5" x14ac:dyDescent="0.35">
      <c r="B180" s="42"/>
      <c r="C180" s="43"/>
      <c r="D180" s="43"/>
      <c r="E180" s="43"/>
    </row>
    <row r="181" spans="2:5" x14ac:dyDescent="0.35">
      <c r="B181" s="42"/>
      <c r="C181" s="43"/>
      <c r="D181" s="43"/>
      <c r="E181" s="43"/>
    </row>
    <row r="182" spans="2:5" x14ac:dyDescent="0.35">
      <c r="B182" s="42"/>
      <c r="C182" s="43"/>
      <c r="D182" s="43"/>
      <c r="E182" s="43"/>
    </row>
    <row r="183" spans="2:5" x14ac:dyDescent="0.35">
      <c r="B183" s="42"/>
      <c r="C183" s="43"/>
      <c r="D183" s="43"/>
      <c r="E183" s="43"/>
    </row>
    <row r="184" spans="2:5" x14ac:dyDescent="0.35">
      <c r="B184" s="42"/>
      <c r="C184" s="43"/>
      <c r="D184" s="43"/>
      <c r="E184" s="43"/>
    </row>
    <row r="185" spans="2:5" x14ac:dyDescent="0.35">
      <c r="B185" s="42"/>
      <c r="C185" s="43"/>
      <c r="D185" s="43"/>
      <c r="E185" s="43"/>
    </row>
    <row r="186" spans="2:5" x14ac:dyDescent="0.35">
      <c r="B186" s="42"/>
      <c r="C186" s="43"/>
      <c r="D186" s="43"/>
      <c r="E186" s="43"/>
    </row>
    <row r="187" spans="2:5" x14ac:dyDescent="0.35">
      <c r="B187" s="42"/>
      <c r="C187" s="43"/>
      <c r="D187" s="43"/>
      <c r="E187" s="43"/>
    </row>
    <row r="188" spans="2:5" x14ac:dyDescent="0.35">
      <c r="B188" s="42"/>
      <c r="C188" s="43"/>
      <c r="D188" s="43"/>
      <c r="E188" s="43"/>
    </row>
    <row r="189" spans="2:5" x14ac:dyDescent="0.35">
      <c r="B189" s="42"/>
      <c r="C189" s="43"/>
      <c r="D189" s="43"/>
      <c r="E189" s="43"/>
    </row>
    <row r="190" spans="2:5" x14ac:dyDescent="0.35">
      <c r="B190" s="42"/>
      <c r="C190" s="43"/>
      <c r="D190" s="43"/>
      <c r="E190" s="43"/>
    </row>
    <row r="191" spans="2:5" x14ac:dyDescent="0.35">
      <c r="B191" s="42"/>
      <c r="C191" s="43"/>
      <c r="D191" s="43"/>
      <c r="E191" s="43"/>
    </row>
    <row r="192" spans="2:5" x14ac:dyDescent="0.35">
      <c r="B192" s="42"/>
      <c r="C192" s="43"/>
      <c r="D192" s="43"/>
      <c r="E192" s="43"/>
    </row>
    <row r="193" spans="2:5" x14ac:dyDescent="0.35">
      <c r="B193" s="42"/>
      <c r="C193" s="43"/>
      <c r="D193" s="43"/>
      <c r="E193" s="43"/>
    </row>
    <row r="194" spans="2:5" x14ac:dyDescent="0.35">
      <c r="B194" s="42"/>
      <c r="C194" s="43"/>
      <c r="D194" s="43"/>
      <c r="E194" s="43"/>
    </row>
    <row r="195" spans="2:5" x14ac:dyDescent="0.35">
      <c r="B195" s="42"/>
      <c r="C195" s="43"/>
      <c r="D195" s="43"/>
      <c r="E195" s="43"/>
    </row>
    <row r="196" spans="2:5" x14ac:dyDescent="0.35">
      <c r="B196" s="42"/>
      <c r="C196" s="43"/>
      <c r="D196" s="43"/>
      <c r="E196" s="43"/>
    </row>
    <row r="197" spans="2:5" x14ac:dyDescent="0.35">
      <c r="B197" s="42"/>
      <c r="C197" s="43"/>
      <c r="D197" s="43"/>
      <c r="E197" s="43"/>
    </row>
    <row r="198" spans="2:5" x14ac:dyDescent="0.35">
      <c r="B198" s="42"/>
      <c r="C198" s="43"/>
      <c r="D198" s="43"/>
      <c r="E198" s="43"/>
    </row>
    <row r="199" spans="2:5" x14ac:dyDescent="0.35">
      <c r="B199" s="42"/>
      <c r="C199" s="43"/>
      <c r="D199" s="43"/>
      <c r="E199" s="43"/>
    </row>
    <row r="200" spans="2:5" x14ac:dyDescent="0.35">
      <c r="B200" s="42"/>
      <c r="C200" s="43"/>
      <c r="D200" s="43"/>
      <c r="E200" s="43"/>
    </row>
    <row r="201" spans="2:5" x14ac:dyDescent="0.35">
      <c r="B201" s="42"/>
      <c r="C201" s="43"/>
      <c r="D201" s="43"/>
      <c r="E201" s="43"/>
    </row>
    <row r="202" spans="2:5" x14ac:dyDescent="0.35">
      <c r="B202" s="42"/>
      <c r="C202" s="43"/>
      <c r="D202" s="43"/>
      <c r="E202" s="43"/>
    </row>
    <row r="203" spans="2:5" x14ac:dyDescent="0.35">
      <c r="B203" s="42"/>
      <c r="C203" s="43"/>
      <c r="D203" s="43"/>
      <c r="E203" s="43"/>
    </row>
    <row r="204" spans="2:5" x14ac:dyDescent="0.35">
      <c r="B204" s="42"/>
      <c r="C204" s="43"/>
      <c r="D204" s="43"/>
      <c r="E204" s="43"/>
    </row>
    <row r="205" spans="2:5" x14ac:dyDescent="0.35">
      <c r="B205" s="42"/>
      <c r="C205" s="43"/>
      <c r="D205" s="43"/>
      <c r="E205" s="43"/>
    </row>
    <row r="206" spans="2:5" x14ac:dyDescent="0.35">
      <c r="B206" s="42"/>
      <c r="C206" s="43"/>
      <c r="D206" s="43"/>
      <c r="E206" s="43"/>
    </row>
    <row r="207" spans="2:5" x14ac:dyDescent="0.35">
      <c r="B207" s="42"/>
      <c r="C207" s="43"/>
      <c r="D207" s="43"/>
      <c r="E207" s="43"/>
    </row>
    <row r="208" spans="2:5" x14ac:dyDescent="0.35">
      <c r="B208" s="42"/>
      <c r="C208" s="43"/>
      <c r="D208" s="43"/>
      <c r="E208" s="43"/>
    </row>
    <row r="209" spans="2:5" x14ac:dyDescent="0.35">
      <c r="B209" s="42"/>
      <c r="C209" s="43"/>
      <c r="D209" s="43"/>
      <c r="E209" s="43"/>
    </row>
    <row r="210" spans="2:5" x14ac:dyDescent="0.35">
      <c r="B210" s="42"/>
      <c r="C210" s="43"/>
      <c r="D210" s="43"/>
      <c r="E210" s="43"/>
    </row>
    <row r="211" spans="2:5" x14ac:dyDescent="0.35">
      <c r="B211" s="42"/>
      <c r="C211" s="43"/>
      <c r="D211" s="43"/>
      <c r="E211" s="43"/>
    </row>
    <row r="212" spans="2:5" x14ac:dyDescent="0.35">
      <c r="B212" s="42"/>
      <c r="C212" s="43"/>
      <c r="D212" s="43"/>
      <c r="E212" s="43"/>
    </row>
    <row r="213" spans="2:5" x14ac:dyDescent="0.35">
      <c r="B213" s="42"/>
      <c r="C213" s="43"/>
      <c r="D213" s="43"/>
      <c r="E213" s="43"/>
    </row>
    <row r="214" spans="2:5" x14ac:dyDescent="0.35">
      <c r="B214" s="42"/>
      <c r="C214" s="43"/>
      <c r="D214" s="43"/>
      <c r="E214" s="43"/>
    </row>
    <row r="215" spans="2:5" x14ac:dyDescent="0.35">
      <c r="B215" s="42"/>
      <c r="C215" s="43"/>
      <c r="D215" s="43"/>
      <c r="E215" s="43"/>
    </row>
    <row r="216" spans="2:5" x14ac:dyDescent="0.35">
      <c r="B216" s="42"/>
      <c r="C216" s="43"/>
      <c r="D216" s="43"/>
      <c r="E216" s="43"/>
    </row>
    <row r="217" spans="2:5" x14ac:dyDescent="0.35">
      <c r="B217" s="42"/>
      <c r="C217" s="43"/>
      <c r="D217" s="43"/>
      <c r="E217" s="43"/>
    </row>
    <row r="218" spans="2:5" x14ac:dyDescent="0.35">
      <c r="B218" s="42"/>
      <c r="C218" s="43"/>
      <c r="D218" s="43"/>
      <c r="E218" s="43"/>
    </row>
    <row r="219" spans="2:5" x14ac:dyDescent="0.35">
      <c r="B219" s="42"/>
      <c r="C219" s="43"/>
      <c r="D219" s="43"/>
      <c r="E219" s="43"/>
    </row>
    <row r="220" spans="2:5" x14ac:dyDescent="0.35">
      <c r="B220" s="42"/>
      <c r="C220" s="43"/>
      <c r="D220" s="43"/>
      <c r="E220" s="43"/>
    </row>
    <row r="221" spans="2:5" x14ac:dyDescent="0.35">
      <c r="B221" s="42"/>
      <c r="C221" s="43"/>
      <c r="D221" s="43"/>
      <c r="E221" s="43"/>
    </row>
    <row r="222" spans="2:5" x14ac:dyDescent="0.35">
      <c r="B222" s="42"/>
      <c r="C222" s="43"/>
      <c r="D222" s="43"/>
      <c r="E222" s="43"/>
    </row>
    <row r="223" spans="2:5" x14ac:dyDescent="0.35">
      <c r="B223" s="42"/>
      <c r="C223" s="43"/>
      <c r="D223" s="43"/>
      <c r="E223" s="43"/>
    </row>
    <row r="224" spans="2:5" x14ac:dyDescent="0.35">
      <c r="B224" s="42"/>
      <c r="C224" s="43"/>
      <c r="D224" s="43"/>
      <c r="E224" s="43"/>
    </row>
    <row r="225" spans="2:5" x14ac:dyDescent="0.35">
      <c r="B225" s="42"/>
      <c r="C225" s="43"/>
      <c r="D225" s="43"/>
      <c r="E225" s="43"/>
    </row>
    <row r="226" spans="2:5" x14ac:dyDescent="0.35">
      <c r="B226" s="42"/>
      <c r="C226" s="43"/>
      <c r="D226" s="43"/>
      <c r="E226" s="43"/>
    </row>
    <row r="227" spans="2:5" x14ac:dyDescent="0.35">
      <c r="B227" s="42"/>
      <c r="C227" s="43"/>
      <c r="D227" s="43"/>
      <c r="E227" s="43"/>
    </row>
    <row r="228" spans="2:5" x14ac:dyDescent="0.35">
      <c r="B228" s="42"/>
      <c r="C228" s="43"/>
      <c r="D228" s="43"/>
      <c r="E228" s="43"/>
    </row>
    <row r="229" spans="2:5" x14ac:dyDescent="0.35">
      <c r="B229" s="42"/>
      <c r="C229" s="43"/>
      <c r="D229" s="43"/>
      <c r="E229" s="43"/>
    </row>
    <row r="230" spans="2:5" x14ac:dyDescent="0.35">
      <c r="B230" s="42"/>
      <c r="C230" s="43"/>
      <c r="D230" s="43"/>
      <c r="E230" s="43"/>
    </row>
    <row r="231" spans="2:5" x14ac:dyDescent="0.35">
      <c r="B231" s="42"/>
      <c r="C231" s="43"/>
      <c r="D231" s="43"/>
      <c r="E231" s="43"/>
    </row>
    <row r="232" spans="2:5" x14ac:dyDescent="0.35">
      <c r="B232" s="42"/>
      <c r="C232" s="43"/>
      <c r="D232" s="43"/>
      <c r="E232" s="43"/>
    </row>
    <row r="233" spans="2:5" x14ac:dyDescent="0.35">
      <c r="B233" s="42"/>
      <c r="C233" s="43"/>
      <c r="D233" s="43"/>
      <c r="E233" s="43"/>
    </row>
    <row r="234" spans="2:5" x14ac:dyDescent="0.35">
      <c r="B234" s="42"/>
      <c r="C234" s="43"/>
      <c r="D234" s="43"/>
      <c r="E234" s="43"/>
    </row>
    <row r="235" spans="2:5" x14ac:dyDescent="0.35">
      <c r="B235" s="42"/>
      <c r="C235" s="43"/>
      <c r="D235" s="43"/>
      <c r="E235" s="43"/>
    </row>
    <row r="236" spans="2:5" x14ac:dyDescent="0.35">
      <c r="B236" s="42"/>
      <c r="C236" s="43"/>
      <c r="D236" s="43"/>
      <c r="E236" s="43"/>
    </row>
    <row r="237" spans="2:5" x14ac:dyDescent="0.35">
      <c r="B237" s="42"/>
      <c r="C237" s="43"/>
      <c r="D237" s="43"/>
      <c r="E237" s="43"/>
    </row>
    <row r="238" spans="2:5" x14ac:dyDescent="0.35">
      <c r="B238" s="42"/>
      <c r="C238" s="43"/>
      <c r="D238" s="43"/>
      <c r="E238" s="43"/>
    </row>
    <row r="239" spans="2:5" x14ac:dyDescent="0.35">
      <c r="B239" s="42"/>
      <c r="C239" s="43"/>
      <c r="D239" s="43"/>
      <c r="E239" s="43"/>
    </row>
    <row r="240" spans="2:5" x14ac:dyDescent="0.35">
      <c r="B240" s="42"/>
      <c r="C240" s="43"/>
      <c r="D240" s="43"/>
      <c r="E240" s="43"/>
    </row>
    <row r="241" spans="2:5" x14ac:dyDescent="0.35">
      <c r="B241" s="42"/>
      <c r="C241" s="43"/>
      <c r="D241" s="43"/>
      <c r="E241" s="43"/>
    </row>
    <row r="242" spans="2:5" x14ac:dyDescent="0.35">
      <c r="B242" s="42"/>
      <c r="C242" s="43"/>
      <c r="D242" s="43"/>
      <c r="E242" s="43"/>
    </row>
    <row r="243" spans="2:5" x14ac:dyDescent="0.35">
      <c r="B243" s="42"/>
      <c r="C243" s="43"/>
      <c r="D243" s="43"/>
      <c r="E243" s="43"/>
    </row>
    <row r="244" spans="2:5" x14ac:dyDescent="0.35">
      <c r="B244" s="42"/>
      <c r="C244" s="43"/>
      <c r="D244" s="43"/>
      <c r="E244" s="43"/>
    </row>
    <row r="245" spans="2:5" x14ac:dyDescent="0.35">
      <c r="B245" s="42"/>
      <c r="C245" s="43"/>
      <c r="D245" s="43"/>
      <c r="E245" s="43"/>
    </row>
    <row r="246" spans="2:5" x14ac:dyDescent="0.35">
      <c r="B246" s="42"/>
      <c r="C246" s="43"/>
      <c r="D246" s="43"/>
      <c r="E246" s="43"/>
    </row>
    <row r="247" spans="2:5" x14ac:dyDescent="0.35">
      <c r="B247" s="42"/>
      <c r="C247" s="43"/>
      <c r="D247" s="43"/>
      <c r="E247" s="43"/>
    </row>
    <row r="248" spans="2:5" x14ac:dyDescent="0.35">
      <c r="B248" s="42"/>
      <c r="C248" s="43"/>
      <c r="D248" s="43"/>
      <c r="E248" s="43"/>
    </row>
    <row r="249" spans="2:5" x14ac:dyDescent="0.35">
      <c r="B249" s="42"/>
      <c r="C249" s="43"/>
      <c r="D249" s="43"/>
      <c r="E249" s="43"/>
    </row>
    <row r="250" spans="2:5" x14ac:dyDescent="0.35">
      <c r="B250" s="42"/>
      <c r="C250" s="43"/>
      <c r="D250" s="43"/>
      <c r="E250" s="43"/>
    </row>
    <row r="251" spans="2:5" x14ac:dyDescent="0.35">
      <c r="B251" s="42"/>
      <c r="C251" s="43"/>
      <c r="D251" s="43"/>
      <c r="E251" s="43"/>
    </row>
    <row r="252" spans="2:5" x14ac:dyDescent="0.35">
      <c r="B252" s="42"/>
      <c r="C252" s="43"/>
      <c r="D252" s="43"/>
      <c r="E252" s="43"/>
    </row>
    <row r="253" spans="2:5" x14ac:dyDescent="0.35">
      <c r="B253" s="42"/>
      <c r="C253" s="43"/>
      <c r="D253" s="43"/>
      <c r="E253" s="43"/>
    </row>
    <row r="254" spans="2:5" x14ac:dyDescent="0.35">
      <c r="B254" s="42"/>
      <c r="C254" s="43"/>
      <c r="D254" s="43"/>
      <c r="E254" s="43"/>
    </row>
    <row r="255" spans="2:5" x14ac:dyDescent="0.35">
      <c r="B255" s="42"/>
      <c r="C255" s="43"/>
      <c r="D255" s="43"/>
      <c r="E255" s="43"/>
    </row>
    <row r="256" spans="2:5" x14ac:dyDescent="0.35">
      <c r="B256" s="42"/>
      <c r="C256" s="43"/>
      <c r="D256" s="43"/>
      <c r="E256" s="43"/>
    </row>
    <row r="257" spans="2:5" x14ac:dyDescent="0.35">
      <c r="B257" s="42"/>
      <c r="C257" s="43"/>
      <c r="D257" s="43"/>
      <c r="E257" s="43"/>
    </row>
    <row r="258" spans="2:5" x14ac:dyDescent="0.35">
      <c r="B258" s="42"/>
      <c r="C258" s="43"/>
      <c r="D258" s="43"/>
      <c r="E258" s="43"/>
    </row>
    <row r="259" spans="2:5" x14ac:dyDescent="0.35">
      <c r="B259" s="42"/>
      <c r="C259" s="43"/>
      <c r="D259" s="43"/>
      <c r="E259" s="43"/>
    </row>
    <row r="260" spans="2:5" x14ac:dyDescent="0.35">
      <c r="B260" s="42"/>
      <c r="C260" s="43"/>
      <c r="D260" s="43"/>
      <c r="E260" s="43"/>
    </row>
    <row r="261" spans="2:5" x14ac:dyDescent="0.35">
      <c r="B261" s="42"/>
      <c r="C261" s="43"/>
      <c r="D261" s="43"/>
      <c r="E261" s="43"/>
    </row>
    <row r="262" spans="2:5" x14ac:dyDescent="0.35">
      <c r="B262" s="42"/>
      <c r="C262" s="43"/>
      <c r="D262" s="43"/>
      <c r="E262" s="43"/>
    </row>
    <row r="263" spans="2:5" x14ac:dyDescent="0.35">
      <c r="B263" s="42"/>
      <c r="C263" s="43"/>
      <c r="D263" s="43"/>
      <c r="E263" s="43"/>
    </row>
    <row r="264" spans="2:5" x14ac:dyDescent="0.35">
      <c r="B264" s="42"/>
      <c r="C264" s="43"/>
      <c r="D264" s="43"/>
      <c r="E264" s="43"/>
    </row>
    <row r="265" spans="2:5" x14ac:dyDescent="0.35">
      <c r="B265" s="42"/>
      <c r="C265" s="43"/>
      <c r="D265" s="43"/>
      <c r="E265" s="43"/>
    </row>
    <row r="266" spans="2:5" x14ac:dyDescent="0.35">
      <c r="B266" s="42"/>
      <c r="C266" s="43"/>
      <c r="D266" s="43"/>
      <c r="E266" s="43"/>
    </row>
    <row r="267" spans="2:5" x14ac:dyDescent="0.35">
      <c r="B267" s="42"/>
      <c r="C267" s="43"/>
      <c r="D267" s="43"/>
      <c r="E267" s="43"/>
    </row>
    <row r="268" spans="2:5" x14ac:dyDescent="0.35">
      <c r="B268" s="42"/>
      <c r="C268" s="43"/>
      <c r="D268" s="43"/>
      <c r="E268" s="43"/>
    </row>
    <row r="269" spans="2:5" x14ac:dyDescent="0.35">
      <c r="B269" s="42"/>
      <c r="C269" s="43"/>
      <c r="D269" s="43"/>
      <c r="E269" s="43"/>
    </row>
    <row r="270" spans="2:5" x14ac:dyDescent="0.35">
      <c r="B270" s="42"/>
      <c r="C270" s="43"/>
      <c r="D270" s="43"/>
      <c r="E270" s="43"/>
    </row>
    <row r="271" spans="2:5" x14ac:dyDescent="0.35">
      <c r="B271" s="42"/>
      <c r="C271" s="43"/>
      <c r="D271" s="43"/>
      <c r="E271" s="43"/>
    </row>
    <row r="272" spans="2:5" x14ac:dyDescent="0.35">
      <c r="B272" s="42"/>
      <c r="C272" s="43"/>
      <c r="D272" s="43"/>
      <c r="E272" s="43"/>
    </row>
    <row r="273" spans="2:5" x14ac:dyDescent="0.35">
      <c r="B273" s="42"/>
      <c r="C273" s="43"/>
      <c r="D273" s="43"/>
      <c r="E273" s="43"/>
    </row>
    <row r="274" spans="2:5" x14ac:dyDescent="0.35">
      <c r="B274" s="42"/>
      <c r="C274" s="43"/>
      <c r="D274" s="43"/>
      <c r="E274" s="43"/>
    </row>
    <row r="275" spans="2:5" x14ac:dyDescent="0.35">
      <c r="B275" s="42"/>
      <c r="C275" s="43"/>
      <c r="D275" s="43"/>
      <c r="E275" s="43"/>
    </row>
    <row r="276" spans="2:5" x14ac:dyDescent="0.35">
      <c r="B276" s="42"/>
      <c r="C276" s="43"/>
      <c r="D276" s="43"/>
      <c r="E276" s="43"/>
    </row>
    <row r="277" spans="2:5" x14ac:dyDescent="0.35">
      <c r="B277" s="42"/>
      <c r="C277" s="43"/>
      <c r="D277" s="43"/>
      <c r="E277" s="43"/>
    </row>
    <row r="278" spans="2:5" x14ac:dyDescent="0.35">
      <c r="B278" s="42"/>
      <c r="C278" s="43"/>
      <c r="D278" s="43"/>
      <c r="E278" s="43"/>
    </row>
    <row r="279" spans="2:5" x14ac:dyDescent="0.35">
      <c r="B279" s="42"/>
      <c r="C279" s="43"/>
      <c r="D279" s="43"/>
      <c r="E279" s="43"/>
    </row>
    <row r="280" spans="2:5" x14ac:dyDescent="0.35">
      <c r="B280" s="42"/>
      <c r="C280" s="43"/>
      <c r="D280" s="43"/>
      <c r="E280" s="43"/>
    </row>
    <row r="281" spans="2:5" x14ac:dyDescent="0.35">
      <c r="B281" s="42"/>
      <c r="C281" s="43"/>
      <c r="D281" s="43"/>
      <c r="E281" s="43"/>
    </row>
    <row r="282" spans="2:5" x14ac:dyDescent="0.35">
      <c r="B282" s="42"/>
      <c r="C282" s="43"/>
      <c r="D282" s="43"/>
      <c r="E282" s="43"/>
    </row>
    <row r="283" spans="2:5" x14ac:dyDescent="0.35">
      <c r="B283" s="42"/>
      <c r="C283" s="43"/>
      <c r="D283" s="43"/>
      <c r="E283" s="43"/>
    </row>
    <row r="284" spans="2:5" x14ac:dyDescent="0.35">
      <c r="B284" s="42"/>
      <c r="C284" s="43"/>
      <c r="D284" s="43"/>
      <c r="E284" s="43"/>
    </row>
    <row r="285" spans="2:5" x14ac:dyDescent="0.35">
      <c r="B285" s="42"/>
      <c r="C285" s="43"/>
      <c r="D285" s="43"/>
      <c r="E285" s="43"/>
    </row>
    <row r="286" spans="2:5" x14ac:dyDescent="0.35">
      <c r="B286" s="42"/>
      <c r="C286" s="43"/>
      <c r="D286" s="43"/>
      <c r="E286" s="43"/>
    </row>
    <row r="287" spans="2:5" x14ac:dyDescent="0.35">
      <c r="B287" s="42"/>
      <c r="C287" s="43"/>
      <c r="D287" s="43"/>
      <c r="E287" s="43"/>
    </row>
    <row r="288" spans="2:5" x14ac:dyDescent="0.35">
      <c r="B288" s="42"/>
      <c r="C288" s="43"/>
      <c r="D288" s="43"/>
      <c r="E288" s="43"/>
    </row>
    <row r="289" spans="2:5" x14ac:dyDescent="0.35">
      <c r="B289" s="42"/>
      <c r="C289" s="43"/>
      <c r="D289" s="43"/>
      <c r="E289" s="43"/>
    </row>
    <row r="290" spans="2:5" x14ac:dyDescent="0.35">
      <c r="B290" s="42"/>
      <c r="C290" s="43"/>
      <c r="D290" s="43"/>
      <c r="E290" s="43"/>
    </row>
    <row r="291" spans="2:5" x14ac:dyDescent="0.35">
      <c r="B291" s="42"/>
      <c r="C291" s="43"/>
      <c r="D291" s="43"/>
      <c r="E291" s="43"/>
    </row>
    <row r="292" spans="2:5" x14ac:dyDescent="0.35">
      <c r="B292" s="42"/>
      <c r="C292" s="43"/>
      <c r="D292" s="43"/>
      <c r="E292" s="43"/>
    </row>
    <row r="293" spans="2:5" x14ac:dyDescent="0.35">
      <c r="B293" s="42"/>
      <c r="C293" s="43"/>
      <c r="D293" s="43"/>
      <c r="E293" s="43"/>
    </row>
    <row r="294" spans="2:5" x14ac:dyDescent="0.35">
      <c r="B294" s="42"/>
      <c r="C294" s="43"/>
      <c r="D294" s="43"/>
      <c r="E294" s="43"/>
    </row>
    <row r="295" spans="2:5" x14ac:dyDescent="0.35">
      <c r="B295" s="42"/>
      <c r="C295" s="43"/>
      <c r="D295" s="43"/>
      <c r="E295" s="43"/>
    </row>
    <row r="296" spans="2:5" x14ac:dyDescent="0.35">
      <c r="B296" s="42"/>
      <c r="C296" s="43"/>
      <c r="D296" s="43"/>
      <c r="E296" s="43"/>
    </row>
    <row r="297" spans="2:5" x14ac:dyDescent="0.35">
      <c r="B297" s="42"/>
      <c r="C297" s="43"/>
      <c r="D297" s="43"/>
      <c r="E297" s="43"/>
    </row>
    <row r="298" spans="2:5" x14ac:dyDescent="0.35">
      <c r="B298" s="42"/>
      <c r="C298" s="43"/>
      <c r="D298" s="43"/>
      <c r="E298" s="43"/>
    </row>
    <row r="299" spans="2:5" x14ac:dyDescent="0.35">
      <c r="B299" s="42"/>
      <c r="C299" s="43"/>
      <c r="D299" s="43"/>
      <c r="E299" s="43"/>
    </row>
    <row r="300" spans="2:5" x14ac:dyDescent="0.35">
      <c r="B300" s="42"/>
      <c r="C300" s="43"/>
      <c r="D300" s="43"/>
      <c r="E300" s="43"/>
    </row>
    <row r="301" spans="2:5" x14ac:dyDescent="0.35">
      <c r="B301" s="42"/>
      <c r="C301" s="43"/>
      <c r="D301" s="43"/>
      <c r="E301" s="43"/>
    </row>
    <row r="302" spans="2:5" x14ac:dyDescent="0.35">
      <c r="B302" s="42"/>
      <c r="C302" s="43"/>
      <c r="D302" s="43"/>
      <c r="E302" s="43"/>
    </row>
    <row r="303" spans="2:5" x14ac:dyDescent="0.35">
      <c r="B303" s="42"/>
      <c r="C303" s="43"/>
      <c r="D303" s="43"/>
      <c r="E303" s="43"/>
    </row>
    <row r="304" spans="2:5" x14ac:dyDescent="0.35">
      <c r="B304" s="42"/>
      <c r="C304" s="43"/>
      <c r="D304" s="43"/>
      <c r="E304" s="43"/>
    </row>
    <row r="305" spans="2:5" x14ac:dyDescent="0.35">
      <c r="B305" s="42"/>
      <c r="C305" s="43"/>
      <c r="D305" s="43"/>
      <c r="E305" s="43"/>
    </row>
    <row r="306" spans="2:5" x14ac:dyDescent="0.35">
      <c r="B306" s="42"/>
      <c r="C306" s="43"/>
      <c r="D306" s="43"/>
      <c r="E306" s="43"/>
    </row>
    <row r="307" spans="2:5" x14ac:dyDescent="0.35">
      <c r="B307" s="42"/>
      <c r="C307" s="43"/>
      <c r="D307" s="43"/>
      <c r="E307" s="43"/>
    </row>
    <row r="308" spans="2:5" x14ac:dyDescent="0.35">
      <c r="B308" s="42"/>
      <c r="C308" s="43"/>
      <c r="D308" s="43"/>
      <c r="E308" s="43"/>
    </row>
    <row r="309" spans="2:5" x14ac:dyDescent="0.35">
      <c r="B309" s="42"/>
      <c r="C309" s="43"/>
      <c r="D309" s="43"/>
      <c r="E309" s="43"/>
    </row>
    <row r="310" spans="2:5" x14ac:dyDescent="0.35">
      <c r="B310" s="42"/>
      <c r="C310" s="43"/>
      <c r="D310" s="43"/>
      <c r="E310" s="43"/>
    </row>
    <row r="311" spans="2:5" x14ac:dyDescent="0.35">
      <c r="B311" s="42"/>
      <c r="C311" s="43"/>
      <c r="D311" s="43"/>
      <c r="E311" s="43"/>
    </row>
    <row r="312" spans="2:5" x14ac:dyDescent="0.35">
      <c r="B312" s="42"/>
      <c r="C312" s="43"/>
      <c r="D312" s="43"/>
      <c r="E312" s="43"/>
    </row>
    <row r="313" spans="2:5" x14ac:dyDescent="0.35">
      <c r="B313" s="42"/>
      <c r="C313" s="43"/>
      <c r="D313" s="43"/>
      <c r="E313" s="43"/>
    </row>
    <row r="314" spans="2:5" x14ac:dyDescent="0.35">
      <c r="B314" s="42"/>
      <c r="C314" s="43"/>
      <c r="D314" s="43"/>
      <c r="E314" s="43"/>
    </row>
    <row r="315" spans="2:5" x14ac:dyDescent="0.35">
      <c r="B315" s="42"/>
      <c r="C315" s="43"/>
      <c r="D315" s="43"/>
      <c r="E315" s="43"/>
    </row>
    <row r="316" spans="2:5" x14ac:dyDescent="0.35">
      <c r="B316" s="42"/>
      <c r="C316" s="43"/>
      <c r="D316" s="43"/>
      <c r="E316" s="43"/>
    </row>
    <row r="317" spans="2:5" x14ac:dyDescent="0.35">
      <c r="B317" s="42"/>
      <c r="C317" s="43"/>
      <c r="D317" s="43"/>
      <c r="E317" s="43"/>
    </row>
    <row r="318" spans="2:5" x14ac:dyDescent="0.35">
      <c r="B318" s="42"/>
      <c r="C318" s="43"/>
      <c r="D318" s="43"/>
      <c r="E318" s="43"/>
    </row>
    <row r="319" spans="2:5" x14ac:dyDescent="0.35">
      <c r="B319" s="42"/>
      <c r="C319" s="43"/>
      <c r="D319" s="43"/>
      <c r="E319" s="43"/>
    </row>
    <row r="320" spans="2:5" x14ac:dyDescent="0.35">
      <c r="B320" s="42"/>
      <c r="C320" s="43"/>
      <c r="D320" s="43"/>
      <c r="E320" s="43"/>
    </row>
    <row r="321" spans="2:5" x14ac:dyDescent="0.35">
      <c r="B321" s="42"/>
      <c r="C321" s="43"/>
      <c r="D321" s="43"/>
      <c r="E321" s="43"/>
    </row>
    <row r="322" spans="2:5" x14ac:dyDescent="0.35">
      <c r="B322" s="42"/>
      <c r="C322" s="43"/>
      <c r="D322" s="43"/>
      <c r="E322" s="43"/>
    </row>
    <row r="323" spans="2:5" x14ac:dyDescent="0.35">
      <c r="B323" s="42"/>
      <c r="C323" s="43"/>
      <c r="D323" s="43"/>
      <c r="E323" s="43"/>
    </row>
    <row r="324" spans="2:5" x14ac:dyDescent="0.35">
      <c r="B324" s="42"/>
      <c r="C324" s="43"/>
      <c r="D324" s="43"/>
      <c r="E324" s="43"/>
    </row>
    <row r="325" spans="2:5" x14ac:dyDescent="0.35">
      <c r="B325" s="42"/>
      <c r="C325" s="43"/>
      <c r="D325" s="43"/>
      <c r="E325" s="43"/>
    </row>
    <row r="326" spans="2:5" x14ac:dyDescent="0.35">
      <c r="B326" s="42"/>
      <c r="C326" s="43"/>
      <c r="D326" s="43"/>
      <c r="E326" s="43"/>
    </row>
    <row r="327" spans="2:5" x14ac:dyDescent="0.35">
      <c r="B327" s="42"/>
      <c r="C327" s="43"/>
      <c r="D327" s="43"/>
      <c r="E327" s="43"/>
    </row>
    <row r="328" spans="2:5" x14ac:dyDescent="0.35">
      <c r="B328" s="42"/>
      <c r="C328" s="43"/>
      <c r="D328" s="43"/>
      <c r="E328" s="43"/>
    </row>
    <row r="329" spans="2:5" x14ac:dyDescent="0.35">
      <c r="B329" s="42"/>
      <c r="C329" s="43"/>
      <c r="D329" s="43"/>
      <c r="E329" s="43"/>
    </row>
    <row r="330" spans="2:5" x14ac:dyDescent="0.35">
      <c r="B330" s="42"/>
      <c r="C330" s="43"/>
      <c r="D330" s="43"/>
      <c r="E330" s="43"/>
    </row>
    <row r="331" spans="2:5" x14ac:dyDescent="0.35">
      <c r="B331" s="42"/>
      <c r="C331" s="43"/>
      <c r="D331" s="43"/>
      <c r="E331" s="43"/>
    </row>
    <row r="332" spans="2:5" x14ac:dyDescent="0.35">
      <c r="B332" s="42"/>
      <c r="C332" s="43"/>
      <c r="D332" s="43"/>
      <c r="E332" s="43"/>
    </row>
    <row r="333" spans="2:5" x14ac:dyDescent="0.35">
      <c r="B333" s="42"/>
      <c r="C333" s="43"/>
      <c r="D333" s="43"/>
      <c r="E333" s="43"/>
    </row>
    <row r="334" spans="2:5" x14ac:dyDescent="0.35">
      <c r="B334" s="42"/>
      <c r="C334" s="43"/>
      <c r="D334" s="43"/>
      <c r="E334" s="43"/>
    </row>
    <row r="335" spans="2:5" x14ac:dyDescent="0.35">
      <c r="B335" s="42"/>
      <c r="C335" s="43"/>
      <c r="D335" s="43"/>
      <c r="E335" s="43"/>
    </row>
    <row r="336" spans="2:5" x14ac:dyDescent="0.35">
      <c r="B336" s="42"/>
      <c r="C336" s="43"/>
      <c r="D336" s="43"/>
      <c r="E336" s="43"/>
    </row>
    <row r="337" spans="2:5" x14ac:dyDescent="0.35">
      <c r="B337" s="42"/>
      <c r="C337" s="43"/>
      <c r="D337" s="43"/>
      <c r="E337" s="43"/>
    </row>
    <row r="338" spans="2:5" x14ac:dyDescent="0.35">
      <c r="B338" s="42"/>
      <c r="C338" s="43"/>
      <c r="D338" s="43"/>
      <c r="E338" s="43"/>
    </row>
    <row r="339" spans="2:5" x14ac:dyDescent="0.35">
      <c r="B339" s="42"/>
      <c r="C339" s="43"/>
      <c r="D339" s="43"/>
      <c r="E339" s="43"/>
    </row>
    <row r="340" spans="2:5" x14ac:dyDescent="0.35">
      <c r="B340" s="42"/>
      <c r="C340" s="43"/>
      <c r="D340" s="43"/>
      <c r="E340" s="43"/>
    </row>
    <row r="341" spans="2:5" x14ac:dyDescent="0.35">
      <c r="B341" s="42"/>
      <c r="C341" s="43"/>
      <c r="D341" s="43"/>
      <c r="E341" s="43"/>
    </row>
    <row r="342" spans="2:5" x14ac:dyDescent="0.35">
      <c r="B342" s="42"/>
      <c r="C342" s="43"/>
      <c r="D342" s="43"/>
      <c r="E342" s="43"/>
    </row>
    <row r="343" spans="2:5" x14ac:dyDescent="0.35">
      <c r="B343" s="42"/>
      <c r="C343" s="43"/>
      <c r="D343" s="43"/>
      <c r="E343" s="43"/>
    </row>
    <row r="344" spans="2:5" x14ac:dyDescent="0.35">
      <c r="B344" s="42"/>
      <c r="C344" s="43"/>
      <c r="D344" s="43"/>
      <c r="E344" s="43"/>
    </row>
    <row r="345" spans="2:5" x14ac:dyDescent="0.35">
      <c r="B345" s="42"/>
      <c r="C345" s="43"/>
      <c r="D345" s="43"/>
      <c r="E345" s="43"/>
    </row>
    <row r="346" spans="2:5" x14ac:dyDescent="0.35">
      <c r="B346" s="42"/>
      <c r="C346" s="43"/>
      <c r="D346" s="43"/>
      <c r="E346" s="43"/>
    </row>
    <row r="347" spans="2:5" x14ac:dyDescent="0.35">
      <c r="B347" s="42"/>
      <c r="C347" s="43"/>
      <c r="D347" s="43"/>
      <c r="E347" s="43"/>
    </row>
    <row r="348" spans="2:5" x14ac:dyDescent="0.35">
      <c r="B348" s="42"/>
      <c r="C348" s="43"/>
      <c r="D348" s="43"/>
      <c r="E348" s="43"/>
    </row>
    <row r="349" spans="2:5" x14ac:dyDescent="0.35">
      <c r="B349" s="42"/>
      <c r="C349" s="43"/>
      <c r="D349" s="43"/>
      <c r="E349" s="43"/>
    </row>
    <row r="350" spans="2:5" x14ac:dyDescent="0.35">
      <c r="B350" s="42"/>
      <c r="C350" s="43"/>
      <c r="D350" s="43"/>
      <c r="E350" s="43"/>
    </row>
    <row r="351" spans="2:5" x14ac:dyDescent="0.35">
      <c r="B351" s="42"/>
      <c r="C351" s="43"/>
      <c r="D351" s="43"/>
      <c r="E351" s="43"/>
    </row>
    <row r="352" spans="2:5" x14ac:dyDescent="0.35">
      <c r="B352" s="42"/>
      <c r="C352" s="43"/>
      <c r="D352" s="43"/>
      <c r="E352" s="43"/>
    </row>
    <row r="353" spans="2:5" x14ac:dyDescent="0.35">
      <c r="B353" s="42"/>
      <c r="C353" s="43"/>
      <c r="D353" s="43"/>
      <c r="E353" s="43"/>
    </row>
    <row r="354" spans="2:5" x14ac:dyDescent="0.35">
      <c r="B354" s="42"/>
      <c r="C354" s="43"/>
      <c r="D354" s="43"/>
      <c r="E354" s="43"/>
    </row>
    <row r="355" spans="2:5" x14ac:dyDescent="0.35">
      <c r="B355" s="42"/>
      <c r="C355" s="43"/>
      <c r="D355" s="43"/>
      <c r="E355" s="43"/>
    </row>
    <row r="356" spans="2:5" x14ac:dyDescent="0.35">
      <c r="B356" s="42"/>
      <c r="C356" s="43"/>
      <c r="D356" s="43"/>
      <c r="E356" s="43"/>
    </row>
    <row r="357" spans="2:5" x14ac:dyDescent="0.35">
      <c r="B357" s="42"/>
      <c r="C357" s="43"/>
      <c r="D357" s="43"/>
      <c r="E357" s="43"/>
    </row>
    <row r="358" spans="2:5" x14ac:dyDescent="0.35">
      <c r="B358" s="42"/>
      <c r="C358" s="43"/>
      <c r="D358" s="43"/>
      <c r="E358" s="43"/>
    </row>
    <row r="359" spans="2:5" x14ac:dyDescent="0.35">
      <c r="B359" s="42"/>
      <c r="C359" s="43"/>
      <c r="D359" s="43"/>
      <c r="E359" s="43"/>
    </row>
    <row r="360" spans="2:5" x14ac:dyDescent="0.35">
      <c r="B360" s="42"/>
      <c r="C360" s="43"/>
      <c r="D360" s="43"/>
      <c r="E360" s="43"/>
    </row>
    <row r="361" spans="2:5" x14ac:dyDescent="0.35">
      <c r="B361" s="42"/>
      <c r="C361" s="43"/>
      <c r="D361" s="43"/>
      <c r="E361" s="43"/>
    </row>
    <row r="362" spans="2:5" x14ac:dyDescent="0.35">
      <c r="B362" s="42"/>
      <c r="C362" s="43"/>
      <c r="D362" s="43"/>
      <c r="E362" s="43"/>
    </row>
    <row r="363" spans="2:5" x14ac:dyDescent="0.35">
      <c r="B363" s="42"/>
      <c r="C363" s="43"/>
      <c r="D363" s="43"/>
      <c r="E363" s="43"/>
    </row>
    <row r="364" spans="2:5" x14ac:dyDescent="0.35">
      <c r="B364" s="42"/>
      <c r="C364" s="43"/>
      <c r="D364" s="43"/>
      <c r="E364" s="43"/>
    </row>
    <row r="365" spans="2:5" x14ac:dyDescent="0.35">
      <c r="B365" s="42"/>
      <c r="C365" s="43"/>
      <c r="D365" s="43"/>
      <c r="E365" s="43"/>
    </row>
    <row r="366" spans="2:5" x14ac:dyDescent="0.35">
      <c r="B366" s="42"/>
      <c r="C366" s="43"/>
      <c r="D366" s="43"/>
      <c r="E366" s="43"/>
    </row>
    <row r="367" spans="2:5" x14ac:dyDescent="0.35">
      <c r="B367" s="42"/>
      <c r="C367" s="43"/>
      <c r="D367" s="43"/>
      <c r="E367" s="43"/>
    </row>
    <row r="368" spans="2:5" x14ac:dyDescent="0.35">
      <c r="B368" s="42"/>
      <c r="C368" s="43"/>
      <c r="D368" s="43"/>
      <c r="E368" s="43"/>
    </row>
    <row r="369" spans="2:5" x14ac:dyDescent="0.35">
      <c r="B369" s="42"/>
      <c r="C369" s="43"/>
      <c r="D369" s="43"/>
      <c r="E369" s="43"/>
    </row>
    <row r="370" spans="2:5" x14ac:dyDescent="0.35">
      <c r="B370" s="42"/>
      <c r="C370" s="43"/>
      <c r="D370" s="43"/>
      <c r="E370" s="43"/>
    </row>
    <row r="371" spans="2:5" x14ac:dyDescent="0.35">
      <c r="B371" s="42"/>
      <c r="C371" s="43"/>
      <c r="D371" s="43"/>
      <c r="E371" s="43"/>
    </row>
    <row r="372" spans="2:5" x14ac:dyDescent="0.35">
      <c r="B372" s="42"/>
      <c r="C372" s="43"/>
      <c r="D372" s="43"/>
      <c r="E372" s="43"/>
    </row>
    <row r="373" spans="2:5" x14ac:dyDescent="0.35">
      <c r="B373" s="42"/>
      <c r="C373" s="43"/>
      <c r="D373" s="43"/>
      <c r="E373" s="43"/>
    </row>
    <row r="374" spans="2:5" x14ac:dyDescent="0.35">
      <c r="B374" s="42"/>
      <c r="C374" s="43"/>
      <c r="D374" s="43"/>
      <c r="E374" s="43"/>
    </row>
    <row r="375" spans="2:5" x14ac:dyDescent="0.35">
      <c r="B375" s="42"/>
      <c r="C375" s="43"/>
      <c r="D375" s="43"/>
      <c r="E375" s="43"/>
    </row>
    <row r="376" spans="2:5" x14ac:dyDescent="0.35">
      <c r="B376" s="42"/>
      <c r="C376" s="43"/>
      <c r="D376" s="43"/>
      <c r="E376" s="43"/>
    </row>
    <row r="377" spans="2:5" x14ac:dyDescent="0.35">
      <c r="B377" s="42"/>
      <c r="C377" s="43"/>
      <c r="D377" s="43"/>
      <c r="E377" s="43"/>
    </row>
    <row r="378" spans="2:5" x14ac:dyDescent="0.35">
      <c r="B378" s="42"/>
      <c r="C378" s="43"/>
      <c r="D378" s="43"/>
      <c r="E378" s="43"/>
    </row>
    <row r="379" spans="2:5" x14ac:dyDescent="0.35">
      <c r="B379" s="42"/>
      <c r="C379" s="43"/>
      <c r="D379" s="43"/>
      <c r="E379" s="43"/>
    </row>
    <row r="380" spans="2:5" x14ac:dyDescent="0.35">
      <c r="B380" s="42"/>
      <c r="C380" s="43"/>
      <c r="D380" s="43"/>
      <c r="E380" s="43"/>
    </row>
    <row r="381" spans="2:5" x14ac:dyDescent="0.35">
      <c r="B381" s="42"/>
      <c r="C381" s="43"/>
      <c r="D381" s="43"/>
      <c r="E381" s="43"/>
    </row>
    <row r="382" spans="2:5" x14ac:dyDescent="0.35">
      <c r="B382" s="42"/>
      <c r="C382" s="43"/>
      <c r="D382" s="43"/>
      <c r="E382" s="43"/>
    </row>
    <row r="383" spans="2:5" x14ac:dyDescent="0.35">
      <c r="B383" s="42"/>
      <c r="C383" s="43"/>
      <c r="D383" s="43"/>
      <c r="E383" s="43"/>
    </row>
    <row r="384" spans="2:5" x14ac:dyDescent="0.35">
      <c r="B384" s="42"/>
      <c r="C384" s="43"/>
      <c r="D384" s="43"/>
      <c r="E384" s="43"/>
    </row>
    <row r="385" spans="2:5" x14ac:dyDescent="0.35">
      <c r="B385" s="42"/>
      <c r="C385" s="43"/>
      <c r="D385" s="43"/>
      <c r="E385" s="43"/>
    </row>
    <row r="386" spans="2:5" x14ac:dyDescent="0.35">
      <c r="B386" s="42"/>
      <c r="C386" s="43"/>
      <c r="D386" s="43"/>
      <c r="E386" s="43"/>
    </row>
    <row r="387" spans="2:5" x14ac:dyDescent="0.35">
      <c r="B387" s="42"/>
      <c r="C387" s="43"/>
      <c r="D387" s="43"/>
      <c r="E387" s="43"/>
    </row>
    <row r="388" spans="2:5" x14ac:dyDescent="0.35">
      <c r="B388" s="42"/>
      <c r="C388" s="43"/>
      <c r="D388" s="43"/>
      <c r="E388" s="43"/>
    </row>
    <row r="389" spans="2:5" x14ac:dyDescent="0.35">
      <c r="B389" s="42"/>
      <c r="C389" s="43"/>
      <c r="D389" s="43"/>
      <c r="E389" s="43"/>
    </row>
    <row r="390" spans="2:5" x14ac:dyDescent="0.35">
      <c r="B390" s="42"/>
      <c r="C390" s="43"/>
      <c r="D390" s="43"/>
      <c r="E390" s="43"/>
    </row>
    <row r="391" spans="2:5" x14ac:dyDescent="0.35">
      <c r="B391" s="42"/>
      <c r="C391" s="43"/>
      <c r="D391" s="43"/>
      <c r="E391" s="43"/>
    </row>
    <row r="392" spans="2:5" x14ac:dyDescent="0.35">
      <c r="B392" s="42"/>
      <c r="C392" s="43"/>
      <c r="D392" s="43"/>
      <c r="E392" s="43"/>
    </row>
    <row r="393" spans="2:5" x14ac:dyDescent="0.35">
      <c r="B393" s="42"/>
      <c r="C393" s="43"/>
      <c r="D393" s="43"/>
      <c r="E393" s="43"/>
    </row>
  </sheetData>
  <mergeCells count="16">
    <mergeCell ref="C18:E18"/>
    <mergeCell ref="B4:E4"/>
    <mergeCell ref="G4:H4"/>
    <mergeCell ref="B19:E19"/>
    <mergeCell ref="C14:E14"/>
    <mergeCell ref="G6:H6"/>
    <mergeCell ref="B6:E6"/>
    <mergeCell ref="C7:E7"/>
    <mergeCell ref="C11:E11"/>
    <mergeCell ref="C13:E13"/>
    <mergeCell ref="G9:H9"/>
    <mergeCell ref="G10:H10"/>
    <mergeCell ref="G7:H7"/>
    <mergeCell ref="C17:E17"/>
    <mergeCell ref="B16:E16"/>
    <mergeCell ref="C15:E15"/>
  </mergeCells>
  <phoneticPr fontId="8" type="noConversion"/>
  <conditionalFormatting sqref="C8">
    <cfRule type="expression" dxfId="38" priority="17">
      <formula>$C$8="No encontrado. Completar"</formula>
    </cfRule>
  </conditionalFormatting>
  <conditionalFormatting sqref="C11:E11">
    <cfRule type="expression" dxfId="37" priority="16">
      <formula>$C$11="PENDIENTE"</formula>
    </cfRule>
  </conditionalFormatting>
  <conditionalFormatting sqref="H12">
    <cfRule type="colorScale" priority="3">
      <colorScale>
        <cfvo type="num" val="10"/>
        <cfvo type="num" val="20"/>
        <cfvo type="num" val="25"/>
        <color rgb="FFFCC0C1"/>
        <color rgb="FFFFF5C1"/>
        <color rgb="FFD3EDDA"/>
      </colorScale>
    </cfRule>
  </conditionalFormatting>
  <conditionalFormatting sqref="G4:H4">
    <cfRule type="expression" dxfId="36" priority="1">
      <formula>LEN($G$4)&gt;1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0000000-000E-0000-0000-000002000000}">
            <xm:f>SUM('Incident Com. (COMPLETAR)'!$I$4:$I$57)&gt;0</xm:f>
            <x14:dxf>
              <fill>
                <patternFill>
                  <bgColor rgb="FFFF9B9B"/>
                </patternFill>
              </fill>
            </x14:dxf>
          </x14:cfRule>
          <xm:sqref>C2:J2</xm:sqref>
        </x14:conditionalFormatting>
        <x14:conditionalFormatting xmlns:xm="http://schemas.microsoft.com/office/excel/2006/main">
          <x14:cfRule type="expression" priority="30" id="{E96BABB5-E792-4469-9D0F-630FC631734B}">
            <xm:f>'Incident Com. (COMPLETAR)'!$E$6="Aperture Incident"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1" id="{55C2B2BA-2F5F-4B3B-86A4-094B2EE47FD6}">
            <xm:f>'Incident Com. (COMPLETAR)'!$E$6="Update Incident"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2" id="{80FECBD0-FAD6-4BDD-BD9B-09CEDA142FC6}">
            <xm:f>'Incident Com. (COMPLETAR)'!$E$6="Closure Incident"</xm:f>
            <x14:dxf>
              <fill>
                <patternFill>
                  <bgColor theme="9" tint="0.59996337778862885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14" id="{C766D623-3580-48FF-81AF-B3E9CB84BED1}">
            <xm:f>LEN('Incident Com. (COMPLETAR)'!$E$8:$F$8)&lt;&gt;12</xm:f>
            <x14:dxf>
              <fill>
                <patternFill>
                  <bgColor rgb="FFFF9F9F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2" id="{E467AAA0-CFA8-428E-8E2C-8F0066973EBB}">
            <xm:f>SUM('Incident Com. (COMPLETAR)'!$I:$I)&gt;0</xm:f>
            <x14:dxf>
              <fill>
                <patternFill>
                  <bgColor rgb="FFFF0000"/>
                </patternFill>
              </fill>
            </x14:dxf>
          </x14:cfRule>
          <x14:cfRule type="expression" priority="13" id="{E484BBF6-3388-408C-AAB0-DE42FB6F422C}">
            <xm:f>SUM('Incident Com. (COMPLETAR)'!$I:$I)=0</xm:f>
            <x14:dxf>
              <fill>
                <patternFill>
                  <bgColor rgb="FF00B050"/>
                </patternFill>
              </fill>
            </x14:dxf>
          </x14:cfRule>
          <xm:sqref>G6:H6</xm:sqref>
        </x14:conditionalFormatting>
        <x14:conditionalFormatting xmlns:xm="http://schemas.microsoft.com/office/excel/2006/main">
          <x14:cfRule type="expression" priority="6" id="{F191A620-91DD-4D3F-9CA2-3E1ACDBB911B}">
            <xm:f>'Incident Com. (COMPLETAR)'!$I$18=1</xm:f>
            <x14:dxf>
              <fill>
                <patternFill>
                  <bgColor rgb="FFFF9F9F"/>
                </patternFill>
              </fill>
            </x14:dxf>
          </x14:cfRule>
          <xm:sqref>E10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2D89-3CD3-4EAA-AED5-DD96EE0B21BB}">
  <sheetPr codeName="Hoja2">
    <tabColor theme="8"/>
  </sheetPr>
  <dimension ref="A1:AG107"/>
  <sheetViews>
    <sheetView tabSelected="1" zoomScale="85" zoomScaleNormal="85" workbookViewId="0">
      <pane ySplit="1" topLeftCell="A24" activePane="bottomLeft" state="frozen"/>
      <selection pane="bottomLeft" activeCell="E6" sqref="E6:F6"/>
    </sheetView>
  </sheetViews>
  <sheetFormatPr baseColWidth="10" defaultColWidth="6.54296875" defaultRowHeight="14.5" x14ac:dyDescent="0.35"/>
  <cols>
    <col min="1" max="1" width="4.453125" style="61" customWidth="1"/>
    <col min="2" max="2" width="2.54296875" customWidth="1"/>
    <col min="3" max="3" width="32.1796875" style="9" customWidth="1"/>
    <col min="4" max="4" width="2" style="9" customWidth="1"/>
    <col min="5" max="5" width="31.1796875" style="9" customWidth="1"/>
    <col min="6" max="6" width="4.54296875" style="67" customWidth="1"/>
    <col min="7" max="7" width="3" style="67" customWidth="1"/>
    <col min="8" max="8" width="4.54296875" style="67" customWidth="1"/>
    <col min="9" max="9" width="9.54296875" style="64" customWidth="1"/>
    <col min="10" max="10" width="64.81640625" style="37" customWidth="1"/>
    <col min="11" max="33" width="6.54296875" style="61"/>
  </cols>
  <sheetData>
    <row r="1" spans="2:10" ht="15" thickBot="1" x14ac:dyDescent="0.4">
      <c r="B1" s="61"/>
      <c r="C1" s="62"/>
      <c r="D1" s="62"/>
      <c r="E1" s="62"/>
      <c r="F1" s="63"/>
      <c r="G1" s="63"/>
      <c r="H1" s="63"/>
      <c r="I1" s="168" t="s">
        <v>26</v>
      </c>
      <c r="J1" s="169"/>
    </row>
    <row r="2" spans="2:10" ht="26.25" customHeight="1" thickBot="1" x14ac:dyDescent="0.6">
      <c r="B2" s="170" t="s">
        <v>27</v>
      </c>
      <c r="C2" s="171"/>
      <c r="D2" s="171"/>
      <c r="E2" s="171"/>
      <c r="F2" s="171"/>
      <c r="G2" s="172"/>
      <c r="H2" s="70"/>
    </row>
    <row r="3" spans="2:10" ht="7.5" customHeight="1" x14ac:dyDescent="0.35">
      <c r="B3" s="84"/>
      <c r="C3" s="175" t="s">
        <v>28</v>
      </c>
      <c r="D3" s="175"/>
      <c r="E3" s="175"/>
      <c r="F3" s="175"/>
      <c r="G3" s="85"/>
      <c r="H3" s="63"/>
      <c r="I3" s="73"/>
      <c r="J3" s="74"/>
    </row>
    <row r="4" spans="2:10" ht="15" customHeight="1" x14ac:dyDescent="0.35">
      <c r="B4" s="86"/>
      <c r="C4" s="175"/>
      <c r="D4" s="175"/>
      <c r="E4" s="175"/>
      <c r="F4" s="175"/>
      <c r="G4" s="85"/>
      <c r="H4" s="27"/>
      <c r="I4" s="75"/>
      <c r="J4" s="76"/>
    </row>
    <row r="5" spans="2:10" ht="3.75" customHeight="1" x14ac:dyDescent="0.35">
      <c r="B5" s="86"/>
      <c r="C5" s="87"/>
      <c r="D5" s="87"/>
      <c r="E5" s="87"/>
      <c r="F5" s="88"/>
      <c r="G5" s="89"/>
      <c r="H5" s="27"/>
      <c r="I5" s="75"/>
      <c r="J5" s="76"/>
    </row>
    <row r="6" spans="2:10" ht="30" customHeight="1" x14ac:dyDescent="0.35">
      <c r="B6" s="90"/>
      <c r="C6" s="118" t="s">
        <v>29</v>
      </c>
      <c r="D6" s="91"/>
      <c r="E6" s="166" t="s">
        <v>534</v>
      </c>
      <c r="F6" s="167"/>
      <c r="G6" s="92"/>
      <c r="H6" s="64"/>
      <c r="I6" s="75">
        <f>IF(E6="",1,IF(AND(E6="Aperture Incident",COUNTA(NOTIFICACIÓN!B17:B18)&gt;2),1,0))</f>
        <v>0</v>
      </c>
      <c r="J6" s="76" t="str">
        <f>IF(I6=0,"","Aperture = 1 Comentario")</f>
        <v/>
      </c>
    </row>
    <row r="7" spans="2:10" ht="3.75" customHeight="1" thickBot="1" x14ac:dyDescent="0.4">
      <c r="B7" s="90"/>
      <c r="C7" s="93"/>
      <c r="D7" s="91"/>
      <c r="E7" s="91"/>
      <c r="F7" s="94"/>
      <c r="G7" s="92"/>
      <c r="H7" s="64"/>
      <c r="I7" s="75"/>
      <c r="J7" s="76"/>
    </row>
    <row r="8" spans="2:10" ht="30" customHeight="1" thickBot="1" x14ac:dyDescent="0.4">
      <c r="B8" s="90"/>
      <c r="C8" s="118" t="s">
        <v>31</v>
      </c>
      <c r="D8" s="91"/>
      <c r="E8" s="176" t="s">
        <v>616</v>
      </c>
      <c r="F8" s="177"/>
      <c r="G8" s="92"/>
      <c r="H8" s="64"/>
      <c r="I8" s="75">
        <f>IF(LEN(E8)&lt;&gt;12,1,0)</f>
        <v>0</v>
      </c>
      <c r="J8" s="76" t="str">
        <f>IF(I8=0,"","El ticket debe contener 12 digitos (incluido INC)")</f>
        <v/>
      </c>
    </row>
    <row r="9" spans="2:10" ht="3.75" customHeight="1" thickBot="1" x14ac:dyDescent="0.4">
      <c r="B9" s="90"/>
      <c r="C9" s="93"/>
      <c r="D9" s="91"/>
      <c r="E9" s="91"/>
      <c r="F9" s="94"/>
      <c r="G9" s="92"/>
      <c r="H9" s="64"/>
      <c r="I9" s="75"/>
      <c r="J9" s="76"/>
    </row>
    <row r="10" spans="2:10" ht="30" customHeight="1" thickBot="1" x14ac:dyDescent="0.4">
      <c r="B10" s="90"/>
      <c r="C10" s="118" t="s">
        <v>32</v>
      </c>
      <c r="D10" s="91"/>
      <c r="E10" s="178" t="s">
        <v>309</v>
      </c>
      <c r="F10" s="167"/>
      <c r="G10" s="92"/>
      <c r="H10" s="64"/>
      <c r="I10" s="75">
        <f>IF(LEN(E10)&lt;1,1,0)</f>
        <v>0</v>
      </c>
      <c r="J10" s="76" t="str">
        <f>IF(I10=0,"","Debes elegir un circuito/equipo que reportar")</f>
        <v/>
      </c>
    </row>
    <row r="11" spans="2:10" ht="3.75" customHeight="1" thickBot="1" x14ac:dyDescent="0.4">
      <c r="B11" s="90"/>
      <c r="C11" s="93"/>
      <c r="D11" s="91"/>
      <c r="E11" s="91"/>
      <c r="F11" s="94"/>
      <c r="G11" s="92"/>
      <c r="H11" s="64"/>
      <c r="I11" s="75"/>
      <c r="J11" s="76"/>
    </row>
    <row r="12" spans="2:10" ht="30" customHeight="1" thickBot="1" x14ac:dyDescent="0.4">
      <c r="B12" s="90"/>
      <c r="C12" s="122" t="s">
        <v>34</v>
      </c>
      <c r="D12" s="91"/>
      <c r="E12" s="164"/>
      <c r="F12" s="167"/>
      <c r="G12" s="92"/>
      <c r="H12" s="64"/>
      <c r="I12" s="77">
        <f>IF(AND(Fórmulas!C4="GSNET Cloud",E12=""),1,0)</f>
        <v>0</v>
      </c>
      <c r="J12" s="123" t="s">
        <v>36</v>
      </c>
    </row>
    <row r="13" spans="2:10" ht="3.75" customHeight="1" x14ac:dyDescent="0.35">
      <c r="B13" s="90"/>
      <c r="C13" s="93"/>
      <c r="D13" s="91"/>
      <c r="E13" s="91"/>
      <c r="F13" s="94"/>
      <c r="G13" s="92"/>
      <c r="H13" s="64"/>
      <c r="I13" s="75"/>
      <c r="J13" s="76"/>
    </row>
    <row r="14" spans="2:10" ht="30" customHeight="1" x14ac:dyDescent="0.35">
      <c r="B14" s="90"/>
      <c r="C14" s="118" t="s">
        <v>37</v>
      </c>
      <c r="D14" s="91"/>
      <c r="E14" s="164" t="str">
        <f>Fórmulas!C3</f>
        <v>IX Spain</v>
      </c>
      <c r="F14" s="165"/>
      <c r="G14" s="92"/>
      <c r="H14" s="65"/>
      <c r="I14" s="75">
        <f>IF(Fórmulas!C3="No encontrado. Completar",1,0)</f>
        <v>0</v>
      </c>
      <c r="J14" s="78" t="str">
        <f>IF(I14=0,"","Si al indicar el circuito no completa el nombre de la sede, hay que incluirlo manualmente en la pestaña BBDD")</f>
        <v/>
      </c>
    </row>
    <row r="15" spans="2:10" ht="3.75" customHeight="1" x14ac:dyDescent="0.35">
      <c r="B15" s="90"/>
      <c r="C15" s="93"/>
      <c r="D15" s="91"/>
      <c r="E15" s="91"/>
      <c r="F15" s="94"/>
      <c r="G15" s="92"/>
      <c r="H15" s="65"/>
      <c r="I15" s="75"/>
      <c r="J15" s="76"/>
    </row>
    <row r="16" spans="2:10" ht="30" customHeight="1" thickBot="1" x14ac:dyDescent="0.4">
      <c r="B16" s="90"/>
      <c r="C16" s="118" t="s">
        <v>39</v>
      </c>
      <c r="D16" s="91"/>
      <c r="E16" s="164" t="s">
        <v>40</v>
      </c>
      <c r="F16" s="165"/>
      <c r="G16" s="92"/>
      <c r="H16" s="64"/>
      <c r="I16" s="75">
        <f>IF(E16="",1,0)</f>
        <v>0</v>
      </c>
      <c r="J16" s="76" t="str">
        <f>IF(I16=0,"","Debes indicar el estado de la incidencia")</f>
        <v/>
      </c>
    </row>
    <row r="17" spans="2:11" ht="3.75" customHeight="1" thickBot="1" x14ac:dyDescent="0.4">
      <c r="B17" s="90"/>
      <c r="C17" s="93"/>
      <c r="D17" s="91"/>
      <c r="E17" s="91"/>
      <c r="F17" s="94"/>
      <c r="G17" s="92"/>
      <c r="H17" s="65"/>
      <c r="I17" s="75"/>
      <c r="J17" s="76"/>
    </row>
    <row r="18" spans="2:11" ht="30" customHeight="1" thickBot="1" x14ac:dyDescent="0.4">
      <c r="B18" s="90"/>
      <c r="C18" s="118" t="s">
        <v>41</v>
      </c>
      <c r="D18" s="91"/>
      <c r="E18" s="164" t="s">
        <v>42</v>
      </c>
      <c r="F18" s="165"/>
      <c r="G18" s="92"/>
      <c r="H18" s="64"/>
      <c r="I18" s="75">
        <f>IF(E18="",1,IF(Fórmulas!C7=1,0,IF(AND(Fórmulas!C7=0,'Incident Com. (COMPLETAR)'!E18="Down"),1,0)))</f>
        <v>0</v>
      </c>
      <c r="J18" s="76" t="str">
        <f>IF(I18=0,"","No puede ser degradación y estar el servicio DOWN")</f>
        <v/>
      </c>
    </row>
    <row r="19" spans="2:11" ht="3.75" customHeight="1" thickBot="1" x14ac:dyDescent="0.4">
      <c r="B19" s="90"/>
      <c r="C19" s="93"/>
      <c r="D19" s="91"/>
      <c r="E19" s="91"/>
      <c r="F19" s="94"/>
      <c r="G19" s="92"/>
      <c r="H19" s="64"/>
      <c r="I19" s="75"/>
      <c r="J19" s="76"/>
    </row>
    <row r="20" spans="2:11" ht="46.5" customHeight="1" x14ac:dyDescent="0.35">
      <c r="B20" s="90"/>
      <c r="C20" s="119" t="s">
        <v>43</v>
      </c>
      <c r="D20" s="95"/>
      <c r="E20" s="173" t="s">
        <v>617</v>
      </c>
      <c r="F20" s="174"/>
      <c r="G20" s="92"/>
      <c r="H20" s="65"/>
      <c r="I20" s="75">
        <f>IF(E20="",1,0)</f>
        <v>0</v>
      </c>
      <c r="J20" s="76" t="str">
        <f>IF(I20=0,"","Debes indicar una breve descripción de la incidencia")</f>
        <v/>
      </c>
    </row>
    <row r="21" spans="2:11" ht="3.75" customHeight="1" thickBot="1" x14ac:dyDescent="0.4">
      <c r="B21" s="90"/>
      <c r="C21" s="96"/>
      <c r="D21" s="95"/>
      <c r="E21" s="95"/>
      <c r="F21" s="94"/>
      <c r="G21" s="92"/>
      <c r="H21" s="65"/>
      <c r="I21" s="75"/>
      <c r="J21" s="76"/>
    </row>
    <row r="22" spans="2:11" ht="30" customHeight="1" thickBot="1" x14ac:dyDescent="0.4">
      <c r="B22" s="90"/>
      <c r="C22" s="118" t="s">
        <v>44</v>
      </c>
      <c r="D22" s="91"/>
      <c r="E22" s="164" t="s">
        <v>45</v>
      </c>
      <c r="F22" s="165"/>
      <c r="G22" s="92"/>
      <c r="H22" s="64"/>
      <c r="I22" s="75">
        <f>IF(E22="",1,0)</f>
        <v>0</v>
      </c>
      <c r="J22" s="76" t="str">
        <f>IF(I22=0,"","* Campus: Si han caido PPL y BCKP, hay impacto, si no, no.")</f>
        <v/>
      </c>
    </row>
    <row r="23" spans="2:11" ht="3.75" customHeight="1" thickBot="1" x14ac:dyDescent="0.4">
      <c r="B23" s="90"/>
      <c r="C23" s="93"/>
      <c r="D23" s="91"/>
      <c r="E23" s="91"/>
      <c r="F23" s="94"/>
      <c r="G23" s="92"/>
      <c r="H23" s="64"/>
      <c r="I23" s="75"/>
      <c r="J23" s="76"/>
    </row>
    <row r="24" spans="2:11" ht="39" customHeight="1" thickBot="1" x14ac:dyDescent="0.4">
      <c r="B24" s="90"/>
      <c r="C24" s="119" t="s">
        <v>46</v>
      </c>
      <c r="D24" s="95"/>
      <c r="E24" s="164" t="s">
        <v>47</v>
      </c>
      <c r="F24" s="165"/>
      <c r="G24" s="92"/>
      <c r="H24" s="65"/>
      <c r="I24" s="75">
        <f>IF(E24="",1,0)</f>
        <v>0</v>
      </c>
      <c r="J24" s="76" t="str">
        <f>IF(I24=0,"","Confirmación Impacto OK")</f>
        <v/>
      </c>
    </row>
    <row r="25" spans="2:11" ht="3.75" customHeight="1" thickBot="1" x14ac:dyDescent="0.4">
      <c r="B25" s="90"/>
      <c r="C25" s="96"/>
      <c r="D25" s="95"/>
      <c r="E25" s="95"/>
      <c r="F25" s="94"/>
      <c r="G25" s="92"/>
      <c r="H25" s="65"/>
      <c r="I25" s="75"/>
      <c r="J25" s="76"/>
    </row>
    <row r="26" spans="2:11" ht="30" customHeight="1" thickBot="1" x14ac:dyDescent="0.4">
      <c r="B26" s="90"/>
      <c r="C26" s="120" t="s">
        <v>48</v>
      </c>
      <c r="D26" s="97"/>
      <c r="E26" s="176"/>
      <c r="F26" s="177"/>
      <c r="G26" s="92"/>
      <c r="H26" s="65"/>
      <c r="I26" s="75"/>
      <c r="J26" s="76"/>
    </row>
    <row r="27" spans="2:11" ht="3.75" customHeight="1" thickBot="1" x14ac:dyDescent="0.4">
      <c r="B27" s="90"/>
      <c r="C27" s="98"/>
      <c r="D27" s="97"/>
      <c r="E27" s="97"/>
      <c r="F27" s="94"/>
      <c r="G27" s="92"/>
      <c r="H27" s="65"/>
      <c r="I27" s="75"/>
      <c r="J27" s="76"/>
    </row>
    <row r="28" spans="2:11" ht="30" customHeight="1" thickBot="1" x14ac:dyDescent="0.4">
      <c r="B28" s="90"/>
      <c r="C28" s="120" t="s">
        <v>49</v>
      </c>
      <c r="D28" s="97"/>
      <c r="E28" s="183"/>
      <c r="F28" s="184"/>
      <c r="G28" s="92"/>
      <c r="H28" s="64"/>
      <c r="I28" s="79"/>
      <c r="J28" s="80"/>
      <c r="K28" s="45"/>
    </row>
    <row r="29" spans="2:11" ht="3.75" customHeight="1" thickBot="1" x14ac:dyDescent="0.4">
      <c r="B29" s="90"/>
      <c r="C29" s="98"/>
      <c r="D29" s="97"/>
      <c r="E29" s="97"/>
      <c r="F29" s="94"/>
      <c r="G29" s="92"/>
      <c r="H29" s="65"/>
      <c r="I29" s="75"/>
      <c r="J29" s="76"/>
    </row>
    <row r="30" spans="2:11" ht="30" customHeight="1" thickBot="1" x14ac:dyDescent="0.4">
      <c r="B30" s="90"/>
      <c r="C30" s="120" t="s">
        <v>50</v>
      </c>
      <c r="D30" s="97"/>
      <c r="E30" s="166"/>
      <c r="F30" s="167"/>
      <c r="G30" s="92"/>
      <c r="H30" s="64"/>
      <c r="I30" s="81" t="str">
        <f>IF(E30="Yes","!","")</f>
        <v/>
      </c>
      <c r="J30" s="78" t="str">
        <f>IF(E30="Yes","Recuerda cambiar el asunto del correo !!","")</f>
        <v/>
      </c>
      <c r="K30" s="45"/>
    </row>
    <row r="31" spans="2:11" x14ac:dyDescent="0.35">
      <c r="B31" s="84"/>
      <c r="C31" s="94"/>
      <c r="D31" s="94"/>
      <c r="E31" s="94"/>
      <c r="F31" s="94"/>
      <c r="G31" s="99"/>
      <c r="H31" s="64"/>
      <c r="I31" s="79"/>
      <c r="J31" s="80"/>
      <c r="K31" s="45"/>
    </row>
    <row r="32" spans="2:11" ht="14.5" customHeight="1" x14ac:dyDescent="0.35">
      <c r="B32" s="181" t="s">
        <v>51</v>
      </c>
      <c r="C32" s="175"/>
      <c r="D32" s="175"/>
      <c r="E32" s="175"/>
      <c r="F32" s="175"/>
      <c r="G32" s="182"/>
      <c r="H32" s="66"/>
      <c r="I32" s="79"/>
      <c r="J32" s="80"/>
      <c r="K32" s="45"/>
    </row>
    <row r="33" spans="2:10" ht="4.5" customHeight="1" x14ac:dyDescent="0.35">
      <c r="B33" s="100"/>
      <c r="C33" s="101"/>
      <c r="D33" s="101"/>
      <c r="E33" s="101"/>
      <c r="F33" s="101"/>
      <c r="G33" s="102"/>
      <c r="H33" s="63"/>
      <c r="I33" s="75"/>
      <c r="J33" s="76"/>
    </row>
    <row r="34" spans="2:10" x14ac:dyDescent="0.35">
      <c r="B34" s="84"/>
      <c r="C34" s="121" t="s">
        <v>52</v>
      </c>
      <c r="D34" s="103"/>
      <c r="E34" s="121" t="s">
        <v>53</v>
      </c>
      <c r="F34" s="104"/>
      <c r="G34" s="105"/>
      <c r="H34" s="28"/>
      <c r="I34" s="75"/>
      <c r="J34" s="76"/>
    </row>
    <row r="35" spans="2:10" ht="2.25" customHeight="1" x14ac:dyDescent="0.35">
      <c r="B35" s="84"/>
      <c r="C35" s="106"/>
      <c r="D35" s="103"/>
      <c r="E35" s="106"/>
      <c r="F35" s="104"/>
      <c r="G35" s="105"/>
      <c r="H35" s="28"/>
      <c r="I35" s="75"/>
      <c r="J35" s="76"/>
    </row>
    <row r="36" spans="2:10" x14ac:dyDescent="0.35">
      <c r="B36" s="84"/>
      <c r="C36" s="116">
        <v>45862.089456018519</v>
      </c>
      <c r="D36" s="107"/>
      <c r="E36" s="116">
        <v>45862.09375</v>
      </c>
      <c r="F36" s="94"/>
      <c r="G36" s="108"/>
      <c r="H36" s="66"/>
      <c r="I36" s="75">
        <f>IF(C36="",1,IF(E36="",0,IF(E36&lt;=C36,1,0)))</f>
        <v>0</v>
      </c>
      <c r="J36" s="76" t="str">
        <f>IF(I36=0,"","Las horas de impacto están mal")</f>
        <v/>
      </c>
    </row>
    <row r="37" spans="2:10" x14ac:dyDescent="0.35">
      <c r="B37" s="84"/>
      <c r="C37" s="116"/>
      <c r="D37" s="107"/>
      <c r="E37" s="116"/>
      <c r="F37" s="94"/>
      <c r="G37" s="108"/>
      <c r="H37" s="66"/>
      <c r="I37" s="75" t="str">
        <f>IF(E37="","",IF(E37&lt;C37,1,0))</f>
        <v/>
      </c>
      <c r="J37" s="76" t="str">
        <f>IF(I37=1,"Las horas de impacto están mal","")</f>
        <v/>
      </c>
    </row>
    <row r="38" spans="2:10" x14ac:dyDescent="0.35">
      <c r="B38" s="84"/>
      <c r="C38" s="116"/>
      <c r="D38" s="107"/>
      <c r="E38" s="116"/>
      <c r="F38" s="94"/>
      <c r="G38" s="108"/>
      <c r="H38" s="66"/>
      <c r="I38" s="75" t="str">
        <f t="shared" ref="I38:I52" si="0">IF(E38="","",IF(E38&lt;C38,1,0))</f>
        <v/>
      </c>
      <c r="J38" s="76" t="str">
        <f t="shared" ref="J38:J53" si="1">IF(I38=1,"Las horas de impacto están mal","")</f>
        <v/>
      </c>
    </row>
    <row r="39" spans="2:10" x14ac:dyDescent="0.35">
      <c r="B39" s="84"/>
      <c r="C39" s="116"/>
      <c r="D39" s="107"/>
      <c r="E39" s="116"/>
      <c r="F39" s="94"/>
      <c r="G39" s="108"/>
      <c r="H39" s="66"/>
      <c r="I39" s="75" t="str">
        <f t="shared" si="0"/>
        <v/>
      </c>
      <c r="J39" s="76" t="str">
        <f t="shared" si="1"/>
        <v/>
      </c>
    </row>
    <row r="40" spans="2:10" x14ac:dyDescent="0.35">
      <c r="B40" s="84"/>
      <c r="C40" s="116"/>
      <c r="D40" s="107"/>
      <c r="E40" s="116"/>
      <c r="F40" s="94"/>
      <c r="G40" s="108"/>
      <c r="H40" s="66"/>
      <c r="I40" s="75" t="str">
        <f t="shared" si="0"/>
        <v/>
      </c>
      <c r="J40" s="76" t="str">
        <f t="shared" si="1"/>
        <v/>
      </c>
    </row>
    <row r="41" spans="2:10" x14ac:dyDescent="0.35">
      <c r="B41" s="84"/>
      <c r="C41" s="116"/>
      <c r="D41" s="107"/>
      <c r="E41" s="116"/>
      <c r="F41" s="94"/>
      <c r="G41" s="108"/>
      <c r="H41" s="66"/>
      <c r="I41" s="75" t="str">
        <f t="shared" si="0"/>
        <v/>
      </c>
      <c r="J41" s="76" t="str">
        <f t="shared" si="1"/>
        <v/>
      </c>
    </row>
    <row r="42" spans="2:10" x14ac:dyDescent="0.35">
      <c r="B42" s="84"/>
      <c r="C42" s="116"/>
      <c r="D42" s="107"/>
      <c r="E42" s="116"/>
      <c r="F42" s="94"/>
      <c r="G42" s="108"/>
      <c r="H42" s="66"/>
      <c r="I42" s="75" t="str">
        <f t="shared" si="0"/>
        <v/>
      </c>
      <c r="J42" s="76" t="str">
        <f t="shared" si="1"/>
        <v/>
      </c>
    </row>
    <row r="43" spans="2:10" x14ac:dyDescent="0.35">
      <c r="B43" s="84"/>
      <c r="C43" s="116"/>
      <c r="D43" s="107"/>
      <c r="E43" s="116"/>
      <c r="F43" s="94"/>
      <c r="G43" s="108"/>
      <c r="H43" s="66"/>
      <c r="I43" s="75" t="str">
        <f t="shared" si="0"/>
        <v/>
      </c>
      <c r="J43" s="76" t="str">
        <f t="shared" si="1"/>
        <v/>
      </c>
    </row>
    <row r="44" spans="2:10" x14ac:dyDescent="0.35">
      <c r="B44" s="84"/>
      <c r="C44" s="116"/>
      <c r="D44" s="107"/>
      <c r="E44" s="116"/>
      <c r="F44" s="94"/>
      <c r="G44" s="108"/>
      <c r="H44" s="66"/>
      <c r="I44" s="75" t="str">
        <f t="shared" si="0"/>
        <v/>
      </c>
      <c r="J44" s="76" t="str">
        <f t="shared" si="1"/>
        <v/>
      </c>
    </row>
    <row r="45" spans="2:10" x14ac:dyDescent="0.35">
      <c r="B45" s="84"/>
      <c r="C45" s="116"/>
      <c r="D45" s="107"/>
      <c r="E45" s="116"/>
      <c r="F45" s="94"/>
      <c r="G45" s="108"/>
      <c r="H45" s="66"/>
      <c r="I45" s="75" t="str">
        <f t="shared" si="0"/>
        <v/>
      </c>
      <c r="J45" s="76" t="str">
        <f t="shared" si="1"/>
        <v/>
      </c>
    </row>
    <row r="46" spans="2:10" x14ac:dyDescent="0.35">
      <c r="B46" s="84"/>
      <c r="C46" s="116"/>
      <c r="D46" s="107"/>
      <c r="E46" s="116"/>
      <c r="F46" s="94"/>
      <c r="G46" s="108"/>
      <c r="H46" s="66"/>
      <c r="I46" s="75" t="str">
        <f t="shared" si="0"/>
        <v/>
      </c>
      <c r="J46" s="76" t="str">
        <f t="shared" si="1"/>
        <v/>
      </c>
    </row>
    <row r="47" spans="2:10" x14ac:dyDescent="0.35">
      <c r="B47" s="84"/>
      <c r="C47" s="116"/>
      <c r="D47" s="107"/>
      <c r="E47" s="116"/>
      <c r="F47" s="94"/>
      <c r="G47" s="108"/>
      <c r="H47" s="66"/>
      <c r="I47" s="75" t="str">
        <f t="shared" si="0"/>
        <v/>
      </c>
      <c r="J47" s="76" t="str">
        <f t="shared" si="1"/>
        <v/>
      </c>
    </row>
    <row r="48" spans="2:10" x14ac:dyDescent="0.35">
      <c r="B48" s="84"/>
      <c r="C48" s="116"/>
      <c r="D48" s="107"/>
      <c r="E48" s="116"/>
      <c r="F48" s="94"/>
      <c r="G48" s="108"/>
      <c r="H48" s="66"/>
      <c r="I48" s="75" t="str">
        <f t="shared" si="0"/>
        <v/>
      </c>
      <c r="J48" s="76" t="str">
        <f t="shared" si="1"/>
        <v/>
      </c>
    </row>
    <row r="49" spans="2:11" x14ac:dyDescent="0.35">
      <c r="B49" s="84"/>
      <c r="C49" s="116"/>
      <c r="D49" s="107"/>
      <c r="E49" s="116"/>
      <c r="F49" s="94"/>
      <c r="G49" s="108"/>
      <c r="H49" s="66"/>
      <c r="I49" s="75" t="str">
        <f t="shared" si="0"/>
        <v/>
      </c>
      <c r="J49" s="76" t="str">
        <f t="shared" si="1"/>
        <v/>
      </c>
    </row>
    <row r="50" spans="2:11" x14ac:dyDescent="0.35">
      <c r="B50" s="84"/>
      <c r="C50" s="116"/>
      <c r="D50" s="107"/>
      <c r="E50" s="116"/>
      <c r="F50" s="94"/>
      <c r="G50" s="108"/>
      <c r="H50" s="66"/>
      <c r="I50" s="75" t="str">
        <f t="shared" si="0"/>
        <v/>
      </c>
      <c r="J50" s="76" t="str">
        <f t="shared" si="1"/>
        <v/>
      </c>
    </row>
    <row r="51" spans="2:11" x14ac:dyDescent="0.35">
      <c r="B51" s="84"/>
      <c r="C51" s="116"/>
      <c r="D51" s="107"/>
      <c r="E51" s="116"/>
      <c r="F51" s="94"/>
      <c r="G51" s="108"/>
      <c r="H51" s="66"/>
      <c r="I51" s="75" t="str">
        <f t="shared" si="0"/>
        <v/>
      </c>
      <c r="J51" s="76" t="str">
        <f t="shared" si="1"/>
        <v/>
      </c>
    </row>
    <row r="52" spans="2:11" x14ac:dyDescent="0.35">
      <c r="B52" s="84"/>
      <c r="C52" s="116"/>
      <c r="D52" s="107"/>
      <c r="E52" s="116"/>
      <c r="F52" s="94"/>
      <c r="G52" s="108"/>
      <c r="H52" s="66"/>
      <c r="I52" s="75" t="str">
        <f t="shared" si="0"/>
        <v/>
      </c>
      <c r="J52" s="76" t="str">
        <f t="shared" si="1"/>
        <v/>
      </c>
    </row>
    <row r="53" spans="2:11" ht="3" customHeight="1" x14ac:dyDescent="0.35">
      <c r="B53" s="84"/>
      <c r="C53" s="107"/>
      <c r="D53" s="107"/>
      <c r="E53" s="109"/>
      <c r="F53" s="94"/>
      <c r="G53" s="108"/>
      <c r="H53" s="66"/>
      <c r="I53" s="75" t="str">
        <f t="shared" ref="I53" si="2">IF(C53="","",IF(E53&lt;C53,0,1))</f>
        <v/>
      </c>
      <c r="J53" s="76" t="str">
        <f t="shared" si="1"/>
        <v/>
      </c>
    </row>
    <row r="54" spans="2:11" ht="3" customHeight="1" x14ac:dyDescent="0.35">
      <c r="B54" s="84"/>
      <c r="C54" s="110"/>
      <c r="D54" s="110"/>
      <c r="E54" s="110"/>
      <c r="F54" s="94"/>
      <c r="G54" s="111"/>
      <c r="H54" s="63"/>
      <c r="I54" s="75"/>
      <c r="J54" s="76"/>
    </row>
    <row r="55" spans="2:11" ht="10.5" customHeight="1" x14ac:dyDescent="0.35">
      <c r="B55" s="84"/>
      <c r="C55" s="110"/>
      <c r="D55" s="110"/>
      <c r="E55" s="110"/>
      <c r="F55" s="94"/>
      <c r="G55" s="111"/>
      <c r="I55" s="75"/>
      <c r="J55" s="76"/>
    </row>
    <row r="56" spans="2:11" ht="73.5" customHeight="1" x14ac:dyDescent="0.35">
      <c r="B56" s="90"/>
      <c r="C56" s="117"/>
      <c r="D56" s="179"/>
      <c r="E56" s="179"/>
      <c r="F56" s="180"/>
      <c r="G56" s="111"/>
      <c r="H56" s="63"/>
      <c r="I56" s="75"/>
      <c r="J56" s="76"/>
      <c r="K56" s="37"/>
    </row>
    <row r="57" spans="2:11" ht="15" thickBot="1" x14ac:dyDescent="0.4">
      <c r="B57" s="112"/>
      <c r="C57" s="113"/>
      <c r="D57" s="113"/>
      <c r="E57" s="113"/>
      <c r="F57" s="114"/>
      <c r="G57" s="115"/>
      <c r="H57" s="63"/>
      <c r="I57" s="82"/>
      <c r="J57" s="83"/>
      <c r="K57" s="37"/>
    </row>
    <row r="58" spans="2:11" x14ac:dyDescent="0.35">
      <c r="B58" s="61"/>
      <c r="C58" s="62"/>
      <c r="D58" s="62"/>
      <c r="E58" s="62"/>
      <c r="F58" s="63"/>
      <c r="G58" s="63"/>
      <c r="H58" s="63"/>
      <c r="K58" s="37"/>
    </row>
    <row r="59" spans="2:11" x14ac:dyDescent="0.35">
      <c r="B59" s="61"/>
      <c r="C59" s="62"/>
      <c r="D59" s="62"/>
      <c r="E59" s="62"/>
      <c r="F59" s="63"/>
      <c r="G59" s="63"/>
      <c r="H59" s="63"/>
      <c r="K59" s="37"/>
    </row>
    <row r="60" spans="2:11" x14ac:dyDescent="0.35">
      <c r="B60" s="61"/>
      <c r="C60" s="62"/>
      <c r="D60" s="62"/>
      <c r="E60" s="62"/>
      <c r="F60" s="63"/>
      <c r="G60" s="63"/>
      <c r="H60" s="63"/>
      <c r="I60" s="68"/>
      <c r="K60" s="37"/>
    </row>
    <row r="61" spans="2:11" x14ac:dyDescent="0.35">
      <c r="B61" s="61"/>
      <c r="C61" s="62"/>
      <c r="D61" s="62"/>
      <c r="E61" s="62"/>
      <c r="F61" s="63"/>
      <c r="G61" s="63"/>
      <c r="H61" s="63"/>
    </row>
    <row r="62" spans="2:11" x14ac:dyDescent="0.35">
      <c r="B62" s="61"/>
      <c r="C62" s="62"/>
      <c r="D62" s="62"/>
      <c r="E62" s="62"/>
      <c r="F62" s="63"/>
      <c r="G62" s="63"/>
      <c r="H62" s="63"/>
    </row>
    <row r="63" spans="2:11" x14ac:dyDescent="0.35">
      <c r="B63" s="61"/>
      <c r="C63" s="62"/>
      <c r="D63" s="62"/>
      <c r="E63" s="62"/>
      <c r="F63" s="63"/>
      <c r="G63" s="63"/>
      <c r="H63" s="63"/>
    </row>
    <row r="64" spans="2:11" x14ac:dyDescent="0.35">
      <c r="B64" s="61"/>
      <c r="C64" s="62"/>
      <c r="D64" s="62"/>
      <c r="E64" s="69"/>
      <c r="F64" s="63"/>
      <c r="G64" s="63"/>
      <c r="H64" s="63"/>
    </row>
    <row r="65" spans="2:8" x14ac:dyDescent="0.35">
      <c r="B65" s="61"/>
      <c r="C65" s="62"/>
      <c r="D65" s="62"/>
      <c r="E65" s="62"/>
      <c r="F65" s="63"/>
      <c r="G65" s="63"/>
      <c r="H65" s="63"/>
    </row>
    <row r="66" spans="2:8" x14ac:dyDescent="0.35">
      <c r="B66" s="61"/>
      <c r="C66" s="62"/>
      <c r="D66" s="62"/>
      <c r="E66" s="62"/>
      <c r="F66" s="63"/>
      <c r="G66" s="63"/>
      <c r="H66" s="63"/>
    </row>
    <row r="67" spans="2:8" x14ac:dyDescent="0.35">
      <c r="B67" s="61"/>
      <c r="C67" s="62"/>
      <c r="D67" s="62"/>
      <c r="E67" s="62"/>
      <c r="F67" s="63"/>
      <c r="G67" s="63"/>
      <c r="H67" s="63"/>
    </row>
    <row r="68" spans="2:8" x14ac:dyDescent="0.35">
      <c r="B68" s="61"/>
      <c r="C68" s="62"/>
      <c r="D68" s="62"/>
      <c r="E68" s="62"/>
      <c r="F68" s="63"/>
      <c r="G68" s="63"/>
      <c r="H68" s="63"/>
    </row>
    <row r="69" spans="2:8" x14ac:dyDescent="0.35">
      <c r="B69" s="61"/>
      <c r="C69" s="62"/>
      <c r="D69" s="62"/>
      <c r="E69" s="62"/>
      <c r="F69" s="63"/>
      <c r="G69" s="63"/>
      <c r="H69" s="63"/>
    </row>
    <row r="70" spans="2:8" x14ac:dyDescent="0.35">
      <c r="B70" s="61"/>
      <c r="C70" s="62"/>
      <c r="D70" s="62"/>
      <c r="E70" s="62"/>
      <c r="F70" s="63"/>
      <c r="G70" s="63"/>
      <c r="H70" s="63"/>
    </row>
    <row r="71" spans="2:8" x14ac:dyDescent="0.35">
      <c r="B71" s="61"/>
      <c r="C71" s="62"/>
      <c r="D71" s="62"/>
      <c r="E71" s="62"/>
      <c r="F71" s="63"/>
      <c r="G71" s="63"/>
      <c r="H71" s="63"/>
    </row>
    <row r="72" spans="2:8" x14ac:dyDescent="0.35">
      <c r="B72" s="61"/>
      <c r="C72" s="62"/>
      <c r="D72" s="62"/>
      <c r="E72" s="62"/>
      <c r="F72" s="63"/>
      <c r="G72" s="63"/>
      <c r="H72" s="63"/>
    </row>
    <row r="73" spans="2:8" x14ac:dyDescent="0.35">
      <c r="B73" s="61"/>
      <c r="C73" s="62"/>
      <c r="D73" s="62"/>
      <c r="E73" s="62"/>
      <c r="F73" s="63"/>
      <c r="G73" s="63"/>
      <c r="H73" s="63"/>
    </row>
    <row r="74" spans="2:8" x14ac:dyDescent="0.35">
      <c r="B74" s="61"/>
      <c r="C74" s="62"/>
      <c r="D74" s="62"/>
      <c r="E74" s="62"/>
      <c r="F74" s="63"/>
      <c r="G74" s="63"/>
      <c r="H74" s="63"/>
    </row>
    <row r="75" spans="2:8" x14ac:dyDescent="0.35">
      <c r="B75" s="61"/>
      <c r="C75" s="62"/>
      <c r="D75" s="62"/>
      <c r="E75" s="62"/>
      <c r="F75" s="63"/>
      <c r="G75" s="63"/>
      <c r="H75" s="63"/>
    </row>
    <row r="76" spans="2:8" x14ac:dyDescent="0.35">
      <c r="B76" s="61"/>
      <c r="C76" s="62"/>
      <c r="D76" s="62"/>
      <c r="E76" s="62"/>
      <c r="F76" s="63"/>
      <c r="G76" s="63"/>
      <c r="H76" s="63"/>
    </row>
    <row r="77" spans="2:8" x14ac:dyDescent="0.35">
      <c r="B77" s="61"/>
      <c r="C77" s="62"/>
      <c r="D77" s="62"/>
      <c r="E77" s="62"/>
      <c r="F77" s="63"/>
      <c r="G77" s="63"/>
      <c r="H77" s="63"/>
    </row>
    <row r="78" spans="2:8" x14ac:dyDescent="0.35">
      <c r="B78" s="61"/>
      <c r="C78" s="62"/>
      <c r="D78" s="62"/>
      <c r="E78" s="62"/>
      <c r="F78" s="63"/>
      <c r="G78" s="63"/>
      <c r="H78" s="63"/>
    </row>
    <row r="79" spans="2:8" x14ac:dyDescent="0.35">
      <c r="B79" s="61"/>
      <c r="C79" s="62"/>
      <c r="D79" s="62"/>
      <c r="E79" s="62"/>
      <c r="F79" s="63"/>
      <c r="G79" s="63"/>
      <c r="H79" s="63"/>
    </row>
    <row r="80" spans="2:8" x14ac:dyDescent="0.35">
      <c r="B80" s="61"/>
      <c r="C80" s="62"/>
      <c r="D80" s="62"/>
      <c r="E80" s="62"/>
      <c r="F80" s="63"/>
      <c r="G80" s="63"/>
      <c r="H80" s="63"/>
    </row>
    <row r="81" spans="2:8" x14ac:dyDescent="0.35">
      <c r="B81" s="61"/>
      <c r="C81" s="62"/>
      <c r="D81" s="62"/>
      <c r="E81" s="62"/>
      <c r="F81" s="63"/>
      <c r="G81" s="63"/>
      <c r="H81" s="63"/>
    </row>
    <row r="82" spans="2:8" x14ac:dyDescent="0.35">
      <c r="B82" s="61"/>
      <c r="C82" s="62"/>
      <c r="D82" s="62"/>
      <c r="E82" s="62"/>
      <c r="F82" s="63"/>
      <c r="G82" s="63"/>
      <c r="H82" s="63"/>
    </row>
    <row r="83" spans="2:8" x14ac:dyDescent="0.35">
      <c r="B83" s="61"/>
      <c r="C83" s="62"/>
      <c r="D83" s="62"/>
      <c r="E83" s="62"/>
      <c r="F83" s="63"/>
      <c r="G83" s="63"/>
      <c r="H83" s="63"/>
    </row>
    <row r="84" spans="2:8" x14ac:dyDescent="0.35">
      <c r="B84" s="61"/>
      <c r="C84" s="62"/>
      <c r="D84" s="62"/>
      <c r="E84" s="62"/>
      <c r="F84" s="63"/>
      <c r="G84" s="63"/>
      <c r="H84" s="63"/>
    </row>
    <row r="85" spans="2:8" x14ac:dyDescent="0.35">
      <c r="B85" s="61"/>
      <c r="C85" s="62"/>
      <c r="D85" s="62"/>
      <c r="E85" s="62"/>
      <c r="F85" s="63"/>
      <c r="G85" s="63"/>
      <c r="H85" s="63"/>
    </row>
    <row r="86" spans="2:8" x14ac:dyDescent="0.35">
      <c r="B86" s="61"/>
      <c r="C86" s="62"/>
      <c r="D86" s="62"/>
      <c r="E86" s="62"/>
      <c r="F86" s="63"/>
      <c r="G86" s="63"/>
      <c r="H86" s="63"/>
    </row>
    <row r="87" spans="2:8" x14ac:dyDescent="0.35">
      <c r="B87" s="61"/>
      <c r="C87" s="62"/>
      <c r="D87" s="62"/>
      <c r="E87" s="62"/>
      <c r="F87" s="63"/>
      <c r="G87" s="63"/>
      <c r="H87" s="63"/>
    </row>
    <row r="88" spans="2:8" x14ac:dyDescent="0.35">
      <c r="B88" s="61"/>
      <c r="C88" s="62"/>
      <c r="D88" s="62"/>
      <c r="E88" s="62"/>
      <c r="F88" s="63"/>
      <c r="G88" s="63"/>
      <c r="H88" s="63"/>
    </row>
    <row r="89" spans="2:8" x14ac:dyDescent="0.35">
      <c r="B89" s="61"/>
      <c r="C89" s="62"/>
      <c r="D89" s="62"/>
      <c r="E89" s="62"/>
      <c r="F89" s="63"/>
      <c r="G89" s="63"/>
      <c r="H89" s="63"/>
    </row>
    <row r="90" spans="2:8" x14ac:dyDescent="0.35">
      <c r="B90" s="61"/>
      <c r="C90" s="62"/>
      <c r="D90" s="62"/>
      <c r="E90" s="62"/>
      <c r="F90" s="63"/>
      <c r="G90" s="63"/>
      <c r="H90" s="63"/>
    </row>
    <row r="91" spans="2:8" x14ac:dyDescent="0.35">
      <c r="B91" s="61"/>
      <c r="C91" s="62"/>
      <c r="D91" s="62"/>
      <c r="E91" s="62"/>
      <c r="F91" s="63"/>
      <c r="G91" s="63"/>
      <c r="H91" s="63"/>
    </row>
    <row r="92" spans="2:8" x14ac:dyDescent="0.35">
      <c r="B92" s="61"/>
      <c r="C92" s="62"/>
      <c r="D92" s="62"/>
      <c r="E92" s="62"/>
      <c r="F92" s="63"/>
      <c r="G92" s="63"/>
      <c r="H92" s="63"/>
    </row>
    <row r="93" spans="2:8" x14ac:dyDescent="0.35">
      <c r="B93" s="61"/>
      <c r="C93" s="62"/>
      <c r="D93" s="62"/>
      <c r="E93" s="62"/>
      <c r="F93" s="63"/>
      <c r="G93" s="63"/>
      <c r="H93" s="63"/>
    </row>
    <row r="94" spans="2:8" x14ac:dyDescent="0.35">
      <c r="B94" s="61"/>
      <c r="C94" s="62"/>
      <c r="D94" s="62"/>
      <c r="E94" s="62"/>
      <c r="F94" s="63"/>
      <c r="G94" s="63"/>
      <c r="H94" s="63"/>
    </row>
    <row r="95" spans="2:8" x14ac:dyDescent="0.35">
      <c r="B95" s="61"/>
      <c r="C95" s="62"/>
      <c r="D95" s="62"/>
      <c r="E95" s="62"/>
      <c r="F95" s="63"/>
      <c r="G95" s="63"/>
      <c r="H95" s="63"/>
    </row>
    <row r="96" spans="2:8" x14ac:dyDescent="0.35">
      <c r="B96" s="61"/>
      <c r="C96" s="62"/>
      <c r="D96" s="62"/>
      <c r="E96" s="62"/>
      <c r="F96" s="63"/>
      <c r="G96" s="63"/>
      <c r="H96" s="63"/>
    </row>
    <row r="97" spans="2:8" x14ac:dyDescent="0.35">
      <c r="B97" s="61"/>
      <c r="C97" s="62"/>
      <c r="D97" s="62"/>
      <c r="E97" s="62"/>
      <c r="F97" s="63"/>
      <c r="G97" s="63"/>
      <c r="H97" s="63"/>
    </row>
    <row r="98" spans="2:8" x14ac:dyDescent="0.35">
      <c r="B98" s="61"/>
      <c r="C98" s="62"/>
      <c r="D98" s="62"/>
      <c r="E98" s="62"/>
      <c r="F98" s="63"/>
      <c r="G98" s="63"/>
      <c r="H98" s="63"/>
    </row>
    <row r="99" spans="2:8" x14ac:dyDescent="0.35">
      <c r="B99" s="61"/>
      <c r="C99" s="62"/>
      <c r="D99" s="62"/>
      <c r="E99" s="62"/>
      <c r="F99" s="63"/>
      <c r="G99" s="63"/>
      <c r="H99" s="63"/>
    </row>
    <row r="100" spans="2:8" x14ac:dyDescent="0.35">
      <c r="B100" s="61"/>
      <c r="C100" s="62"/>
      <c r="D100" s="62"/>
      <c r="E100" s="62"/>
      <c r="F100" s="63"/>
      <c r="G100" s="63"/>
      <c r="H100" s="63"/>
    </row>
    <row r="101" spans="2:8" x14ac:dyDescent="0.35">
      <c r="B101" s="61"/>
      <c r="C101" s="62"/>
      <c r="D101" s="62"/>
      <c r="E101" s="62"/>
      <c r="F101" s="63"/>
      <c r="G101" s="63"/>
      <c r="H101" s="63"/>
    </row>
    <row r="102" spans="2:8" x14ac:dyDescent="0.35">
      <c r="B102" s="61"/>
      <c r="C102" s="62"/>
      <c r="D102" s="62"/>
      <c r="E102" s="62"/>
      <c r="F102" s="63"/>
      <c r="G102" s="63"/>
      <c r="H102" s="63"/>
    </row>
    <row r="103" spans="2:8" x14ac:dyDescent="0.35">
      <c r="B103" s="61"/>
      <c r="C103" s="62"/>
      <c r="D103" s="62"/>
      <c r="E103" s="62"/>
      <c r="F103" s="63"/>
      <c r="G103" s="63"/>
      <c r="H103" s="63"/>
    </row>
    <row r="104" spans="2:8" x14ac:dyDescent="0.35">
      <c r="B104" s="61"/>
      <c r="C104" s="62"/>
      <c r="D104" s="62"/>
      <c r="E104" s="62"/>
      <c r="F104" s="63"/>
      <c r="G104" s="63"/>
      <c r="H104" s="63"/>
    </row>
    <row r="105" spans="2:8" x14ac:dyDescent="0.35">
      <c r="B105" s="61"/>
      <c r="C105" s="62"/>
      <c r="D105" s="62"/>
      <c r="E105" s="62"/>
      <c r="F105" s="63"/>
      <c r="G105" s="63"/>
      <c r="H105" s="63"/>
    </row>
    <row r="106" spans="2:8" x14ac:dyDescent="0.35">
      <c r="B106" s="61"/>
      <c r="C106" s="62"/>
      <c r="D106" s="62"/>
      <c r="E106" s="62"/>
      <c r="F106" s="63"/>
      <c r="G106" s="63"/>
      <c r="H106" s="63"/>
    </row>
    <row r="107" spans="2:8" x14ac:dyDescent="0.35">
      <c r="B107" s="61"/>
      <c r="C107" s="62"/>
      <c r="D107" s="62"/>
      <c r="E107" s="62"/>
      <c r="F107" s="63"/>
      <c r="G107" s="63"/>
      <c r="H107" s="63"/>
    </row>
  </sheetData>
  <mergeCells count="18">
    <mergeCell ref="D56:F56"/>
    <mergeCell ref="B32:G32"/>
    <mergeCell ref="E26:F26"/>
    <mergeCell ref="E24:F24"/>
    <mergeCell ref="E22:F22"/>
    <mergeCell ref="E28:F28"/>
    <mergeCell ref="E14:F14"/>
    <mergeCell ref="E18:F18"/>
    <mergeCell ref="E16:F16"/>
    <mergeCell ref="E30:F30"/>
    <mergeCell ref="I1:J1"/>
    <mergeCell ref="B2:G2"/>
    <mergeCell ref="E20:F20"/>
    <mergeCell ref="C3:F4"/>
    <mergeCell ref="E6:F6"/>
    <mergeCell ref="E8:F8"/>
    <mergeCell ref="E10:F10"/>
    <mergeCell ref="E12:F12"/>
  </mergeCells>
  <conditionalFormatting sqref="E6:F6">
    <cfRule type="expression" dxfId="27" priority="24">
      <formula>$E$6="Aperture Incident"</formula>
    </cfRule>
    <cfRule type="expression" dxfId="26" priority="25">
      <formula>$E$6="Update Incident"</formula>
    </cfRule>
    <cfRule type="expression" dxfId="25" priority="26">
      <formula>$E$6="Closure Incident"</formula>
    </cfRule>
  </conditionalFormatting>
  <conditionalFormatting sqref="E8:F8">
    <cfRule type="expression" dxfId="24" priority="17">
      <formula>LEN($E$8)&lt;&gt;12</formula>
    </cfRule>
  </conditionalFormatting>
  <conditionalFormatting sqref="E10:F10">
    <cfRule type="expression" dxfId="23" priority="16">
      <formula>LEN($E$10)&lt;1</formula>
    </cfRule>
  </conditionalFormatting>
  <conditionalFormatting sqref="E14:F14">
    <cfRule type="expression" dxfId="22" priority="15">
      <formula>$E$14="No encontrado. Completar"</formula>
    </cfRule>
  </conditionalFormatting>
  <conditionalFormatting sqref="E16:F16">
    <cfRule type="expression" dxfId="21" priority="9">
      <formula>$E$16=""</formula>
    </cfRule>
  </conditionalFormatting>
  <conditionalFormatting sqref="E18:F18">
    <cfRule type="expression" dxfId="20" priority="10">
      <formula>$E$18=""</formula>
    </cfRule>
  </conditionalFormatting>
  <conditionalFormatting sqref="E20:F20">
    <cfRule type="expression" dxfId="19" priority="13">
      <formula>$E$20=""</formula>
    </cfRule>
  </conditionalFormatting>
  <conditionalFormatting sqref="E22:F22">
    <cfRule type="expression" dxfId="18" priority="12">
      <formula>$E$22=""</formula>
    </cfRule>
  </conditionalFormatting>
  <conditionalFormatting sqref="I33:I1048576 I1:I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4:F24">
    <cfRule type="expression" dxfId="17" priority="3">
      <formula>$E$24=""</formula>
    </cfRule>
  </conditionalFormatting>
  <conditionalFormatting sqref="E12:F12">
    <cfRule type="expression" dxfId="16" priority="2">
      <formula>$I$12=1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34682B21-9B80-40BF-BC4F-3DACDEC1CDC7}">
          <x14:formula1>
            <xm:f>Listas!$A$2:$A$3</xm:f>
          </x14:formula1>
          <xm:sqref>H18:H19 E18:F18</xm:sqref>
        </x14:dataValidation>
        <x14:dataValidation type="list" allowBlank="1" showInputMessage="1" showErrorMessage="1" xr:uid="{C8703923-EEDA-4270-9463-1FE52F773CCD}">
          <x14:formula1>
            <xm:f>Listas!$I$2:$I$4</xm:f>
          </x14:formula1>
          <xm:sqref>E6 H6</xm:sqref>
        </x14:dataValidation>
        <x14:dataValidation type="list" allowBlank="1" xr:uid="{F4B5DBC8-46E8-40E0-8A38-DCDD35EA67BD}">
          <x14:formula1>
            <xm:f>Listas!$B$2:$B$10</xm:f>
          </x14:formula1>
          <xm:sqref>E16:F16</xm:sqref>
        </x14:dataValidation>
        <x14:dataValidation type="list" allowBlank="1" showInputMessage="1" showErrorMessage="1" xr:uid="{D76884ED-9454-41E6-8818-D9B725C87DA8}">
          <x14:formula1>
            <xm:f>Listas!$G$2:$G$4</xm:f>
          </x14:formula1>
          <xm:sqref>E30:F30</xm:sqref>
        </x14:dataValidation>
        <x14:dataValidation type="list" allowBlank="1" showInputMessage="1" showErrorMessage="1" xr:uid="{5961279B-4BED-4A83-AAD5-2A442F6E8AF2}">
          <x14:formula1>
            <xm:f>Listas!$C$2:$C$5</xm:f>
          </x14:formula1>
          <xm:sqref>H24:H25</xm:sqref>
        </x14:dataValidation>
        <x14:dataValidation type="list" allowBlank="1" showInputMessage="1" showErrorMessage="1" xr:uid="{A1DB02B9-409F-434A-9731-870B01283477}">
          <x14:formula1>
            <xm:f>Listas!$C$2:$C$7</xm:f>
          </x14:formula1>
          <xm:sqref>E24:F24</xm:sqref>
        </x14:dataValidation>
        <x14:dataValidation type="list" allowBlank="1" showInputMessage="1" showErrorMessage="1" xr:uid="{8314F936-76B4-4105-A884-5B0276A36526}">
          <x14:formula1>
            <xm:f>Listas!$F$3:$F$4</xm:f>
          </x14:formula1>
          <xm:sqref>H22:H23</xm:sqref>
        </x14:dataValidation>
        <x14:dataValidation type="list" allowBlank="1" showInputMessage="1" showErrorMessage="1" xr:uid="{F6A1D53B-063E-4AEE-B633-0182AD4FA591}">
          <x14:formula1>
            <xm:f>Listas!$F$2:$F$5</xm:f>
          </x14:formula1>
          <xm:sqref>E22:F22</xm:sqref>
        </x14:dataValidation>
        <x14:dataValidation type="list" allowBlank="1" xr:uid="{089E6924-EB65-454F-8375-0E85D8DF23B1}">
          <x14:formula1>
            <xm:f>Listas!$H$2:$H$38</xm:f>
          </x14:formula1>
          <xm:sqref>E20:F20</xm:sqref>
        </x14:dataValidation>
        <x14:dataValidation type="list" allowBlank="1" showInputMessage="1" showErrorMessage="1" xr:uid="{BC87CDC6-B892-4541-B995-36EEB1F6B092}">
          <x14:formula1>
            <xm:f>BBDD!$A$2:$A$384</xm:f>
          </x14:formula1>
          <xm:sqref>E10:F10</xm:sqref>
        </x14:dataValidation>
        <x14:dataValidation type="list" allowBlank="1" showInputMessage="1" xr:uid="{26C458B9-ABFC-4C76-97CC-F3397F1F282F}">
          <x14:formula1>
            <xm:f>BBDD!$F$2:$F$37</xm:f>
          </x14:formula1>
          <xm:sqref>E12:F12</xm:sqref>
        </x14:dataValidation>
        <x14:dataValidation type="list" allowBlank="1" showInputMessage="1" showErrorMessage="1" xr:uid="{DD2A1F3B-9C3F-4E85-BA9C-0CA8661C7ADB}">
          <x14:formula1>
            <xm:f>BBDD!$A:$A</xm:f>
          </x14:formula1>
          <xm:sqref>H10:H13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09E9A-CB7A-4F0F-BC90-605086AF3A1A}">
  <sheetPr codeName="Hoja3"/>
  <dimension ref="A1:G342"/>
  <sheetViews>
    <sheetView zoomScaleNormal="100" workbookViewId="0">
      <pane ySplit="1" topLeftCell="A2" activePane="bottomLeft" state="frozen"/>
      <selection pane="bottomLeft" activeCell="G26" sqref="G26"/>
    </sheetView>
  </sheetViews>
  <sheetFormatPr baseColWidth="10" defaultColWidth="11.453125" defaultRowHeight="18" customHeight="1" x14ac:dyDescent="0.35"/>
  <cols>
    <col min="1" max="1" width="36.453125" style="56" bestFit="1" customWidth="1"/>
    <col min="2" max="2" width="17.54296875" style="56" bestFit="1" customWidth="1"/>
    <col min="3" max="3" width="50.453125" style="56" bestFit="1" customWidth="1"/>
    <col min="4" max="4" width="14.1796875" style="55" bestFit="1" customWidth="1"/>
    <col min="5" max="5" width="11.453125" style="56"/>
    <col min="6" max="6" width="16.453125" style="56" customWidth="1"/>
    <col min="7" max="7" width="17.453125" style="56" bestFit="1" customWidth="1"/>
    <col min="8" max="16384" width="11.453125" style="56"/>
  </cols>
  <sheetData>
    <row r="1" spans="1:7" ht="18" customHeight="1" x14ac:dyDescent="0.35">
      <c r="A1" s="58" t="s">
        <v>54</v>
      </c>
      <c r="B1" s="58" t="s">
        <v>55</v>
      </c>
      <c r="C1" s="58" t="s">
        <v>56</v>
      </c>
      <c r="F1" s="60" t="s">
        <v>57</v>
      </c>
      <c r="G1" s="58" t="s">
        <v>58</v>
      </c>
    </row>
    <row r="2" spans="1:7" ht="18" customHeight="1" x14ac:dyDescent="0.35">
      <c r="A2" s="56" t="s">
        <v>59</v>
      </c>
      <c r="B2" s="56" t="s">
        <v>60</v>
      </c>
      <c r="C2" s="56" t="s">
        <v>61</v>
      </c>
      <c r="F2" s="59" t="s">
        <v>62</v>
      </c>
      <c r="G2" s="55" t="s">
        <v>63</v>
      </c>
    </row>
    <row r="3" spans="1:7" ht="18" customHeight="1" x14ac:dyDescent="0.35">
      <c r="A3" s="56" t="s">
        <v>64</v>
      </c>
      <c r="B3" s="56" t="s">
        <v>60</v>
      </c>
      <c r="C3" s="56" t="s">
        <v>61</v>
      </c>
      <c r="F3" s="59" t="s">
        <v>65</v>
      </c>
      <c r="G3" s="59" t="s">
        <v>66</v>
      </c>
    </row>
    <row r="4" spans="1:7" ht="18" customHeight="1" x14ac:dyDescent="0.35">
      <c r="A4" s="56" t="s">
        <v>67</v>
      </c>
      <c r="B4" s="56" t="s">
        <v>60</v>
      </c>
      <c r="C4" s="56" t="s">
        <v>68</v>
      </c>
      <c r="F4" s="59" t="s">
        <v>69</v>
      </c>
      <c r="G4" s="59" t="s">
        <v>70</v>
      </c>
    </row>
    <row r="5" spans="1:7" ht="18" customHeight="1" x14ac:dyDescent="0.35">
      <c r="A5" s="56" t="s">
        <v>71</v>
      </c>
      <c r="B5" s="56" t="s">
        <v>60</v>
      </c>
      <c r="C5" s="56" t="s">
        <v>68</v>
      </c>
      <c r="F5" s="59" t="s">
        <v>72</v>
      </c>
      <c r="G5" s="59" t="s">
        <v>73</v>
      </c>
    </row>
    <row r="6" spans="1:7" ht="18" customHeight="1" x14ac:dyDescent="0.35">
      <c r="A6" s="56" t="s">
        <v>74</v>
      </c>
      <c r="B6" s="56" t="s">
        <v>60</v>
      </c>
      <c r="C6" s="56" t="s">
        <v>75</v>
      </c>
      <c r="F6" s="59" t="s">
        <v>76</v>
      </c>
      <c r="G6" s="59" t="s">
        <v>77</v>
      </c>
    </row>
    <row r="7" spans="1:7" ht="18" customHeight="1" x14ac:dyDescent="0.35">
      <c r="A7" s="56" t="s">
        <v>78</v>
      </c>
      <c r="B7" s="56" t="s">
        <v>60</v>
      </c>
      <c r="C7" s="56" t="s">
        <v>75</v>
      </c>
      <c r="F7" s="59" t="s">
        <v>79</v>
      </c>
      <c r="G7" s="59" t="s">
        <v>80</v>
      </c>
    </row>
    <row r="8" spans="1:7" ht="18" customHeight="1" x14ac:dyDescent="0.35">
      <c r="A8" s="56" t="s">
        <v>81</v>
      </c>
      <c r="B8" s="56" t="s">
        <v>60</v>
      </c>
      <c r="C8" s="56" t="s">
        <v>82</v>
      </c>
      <c r="F8" s="56" t="s">
        <v>83</v>
      </c>
      <c r="G8" s="59" t="s">
        <v>84</v>
      </c>
    </row>
    <row r="9" spans="1:7" ht="18" customHeight="1" x14ac:dyDescent="0.35">
      <c r="A9" s="56" t="s">
        <v>85</v>
      </c>
      <c r="B9" s="56" t="s">
        <v>60</v>
      </c>
      <c r="C9" s="56" t="s">
        <v>82</v>
      </c>
      <c r="F9" s="56" t="s">
        <v>86</v>
      </c>
      <c r="G9" s="59" t="s">
        <v>87</v>
      </c>
    </row>
    <row r="10" spans="1:7" ht="18" customHeight="1" x14ac:dyDescent="0.35">
      <c r="A10" s="56" t="s">
        <v>88</v>
      </c>
      <c r="B10" s="56" t="s">
        <v>60</v>
      </c>
      <c r="C10" s="56" t="s">
        <v>89</v>
      </c>
      <c r="F10" s="56" t="s">
        <v>90</v>
      </c>
      <c r="G10" s="59" t="s">
        <v>91</v>
      </c>
    </row>
    <row r="11" spans="1:7" ht="18" customHeight="1" x14ac:dyDescent="0.35">
      <c r="A11" s="56" t="s">
        <v>92</v>
      </c>
      <c r="B11" s="56" t="s">
        <v>60</v>
      </c>
      <c r="C11" s="56" t="s">
        <v>89</v>
      </c>
      <c r="F11" s="56" t="s">
        <v>93</v>
      </c>
      <c r="G11" s="59" t="s">
        <v>94</v>
      </c>
    </row>
    <row r="12" spans="1:7" ht="18" customHeight="1" x14ac:dyDescent="0.35">
      <c r="A12" s="56" t="s">
        <v>95</v>
      </c>
      <c r="B12" s="56" t="s">
        <v>60</v>
      </c>
      <c r="C12" s="56" t="s">
        <v>96</v>
      </c>
      <c r="F12" s="56" t="s">
        <v>97</v>
      </c>
      <c r="G12" s="59" t="s">
        <v>98</v>
      </c>
    </row>
    <row r="13" spans="1:7" ht="18" customHeight="1" x14ac:dyDescent="0.35">
      <c r="A13" s="56" t="s">
        <v>99</v>
      </c>
      <c r="B13" s="56" t="s">
        <v>60</v>
      </c>
      <c r="C13" s="56" t="s">
        <v>96</v>
      </c>
      <c r="F13" s="56" t="s">
        <v>100</v>
      </c>
      <c r="G13" s="59" t="s">
        <v>101</v>
      </c>
    </row>
    <row r="14" spans="1:7" ht="18" customHeight="1" x14ac:dyDescent="0.35">
      <c r="A14" s="56" t="s">
        <v>102</v>
      </c>
      <c r="B14" s="56" t="s">
        <v>60</v>
      </c>
      <c r="C14" s="56" t="s">
        <v>103</v>
      </c>
      <c r="F14" s="56" t="s">
        <v>104</v>
      </c>
      <c r="G14" s="59" t="s">
        <v>105</v>
      </c>
    </row>
    <row r="15" spans="1:7" ht="18" customHeight="1" x14ac:dyDescent="0.35">
      <c r="A15" s="56" t="s">
        <v>106</v>
      </c>
      <c r="B15" s="56" t="s">
        <v>60</v>
      </c>
      <c r="C15" s="56" t="s">
        <v>103</v>
      </c>
      <c r="F15" s="56" t="s">
        <v>107</v>
      </c>
      <c r="G15" s="59" t="s">
        <v>108</v>
      </c>
    </row>
    <row r="16" spans="1:7" ht="18" customHeight="1" x14ac:dyDescent="0.35">
      <c r="A16" s="56" t="s">
        <v>109</v>
      </c>
      <c r="B16" s="56" t="s">
        <v>60</v>
      </c>
      <c r="C16" s="56" t="s">
        <v>110</v>
      </c>
      <c r="F16" s="56" t="s">
        <v>111</v>
      </c>
      <c r="G16" s="59" t="s">
        <v>112</v>
      </c>
    </row>
    <row r="17" spans="1:7" ht="18" customHeight="1" x14ac:dyDescent="0.35">
      <c r="A17" s="56" t="s">
        <v>113</v>
      </c>
      <c r="B17" s="56" t="s">
        <v>60</v>
      </c>
      <c r="C17" s="56" t="s">
        <v>110</v>
      </c>
      <c r="F17" s="56" t="s">
        <v>35</v>
      </c>
      <c r="G17" s="59" t="s">
        <v>114</v>
      </c>
    </row>
    <row r="18" spans="1:7" ht="18" customHeight="1" x14ac:dyDescent="0.35">
      <c r="A18" s="56" t="s">
        <v>115</v>
      </c>
      <c r="B18" s="56" t="s">
        <v>60</v>
      </c>
      <c r="C18" s="56" t="s">
        <v>116</v>
      </c>
      <c r="F18" s="56" t="s">
        <v>117</v>
      </c>
      <c r="G18" s="59" t="s">
        <v>118</v>
      </c>
    </row>
    <row r="19" spans="1:7" ht="18" customHeight="1" x14ac:dyDescent="0.35">
      <c r="A19" s="56" t="s">
        <v>119</v>
      </c>
      <c r="B19" s="56" t="s">
        <v>60</v>
      </c>
      <c r="C19" s="56" t="s">
        <v>116</v>
      </c>
      <c r="F19" s="56" t="s">
        <v>120</v>
      </c>
      <c r="G19" s="59" t="s">
        <v>121</v>
      </c>
    </row>
    <row r="20" spans="1:7" ht="18" customHeight="1" x14ac:dyDescent="0.35">
      <c r="A20" s="56" t="s">
        <v>122</v>
      </c>
      <c r="B20" s="56" t="s">
        <v>60</v>
      </c>
      <c r="C20" s="56" t="s">
        <v>38</v>
      </c>
      <c r="F20" s="56" t="s">
        <v>123</v>
      </c>
      <c r="G20" s="59" t="s">
        <v>124</v>
      </c>
    </row>
    <row r="21" spans="1:7" ht="18" customHeight="1" x14ac:dyDescent="0.35">
      <c r="A21" s="56" t="s">
        <v>33</v>
      </c>
      <c r="B21" s="56" t="s">
        <v>60</v>
      </c>
      <c r="C21" s="56" t="s">
        <v>38</v>
      </c>
      <c r="F21" s="56" t="s">
        <v>125</v>
      </c>
      <c r="G21" s="59" t="s">
        <v>126</v>
      </c>
    </row>
    <row r="22" spans="1:7" ht="18" customHeight="1" x14ac:dyDescent="0.35">
      <c r="A22" s="56" t="s">
        <v>127</v>
      </c>
      <c r="B22" s="56" t="s">
        <v>60</v>
      </c>
      <c r="C22" s="56" t="s">
        <v>128</v>
      </c>
      <c r="F22" s="135" t="s">
        <v>129</v>
      </c>
      <c r="G22" s="59" t="s">
        <v>130</v>
      </c>
    </row>
    <row r="23" spans="1:7" ht="18" customHeight="1" x14ac:dyDescent="0.35">
      <c r="A23" s="56" t="s">
        <v>131</v>
      </c>
      <c r="B23" s="56" t="s">
        <v>60</v>
      </c>
      <c r="C23" s="56" t="s">
        <v>128</v>
      </c>
      <c r="F23" s="59" t="s">
        <v>132</v>
      </c>
      <c r="G23" s="56" t="s">
        <v>133</v>
      </c>
    </row>
    <row r="24" spans="1:7" ht="18" customHeight="1" x14ac:dyDescent="0.35">
      <c r="A24" s="56" t="s">
        <v>134</v>
      </c>
      <c r="B24" s="56" t="s">
        <v>60</v>
      </c>
      <c r="C24" s="56" t="s">
        <v>135</v>
      </c>
    </row>
    <row r="25" spans="1:7" ht="18" customHeight="1" x14ac:dyDescent="0.35">
      <c r="A25" s="56" t="s">
        <v>136</v>
      </c>
      <c r="B25" s="56" t="s">
        <v>60</v>
      </c>
      <c r="C25" s="56" t="s">
        <v>135</v>
      </c>
      <c r="G25" s="59"/>
    </row>
    <row r="26" spans="1:7" ht="18" customHeight="1" x14ac:dyDescent="0.35">
      <c r="A26" s="56" t="s">
        <v>137</v>
      </c>
      <c r="B26" s="56" t="s">
        <v>60</v>
      </c>
      <c r="C26" s="56" t="s">
        <v>138</v>
      </c>
    </row>
    <row r="27" spans="1:7" ht="18" customHeight="1" x14ac:dyDescent="0.35">
      <c r="A27" s="56" t="s">
        <v>139</v>
      </c>
      <c r="B27" s="56" t="s">
        <v>60</v>
      </c>
      <c r="C27" s="56" t="s">
        <v>138</v>
      </c>
    </row>
    <row r="28" spans="1:7" ht="18" customHeight="1" x14ac:dyDescent="0.35">
      <c r="A28" s="56" t="s">
        <v>140</v>
      </c>
      <c r="B28" s="56" t="s">
        <v>60</v>
      </c>
      <c r="C28" s="56" t="s">
        <v>141</v>
      </c>
    </row>
    <row r="29" spans="1:7" ht="18" customHeight="1" x14ac:dyDescent="0.35">
      <c r="A29" s="56" t="s">
        <v>142</v>
      </c>
      <c r="B29" s="56" t="s">
        <v>60</v>
      </c>
      <c r="C29" s="56" t="s">
        <v>141</v>
      </c>
    </row>
    <row r="30" spans="1:7" ht="18" customHeight="1" x14ac:dyDescent="0.35">
      <c r="A30" s="56" t="s">
        <v>143</v>
      </c>
      <c r="B30" s="56" t="s">
        <v>60</v>
      </c>
      <c r="C30" s="56" t="s">
        <v>144</v>
      </c>
    </row>
    <row r="31" spans="1:7" ht="18" customHeight="1" x14ac:dyDescent="0.35">
      <c r="A31" s="56" t="s">
        <v>145</v>
      </c>
      <c r="B31" s="56" t="s">
        <v>60</v>
      </c>
      <c r="C31" s="56" t="s">
        <v>144</v>
      </c>
    </row>
    <row r="32" spans="1:7" ht="18" customHeight="1" x14ac:dyDescent="0.35">
      <c r="A32" s="56" t="s">
        <v>146</v>
      </c>
      <c r="B32" s="56" t="s">
        <v>147</v>
      </c>
      <c r="C32" s="56" t="s">
        <v>148</v>
      </c>
    </row>
    <row r="33" spans="1:3" ht="18" customHeight="1" x14ac:dyDescent="0.35">
      <c r="A33" s="56" t="s">
        <v>149</v>
      </c>
      <c r="B33" s="56" t="s">
        <v>147</v>
      </c>
      <c r="C33" s="56" t="s">
        <v>148</v>
      </c>
    </row>
    <row r="34" spans="1:3" ht="18" customHeight="1" x14ac:dyDescent="0.35">
      <c r="A34" s="56" t="s">
        <v>150</v>
      </c>
      <c r="B34" s="56" t="s">
        <v>147</v>
      </c>
      <c r="C34" s="56" t="s">
        <v>148</v>
      </c>
    </row>
    <row r="35" spans="1:3" ht="18" customHeight="1" x14ac:dyDescent="0.35">
      <c r="A35" s="56" t="s">
        <v>151</v>
      </c>
      <c r="B35" s="56" t="s">
        <v>147</v>
      </c>
      <c r="C35" s="56" t="s">
        <v>148</v>
      </c>
    </row>
    <row r="36" spans="1:3" ht="18" customHeight="1" x14ac:dyDescent="0.35">
      <c r="A36" s="56" t="s">
        <v>152</v>
      </c>
      <c r="B36" s="56" t="s">
        <v>147</v>
      </c>
      <c r="C36" s="56" t="s">
        <v>148</v>
      </c>
    </row>
    <row r="37" spans="1:3" ht="18" customHeight="1" x14ac:dyDescent="0.35">
      <c r="A37" s="56" t="s">
        <v>153</v>
      </c>
      <c r="B37" s="56" t="s">
        <v>147</v>
      </c>
      <c r="C37" s="56" t="s">
        <v>148</v>
      </c>
    </row>
    <row r="38" spans="1:3" ht="18" customHeight="1" x14ac:dyDescent="0.35">
      <c r="A38" s="56" t="s">
        <v>154</v>
      </c>
      <c r="B38" s="56" t="s">
        <v>147</v>
      </c>
      <c r="C38" s="56" t="s">
        <v>148</v>
      </c>
    </row>
    <row r="39" spans="1:3" ht="18" customHeight="1" x14ac:dyDescent="0.35">
      <c r="A39" s="56" t="s">
        <v>155</v>
      </c>
      <c r="B39" s="56" t="s">
        <v>147</v>
      </c>
      <c r="C39" s="56" t="s">
        <v>148</v>
      </c>
    </row>
    <row r="40" spans="1:3" ht="18" customHeight="1" x14ac:dyDescent="0.35">
      <c r="A40" s="56" t="s">
        <v>156</v>
      </c>
      <c r="B40" s="56" t="s">
        <v>147</v>
      </c>
      <c r="C40" s="56" t="s">
        <v>148</v>
      </c>
    </row>
    <row r="41" spans="1:3" ht="18" customHeight="1" x14ac:dyDescent="0.35">
      <c r="A41" s="56" t="s">
        <v>157</v>
      </c>
      <c r="B41" s="56" t="s">
        <v>147</v>
      </c>
      <c r="C41" s="56" t="s">
        <v>148</v>
      </c>
    </row>
    <row r="42" spans="1:3" ht="18" customHeight="1" x14ac:dyDescent="0.35">
      <c r="A42" s="56" t="s">
        <v>158</v>
      </c>
      <c r="B42" s="56" t="s">
        <v>147</v>
      </c>
      <c r="C42" s="56" t="s">
        <v>148</v>
      </c>
    </row>
    <row r="43" spans="1:3" ht="18" customHeight="1" x14ac:dyDescent="0.35">
      <c r="A43" s="56" t="s">
        <v>159</v>
      </c>
      <c r="B43" s="56" t="s">
        <v>147</v>
      </c>
      <c r="C43" s="56" t="s">
        <v>148</v>
      </c>
    </row>
    <row r="44" spans="1:3" ht="18" customHeight="1" x14ac:dyDescent="0.35">
      <c r="A44" s="56" t="s">
        <v>160</v>
      </c>
      <c r="B44" s="56" t="s">
        <v>147</v>
      </c>
      <c r="C44" s="56" t="s">
        <v>148</v>
      </c>
    </row>
    <row r="45" spans="1:3" ht="18" customHeight="1" x14ac:dyDescent="0.35">
      <c r="A45" s="56" t="s">
        <v>161</v>
      </c>
      <c r="B45" s="56" t="s">
        <v>147</v>
      </c>
      <c r="C45" s="56" t="s">
        <v>148</v>
      </c>
    </row>
    <row r="46" spans="1:3" ht="18" customHeight="1" x14ac:dyDescent="0.35">
      <c r="A46" s="56" t="s">
        <v>162</v>
      </c>
      <c r="B46" s="56" t="s">
        <v>147</v>
      </c>
      <c r="C46" s="56" t="s">
        <v>148</v>
      </c>
    </row>
    <row r="47" spans="1:3" ht="18" customHeight="1" x14ac:dyDescent="0.35">
      <c r="A47" s="56" t="s">
        <v>163</v>
      </c>
      <c r="B47" s="56" t="s">
        <v>147</v>
      </c>
      <c r="C47" s="56" t="s">
        <v>148</v>
      </c>
    </row>
    <row r="48" spans="1:3" ht="18" customHeight="1" x14ac:dyDescent="0.35">
      <c r="A48" s="56" t="s">
        <v>164</v>
      </c>
      <c r="B48" s="56" t="s">
        <v>147</v>
      </c>
      <c r="C48" s="56" t="s">
        <v>165</v>
      </c>
    </row>
    <row r="49" spans="1:3" ht="18" customHeight="1" x14ac:dyDescent="0.35">
      <c r="A49" s="56" t="s">
        <v>166</v>
      </c>
      <c r="B49" s="56" t="s">
        <v>147</v>
      </c>
      <c r="C49" s="56" t="s">
        <v>165</v>
      </c>
    </row>
    <row r="50" spans="1:3" ht="18" customHeight="1" x14ac:dyDescent="0.35">
      <c r="A50" s="56" t="s">
        <v>167</v>
      </c>
      <c r="B50" s="56" t="s">
        <v>147</v>
      </c>
      <c r="C50" s="56" t="s">
        <v>165</v>
      </c>
    </row>
    <row r="51" spans="1:3" ht="18" customHeight="1" x14ac:dyDescent="0.35">
      <c r="A51" s="56" t="s">
        <v>168</v>
      </c>
      <c r="B51" s="56" t="s">
        <v>147</v>
      </c>
      <c r="C51" s="56" t="s">
        <v>165</v>
      </c>
    </row>
    <row r="52" spans="1:3" ht="18" customHeight="1" x14ac:dyDescent="0.35">
      <c r="A52" s="56" t="s">
        <v>169</v>
      </c>
      <c r="B52" s="56" t="s">
        <v>147</v>
      </c>
      <c r="C52" s="56" t="s">
        <v>165</v>
      </c>
    </row>
    <row r="53" spans="1:3" ht="18" customHeight="1" x14ac:dyDescent="0.35">
      <c r="A53" s="56" t="s">
        <v>170</v>
      </c>
      <c r="B53" s="56" t="s">
        <v>147</v>
      </c>
      <c r="C53" s="56" t="s">
        <v>165</v>
      </c>
    </row>
    <row r="54" spans="1:3" ht="18" customHeight="1" x14ac:dyDescent="0.35">
      <c r="A54" s="56" t="s">
        <v>171</v>
      </c>
      <c r="B54" s="56" t="s">
        <v>147</v>
      </c>
      <c r="C54" s="56" t="s">
        <v>165</v>
      </c>
    </row>
    <row r="55" spans="1:3" ht="18" customHeight="1" x14ac:dyDescent="0.35">
      <c r="A55" s="56" t="s">
        <v>172</v>
      </c>
      <c r="B55" s="56" t="s">
        <v>147</v>
      </c>
      <c r="C55" s="56" t="s">
        <v>165</v>
      </c>
    </row>
    <row r="56" spans="1:3" ht="18" customHeight="1" x14ac:dyDescent="0.35">
      <c r="A56" s="56" t="s">
        <v>173</v>
      </c>
      <c r="B56" s="56" t="s">
        <v>147</v>
      </c>
      <c r="C56" s="56" t="s">
        <v>165</v>
      </c>
    </row>
    <row r="57" spans="1:3" ht="18" customHeight="1" x14ac:dyDescent="0.35">
      <c r="A57" s="56" t="s">
        <v>174</v>
      </c>
      <c r="B57" s="56" t="s">
        <v>147</v>
      </c>
      <c r="C57" s="56" t="s">
        <v>165</v>
      </c>
    </row>
    <row r="58" spans="1:3" ht="18" customHeight="1" x14ac:dyDescent="0.35">
      <c r="A58" s="56" t="s">
        <v>175</v>
      </c>
      <c r="B58" s="56" t="s">
        <v>147</v>
      </c>
      <c r="C58" s="56" t="s">
        <v>165</v>
      </c>
    </row>
    <row r="59" spans="1:3" ht="18" customHeight="1" x14ac:dyDescent="0.35">
      <c r="A59" s="56" t="s">
        <v>176</v>
      </c>
      <c r="B59" s="56" t="s">
        <v>147</v>
      </c>
      <c r="C59" s="56" t="s">
        <v>165</v>
      </c>
    </row>
    <row r="60" spans="1:3" ht="18" customHeight="1" x14ac:dyDescent="0.35">
      <c r="A60" s="56" t="s">
        <v>177</v>
      </c>
      <c r="B60" s="56" t="s">
        <v>147</v>
      </c>
      <c r="C60" s="56" t="s">
        <v>165</v>
      </c>
    </row>
    <row r="61" spans="1:3" ht="18" customHeight="1" x14ac:dyDescent="0.35">
      <c r="A61" s="56" t="s">
        <v>178</v>
      </c>
      <c r="B61" s="56" t="s">
        <v>147</v>
      </c>
      <c r="C61" s="56" t="s">
        <v>165</v>
      </c>
    </row>
    <row r="62" spans="1:3" ht="18" customHeight="1" x14ac:dyDescent="0.35">
      <c r="A62" s="56" t="s">
        <v>179</v>
      </c>
      <c r="B62" s="56" t="s">
        <v>147</v>
      </c>
      <c r="C62" s="56" t="s">
        <v>165</v>
      </c>
    </row>
    <row r="63" spans="1:3" ht="18" customHeight="1" x14ac:dyDescent="0.35">
      <c r="A63" s="56" t="s">
        <v>180</v>
      </c>
      <c r="B63" s="56" t="s">
        <v>147</v>
      </c>
      <c r="C63" s="56" t="s">
        <v>165</v>
      </c>
    </row>
    <row r="64" spans="1:3" ht="18" customHeight="1" x14ac:dyDescent="0.35">
      <c r="A64" s="56" t="s">
        <v>181</v>
      </c>
      <c r="B64" s="56" t="s">
        <v>147</v>
      </c>
      <c r="C64" s="56" t="s">
        <v>165</v>
      </c>
    </row>
    <row r="65" spans="1:3" ht="18" customHeight="1" x14ac:dyDescent="0.35">
      <c r="A65" s="56" t="s">
        <v>182</v>
      </c>
      <c r="B65" s="56" t="s">
        <v>147</v>
      </c>
      <c r="C65" s="56" t="s">
        <v>165</v>
      </c>
    </row>
    <row r="66" spans="1:3" ht="18" customHeight="1" x14ac:dyDescent="0.35">
      <c r="A66" s="56" t="s">
        <v>183</v>
      </c>
      <c r="B66" s="56" t="s">
        <v>147</v>
      </c>
      <c r="C66" s="56" t="s">
        <v>165</v>
      </c>
    </row>
    <row r="67" spans="1:3" ht="18" customHeight="1" x14ac:dyDescent="0.35">
      <c r="A67" s="56" t="s">
        <v>184</v>
      </c>
      <c r="B67" s="56" t="s">
        <v>147</v>
      </c>
      <c r="C67" s="56" t="s">
        <v>165</v>
      </c>
    </row>
    <row r="68" spans="1:3" ht="18" customHeight="1" x14ac:dyDescent="0.35">
      <c r="A68" s="56" t="s">
        <v>185</v>
      </c>
      <c r="B68" s="56" t="s">
        <v>147</v>
      </c>
      <c r="C68" s="56" t="s">
        <v>165</v>
      </c>
    </row>
    <row r="69" spans="1:3" ht="18" customHeight="1" x14ac:dyDescent="0.35">
      <c r="A69" s="56" t="s">
        <v>186</v>
      </c>
      <c r="B69" s="56" t="s">
        <v>147</v>
      </c>
      <c r="C69" s="56" t="s">
        <v>165</v>
      </c>
    </row>
    <row r="70" spans="1:3" ht="18" customHeight="1" x14ac:dyDescent="0.35">
      <c r="A70" s="56" t="s">
        <v>187</v>
      </c>
      <c r="B70" s="56" t="s">
        <v>147</v>
      </c>
      <c r="C70" s="56" t="s">
        <v>165</v>
      </c>
    </row>
    <row r="71" spans="1:3" ht="18" customHeight="1" x14ac:dyDescent="0.35">
      <c r="A71" s="56" t="s">
        <v>188</v>
      </c>
      <c r="B71" s="56" t="s">
        <v>147</v>
      </c>
      <c r="C71" s="56" t="s">
        <v>165</v>
      </c>
    </row>
    <row r="72" spans="1:3" ht="18" customHeight="1" x14ac:dyDescent="0.35">
      <c r="A72" s="56" t="s">
        <v>189</v>
      </c>
      <c r="B72" s="56" t="s">
        <v>147</v>
      </c>
      <c r="C72" s="56" t="s">
        <v>165</v>
      </c>
    </row>
    <row r="73" spans="1:3" ht="18" customHeight="1" x14ac:dyDescent="0.35">
      <c r="A73" s="56" t="s">
        <v>190</v>
      </c>
      <c r="B73" s="56" t="s">
        <v>147</v>
      </c>
      <c r="C73" s="56" t="s">
        <v>165</v>
      </c>
    </row>
    <row r="74" spans="1:3" ht="18" customHeight="1" x14ac:dyDescent="0.35">
      <c r="A74" s="56" t="s">
        <v>191</v>
      </c>
      <c r="B74" s="56" t="s">
        <v>147</v>
      </c>
      <c r="C74" s="56" t="s">
        <v>165</v>
      </c>
    </row>
    <row r="75" spans="1:3" ht="18" customHeight="1" x14ac:dyDescent="0.35">
      <c r="A75" s="56" t="s">
        <v>192</v>
      </c>
      <c r="B75" s="56" t="s">
        <v>147</v>
      </c>
      <c r="C75" s="56" t="s">
        <v>165</v>
      </c>
    </row>
    <row r="76" spans="1:3" ht="18" customHeight="1" x14ac:dyDescent="0.35">
      <c r="A76" s="56" t="s">
        <v>193</v>
      </c>
      <c r="B76" s="56" t="s">
        <v>147</v>
      </c>
      <c r="C76" s="56" t="s">
        <v>165</v>
      </c>
    </row>
    <row r="77" spans="1:3" ht="18" customHeight="1" x14ac:dyDescent="0.35">
      <c r="A77" s="56" t="s">
        <v>194</v>
      </c>
      <c r="B77" s="56" t="s">
        <v>147</v>
      </c>
      <c r="C77" s="56" t="s">
        <v>165</v>
      </c>
    </row>
    <row r="78" spans="1:3" ht="18" customHeight="1" x14ac:dyDescent="0.35">
      <c r="A78" s="56" t="s">
        <v>195</v>
      </c>
      <c r="B78" s="56" t="s">
        <v>147</v>
      </c>
      <c r="C78" s="56" t="s">
        <v>165</v>
      </c>
    </row>
    <row r="79" spans="1:3" ht="18" customHeight="1" x14ac:dyDescent="0.35">
      <c r="A79" s="56" t="s">
        <v>196</v>
      </c>
      <c r="B79" s="56" t="s">
        <v>147</v>
      </c>
      <c r="C79" s="56" t="s">
        <v>165</v>
      </c>
    </row>
    <row r="80" spans="1:3" ht="18" customHeight="1" x14ac:dyDescent="0.35">
      <c r="A80" s="56" t="s">
        <v>197</v>
      </c>
      <c r="B80" s="56" t="s">
        <v>147</v>
      </c>
      <c r="C80" s="56" t="s">
        <v>165</v>
      </c>
    </row>
    <row r="81" spans="1:3" ht="18" customHeight="1" x14ac:dyDescent="0.35">
      <c r="A81" s="56" t="s">
        <v>198</v>
      </c>
      <c r="B81" s="56" t="s">
        <v>147</v>
      </c>
      <c r="C81" s="56" t="s">
        <v>165</v>
      </c>
    </row>
    <row r="82" spans="1:3" ht="18" customHeight="1" x14ac:dyDescent="0.35">
      <c r="A82" s="56" t="s">
        <v>199</v>
      </c>
      <c r="B82" s="56" t="s">
        <v>147</v>
      </c>
      <c r="C82" s="56" t="s">
        <v>165</v>
      </c>
    </row>
    <row r="83" spans="1:3" ht="18" customHeight="1" x14ac:dyDescent="0.35">
      <c r="A83" s="56" t="s">
        <v>200</v>
      </c>
      <c r="B83" s="56" t="s">
        <v>147</v>
      </c>
      <c r="C83" s="56" t="s">
        <v>165</v>
      </c>
    </row>
    <row r="84" spans="1:3" ht="18" customHeight="1" x14ac:dyDescent="0.35">
      <c r="A84" s="56" t="s">
        <v>201</v>
      </c>
      <c r="B84" s="56" t="s">
        <v>147</v>
      </c>
      <c r="C84" s="56" t="s">
        <v>165</v>
      </c>
    </row>
    <row r="85" spans="1:3" ht="18" customHeight="1" x14ac:dyDescent="0.35">
      <c r="A85" s="56" t="s">
        <v>202</v>
      </c>
      <c r="B85" s="56" t="s">
        <v>147</v>
      </c>
      <c r="C85" s="56" t="s">
        <v>165</v>
      </c>
    </row>
    <row r="86" spans="1:3" ht="18" customHeight="1" x14ac:dyDescent="0.35">
      <c r="A86" s="56" t="s">
        <v>203</v>
      </c>
      <c r="B86" s="56" t="s">
        <v>147</v>
      </c>
      <c r="C86" s="56" t="s">
        <v>165</v>
      </c>
    </row>
    <row r="87" spans="1:3" ht="18" customHeight="1" x14ac:dyDescent="0.35">
      <c r="A87" s="56" t="s">
        <v>204</v>
      </c>
      <c r="B87" s="56" t="s">
        <v>147</v>
      </c>
      <c r="C87" s="56" t="s">
        <v>165</v>
      </c>
    </row>
    <row r="88" spans="1:3" ht="18" customHeight="1" x14ac:dyDescent="0.35">
      <c r="A88" s="56" t="s">
        <v>205</v>
      </c>
      <c r="B88" s="56" t="s">
        <v>206</v>
      </c>
      <c r="C88" s="56" t="s">
        <v>207</v>
      </c>
    </row>
    <row r="89" spans="1:3" ht="18" customHeight="1" x14ac:dyDescent="0.35">
      <c r="A89" s="56" t="s">
        <v>208</v>
      </c>
      <c r="B89" s="56" t="s">
        <v>206</v>
      </c>
      <c r="C89" s="56" t="s">
        <v>207</v>
      </c>
    </row>
    <row r="90" spans="1:3" ht="18" customHeight="1" x14ac:dyDescent="0.35">
      <c r="A90" s="56" t="s">
        <v>209</v>
      </c>
      <c r="B90" s="56" t="s">
        <v>206</v>
      </c>
      <c r="C90" s="56" t="s">
        <v>207</v>
      </c>
    </row>
    <row r="91" spans="1:3" ht="18" customHeight="1" x14ac:dyDescent="0.35">
      <c r="A91" s="56" t="s">
        <v>210</v>
      </c>
      <c r="B91" s="56" t="s">
        <v>206</v>
      </c>
      <c r="C91" s="56" t="s">
        <v>207</v>
      </c>
    </row>
    <row r="92" spans="1:3" ht="18" customHeight="1" x14ac:dyDescent="0.35">
      <c r="A92" s="56" t="s">
        <v>211</v>
      </c>
      <c r="B92" s="56" t="s">
        <v>206</v>
      </c>
      <c r="C92" s="56" t="s">
        <v>212</v>
      </c>
    </row>
    <row r="93" spans="1:3" ht="18" customHeight="1" x14ac:dyDescent="0.35">
      <c r="A93" s="56" t="s">
        <v>213</v>
      </c>
      <c r="B93" s="56" t="s">
        <v>206</v>
      </c>
      <c r="C93" s="56" t="s">
        <v>212</v>
      </c>
    </row>
    <row r="94" spans="1:3" ht="18" customHeight="1" x14ac:dyDescent="0.35">
      <c r="A94" s="56" t="s">
        <v>214</v>
      </c>
      <c r="B94" s="56" t="s">
        <v>206</v>
      </c>
      <c r="C94" s="56" t="s">
        <v>212</v>
      </c>
    </row>
    <row r="95" spans="1:3" ht="18" customHeight="1" x14ac:dyDescent="0.35">
      <c r="A95" s="56" t="s">
        <v>215</v>
      </c>
      <c r="B95" s="56" t="s">
        <v>206</v>
      </c>
      <c r="C95" s="56" t="s">
        <v>212</v>
      </c>
    </row>
    <row r="96" spans="1:3" ht="18" customHeight="1" x14ac:dyDescent="0.35">
      <c r="A96" s="56" t="s">
        <v>216</v>
      </c>
      <c r="B96" s="56" t="s">
        <v>206</v>
      </c>
      <c r="C96" s="56" t="s">
        <v>96</v>
      </c>
    </row>
    <row r="97" spans="1:3" ht="18" customHeight="1" x14ac:dyDescent="0.35">
      <c r="A97" s="56" t="s">
        <v>217</v>
      </c>
      <c r="B97" s="56" t="s">
        <v>206</v>
      </c>
      <c r="C97" s="56" t="s">
        <v>96</v>
      </c>
    </row>
    <row r="98" spans="1:3" ht="18" customHeight="1" x14ac:dyDescent="0.35">
      <c r="A98" s="56" t="s">
        <v>218</v>
      </c>
      <c r="B98" s="56" t="s">
        <v>206</v>
      </c>
      <c r="C98" s="56" t="s">
        <v>96</v>
      </c>
    </row>
    <row r="99" spans="1:3" ht="18" customHeight="1" x14ac:dyDescent="0.35">
      <c r="A99" s="56" t="s">
        <v>219</v>
      </c>
      <c r="B99" s="56" t="s">
        <v>206</v>
      </c>
      <c r="C99" s="56" t="s">
        <v>220</v>
      </c>
    </row>
    <row r="100" spans="1:3" ht="18" customHeight="1" x14ac:dyDescent="0.35">
      <c r="A100" s="56" t="s">
        <v>221</v>
      </c>
      <c r="B100" s="56" t="s">
        <v>206</v>
      </c>
      <c r="C100" s="56" t="s">
        <v>220</v>
      </c>
    </row>
    <row r="101" spans="1:3" ht="18" customHeight="1" x14ac:dyDescent="0.35">
      <c r="A101" s="56" t="s">
        <v>222</v>
      </c>
      <c r="B101" s="56" t="s">
        <v>206</v>
      </c>
      <c r="C101" s="56" t="s">
        <v>220</v>
      </c>
    </row>
    <row r="102" spans="1:3" ht="18" customHeight="1" x14ac:dyDescent="0.35">
      <c r="A102" s="56" t="s">
        <v>223</v>
      </c>
      <c r="B102" s="56" t="s">
        <v>206</v>
      </c>
      <c r="C102" s="56" t="s">
        <v>224</v>
      </c>
    </row>
    <row r="103" spans="1:3" ht="18" customHeight="1" x14ac:dyDescent="0.35">
      <c r="A103" s="56" t="s">
        <v>225</v>
      </c>
      <c r="B103" s="56" t="s">
        <v>206</v>
      </c>
      <c r="C103" s="56" t="s">
        <v>224</v>
      </c>
    </row>
    <row r="104" spans="1:3" ht="18" customHeight="1" x14ac:dyDescent="0.35">
      <c r="A104" s="56" t="s">
        <v>226</v>
      </c>
      <c r="B104" s="56" t="s">
        <v>206</v>
      </c>
      <c r="C104" s="56" t="s">
        <v>224</v>
      </c>
    </row>
    <row r="105" spans="1:3" ht="18" customHeight="1" x14ac:dyDescent="0.35">
      <c r="A105" s="56" t="s">
        <v>227</v>
      </c>
      <c r="B105" s="56" t="s">
        <v>206</v>
      </c>
      <c r="C105" s="56" t="s">
        <v>224</v>
      </c>
    </row>
    <row r="106" spans="1:3" ht="18" customHeight="1" x14ac:dyDescent="0.35">
      <c r="A106" s="56" t="s">
        <v>228</v>
      </c>
      <c r="B106" s="56" t="s">
        <v>206</v>
      </c>
      <c r="C106" s="56" t="s">
        <v>224</v>
      </c>
    </row>
    <row r="107" spans="1:3" ht="18" customHeight="1" x14ac:dyDescent="0.35">
      <c r="A107" s="56" t="s">
        <v>229</v>
      </c>
      <c r="B107" s="56" t="s">
        <v>206</v>
      </c>
      <c r="C107" s="56" t="s">
        <v>224</v>
      </c>
    </row>
    <row r="108" spans="1:3" ht="18" customHeight="1" x14ac:dyDescent="0.35">
      <c r="A108" s="56" t="s">
        <v>230</v>
      </c>
      <c r="B108" s="56" t="s">
        <v>206</v>
      </c>
      <c r="C108" s="56" t="s">
        <v>224</v>
      </c>
    </row>
    <row r="109" spans="1:3" ht="18" customHeight="1" x14ac:dyDescent="0.35">
      <c r="A109" s="56" t="s">
        <v>231</v>
      </c>
      <c r="B109" s="56" t="s">
        <v>206</v>
      </c>
      <c r="C109" s="56" t="s">
        <v>224</v>
      </c>
    </row>
    <row r="110" spans="1:3" ht="18" customHeight="1" x14ac:dyDescent="0.35">
      <c r="A110" s="56" t="s">
        <v>232</v>
      </c>
      <c r="B110" s="56" t="s">
        <v>206</v>
      </c>
      <c r="C110" s="56" t="s">
        <v>233</v>
      </c>
    </row>
    <row r="111" spans="1:3" ht="18" customHeight="1" x14ac:dyDescent="0.35">
      <c r="A111" s="56" t="s">
        <v>234</v>
      </c>
      <c r="B111" s="56" t="s">
        <v>206</v>
      </c>
      <c r="C111" s="56" t="s">
        <v>233</v>
      </c>
    </row>
    <row r="112" spans="1:3" ht="18" customHeight="1" x14ac:dyDescent="0.35">
      <c r="A112" s="56" t="s">
        <v>235</v>
      </c>
      <c r="B112" s="56" t="s">
        <v>206</v>
      </c>
      <c r="C112" s="56" t="s">
        <v>233</v>
      </c>
    </row>
    <row r="113" spans="1:3" ht="18" customHeight="1" x14ac:dyDescent="0.35">
      <c r="A113" s="56" t="s">
        <v>236</v>
      </c>
      <c r="B113" s="56" t="s">
        <v>206</v>
      </c>
      <c r="C113" s="56" t="s">
        <v>233</v>
      </c>
    </row>
    <row r="114" spans="1:3" ht="18" customHeight="1" x14ac:dyDescent="0.35">
      <c r="A114" s="56" t="s">
        <v>237</v>
      </c>
      <c r="B114" s="56" t="s">
        <v>206</v>
      </c>
      <c r="C114" s="56" t="s">
        <v>238</v>
      </c>
    </row>
    <row r="115" spans="1:3" ht="18" customHeight="1" x14ac:dyDescent="0.35">
      <c r="A115" s="56" t="s">
        <v>239</v>
      </c>
      <c r="B115" s="56" t="s">
        <v>206</v>
      </c>
      <c r="C115" s="56" t="s">
        <v>238</v>
      </c>
    </row>
    <row r="116" spans="1:3" ht="18" customHeight="1" x14ac:dyDescent="0.35">
      <c r="A116" s="56" t="s">
        <v>240</v>
      </c>
      <c r="B116" s="56" t="s">
        <v>206</v>
      </c>
      <c r="C116" s="56" t="s">
        <v>238</v>
      </c>
    </row>
    <row r="117" spans="1:3" ht="18" customHeight="1" x14ac:dyDescent="0.35">
      <c r="A117" s="56" t="s">
        <v>241</v>
      </c>
      <c r="B117" s="56" t="s">
        <v>206</v>
      </c>
      <c r="C117" s="56" t="s">
        <v>242</v>
      </c>
    </row>
    <row r="118" spans="1:3" ht="18" customHeight="1" x14ac:dyDescent="0.35">
      <c r="A118" s="56" t="s">
        <v>243</v>
      </c>
      <c r="B118" s="56" t="s">
        <v>206</v>
      </c>
      <c r="C118" s="56" t="s">
        <v>242</v>
      </c>
    </row>
    <row r="119" spans="1:3" ht="18" customHeight="1" x14ac:dyDescent="0.35">
      <c r="A119" s="56" t="s">
        <v>244</v>
      </c>
      <c r="B119" s="56" t="s">
        <v>206</v>
      </c>
      <c r="C119" s="56" t="s">
        <v>242</v>
      </c>
    </row>
    <row r="120" spans="1:3" ht="18" customHeight="1" x14ac:dyDescent="0.35">
      <c r="A120" s="56" t="s">
        <v>245</v>
      </c>
      <c r="B120" s="56" t="s">
        <v>206</v>
      </c>
      <c r="C120" s="56" t="s">
        <v>246</v>
      </c>
    </row>
    <row r="121" spans="1:3" ht="18" customHeight="1" x14ac:dyDescent="0.35">
      <c r="A121" s="56" t="s">
        <v>247</v>
      </c>
      <c r="B121" s="56" t="s">
        <v>206</v>
      </c>
      <c r="C121" s="56" t="s">
        <v>246</v>
      </c>
    </row>
    <row r="122" spans="1:3" ht="18" customHeight="1" x14ac:dyDescent="0.35">
      <c r="A122" s="56" t="s">
        <v>248</v>
      </c>
      <c r="B122" s="56" t="s">
        <v>206</v>
      </c>
      <c r="C122" s="56" t="s">
        <v>246</v>
      </c>
    </row>
    <row r="123" spans="1:3" ht="18" customHeight="1" x14ac:dyDescent="0.35">
      <c r="A123" s="56" t="s">
        <v>249</v>
      </c>
      <c r="B123" s="56" t="s">
        <v>206</v>
      </c>
      <c r="C123" s="56" t="s">
        <v>246</v>
      </c>
    </row>
    <row r="124" spans="1:3" ht="18" customHeight="1" x14ac:dyDescent="0.35">
      <c r="A124" s="56" t="s">
        <v>250</v>
      </c>
      <c r="B124" s="56" t="s">
        <v>206</v>
      </c>
      <c r="C124" s="56" t="s">
        <v>251</v>
      </c>
    </row>
    <row r="125" spans="1:3" ht="18" customHeight="1" x14ac:dyDescent="0.35">
      <c r="A125" s="56" t="s">
        <v>252</v>
      </c>
      <c r="B125" s="56" t="s">
        <v>206</v>
      </c>
      <c r="C125" s="56" t="s">
        <v>251</v>
      </c>
    </row>
    <row r="126" spans="1:3" ht="18" customHeight="1" x14ac:dyDescent="0.35">
      <c r="A126" s="56" t="s">
        <v>253</v>
      </c>
      <c r="B126" s="56" t="s">
        <v>206</v>
      </c>
      <c r="C126" s="56" t="s">
        <v>251</v>
      </c>
    </row>
    <row r="127" spans="1:3" ht="18" customHeight="1" x14ac:dyDescent="0.35">
      <c r="A127" s="56" t="s">
        <v>254</v>
      </c>
      <c r="B127" s="56" t="s">
        <v>206</v>
      </c>
      <c r="C127" s="56" t="s">
        <v>251</v>
      </c>
    </row>
    <row r="128" spans="1:3" ht="18" customHeight="1" x14ac:dyDescent="0.35">
      <c r="A128" s="56" t="s">
        <v>255</v>
      </c>
      <c r="B128" s="56" t="s">
        <v>206</v>
      </c>
      <c r="C128" s="56" t="s">
        <v>256</v>
      </c>
    </row>
    <row r="129" spans="1:3" ht="18" customHeight="1" x14ac:dyDescent="0.35">
      <c r="A129" s="56" t="s">
        <v>257</v>
      </c>
      <c r="B129" s="56" t="s">
        <v>206</v>
      </c>
      <c r="C129" s="56" t="s">
        <v>256</v>
      </c>
    </row>
    <row r="130" spans="1:3" ht="18" customHeight="1" x14ac:dyDescent="0.35">
      <c r="A130" s="56" t="s">
        <v>258</v>
      </c>
      <c r="B130" s="56" t="s">
        <v>206</v>
      </c>
      <c r="C130" s="56" t="s">
        <v>256</v>
      </c>
    </row>
    <row r="131" spans="1:3" ht="18" customHeight="1" x14ac:dyDescent="0.35">
      <c r="A131" s="56" t="s">
        <v>259</v>
      </c>
      <c r="B131" s="56" t="s">
        <v>206</v>
      </c>
      <c r="C131" s="56" t="s">
        <v>260</v>
      </c>
    </row>
    <row r="132" spans="1:3" ht="18" customHeight="1" x14ac:dyDescent="0.35">
      <c r="A132" s="56" t="s">
        <v>261</v>
      </c>
      <c r="B132" s="56" t="s">
        <v>206</v>
      </c>
      <c r="C132" s="56" t="s">
        <v>260</v>
      </c>
    </row>
    <row r="133" spans="1:3" ht="18" customHeight="1" x14ac:dyDescent="0.35">
      <c r="A133" s="56" t="s">
        <v>262</v>
      </c>
      <c r="B133" s="56" t="s">
        <v>206</v>
      </c>
      <c r="C133" s="56" t="s">
        <v>260</v>
      </c>
    </row>
    <row r="134" spans="1:3" ht="18" customHeight="1" x14ac:dyDescent="0.35">
      <c r="A134" s="56" t="s">
        <v>263</v>
      </c>
      <c r="B134" s="56" t="s">
        <v>206</v>
      </c>
      <c r="C134" s="56" t="s">
        <v>264</v>
      </c>
    </row>
    <row r="135" spans="1:3" ht="18" customHeight="1" x14ac:dyDescent="0.35">
      <c r="A135" s="56" t="s">
        <v>265</v>
      </c>
      <c r="B135" s="56" t="s">
        <v>206</v>
      </c>
      <c r="C135" s="56" t="s">
        <v>264</v>
      </c>
    </row>
    <row r="136" spans="1:3" ht="18" customHeight="1" x14ac:dyDescent="0.35">
      <c r="A136" s="56" t="s">
        <v>266</v>
      </c>
      <c r="B136" s="56" t="s">
        <v>206</v>
      </c>
      <c r="C136" s="56" t="s">
        <v>264</v>
      </c>
    </row>
    <row r="137" spans="1:3" ht="18" customHeight="1" x14ac:dyDescent="0.35">
      <c r="A137" s="56" t="s">
        <v>267</v>
      </c>
      <c r="B137" s="56" t="s">
        <v>206</v>
      </c>
      <c r="C137" s="56" t="s">
        <v>268</v>
      </c>
    </row>
    <row r="138" spans="1:3" ht="18" customHeight="1" x14ac:dyDescent="0.35">
      <c r="A138" s="56" t="s">
        <v>269</v>
      </c>
      <c r="B138" s="56" t="s">
        <v>206</v>
      </c>
      <c r="C138" s="56" t="s">
        <v>268</v>
      </c>
    </row>
    <row r="139" spans="1:3" ht="18" customHeight="1" x14ac:dyDescent="0.35">
      <c r="A139" s="56" t="s">
        <v>270</v>
      </c>
      <c r="B139" s="56" t="s">
        <v>206</v>
      </c>
      <c r="C139" s="56" t="s">
        <v>268</v>
      </c>
    </row>
    <row r="140" spans="1:3" ht="18" customHeight="1" x14ac:dyDescent="0.35">
      <c r="A140" s="56" t="s">
        <v>271</v>
      </c>
      <c r="B140" s="56" t="s">
        <v>206</v>
      </c>
      <c r="C140" s="56" t="s">
        <v>272</v>
      </c>
    </row>
    <row r="141" spans="1:3" ht="18" customHeight="1" x14ac:dyDescent="0.35">
      <c r="A141" s="56" t="s">
        <v>273</v>
      </c>
      <c r="B141" s="56" t="s">
        <v>206</v>
      </c>
      <c r="C141" s="56" t="s">
        <v>272</v>
      </c>
    </row>
    <row r="142" spans="1:3" ht="18" customHeight="1" x14ac:dyDescent="0.35">
      <c r="A142" s="56" t="s">
        <v>274</v>
      </c>
      <c r="B142" s="56" t="s">
        <v>206</v>
      </c>
      <c r="C142" s="56" t="s">
        <v>272</v>
      </c>
    </row>
    <row r="143" spans="1:3" ht="18" customHeight="1" x14ac:dyDescent="0.35">
      <c r="A143" s="56" t="s">
        <v>275</v>
      </c>
      <c r="B143" s="56" t="s">
        <v>206</v>
      </c>
      <c r="C143" s="56" t="s">
        <v>272</v>
      </c>
    </row>
    <row r="144" spans="1:3" ht="18" customHeight="1" x14ac:dyDescent="0.35">
      <c r="A144" s="56" t="s">
        <v>276</v>
      </c>
      <c r="B144" s="56" t="s">
        <v>206</v>
      </c>
      <c r="C144" s="56" t="s">
        <v>272</v>
      </c>
    </row>
    <row r="145" spans="1:3" ht="18" customHeight="1" x14ac:dyDescent="0.35">
      <c r="A145" s="56" t="s">
        <v>277</v>
      </c>
      <c r="B145" s="56" t="s">
        <v>206</v>
      </c>
      <c r="C145" s="56" t="s">
        <v>278</v>
      </c>
    </row>
    <row r="146" spans="1:3" ht="18" customHeight="1" x14ac:dyDescent="0.35">
      <c r="A146" s="56" t="s">
        <v>279</v>
      </c>
      <c r="B146" s="56" t="s">
        <v>206</v>
      </c>
      <c r="C146" s="56" t="s">
        <v>278</v>
      </c>
    </row>
    <row r="147" spans="1:3" ht="18" customHeight="1" x14ac:dyDescent="0.35">
      <c r="A147" s="56" t="s">
        <v>280</v>
      </c>
      <c r="B147" s="56" t="s">
        <v>206</v>
      </c>
      <c r="C147" s="56" t="s">
        <v>278</v>
      </c>
    </row>
    <row r="148" spans="1:3" ht="18" customHeight="1" x14ac:dyDescent="0.35">
      <c r="A148" s="56" t="s">
        <v>281</v>
      </c>
      <c r="B148" s="56" t="s">
        <v>206</v>
      </c>
      <c r="C148" s="56" t="s">
        <v>278</v>
      </c>
    </row>
    <row r="149" spans="1:3" ht="18" customHeight="1" x14ac:dyDescent="0.35">
      <c r="A149" s="56" t="s">
        <v>282</v>
      </c>
      <c r="B149" s="56" t="s">
        <v>206</v>
      </c>
      <c r="C149" s="56" t="s">
        <v>278</v>
      </c>
    </row>
    <row r="150" spans="1:3" ht="18" customHeight="1" x14ac:dyDescent="0.35">
      <c r="A150" s="56" t="s">
        <v>283</v>
      </c>
      <c r="B150" s="56" t="s">
        <v>206</v>
      </c>
      <c r="C150" s="56" t="s">
        <v>278</v>
      </c>
    </row>
    <row r="151" spans="1:3" ht="18" customHeight="1" x14ac:dyDescent="0.35">
      <c r="A151" s="56" t="s">
        <v>284</v>
      </c>
      <c r="B151" s="56" t="s">
        <v>206</v>
      </c>
      <c r="C151" s="56" t="s">
        <v>285</v>
      </c>
    </row>
    <row r="152" spans="1:3" ht="18" customHeight="1" x14ac:dyDescent="0.35">
      <c r="A152" s="56" t="s">
        <v>286</v>
      </c>
      <c r="B152" s="56" t="s">
        <v>206</v>
      </c>
      <c r="C152" s="56" t="s">
        <v>285</v>
      </c>
    </row>
    <row r="153" spans="1:3" ht="18" customHeight="1" x14ac:dyDescent="0.35">
      <c r="A153" s="56" t="s">
        <v>287</v>
      </c>
      <c r="B153" s="56" t="s">
        <v>206</v>
      </c>
      <c r="C153" s="56" t="s">
        <v>285</v>
      </c>
    </row>
    <row r="154" spans="1:3" ht="18" customHeight="1" x14ac:dyDescent="0.35">
      <c r="A154" s="56" t="s">
        <v>288</v>
      </c>
      <c r="B154" s="56" t="s">
        <v>206</v>
      </c>
      <c r="C154" s="56" t="s">
        <v>285</v>
      </c>
    </row>
    <row r="155" spans="1:3" ht="18" customHeight="1" x14ac:dyDescent="0.35">
      <c r="A155" s="56" t="s">
        <v>289</v>
      </c>
      <c r="B155" s="56" t="s">
        <v>206</v>
      </c>
      <c r="C155" s="56" t="s">
        <v>290</v>
      </c>
    </row>
    <row r="156" spans="1:3" ht="18" customHeight="1" x14ac:dyDescent="0.35">
      <c r="A156" s="56" t="s">
        <v>291</v>
      </c>
      <c r="B156" s="56" t="s">
        <v>206</v>
      </c>
      <c r="C156" s="56" t="s">
        <v>290</v>
      </c>
    </row>
    <row r="157" spans="1:3" ht="18" customHeight="1" x14ac:dyDescent="0.35">
      <c r="A157" s="56" t="s">
        <v>292</v>
      </c>
      <c r="B157" s="56" t="s">
        <v>206</v>
      </c>
      <c r="C157" s="56" t="s">
        <v>290</v>
      </c>
    </row>
    <row r="158" spans="1:3" ht="18" customHeight="1" x14ac:dyDescent="0.35">
      <c r="A158" s="56" t="s">
        <v>293</v>
      </c>
      <c r="B158" s="56" t="s">
        <v>206</v>
      </c>
      <c r="C158" s="56" t="s">
        <v>290</v>
      </c>
    </row>
    <row r="159" spans="1:3" ht="18" customHeight="1" x14ac:dyDescent="0.35">
      <c r="A159" s="56" t="s">
        <v>294</v>
      </c>
      <c r="B159" s="56" t="s">
        <v>206</v>
      </c>
      <c r="C159" s="56" t="s">
        <v>295</v>
      </c>
    </row>
    <row r="160" spans="1:3" ht="18" customHeight="1" x14ac:dyDescent="0.35">
      <c r="A160" s="56" t="s">
        <v>296</v>
      </c>
      <c r="B160" s="56" t="s">
        <v>206</v>
      </c>
      <c r="C160" s="56" t="s">
        <v>295</v>
      </c>
    </row>
    <row r="161" spans="1:3" ht="18" customHeight="1" x14ac:dyDescent="0.35">
      <c r="A161" s="56" t="s">
        <v>297</v>
      </c>
      <c r="B161" s="56" t="s">
        <v>206</v>
      </c>
      <c r="C161" s="56" t="s">
        <v>298</v>
      </c>
    </row>
    <row r="162" spans="1:3" ht="18" customHeight="1" x14ac:dyDescent="0.35">
      <c r="A162" s="56" t="s">
        <v>299</v>
      </c>
      <c r="B162" s="56" t="s">
        <v>206</v>
      </c>
      <c r="C162" s="56" t="s">
        <v>298</v>
      </c>
    </row>
    <row r="163" spans="1:3" ht="18" customHeight="1" x14ac:dyDescent="0.35">
      <c r="A163" s="56" t="s">
        <v>300</v>
      </c>
      <c r="B163" s="56" t="s">
        <v>206</v>
      </c>
      <c r="C163" s="56" t="s">
        <v>301</v>
      </c>
    </row>
    <row r="164" spans="1:3" ht="18" customHeight="1" x14ac:dyDescent="0.35">
      <c r="A164" s="56" t="s">
        <v>302</v>
      </c>
      <c r="B164" s="56" t="s">
        <v>206</v>
      </c>
      <c r="C164" s="56" t="s">
        <v>301</v>
      </c>
    </row>
    <row r="165" spans="1:3" ht="18" customHeight="1" x14ac:dyDescent="0.35">
      <c r="A165" s="56" t="s">
        <v>303</v>
      </c>
      <c r="B165" s="56" t="s">
        <v>206</v>
      </c>
      <c r="C165" s="56" t="s">
        <v>301</v>
      </c>
    </row>
    <row r="166" spans="1:3" ht="18" customHeight="1" x14ac:dyDescent="0.35">
      <c r="A166" s="56" t="s">
        <v>304</v>
      </c>
      <c r="B166" s="56" t="s">
        <v>206</v>
      </c>
      <c r="C166" s="56" t="s">
        <v>301</v>
      </c>
    </row>
    <row r="167" spans="1:3" ht="18" customHeight="1" x14ac:dyDescent="0.35">
      <c r="A167" s="56" t="s">
        <v>305</v>
      </c>
      <c r="B167" s="56" t="s">
        <v>206</v>
      </c>
      <c r="C167" s="56" t="s">
        <v>301</v>
      </c>
    </row>
    <row r="168" spans="1:3" ht="18" customHeight="1" x14ac:dyDescent="0.35">
      <c r="A168" s="56" t="s">
        <v>306</v>
      </c>
      <c r="B168" s="56" t="s">
        <v>206</v>
      </c>
      <c r="C168" s="56" t="s">
        <v>301</v>
      </c>
    </row>
    <row r="169" spans="1:3" ht="18" customHeight="1" x14ac:dyDescent="0.35">
      <c r="A169" s="56" t="s">
        <v>307</v>
      </c>
      <c r="B169" s="56" t="s">
        <v>206</v>
      </c>
      <c r="C169" s="56" t="s">
        <v>308</v>
      </c>
    </row>
    <row r="170" spans="1:3" ht="18" customHeight="1" x14ac:dyDescent="0.35">
      <c r="A170" s="56" t="s">
        <v>309</v>
      </c>
      <c r="B170" s="56" t="s">
        <v>206</v>
      </c>
      <c r="C170" s="56" t="s">
        <v>308</v>
      </c>
    </row>
    <row r="171" spans="1:3" ht="18" customHeight="1" x14ac:dyDescent="0.35">
      <c r="A171" s="56" t="s">
        <v>310</v>
      </c>
      <c r="B171" s="56" t="s">
        <v>206</v>
      </c>
      <c r="C171" s="56" t="s">
        <v>308</v>
      </c>
    </row>
    <row r="172" spans="1:3" ht="18" customHeight="1" x14ac:dyDescent="0.35">
      <c r="A172" s="56" t="s">
        <v>311</v>
      </c>
      <c r="B172" s="56" t="s">
        <v>206</v>
      </c>
      <c r="C172" s="56" t="s">
        <v>308</v>
      </c>
    </row>
    <row r="173" spans="1:3" ht="18" customHeight="1" x14ac:dyDescent="0.35">
      <c r="A173" s="56" t="s">
        <v>312</v>
      </c>
      <c r="B173" s="56" t="s">
        <v>206</v>
      </c>
      <c r="C173" s="56" t="s">
        <v>308</v>
      </c>
    </row>
    <row r="174" spans="1:3" ht="18" customHeight="1" x14ac:dyDescent="0.35">
      <c r="A174" s="56" t="s">
        <v>313</v>
      </c>
      <c r="B174" s="56" t="s">
        <v>206</v>
      </c>
      <c r="C174" s="56" t="s">
        <v>308</v>
      </c>
    </row>
    <row r="175" spans="1:3" ht="18" customHeight="1" x14ac:dyDescent="0.35">
      <c r="A175" s="56" t="s">
        <v>314</v>
      </c>
      <c r="B175" s="56" t="s">
        <v>206</v>
      </c>
      <c r="C175" s="56" t="s">
        <v>308</v>
      </c>
    </row>
    <row r="176" spans="1:3" ht="18" customHeight="1" x14ac:dyDescent="0.35">
      <c r="A176" s="56" t="s">
        <v>315</v>
      </c>
      <c r="B176" s="56" t="s">
        <v>206</v>
      </c>
      <c r="C176" s="56" t="s">
        <v>308</v>
      </c>
    </row>
    <row r="177" spans="1:3" ht="18" customHeight="1" x14ac:dyDescent="0.35">
      <c r="A177" s="56" t="s">
        <v>316</v>
      </c>
      <c r="B177" s="56" t="s">
        <v>206</v>
      </c>
      <c r="C177" s="56" t="s">
        <v>308</v>
      </c>
    </row>
    <row r="178" spans="1:3" ht="18" customHeight="1" x14ac:dyDescent="0.35">
      <c r="A178" s="56" t="s">
        <v>317</v>
      </c>
      <c r="B178" s="56" t="s">
        <v>206</v>
      </c>
      <c r="C178" s="56" t="s">
        <v>308</v>
      </c>
    </row>
    <row r="179" spans="1:3" ht="18" customHeight="1" x14ac:dyDescent="0.35">
      <c r="A179" s="56" t="s">
        <v>318</v>
      </c>
      <c r="B179" s="56" t="s">
        <v>206</v>
      </c>
      <c r="C179" s="56" t="s">
        <v>308</v>
      </c>
    </row>
    <row r="180" spans="1:3" ht="18" customHeight="1" x14ac:dyDescent="0.35">
      <c r="A180" s="56" t="s">
        <v>319</v>
      </c>
      <c r="B180" s="56" t="s">
        <v>206</v>
      </c>
      <c r="C180" s="56" t="s">
        <v>320</v>
      </c>
    </row>
    <row r="181" spans="1:3" ht="18" customHeight="1" x14ac:dyDescent="0.35">
      <c r="A181" s="56" t="s">
        <v>321</v>
      </c>
      <c r="B181" s="56" t="s">
        <v>206</v>
      </c>
      <c r="C181" s="56" t="s">
        <v>320</v>
      </c>
    </row>
    <row r="182" spans="1:3" ht="18" customHeight="1" x14ac:dyDescent="0.35">
      <c r="A182" s="56" t="s">
        <v>322</v>
      </c>
      <c r="B182" s="56" t="s">
        <v>206</v>
      </c>
      <c r="C182" s="56" t="s">
        <v>320</v>
      </c>
    </row>
    <row r="183" spans="1:3" ht="18" customHeight="1" x14ac:dyDescent="0.35">
      <c r="A183" s="56" t="s">
        <v>323</v>
      </c>
      <c r="B183" s="56" t="s">
        <v>206</v>
      </c>
      <c r="C183" s="56" t="s">
        <v>320</v>
      </c>
    </row>
    <row r="184" spans="1:3" ht="18" customHeight="1" x14ac:dyDescent="0.35">
      <c r="A184" s="56" t="s">
        <v>324</v>
      </c>
      <c r="B184" s="56" t="s">
        <v>206</v>
      </c>
      <c r="C184" s="56" t="s">
        <v>325</v>
      </c>
    </row>
    <row r="185" spans="1:3" ht="18" customHeight="1" x14ac:dyDescent="0.35">
      <c r="A185" s="56" t="s">
        <v>326</v>
      </c>
      <c r="B185" s="56" t="s">
        <v>206</v>
      </c>
      <c r="C185" s="56" t="s">
        <v>325</v>
      </c>
    </row>
    <row r="186" spans="1:3" ht="18" customHeight="1" x14ac:dyDescent="0.35">
      <c r="A186" s="56" t="s">
        <v>327</v>
      </c>
      <c r="B186" s="56" t="s">
        <v>206</v>
      </c>
      <c r="C186" s="56" t="s">
        <v>325</v>
      </c>
    </row>
    <row r="187" spans="1:3" ht="18" customHeight="1" x14ac:dyDescent="0.35">
      <c r="A187" s="56" t="s">
        <v>328</v>
      </c>
      <c r="B187" s="56" t="s">
        <v>206</v>
      </c>
      <c r="C187" s="56" t="s">
        <v>325</v>
      </c>
    </row>
    <row r="188" spans="1:3" ht="18" customHeight="1" x14ac:dyDescent="0.35">
      <c r="A188" s="56" t="s">
        <v>329</v>
      </c>
      <c r="B188" s="56" t="s">
        <v>206</v>
      </c>
      <c r="C188" s="56" t="s">
        <v>330</v>
      </c>
    </row>
    <row r="189" spans="1:3" ht="18" customHeight="1" x14ac:dyDescent="0.35">
      <c r="A189" s="56" t="s">
        <v>331</v>
      </c>
      <c r="B189" s="56" t="s">
        <v>206</v>
      </c>
      <c r="C189" s="56" t="s">
        <v>330</v>
      </c>
    </row>
    <row r="190" spans="1:3" ht="18" customHeight="1" x14ac:dyDescent="0.35">
      <c r="A190" s="56" t="s">
        <v>332</v>
      </c>
      <c r="B190" s="56" t="s">
        <v>206</v>
      </c>
      <c r="C190" s="56" t="s">
        <v>330</v>
      </c>
    </row>
    <row r="191" spans="1:3" ht="18" customHeight="1" x14ac:dyDescent="0.35">
      <c r="A191" s="56" t="s">
        <v>333</v>
      </c>
      <c r="B191" s="56" t="s">
        <v>206</v>
      </c>
      <c r="C191" s="56" t="s">
        <v>330</v>
      </c>
    </row>
    <row r="192" spans="1:3" ht="18" customHeight="1" x14ac:dyDescent="0.35">
      <c r="A192" s="56" t="s">
        <v>334</v>
      </c>
      <c r="B192" s="56" t="s">
        <v>206</v>
      </c>
      <c r="C192" s="56" t="s">
        <v>335</v>
      </c>
    </row>
    <row r="193" spans="1:3" ht="18" customHeight="1" x14ac:dyDescent="0.35">
      <c r="A193" s="56" t="s">
        <v>336</v>
      </c>
      <c r="B193" s="56" t="s">
        <v>206</v>
      </c>
      <c r="C193" s="56" t="s">
        <v>335</v>
      </c>
    </row>
    <row r="194" spans="1:3" ht="18" customHeight="1" x14ac:dyDescent="0.35">
      <c r="A194" s="56" t="s">
        <v>337</v>
      </c>
      <c r="B194" s="56" t="s">
        <v>206</v>
      </c>
      <c r="C194" s="56" t="s">
        <v>335</v>
      </c>
    </row>
    <row r="195" spans="1:3" ht="18" customHeight="1" x14ac:dyDescent="0.35">
      <c r="A195" s="56" t="s">
        <v>338</v>
      </c>
      <c r="B195" s="56" t="s">
        <v>206</v>
      </c>
      <c r="C195" s="56" t="s">
        <v>335</v>
      </c>
    </row>
    <row r="196" spans="1:3" ht="18" customHeight="1" x14ac:dyDescent="0.35">
      <c r="A196" s="134" t="s">
        <v>339</v>
      </c>
      <c r="B196" s="134" t="s">
        <v>206</v>
      </c>
      <c r="C196" s="134" t="s">
        <v>340</v>
      </c>
    </row>
    <row r="197" spans="1:3" ht="18" customHeight="1" x14ac:dyDescent="0.35">
      <c r="A197" s="134" t="s">
        <v>341</v>
      </c>
      <c r="B197" s="134" t="s">
        <v>206</v>
      </c>
      <c r="C197" s="134" t="s">
        <v>340</v>
      </c>
    </row>
    <row r="198" spans="1:3" ht="18" customHeight="1" x14ac:dyDescent="0.35">
      <c r="A198" s="133" t="s">
        <v>342</v>
      </c>
      <c r="B198" s="133" t="s">
        <v>206</v>
      </c>
      <c r="C198" s="133" t="s">
        <v>340</v>
      </c>
    </row>
    <row r="199" spans="1:3" ht="18" customHeight="1" x14ac:dyDescent="0.35">
      <c r="A199" s="133" t="s">
        <v>343</v>
      </c>
      <c r="B199" s="133" t="s">
        <v>206</v>
      </c>
      <c r="C199" s="133" t="s">
        <v>340</v>
      </c>
    </row>
    <row r="200" spans="1:3" ht="18" customHeight="1" x14ac:dyDescent="0.35">
      <c r="A200" s="133" t="s">
        <v>344</v>
      </c>
      <c r="B200" s="133" t="s">
        <v>206</v>
      </c>
      <c r="C200" s="133" t="s">
        <v>340</v>
      </c>
    </row>
    <row r="201" spans="1:3" ht="18" customHeight="1" x14ac:dyDescent="0.35">
      <c r="A201" s="133" t="s">
        <v>345</v>
      </c>
      <c r="B201" s="133" t="s">
        <v>206</v>
      </c>
      <c r="C201" s="133" t="s">
        <v>340</v>
      </c>
    </row>
    <row r="202" spans="1:3" ht="18" customHeight="1" x14ac:dyDescent="0.35">
      <c r="A202" s="56" t="s">
        <v>346</v>
      </c>
      <c r="B202" s="56" t="s">
        <v>206</v>
      </c>
      <c r="C202" s="56" t="s">
        <v>347</v>
      </c>
    </row>
    <row r="203" spans="1:3" ht="18" customHeight="1" x14ac:dyDescent="0.35">
      <c r="A203" s="56" t="s">
        <v>348</v>
      </c>
      <c r="B203" s="56" t="s">
        <v>206</v>
      </c>
      <c r="C203" s="56" t="s">
        <v>347</v>
      </c>
    </row>
    <row r="204" spans="1:3" ht="18" customHeight="1" x14ac:dyDescent="0.35">
      <c r="A204" s="56" t="s">
        <v>349</v>
      </c>
      <c r="B204" s="56" t="s">
        <v>206</v>
      </c>
      <c r="C204" s="56" t="s">
        <v>347</v>
      </c>
    </row>
    <row r="205" spans="1:3" ht="18" customHeight="1" x14ac:dyDescent="0.35">
      <c r="A205" s="56" t="s">
        <v>350</v>
      </c>
      <c r="B205" s="56" t="s">
        <v>206</v>
      </c>
      <c r="C205" s="56" t="s">
        <v>347</v>
      </c>
    </row>
    <row r="206" spans="1:3" ht="18" customHeight="1" x14ac:dyDescent="0.35">
      <c r="A206" s="56" t="s">
        <v>351</v>
      </c>
      <c r="B206" s="56" t="s">
        <v>206</v>
      </c>
      <c r="C206" s="56" t="s">
        <v>347</v>
      </c>
    </row>
    <row r="207" spans="1:3" ht="18" customHeight="1" x14ac:dyDescent="0.35">
      <c r="A207" s="56" t="s">
        <v>352</v>
      </c>
      <c r="B207" s="56" t="s">
        <v>206</v>
      </c>
      <c r="C207" s="56" t="s">
        <v>353</v>
      </c>
    </row>
    <row r="208" spans="1:3" ht="18" customHeight="1" x14ac:dyDescent="0.35">
      <c r="A208" s="56" t="s">
        <v>354</v>
      </c>
      <c r="B208" s="56" t="s">
        <v>206</v>
      </c>
      <c r="C208" s="56" t="s">
        <v>353</v>
      </c>
    </row>
    <row r="209" spans="1:3" ht="18" customHeight="1" x14ac:dyDescent="0.35">
      <c r="A209" s="56" t="s">
        <v>355</v>
      </c>
      <c r="B209" s="56" t="s">
        <v>206</v>
      </c>
      <c r="C209" s="56" t="s">
        <v>353</v>
      </c>
    </row>
    <row r="210" spans="1:3" ht="18" customHeight="1" x14ac:dyDescent="0.35">
      <c r="A210" s="56" t="s">
        <v>356</v>
      </c>
      <c r="B210" s="56" t="s">
        <v>206</v>
      </c>
      <c r="C210" s="56" t="s">
        <v>353</v>
      </c>
    </row>
    <row r="211" spans="1:3" ht="18" customHeight="1" x14ac:dyDescent="0.35">
      <c r="A211" s="56" t="s">
        <v>357</v>
      </c>
      <c r="B211" s="56" t="s">
        <v>206</v>
      </c>
      <c r="C211" s="56" t="s">
        <v>358</v>
      </c>
    </row>
    <row r="212" spans="1:3" ht="18" customHeight="1" x14ac:dyDescent="0.35">
      <c r="A212" s="56" t="s">
        <v>359</v>
      </c>
      <c r="B212" s="56" t="s">
        <v>206</v>
      </c>
      <c r="C212" s="56" t="s">
        <v>358</v>
      </c>
    </row>
    <row r="213" spans="1:3" ht="18" customHeight="1" x14ac:dyDescent="0.35">
      <c r="A213" s="56" t="s">
        <v>360</v>
      </c>
      <c r="B213" s="56" t="s">
        <v>206</v>
      </c>
      <c r="C213" s="56" t="s">
        <v>358</v>
      </c>
    </row>
    <row r="214" spans="1:3" ht="18" customHeight="1" x14ac:dyDescent="0.35">
      <c r="A214" s="56" t="s">
        <v>361</v>
      </c>
      <c r="B214" s="56" t="s">
        <v>206</v>
      </c>
      <c r="C214" s="56" t="s">
        <v>362</v>
      </c>
    </row>
    <row r="215" spans="1:3" ht="18" customHeight="1" x14ac:dyDescent="0.35">
      <c r="A215" s="56" t="s">
        <v>363</v>
      </c>
      <c r="B215" s="56" t="s">
        <v>206</v>
      </c>
      <c r="C215" s="56" t="s">
        <v>362</v>
      </c>
    </row>
    <row r="216" spans="1:3" ht="18" customHeight="1" x14ac:dyDescent="0.35">
      <c r="A216" s="56" t="s">
        <v>364</v>
      </c>
      <c r="B216" s="56" t="s">
        <v>206</v>
      </c>
      <c r="C216" s="56" t="s">
        <v>362</v>
      </c>
    </row>
    <row r="217" spans="1:3" ht="18" customHeight="1" x14ac:dyDescent="0.35">
      <c r="A217" s="56" t="s">
        <v>365</v>
      </c>
      <c r="B217" s="56" t="s">
        <v>206</v>
      </c>
      <c r="C217" s="56" t="s">
        <v>362</v>
      </c>
    </row>
    <row r="218" spans="1:3" ht="18" customHeight="1" x14ac:dyDescent="0.35">
      <c r="A218" s="56" t="s">
        <v>366</v>
      </c>
      <c r="B218" s="56" t="s">
        <v>206</v>
      </c>
      <c r="C218" s="56" t="s">
        <v>367</v>
      </c>
    </row>
    <row r="219" spans="1:3" ht="18" customHeight="1" x14ac:dyDescent="0.35">
      <c r="A219" s="56" t="s">
        <v>368</v>
      </c>
      <c r="B219" s="56" t="s">
        <v>206</v>
      </c>
      <c r="C219" s="56" t="s">
        <v>367</v>
      </c>
    </row>
    <row r="220" spans="1:3" ht="18" customHeight="1" x14ac:dyDescent="0.35">
      <c r="A220" s="56" t="s">
        <v>369</v>
      </c>
      <c r="B220" s="56" t="s">
        <v>206</v>
      </c>
      <c r="C220" s="56" t="s">
        <v>370</v>
      </c>
    </row>
    <row r="221" spans="1:3" ht="18" customHeight="1" x14ac:dyDescent="0.35">
      <c r="A221" s="56" t="s">
        <v>371</v>
      </c>
      <c r="B221" s="56" t="s">
        <v>206</v>
      </c>
      <c r="C221" s="56" t="s">
        <v>370</v>
      </c>
    </row>
    <row r="222" spans="1:3" ht="18" customHeight="1" x14ac:dyDescent="0.35">
      <c r="A222" s="56" t="s">
        <v>372</v>
      </c>
      <c r="B222" s="56" t="s">
        <v>206</v>
      </c>
      <c r="C222" s="56" t="s">
        <v>370</v>
      </c>
    </row>
    <row r="223" spans="1:3" ht="18" customHeight="1" x14ac:dyDescent="0.35">
      <c r="A223" s="56" t="s">
        <v>373</v>
      </c>
      <c r="B223" s="56" t="s">
        <v>206</v>
      </c>
      <c r="C223" s="56" t="s">
        <v>370</v>
      </c>
    </row>
    <row r="224" spans="1:3" ht="18" customHeight="1" x14ac:dyDescent="0.35">
      <c r="A224" s="56" t="s">
        <v>374</v>
      </c>
      <c r="B224" s="56" t="s">
        <v>206</v>
      </c>
      <c r="C224" s="56" t="s">
        <v>375</v>
      </c>
    </row>
    <row r="225" spans="1:3" ht="18" customHeight="1" x14ac:dyDescent="0.35">
      <c r="A225" s="56" t="s">
        <v>376</v>
      </c>
      <c r="B225" s="56" t="s">
        <v>206</v>
      </c>
      <c r="C225" s="56" t="s">
        <v>375</v>
      </c>
    </row>
    <row r="226" spans="1:3" ht="18" customHeight="1" x14ac:dyDescent="0.35">
      <c r="A226" s="56" t="s">
        <v>377</v>
      </c>
      <c r="B226" s="56" t="s">
        <v>206</v>
      </c>
      <c r="C226" s="56" t="s">
        <v>378</v>
      </c>
    </row>
    <row r="227" spans="1:3" ht="18" customHeight="1" x14ac:dyDescent="0.35">
      <c r="A227" s="56" t="s">
        <v>379</v>
      </c>
      <c r="B227" s="56" t="s">
        <v>206</v>
      </c>
      <c r="C227" s="56" t="s">
        <v>378</v>
      </c>
    </row>
    <row r="228" spans="1:3" ht="18" customHeight="1" x14ac:dyDescent="0.35">
      <c r="A228" s="56" t="s">
        <v>380</v>
      </c>
      <c r="B228" s="56" t="s">
        <v>206</v>
      </c>
      <c r="C228" s="56" t="s">
        <v>378</v>
      </c>
    </row>
    <row r="229" spans="1:3" ht="18" customHeight="1" x14ac:dyDescent="0.35">
      <c r="A229" s="56" t="s">
        <v>381</v>
      </c>
      <c r="B229" s="56" t="s">
        <v>206</v>
      </c>
      <c r="C229" s="56" t="s">
        <v>378</v>
      </c>
    </row>
    <row r="230" spans="1:3" ht="18" customHeight="1" x14ac:dyDescent="0.35">
      <c r="A230" s="56" t="s">
        <v>382</v>
      </c>
      <c r="B230" s="56" t="s">
        <v>206</v>
      </c>
      <c r="C230" s="56" t="s">
        <v>383</v>
      </c>
    </row>
    <row r="231" spans="1:3" ht="18" customHeight="1" x14ac:dyDescent="0.35">
      <c r="A231" s="56" t="s">
        <v>384</v>
      </c>
      <c r="B231" s="56" t="s">
        <v>206</v>
      </c>
      <c r="C231" s="56" t="s">
        <v>383</v>
      </c>
    </row>
    <row r="232" spans="1:3" ht="18" customHeight="1" x14ac:dyDescent="0.35">
      <c r="A232" s="56" t="s">
        <v>385</v>
      </c>
      <c r="B232" s="56" t="s">
        <v>206</v>
      </c>
      <c r="C232" s="56" t="s">
        <v>383</v>
      </c>
    </row>
    <row r="233" spans="1:3" ht="18" customHeight="1" x14ac:dyDescent="0.35">
      <c r="A233" s="56" t="s">
        <v>386</v>
      </c>
      <c r="B233" s="56" t="s">
        <v>206</v>
      </c>
      <c r="C233" s="56" t="s">
        <v>383</v>
      </c>
    </row>
    <row r="234" spans="1:3" ht="18" customHeight="1" x14ac:dyDescent="0.35">
      <c r="A234" s="56" t="s">
        <v>387</v>
      </c>
      <c r="B234" s="56" t="s">
        <v>206</v>
      </c>
      <c r="C234" s="56" t="s">
        <v>388</v>
      </c>
    </row>
    <row r="235" spans="1:3" ht="18" customHeight="1" x14ac:dyDescent="0.35">
      <c r="A235" s="56" t="s">
        <v>389</v>
      </c>
      <c r="B235" s="56" t="s">
        <v>206</v>
      </c>
      <c r="C235" s="56" t="s">
        <v>388</v>
      </c>
    </row>
    <row r="236" spans="1:3" ht="18" customHeight="1" x14ac:dyDescent="0.35">
      <c r="A236" s="56" t="s">
        <v>390</v>
      </c>
      <c r="B236" s="56" t="s">
        <v>206</v>
      </c>
      <c r="C236" s="56" t="s">
        <v>388</v>
      </c>
    </row>
    <row r="237" spans="1:3" ht="18" customHeight="1" x14ac:dyDescent="0.35">
      <c r="A237" s="56" t="s">
        <v>391</v>
      </c>
      <c r="B237" s="56" t="s">
        <v>206</v>
      </c>
      <c r="C237" s="56" t="s">
        <v>388</v>
      </c>
    </row>
    <row r="238" spans="1:3" ht="18" customHeight="1" x14ac:dyDescent="0.35">
      <c r="A238" s="56" t="s">
        <v>392</v>
      </c>
      <c r="B238" s="56" t="s">
        <v>206</v>
      </c>
      <c r="C238" s="56" t="s">
        <v>393</v>
      </c>
    </row>
    <row r="239" spans="1:3" ht="18" customHeight="1" x14ac:dyDescent="0.35">
      <c r="A239" s="56" t="s">
        <v>394</v>
      </c>
      <c r="B239" s="56" t="s">
        <v>206</v>
      </c>
      <c r="C239" s="56" t="s">
        <v>393</v>
      </c>
    </row>
    <row r="240" spans="1:3" ht="18" customHeight="1" x14ac:dyDescent="0.35">
      <c r="A240" s="56" t="s">
        <v>395</v>
      </c>
      <c r="B240" s="56" t="s">
        <v>206</v>
      </c>
      <c r="C240" s="56" t="s">
        <v>393</v>
      </c>
    </row>
    <row r="241" spans="1:3" ht="18" customHeight="1" x14ac:dyDescent="0.35">
      <c r="A241" s="56" t="s">
        <v>396</v>
      </c>
      <c r="B241" s="56" t="s">
        <v>206</v>
      </c>
      <c r="C241" s="56" t="s">
        <v>397</v>
      </c>
    </row>
    <row r="242" spans="1:3" ht="18" customHeight="1" x14ac:dyDescent="0.35">
      <c r="A242" s="56" t="s">
        <v>398</v>
      </c>
      <c r="B242" s="56" t="s">
        <v>206</v>
      </c>
      <c r="C242" s="56" t="s">
        <v>397</v>
      </c>
    </row>
    <row r="243" spans="1:3" ht="18" customHeight="1" x14ac:dyDescent="0.35">
      <c r="A243" s="56" t="s">
        <v>399</v>
      </c>
      <c r="B243" s="56" t="s">
        <v>206</v>
      </c>
      <c r="C243" s="56" t="s">
        <v>397</v>
      </c>
    </row>
    <row r="244" spans="1:3" ht="18" customHeight="1" x14ac:dyDescent="0.35">
      <c r="A244" s="56" t="s">
        <v>400</v>
      </c>
      <c r="B244" s="56" t="s">
        <v>206</v>
      </c>
      <c r="C244" s="56" t="s">
        <v>397</v>
      </c>
    </row>
    <row r="245" spans="1:3" ht="18" customHeight="1" x14ac:dyDescent="0.35">
      <c r="A245" s="133" t="s">
        <v>401</v>
      </c>
      <c r="B245" s="133" t="s">
        <v>206</v>
      </c>
      <c r="C245" s="133" t="s">
        <v>402</v>
      </c>
    </row>
    <row r="246" spans="1:3" ht="18" customHeight="1" x14ac:dyDescent="0.35">
      <c r="A246" s="133" t="s">
        <v>403</v>
      </c>
      <c r="B246" s="133" t="s">
        <v>206</v>
      </c>
      <c r="C246" s="133" t="s">
        <v>402</v>
      </c>
    </row>
    <row r="247" spans="1:3" ht="18" customHeight="1" x14ac:dyDescent="0.35">
      <c r="A247" s="133" t="s">
        <v>404</v>
      </c>
      <c r="B247" s="133" t="s">
        <v>206</v>
      </c>
      <c r="C247" s="133" t="s">
        <v>402</v>
      </c>
    </row>
    <row r="248" spans="1:3" ht="18" customHeight="1" x14ac:dyDescent="0.35">
      <c r="A248" s="133" t="s">
        <v>405</v>
      </c>
      <c r="B248" s="133" t="s">
        <v>206</v>
      </c>
      <c r="C248" s="133" t="s">
        <v>402</v>
      </c>
    </row>
    <row r="249" spans="1:3" ht="18" customHeight="1" x14ac:dyDescent="0.35">
      <c r="A249" s="56" t="s">
        <v>406</v>
      </c>
      <c r="B249" s="56" t="s">
        <v>206</v>
      </c>
      <c r="C249" s="56" t="s">
        <v>407</v>
      </c>
    </row>
    <row r="250" spans="1:3" ht="18" customHeight="1" x14ac:dyDescent="0.35">
      <c r="A250" s="56" t="s">
        <v>408</v>
      </c>
      <c r="B250" s="56" t="s">
        <v>206</v>
      </c>
      <c r="C250" s="56" t="s">
        <v>407</v>
      </c>
    </row>
    <row r="251" spans="1:3" ht="18" customHeight="1" x14ac:dyDescent="0.35">
      <c r="A251" s="56" t="s">
        <v>409</v>
      </c>
      <c r="B251" s="56" t="s">
        <v>206</v>
      </c>
      <c r="C251" s="56" t="s">
        <v>407</v>
      </c>
    </row>
    <row r="252" spans="1:3" ht="18" customHeight="1" x14ac:dyDescent="0.35">
      <c r="A252" s="56" t="s">
        <v>410</v>
      </c>
      <c r="B252" s="56" t="s">
        <v>206</v>
      </c>
      <c r="C252" s="56" t="s">
        <v>407</v>
      </c>
    </row>
    <row r="253" spans="1:3" ht="18" customHeight="1" x14ac:dyDescent="0.35">
      <c r="A253" s="56" t="s">
        <v>411</v>
      </c>
      <c r="B253" s="56" t="s">
        <v>206</v>
      </c>
      <c r="C253" s="56" t="s">
        <v>412</v>
      </c>
    </row>
    <row r="254" spans="1:3" ht="18" customHeight="1" x14ac:dyDescent="0.35">
      <c r="A254" s="56" t="s">
        <v>413</v>
      </c>
      <c r="B254" s="56" t="s">
        <v>206</v>
      </c>
      <c r="C254" s="56" t="s">
        <v>412</v>
      </c>
    </row>
    <row r="255" spans="1:3" ht="18" customHeight="1" x14ac:dyDescent="0.35">
      <c r="A255" s="56" t="s">
        <v>414</v>
      </c>
      <c r="B255" s="56" t="s">
        <v>206</v>
      </c>
      <c r="C255" s="56" t="s">
        <v>412</v>
      </c>
    </row>
    <row r="256" spans="1:3" ht="18" customHeight="1" x14ac:dyDescent="0.35">
      <c r="A256" s="56" t="s">
        <v>415</v>
      </c>
      <c r="B256" s="56" t="s">
        <v>206</v>
      </c>
      <c r="C256" s="56" t="s">
        <v>416</v>
      </c>
    </row>
    <row r="257" spans="1:3" ht="18" customHeight="1" x14ac:dyDescent="0.35">
      <c r="A257" s="56" t="s">
        <v>417</v>
      </c>
      <c r="B257" s="56" t="s">
        <v>206</v>
      </c>
      <c r="C257" s="56" t="s">
        <v>416</v>
      </c>
    </row>
    <row r="258" spans="1:3" ht="18" customHeight="1" x14ac:dyDescent="0.35">
      <c r="A258" s="56" t="s">
        <v>418</v>
      </c>
      <c r="B258" s="56" t="s">
        <v>206</v>
      </c>
      <c r="C258" s="56" t="s">
        <v>419</v>
      </c>
    </row>
    <row r="259" spans="1:3" ht="18" customHeight="1" x14ac:dyDescent="0.35">
      <c r="A259" s="56" t="s">
        <v>420</v>
      </c>
      <c r="B259" s="56" t="s">
        <v>206</v>
      </c>
      <c r="C259" s="56" t="s">
        <v>419</v>
      </c>
    </row>
    <row r="260" spans="1:3" ht="18" customHeight="1" x14ac:dyDescent="0.35">
      <c r="A260" s="56" t="s">
        <v>421</v>
      </c>
      <c r="B260" s="56" t="s">
        <v>206</v>
      </c>
      <c r="C260" s="56" t="s">
        <v>419</v>
      </c>
    </row>
    <row r="261" spans="1:3" ht="18" customHeight="1" x14ac:dyDescent="0.35">
      <c r="A261" s="56" t="s">
        <v>422</v>
      </c>
      <c r="B261" s="56" t="s">
        <v>206</v>
      </c>
      <c r="C261" s="56" t="s">
        <v>419</v>
      </c>
    </row>
    <row r="262" spans="1:3" ht="18" customHeight="1" x14ac:dyDescent="0.35">
      <c r="A262" s="56" t="s">
        <v>423</v>
      </c>
      <c r="B262" s="56" t="s">
        <v>206</v>
      </c>
      <c r="C262" s="56" t="s">
        <v>424</v>
      </c>
    </row>
    <row r="263" spans="1:3" ht="18" customHeight="1" x14ac:dyDescent="0.35">
      <c r="A263" s="56" t="s">
        <v>425</v>
      </c>
      <c r="B263" s="56" t="s">
        <v>206</v>
      </c>
      <c r="C263" s="56" t="s">
        <v>424</v>
      </c>
    </row>
    <row r="264" spans="1:3" ht="18" customHeight="1" x14ac:dyDescent="0.35">
      <c r="A264" s="56" t="s">
        <v>426</v>
      </c>
      <c r="B264" s="56" t="s">
        <v>206</v>
      </c>
      <c r="C264" s="56" t="s">
        <v>424</v>
      </c>
    </row>
    <row r="265" spans="1:3" ht="18" customHeight="1" x14ac:dyDescent="0.35">
      <c r="A265" s="56" t="s">
        <v>427</v>
      </c>
      <c r="B265" s="56" t="s">
        <v>206</v>
      </c>
      <c r="C265" s="56" t="s">
        <v>424</v>
      </c>
    </row>
    <row r="266" spans="1:3" ht="18" customHeight="1" x14ac:dyDescent="0.35">
      <c r="A266" s="56" t="s">
        <v>428</v>
      </c>
      <c r="B266" s="56" t="s">
        <v>206</v>
      </c>
      <c r="C266" s="56" t="s">
        <v>429</v>
      </c>
    </row>
    <row r="267" spans="1:3" ht="18" customHeight="1" x14ac:dyDescent="0.35">
      <c r="A267" s="56" t="s">
        <v>430</v>
      </c>
      <c r="B267" s="56" t="s">
        <v>206</v>
      </c>
      <c r="C267" s="56" t="s">
        <v>429</v>
      </c>
    </row>
    <row r="268" spans="1:3" ht="18" customHeight="1" x14ac:dyDescent="0.35">
      <c r="A268" s="56" t="s">
        <v>431</v>
      </c>
      <c r="B268" s="56" t="s">
        <v>206</v>
      </c>
      <c r="C268" s="56" t="s">
        <v>429</v>
      </c>
    </row>
    <row r="269" spans="1:3" ht="18" customHeight="1" x14ac:dyDescent="0.35">
      <c r="A269" s="56" t="s">
        <v>432</v>
      </c>
      <c r="B269" s="56" t="s">
        <v>206</v>
      </c>
      <c r="C269" s="56" t="s">
        <v>429</v>
      </c>
    </row>
    <row r="270" spans="1:3" ht="18" customHeight="1" x14ac:dyDescent="0.35">
      <c r="A270" s="56" t="s">
        <v>433</v>
      </c>
      <c r="B270" s="56" t="s">
        <v>206</v>
      </c>
      <c r="C270" s="56" t="s">
        <v>434</v>
      </c>
    </row>
    <row r="271" spans="1:3" ht="18" customHeight="1" x14ac:dyDescent="0.35">
      <c r="A271" s="56" t="s">
        <v>435</v>
      </c>
      <c r="B271" s="56" t="s">
        <v>206</v>
      </c>
      <c r="C271" s="56" t="s">
        <v>434</v>
      </c>
    </row>
    <row r="272" spans="1:3" ht="18" customHeight="1" x14ac:dyDescent="0.35">
      <c r="A272" s="56" t="s">
        <v>436</v>
      </c>
      <c r="B272" s="56" t="s">
        <v>206</v>
      </c>
      <c r="C272" s="56" t="s">
        <v>434</v>
      </c>
    </row>
    <row r="273" spans="1:3" ht="18" customHeight="1" x14ac:dyDescent="0.35">
      <c r="A273" s="56" t="s">
        <v>437</v>
      </c>
      <c r="B273" s="56" t="s">
        <v>206</v>
      </c>
      <c r="C273" s="56" t="s">
        <v>434</v>
      </c>
    </row>
    <row r="274" spans="1:3" ht="18" customHeight="1" x14ac:dyDescent="0.35">
      <c r="A274" s="56" t="s">
        <v>438</v>
      </c>
      <c r="B274" s="56" t="s">
        <v>206</v>
      </c>
      <c r="C274" s="56" t="s">
        <v>439</v>
      </c>
    </row>
    <row r="275" spans="1:3" ht="18" customHeight="1" x14ac:dyDescent="0.35">
      <c r="A275" s="56" t="s">
        <v>440</v>
      </c>
      <c r="B275" s="56" t="s">
        <v>206</v>
      </c>
      <c r="C275" s="56" t="s">
        <v>439</v>
      </c>
    </row>
    <row r="276" spans="1:3" ht="18" customHeight="1" x14ac:dyDescent="0.35">
      <c r="A276" s="56" t="s">
        <v>441</v>
      </c>
      <c r="B276" s="56" t="s">
        <v>206</v>
      </c>
      <c r="C276" s="56" t="s">
        <v>439</v>
      </c>
    </row>
    <row r="277" spans="1:3" ht="18" customHeight="1" x14ac:dyDescent="0.35">
      <c r="A277" s="56" t="s">
        <v>442</v>
      </c>
      <c r="B277" s="56" t="s">
        <v>206</v>
      </c>
      <c r="C277" s="57" t="s">
        <v>443</v>
      </c>
    </row>
    <row r="278" spans="1:3" ht="18" customHeight="1" x14ac:dyDescent="0.35">
      <c r="A278" s="56" t="s">
        <v>444</v>
      </c>
      <c r="B278" s="56" t="s">
        <v>206</v>
      </c>
      <c r="C278" s="57" t="s">
        <v>443</v>
      </c>
    </row>
    <row r="279" spans="1:3" ht="18" customHeight="1" x14ac:dyDescent="0.35">
      <c r="A279" s="56" t="s">
        <v>445</v>
      </c>
      <c r="B279" s="56" t="s">
        <v>206</v>
      </c>
      <c r="C279" s="56" t="s">
        <v>446</v>
      </c>
    </row>
    <row r="280" spans="1:3" ht="18" customHeight="1" x14ac:dyDescent="0.35">
      <c r="A280" s="56" t="s">
        <v>447</v>
      </c>
      <c r="B280" s="56" t="s">
        <v>206</v>
      </c>
      <c r="C280" s="56" t="s">
        <v>446</v>
      </c>
    </row>
    <row r="281" spans="1:3" ht="18" customHeight="1" x14ac:dyDescent="0.35">
      <c r="A281" s="56" t="s">
        <v>448</v>
      </c>
      <c r="B281" s="56" t="s">
        <v>206</v>
      </c>
      <c r="C281" s="56" t="s">
        <v>446</v>
      </c>
    </row>
    <row r="282" spans="1:3" ht="18" customHeight="1" x14ac:dyDescent="0.35">
      <c r="A282" s="56" t="s">
        <v>449</v>
      </c>
      <c r="B282" s="56" t="s">
        <v>206</v>
      </c>
      <c r="C282" s="56" t="s">
        <v>446</v>
      </c>
    </row>
    <row r="283" spans="1:3" ht="18" customHeight="1" x14ac:dyDescent="0.35">
      <c r="A283" s="56" t="s">
        <v>450</v>
      </c>
      <c r="B283" s="56" t="s">
        <v>206</v>
      </c>
      <c r="C283" s="56" t="s">
        <v>451</v>
      </c>
    </row>
    <row r="284" spans="1:3" ht="18" customHeight="1" x14ac:dyDescent="0.35">
      <c r="A284" s="56" t="s">
        <v>452</v>
      </c>
      <c r="B284" s="56" t="s">
        <v>206</v>
      </c>
      <c r="C284" s="56" t="s">
        <v>451</v>
      </c>
    </row>
    <row r="285" spans="1:3" ht="18" customHeight="1" x14ac:dyDescent="0.35">
      <c r="A285" s="56" t="s">
        <v>453</v>
      </c>
      <c r="B285" s="56" t="s">
        <v>206</v>
      </c>
      <c r="C285" s="56" t="s">
        <v>454</v>
      </c>
    </row>
    <row r="286" spans="1:3" ht="18" customHeight="1" x14ac:dyDescent="0.35">
      <c r="A286" s="56" t="s">
        <v>455</v>
      </c>
      <c r="B286" s="56" t="s">
        <v>206</v>
      </c>
      <c r="C286" s="56" t="s">
        <v>454</v>
      </c>
    </row>
    <row r="287" spans="1:3" ht="18" customHeight="1" x14ac:dyDescent="0.35">
      <c r="A287" s="56" t="s">
        <v>456</v>
      </c>
      <c r="B287" s="56" t="s">
        <v>206</v>
      </c>
      <c r="C287" s="56" t="s">
        <v>454</v>
      </c>
    </row>
    <row r="288" spans="1:3" ht="18" customHeight="1" x14ac:dyDescent="0.35">
      <c r="A288" s="56" t="s">
        <v>457</v>
      </c>
      <c r="B288" s="56" t="s">
        <v>206</v>
      </c>
      <c r="C288" s="56" t="s">
        <v>454</v>
      </c>
    </row>
    <row r="289" spans="1:3" ht="18" customHeight="1" x14ac:dyDescent="0.35">
      <c r="A289" s="56" t="s">
        <v>458</v>
      </c>
      <c r="B289" s="56" t="s">
        <v>206</v>
      </c>
      <c r="C289" s="56" t="s">
        <v>459</v>
      </c>
    </row>
    <row r="290" spans="1:3" ht="18" customHeight="1" x14ac:dyDescent="0.35">
      <c r="A290" s="56" t="s">
        <v>460</v>
      </c>
      <c r="B290" s="56" t="s">
        <v>206</v>
      </c>
      <c r="C290" s="56" t="s">
        <v>459</v>
      </c>
    </row>
    <row r="291" spans="1:3" ht="18" customHeight="1" x14ac:dyDescent="0.35">
      <c r="A291" s="56" t="s">
        <v>461</v>
      </c>
      <c r="B291" s="56" t="s">
        <v>206</v>
      </c>
      <c r="C291" s="56" t="s">
        <v>459</v>
      </c>
    </row>
    <row r="292" spans="1:3" ht="18" customHeight="1" x14ac:dyDescent="0.35">
      <c r="A292" s="56" t="s">
        <v>462</v>
      </c>
      <c r="B292" s="56" t="s">
        <v>206</v>
      </c>
      <c r="C292" s="56" t="s">
        <v>459</v>
      </c>
    </row>
    <row r="293" spans="1:3" ht="18" customHeight="1" x14ac:dyDescent="0.35">
      <c r="A293" s="56" t="s">
        <v>463</v>
      </c>
      <c r="B293" s="56" t="s">
        <v>206</v>
      </c>
      <c r="C293" s="56" t="s">
        <v>459</v>
      </c>
    </row>
    <row r="294" spans="1:3" ht="18" customHeight="1" x14ac:dyDescent="0.35">
      <c r="A294" s="56" t="s">
        <v>464</v>
      </c>
      <c r="B294" s="56" t="s">
        <v>206</v>
      </c>
      <c r="C294" s="56" t="s">
        <v>459</v>
      </c>
    </row>
    <row r="295" spans="1:3" ht="18" customHeight="1" x14ac:dyDescent="0.35">
      <c r="A295" s="56" t="s">
        <v>465</v>
      </c>
      <c r="B295" s="56" t="s">
        <v>206</v>
      </c>
      <c r="C295" s="56" t="s">
        <v>466</v>
      </c>
    </row>
    <row r="296" spans="1:3" ht="18" customHeight="1" x14ac:dyDescent="0.35">
      <c r="A296" s="56" t="s">
        <v>467</v>
      </c>
      <c r="B296" s="56" t="s">
        <v>206</v>
      </c>
      <c r="C296" s="56" t="s">
        <v>466</v>
      </c>
    </row>
    <row r="297" spans="1:3" ht="18" customHeight="1" x14ac:dyDescent="0.35">
      <c r="A297" s="56" t="s">
        <v>468</v>
      </c>
      <c r="B297" s="56" t="s">
        <v>206</v>
      </c>
      <c r="C297" s="56" t="s">
        <v>466</v>
      </c>
    </row>
    <row r="298" spans="1:3" ht="18" customHeight="1" x14ac:dyDescent="0.35">
      <c r="A298" s="56" t="s">
        <v>469</v>
      </c>
      <c r="B298" s="56" t="s">
        <v>206</v>
      </c>
      <c r="C298" s="56" t="s">
        <v>466</v>
      </c>
    </row>
    <row r="299" spans="1:3" ht="18" customHeight="1" x14ac:dyDescent="0.35">
      <c r="A299" s="56" t="s">
        <v>470</v>
      </c>
      <c r="B299" s="56" t="s">
        <v>206</v>
      </c>
      <c r="C299" s="56" t="s">
        <v>471</v>
      </c>
    </row>
    <row r="300" spans="1:3" ht="18" customHeight="1" x14ac:dyDescent="0.35">
      <c r="A300" s="56" t="s">
        <v>472</v>
      </c>
      <c r="B300" s="56" t="s">
        <v>206</v>
      </c>
      <c r="C300" s="56" t="s">
        <v>471</v>
      </c>
    </row>
    <row r="301" spans="1:3" ht="18" customHeight="1" x14ac:dyDescent="0.35">
      <c r="A301" s="56" t="s">
        <v>473</v>
      </c>
      <c r="B301" s="56" t="s">
        <v>206</v>
      </c>
      <c r="C301" s="56" t="s">
        <v>474</v>
      </c>
    </row>
    <row r="302" spans="1:3" ht="18" customHeight="1" x14ac:dyDescent="0.35">
      <c r="A302" s="56" t="s">
        <v>475</v>
      </c>
      <c r="B302" s="56" t="s">
        <v>206</v>
      </c>
      <c r="C302" s="56" t="s">
        <v>474</v>
      </c>
    </row>
    <row r="303" spans="1:3" ht="18" customHeight="1" x14ac:dyDescent="0.35">
      <c r="A303" s="56" t="s">
        <v>476</v>
      </c>
      <c r="B303" s="56" t="s">
        <v>206</v>
      </c>
      <c r="C303" s="56" t="s">
        <v>474</v>
      </c>
    </row>
    <row r="304" spans="1:3" ht="18" customHeight="1" x14ac:dyDescent="0.35">
      <c r="A304" s="56" t="s">
        <v>477</v>
      </c>
      <c r="B304" s="56" t="s">
        <v>206</v>
      </c>
      <c r="C304" s="56" t="s">
        <v>474</v>
      </c>
    </row>
    <row r="305" spans="1:3" ht="18" customHeight="1" x14ac:dyDescent="0.35">
      <c r="A305" s="56" t="s">
        <v>478</v>
      </c>
      <c r="B305" s="56" t="s">
        <v>206</v>
      </c>
      <c r="C305" s="56" t="s">
        <v>479</v>
      </c>
    </row>
    <row r="306" spans="1:3" ht="18" customHeight="1" x14ac:dyDescent="0.35">
      <c r="A306" s="56" t="s">
        <v>480</v>
      </c>
      <c r="B306" s="56" t="s">
        <v>206</v>
      </c>
      <c r="C306" s="56" t="s">
        <v>479</v>
      </c>
    </row>
    <row r="307" spans="1:3" ht="18" customHeight="1" x14ac:dyDescent="0.35">
      <c r="A307" s="56" t="s">
        <v>481</v>
      </c>
      <c r="B307" s="56" t="s">
        <v>206</v>
      </c>
      <c r="C307" s="56" t="s">
        <v>479</v>
      </c>
    </row>
    <row r="308" spans="1:3" ht="18" customHeight="1" x14ac:dyDescent="0.35">
      <c r="A308" s="56" t="s">
        <v>482</v>
      </c>
      <c r="B308" s="56" t="s">
        <v>206</v>
      </c>
      <c r="C308" s="56" t="s">
        <v>479</v>
      </c>
    </row>
    <row r="309" spans="1:3" ht="18" customHeight="1" x14ac:dyDescent="0.35">
      <c r="A309" s="56" t="s">
        <v>483</v>
      </c>
      <c r="B309" s="56" t="s">
        <v>484</v>
      </c>
      <c r="C309" s="56" t="s">
        <v>485</v>
      </c>
    </row>
    <row r="310" spans="1:3" ht="18" customHeight="1" x14ac:dyDescent="0.35">
      <c r="A310" s="56" t="s">
        <v>486</v>
      </c>
      <c r="B310" s="56" t="s">
        <v>484</v>
      </c>
      <c r="C310" s="56" t="s">
        <v>485</v>
      </c>
    </row>
    <row r="311" spans="1:3" ht="18" customHeight="1" x14ac:dyDescent="0.35">
      <c r="A311" s="56" t="s">
        <v>487</v>
      </c>
      <c r="B311" s="56" t="s">
        <v>484</v>
      </c>
      <c r="C311" s="56" t="s">
        <v>485</v>
      </c>
    </row>
    <row r="312" spans="1:3" ht="18" customHeight="1" x14ac:dyDescent="0.35">
      <c r="A312" s="56" t="s">
        <v>488</v>
      </c>
      <c r="B312" s="56" t="s">
        <v>484</v>
      </c>
      <c r="C312" s="56" t="s">
        <v>485</v>
      </c>
    </row>
    <row r="313" spans="1:3" ht="18" customHeight="1" x14ac:dyDescent="0.35">
      <c r="A313" s="56" t="s">
        <v>489</v>
      </c>
      <c r="B313" s="56" t="s">
        <v>484</v>
      </c>
      <c r="C313" s="56" t="s">
        <v>485</v>
      </c>
    </row>
    <row r="314" spans="1:3" ht="18" customHeight="1" x14ac:dyDescent="0.35">
      <c r="A314" s="56" t="s">
        <v>490</v>
      </c>
      <c r="B314" s="56" t="s">
        <v>484</v>
      </c>
      <c r="C314" s="56" t="s">
        <v>485</v>
      </c>
    </row>
    <row r="315" spans="1:3" ht="18" customHeight="1" x14ac:dyDescent="0.35">
      <c r="A315" s="56" t="s">
        <v>491</v>
      </c>
      <c r="B315" s="56" t="s">
        <v>484</v>
      </c>
      <c r="C315" s="56" t="s">
        <v>485</v>
      </c>
    </row>
    <row r="316" spans="1:3" ht="18" customHeight="1" x14ac:dyDescent="0.35">
      <c r="A316" s="56" t="s">
        <v>492</v>
      </c>
      <c r="B316" s="56" t="s">
        <v>484</v>
      </c>
      <c r="C316" s="56" t="s">
        <v>485</v>
      </c>
    </row>
    <row r="317" spans="1:3" ht="18" customHeight="1" x14ac:dyDescent="0.35">
      <c r="A317" s="56" t="s">
        <v>493</v>
      </c>
      <c r="B317" s="56" t="s">
        <v>484</v>
      </c>
      <c r="C317" s="56" t="s">
        <v>485</v>
      </c>
    </row>
    <row r="318" spans="1:3" ht="18" customHeight="1" x14ac:dyDescent="0.35">
      <c r="A318" s="56" t="s">
        <v>494</v>
      </c>
      <c r="B318" s="56" t="s">
        <v>484</v>
      </c>
      <c r="C318" s="56" t="s">
        <v>485</v>
      </c>
    </row>
    <row r="319" spans="1:3" ht="18" customHeight="1" x14ac:dyDescent="0.35">
      <c r="A319" s="56" t="s">
        <v>495</v>
      </c>
      <c r="B319" s="56" t="s">
        <v>484</v>
      </c>
      <c r="C319" s="56" t="s">
        <v>496</v>
      </c>
    </row>
    <row r="320" spans="1:3" ht="18" customHeight="1" x14ac:dyDescent="0.35">
      <c r="A320" s="56" t="s">
        <v>497</v>
      </c>
      <c r="B320" s="56" t="s">
        <v>484</v>
      </c>
      <c r="C320" s="56" t="s">
        <v>496</v>
      </c>
    </row>
    <row r="321" spans="1:3" ht="18" customHeight="1" x14ac:dyDescent="0.35">
      <c r="A321" s="56" t="s">
        <v>498</v>
      </c>
      <c r="B321" s="56" t="s">
        <v>484</v>
      </c>
      <c r="C321" s="56" t="s">
        <v>496</v>
      </c>
    </row>
    <row r="322" spans="1:3" ht="18" customHeight="1" x14ac:dyDescent="0.35">
      <c r="A322" s="56" t="s">
        <v>499</v>
      </c>
      <c r="B322" s="56" t="s">
        <v>484</v>
      </c>
      <c r="C322" s="56" t="s">
        <v>496</v>
      </c>
    </row>
    <row r="323" spans="1:3" ht="18" customHeight="1" x14ac:dyDescent="0.35">
      <c r="A323" s="56" t="s">
        <v>500</v>
      </c>
      <c r="B323" s="56" t="s">
        <v>484</v>
      </c>
      <c r="C323" s="56" t="s">
        <v>496</v>
      </c>
    </row>
    <row r="324" spans="1:3" ht="18" customHeight="1" x14ac:dyDescent="0.35">
      <c r="A324" s="56" t="s">
        <v>501</v>
      </c>
      <c r="B324" s="56" t="s">
        <v>484</v>
      </c>
      <c r="C324" s="56" t="s">
        <v>496</v>
      </c>
    </row>
    <row r="325" spans="1:3" ht="18" customHeight="1" x14ac:dyDescent="0.35">
      <c r="A325" s="56" t="s">
        <v>502</v>
      </c>
      <c r="B325" s="56" t="s">
        <v>484</v>
      </c>
      <c r="C325" s="56" t="s">
        <v>496</v>
      </c>
    </row>
    <row r="326" spans="1:3" ht="18" customHeight="1" x14ac:dyDescent="0.35">
      <c r="A326" s="56" t="s">
        <v>503</v>
      </c>
      <c r="B326" s="56" t="s">
        <v>484</v>
      </c>
      <c r="C326" s="56" t="s">
        <v>496</v>
      </c>
    </row>
    <row r="327" spans="1:3" ht="18" customHeight="1" x14ac:dyDescent="0.35">
      <c r="A327" s="56" t="s">
        <v>504</v>
      </c>
      <c r="B327" s="56" t="s">
        <v>484</v>
      </c>
      <c r="C327" s="56" t="s">
        <v>496</v>
      </c>
    </row>
    <row r="328" spans="1:3" ht="18" customHeight="1" x14ac:dyDescent="0.35">
      <c r="A328" s="56" t="s">
        <v>505</v>
      </c>
      <c r="B328" s="56" t="s">
        <v>484</v>
      </c>
      <c r="C328" s="56" t="s">
        <v>496</v>
      </c>
    </row>
    <row r="329" spans="1:3" ht="18" customHeight="1" x14ac:dyDescent="0.35">
      <c r="A329" s="56" t="s">
        <v>506</v>
      </c>
      <c r="B329" s="56" t="s">
        <v>484</v>
      </c>
      <c r="C329" s="56" t="s">
        <v>496</v>
      </c>
    </row>
    <row r="330" spans="1:3" ht="18" customHeight="1" x14ac:dyDescent="0.35">
      <c r="A330" s="56" t="s">
        <v>507</v>
      </c>
      <c r="B330" s="56" t="s">
        <v>484</v>
      </c>
      <c r="C330" s="56" t="s">
        <v>496</v>
      </c>
    </row>
    <row r="331" spans="1:3" ht="18" customHeight="1" x14ac:dyDescent="0.35">
      <c r="A331" s="56" t="s">
        <v>508</v>
      </c>
      <c r="B331" s="56" t="s">
        <v>484</v>
      </c>
      <c r="C331" s="56" t="s">
        <v>496</v>
      </c>
    </row>
    <row r="332" spans="1:3" ht="18" customHeight="1" x14ac:dyDescent="0.35">
      <c r="A332" s="56" t="s">
        <v>509</v>
      </c>
      <c r="B332" s="56" t="s">
        <v>484</v>
      </c>
      <c r="C332" s="56" t="s">
        <v>496</v>
      </c>
    </row>
    <row r="333" spans="1:3" ht="18" customHeight="1" x14ac:dyDescent="0.35">
      <c r="A333" s="56" t="s">
        <v>510</v>
      </c>
      <c r="B333" s="56" t="s">
        <v>484</v>
      </c>
      <c r="C333" s="56" t="s">
        <v>496</v>
      </c>
    </row>
    <row r="334" spans="1:3" ht="18" customHeight="1" x14ac:dyDescent="0.35">
      <c r="A334" s="56" t="s">
        <v>511</v>
      </c>
      <c r="B334" s="56" t="s">
        <v>484</v>
      </c>
      <c r="C334" s="56" t="s">
        <v>496</v>
      </c>
    </row>
    <row r="335" spans="1:3" ht="18" customHeight="1" x14ac:dyDescent="0.35">
      <c r="A335" s="56" t="s">
        <v>512</v>
      </c>
      <c r="B335" s="56" t="s">
        <v>484</v>
      </c>
      <c r="C335" s="56" t="s">
        <v>496</v>
      </c>
    </row>
    <row r="336" spans="1:3" ht="18" customHeight="1" x14ac:dyDescent="0.35">
      <c r="A336" s="56" t="s">
        <v>513</v>
      </c>
      <c r="B336" s="56" t="s">
        <v>484</v>
      </c>
      <c r="C336" s="56" t="s">
        <v>496</v>
      </c>
    </row>
    <row r="337" spans="1:3" ht="18" customHeight="1" x14ac:dyDescent="0.35">
      <c r="A337" s="56" t="s">
        <v>514</v>
      </c>
      <c r="B337" s="56" t="s">
        <v>484</v>
      </c>
      <c r="C337" s="56" t="s">
        <v>496</v>
      </c>
    </row>
    <row r="338" spans="1:3" ht="18" customHeight="1" x14ac:dyDescent="0.35">
      <c r="A338" s="56" t="s">
        <v>515</v>
      </c>
      <c r="B338" s="56" t="s">
        <v>484</v>
      </c>
      <c r="C338" s="56" t="s">
        <v>496</v>
      </c>
    </row>
    <row r="339" spans="1:3" ht="18" customHeight="1" x14ac:dyDescent="0.35">
      <c r="A339" s="56" t="s">
        <v>516</v>
      </c>
      <c r="B339" s="56" t="s">
        <v>484</v>
      </c>
      <c r="C339" s="56" t="s">
        <v>496</v>
      </c>
    </row>
    <row r="340" spans="1:3" ht="18" customHeight="1" x14ac:dyDescent="0.35">
      <c r="A340" s="56" t="s">
        <v>517</v>
      </c>
      <c r="B340" s="56" t="s">
        <v>484</v>
      </c>
      <c r="C340" s="56" t="s">
        <v>496</v>
      </c>
    </row>
    <row r="341" spans="1:3" ht="18" customHeight="1" x14ac:dyDescent="0.35">
      <c r="A341" s="56" t="s">
        <v>518</v>
      </c>
      <c r="B341" s="56" t="s">
        <v>484</v>
      </c>
      <c r="C341" s="56" t="s">
        <v>496</v>
      </c>
    </row>
    <row r="342" spans="1:3" ht="18" customHeight="1" x14ac:dyDescent="0.35">
      <c r="A342" s="56" t="s">
        <v>519</v>
      </c>
      <c r="B342" s="56" t="s">
        <v>484</v>
      </c>
      <c r="C342" s="56" t="s">
        <v>496</v>
      </c>
    </row>
  </sheetData>
  <autoFilter ref="A1:C347" xr:uid="{29909E9A-CB7A-4F0F-BC90-605086AF3A1A}">
    <sortState xmlns:xlrd2="http://schemas.microsoft.com/office/spreadsheetml/2017/richdata2" ref="A2:C347">
      <sortCondition ref="A1:A347"/>
    </sortState>
  </autoFilter>
  <sortState xmlns:xlrd2="http://schemas.microsoft.com/office/spreadsheetml/2017/richdata2" ref="A2:C342">
    <sortCondition ref="B2:B342"/>
    <sortCondition ref="C2:C342"/>
    <sortCondition ref="A2:A342"/>
  </sortState>
  <phoneticPr fontId="8" type="noConversion"/>
  <conditionalFormatting sqref="A1:A1048576">
    <cfRule type="duplicateValues" dxfId="15" priority="12"/>
  </conditionalFormatting>
  <conditionalFormatting sqref="F2:F8 G25 F23 G3:G22">
    <cfRule type="duplicateValues" dxfId="14" priority="4"/>
  </conditionalFormatting>
  <conditionalFormatting sqref="F1">
    <cfRule type="duplicateValues" dxfId="13" priority="2"/>
  </conditionalFormatting>
  <conditionalFormatting sqref="F1">
    <cfRule type="duplicateValues" dxfId="12" priority="3"/>
  </conditionalFormatting>
  <conditionalFormatting sqref="A1:A347">
    <cfRule type="duplicateValues" dxfId="11" priority="48"/>
  </conditionalFormatting>
  <conditionalFormatting sqref="G25:G1048576 G1:G23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6E6B-9526-410A-B55A-B1DA1D0CBD30}">
  <sheetPr codeName="Hoja4"/>
  <dimension ref="A1:I41"/>
  <sheetViews>
    <sheetView topLeftCell="H2" workbookViewId="0">
      <selection activeCell="H2" sqref="H2"/>
    </sheetView>
  </sheetViews>
  <sheetFormatPr baseColWidth="10" defaultColWidth="11.453125" defaultRowHeight="14.5" x14ac:dyDescent="0.35"/>
  <cols>
    <col min="1" max="1" width="16.453125" customWidth="1"/>
    <col min="2" max="2" width="33.54296875" customWidth="1"/>
    <col min="3" max="3" width="32.81640625" customWidth="1"/>
    <col min="8" max="8" width="36.453125" customWidth="1"/>
    <col min="9" max="9" width="20.54296875" customWidth="1"/>
  </cols>
  <sheetData>
    <row r="1" spans="1:9" x14ac:dyDescent="0.35">
      <c r="A1" s="8" t="s">
        <v>520</v>
      </c>
      <c r="B1" s="8" t="s">
        <v>521</v>
      </c>
      <c r="C1" s="8" t="s">
        <v>522</v>
      </c>
      <c r="D1" s="8" t="s">
        <v>523</v>
      </c>
      <c r="E1" s="8" t="s">
        <v>524</v>
      </c>
      <c r="F1" s="8" t="s">
        <v>525</v>
      </c>
      <c r="G1" s="8" t="s">
        <v>526</v>
      </c>
      <c r="H1" s="8" t="s">
        <v>527</v>
      </c>
      <c r="I1" s="8" t="s">
        <v>528</v>
      </c>
    </row>
    <row r="2" spans="1:9" x14ac:dyDescent="0.35">
      <c r="A2" t="s">
        <v>42</v>
      </c>
      <c r="B2" s="39" t="s">
        <v>529</v>
      </c>
      <c r="C2" t="s">
        <v>47</v>
      </c>
      <c r="D2">
        <v>1</v>
      </c>
      <c r="E2" t="s">
        <v>530</v>
      </c>
      <c r="F2" t="s">
        <v>531</v>
      </c>
      <c r="G2" t="s">
        <v>532</v>
      </c>
      <c r="H2" t="s">
        <v>533</v>
      </c>
      <c r="I2" t="s">
        <v>534</v>
      </c>
    </row>
    <row r="3" spans="1:9" x14ac:dyDescent="0.35">
      <c r="A3" t="s">
        <v>535</v>
      </c>
      <c r="B3" s="39" t="s">
        <v>536</v>
      </c>
      <c r="C3" t="s">
        <v>537</v>
      </c>
      <c r="D3">
        <v>2</v>
      </c>
      <c r="E3" t="s">
        <v>538</v>
      </c>
      <c r="F3" t="s">
        <v>45</v>
      </c>
      <c r="G3" t="s">
        <v>539</v>
      </c>
      <c r="H3" t="s">
        <v>540</v>
      </c>
      <c r="I3" t="s">
        <v>30</v>
      </c>
    </row>
    <row r="4" spans="1:9" x14ac:dyDescent="0.35">
      <c r="B4" s="39" t="s">
        <v>541</v>
      </c>
      <c r="C4" t="s">
        <v>542</v>
      </c>
      <c r="D4">
        <v>3</v>
      </c>
      <c r="E4" t="s">
        <v>543</v>
      </c>
      <c r="F4" t="s">
        <v>544</v>
      </c>
      <c r="H4" t="s">
        <v>545</v>
      </c>
      <c r="I4" t="s">
        <v>546</v>
      </c>
    </row>
    <row r="5" spans="1:9" x14ac:dyDescent="0.35">
      <c r="B5" s="39" t="s">
        <v>547</v>
      </c>
      <c r="C5" t="s">
        <v>548</v>
      </c>
      <c r="D5">
        <v>4</v>
      </c>
      <c r="E5" t="s">
        <v>549</v>
      </c>
      <c r="F5" t="s">
        <v>550</v>
      </c>
      <c r="H5" t="s">
        <v>551</v>
      </c>
    </row>
    <row r="6" spans="1:9" x14ac:dyDescent="0.35">
      <c r="B6" s="38" t="s">
        <v>552</v>
      </c>
      <c r="C6" t="s">
        <v>544</v>
      </c>
      <c r="E6" t="s">
        <v>553</v>
      </c>
      <c r="H6" t="s">
        <v>554</v>
      </c>
    </row>
    <row r="7" spans="1:9" x14ac:dyDescent="0.35">
      <c r="B7" s="38" t="s">
        <v>555</v>
      </c>
      <c r="C7" t="s">
        <v>550</v>
      </c>
      <c r="E7" t="s">
        <v>556</v>
      </c>
      <c r="H7" t="s">
        <v>557</v>
      </c>
    </row>
    <row r="8" spans="1:9" x14ac:dyDescent="0.35">
      <c r="B8" s="38" t="s">
        <v>40</v>
      </c>
      <c r="H8" t="s">
        <v>558</v>
      </c>
    </row>
    <row r="9" spans="1:9" x14ac:dyDescent="0.35">
      <c r="B9" s="38" t="s">
        <v>559</v>
      </c>
      <c r="H9" t="s">
        <v>560</v>
      </c>
    </row>
    <row r="10" spans="1:9" x14ac:dyDescent="0.35">
      <c r="B10" s="38" t="s">
        <v>561</v>
      </c>
      <c r="H10" t="s">
        <v>562</v>
      </c>
    </row>
    <row r="11" spans="1:9" x14ac:dyDescent="0.35">
      <c r="H11" t="s">
        <v>563</v>
      </c>
    </row>
    <row r="12" spans="1:9" x14ac:dyDescent="0.35">
      <c r="H12" t="s">
        <v>564</v>
      </c>
    </row>
    <row r="13" spans="1:9" x14ac:dyDescent="0.35">
      <c r="H13" t="s">
        <v>565</v>
      </c>
    </row>
    <row r="14" spans="1:9" x14ac:dyDescent="0.35">
      <c r="H14" t="s">
        <v>566</v>
      </c>
    </row>
    <row r="15" spans="1:9" x14ac:dyDescent="0.35">
      <c r="H15" t="s">
        <v>567</v>
      </c>
    </row>
    <row r="16" spans="1:9" x14ac:dyDescent="0.35">
      <c r="H16" t="s">
        <v>568</v>
      </c>
    </row>
    <row r="17" spans="8:8" x14ac:dyDescent="0.35">
      <c r="H17" t="s">
        <v>569</v>
      </c>
    </row>
    <row r="18" spans="8:8" x14ac:dyDescent="0.35">
      <c r="H18" t="s">
        <v>570</v>
      </c>
    </row>
    <row r="19" spans="8:8" x14ac:dyDescent="0.35">
      <c r="H19" t="s">
        <v>571</v>
      </c>
    </row>
    <row r="20" spans="8:8" x14ac:dyDescent="0.35">
      <c r="H20" t="s">
        <v>572</v>
      </c>
    </row>
    <row r="21" spans="8:8" x14ac:dyDescent="0.35">
      <c r="H21" t="s">
        <v>573</v>
      </c>
    </row>
    <row r="22" spans="8:8" x14ac:dyDescent="0.35">
      <c r="H22" t="s">
        <v>574</v>
      </c>
    </row>
    <row r="23" spans="8:8" x14ac:dyDescent="0.35">
      <c r="H23" t="s">
        <v>575</v>
      </c>
    </row>
    <row r="24" spans="8:8" x14ac:dyDescent="0.35">
      <c r="H24" t="s">
        <v>576</v>
      </c>
    </row>
    <row r="25" spans="8:8" x14ac:dyDescent="0.35">
      <c r="H25" t="s">
        <v>577</v>
      </c>
    </row>
    <row r="26" spans="8:8" x14ac:dyDescent="0.35">
      <c r="H26" t="s">
        <v>578</v>
      </c>
    </row>
    <row r="27" spans="8:8" x14ac:dyDescent="0.35">
      <c r="H27" t="s">
        <v>579</v>
      </c>
    </row>
    <row r="28" spans="8:8" x14ac:dyDescent="0.35">
      <c r="H28" t="s">
        <v>580</v>
      </c>
    </row>
    <row r="29" spans="8:8" x14ac:dyDescent="0.35">
      <c r="H29" t="s">
        <v>581</v>
      </c>
    </row>
    <row r="30" spans="8:8" x14ac:dyDescent="0.35">
      <c r="H30" t="s">
        <v>582</v>
      </c>
    </row>
    <row r="31" spans="8:8" x14ac:dyDescent="0.35">
      <c r="H31" t="s">
        <v>583</v>
      </c>
    </row>
    <row r="32" spans="8:8" x14ac:dyDescent="0.35">
      <c r="H32" t="s">
        <v>584</v>
      </c>
    </row>
    <row r="33" spans="8:8" x14ac:dyDescent="0.35">
      <c r="H33" t="s">
        <v>585</v>
      </c>
    </row>
    <row r="34" spans="8:8" x14ac:dyDescent="0.35">
      <c r="H34" t="s">
        <v>586</v>
      </c>
    </row>
    <row r="35" spans="8:8" x14ac:dyDescent="0.35">
      <c r="H35" t="s">
        <v>587</v>
      </c>
    </row>
    <row r="36" spans="8:8" x14ac:dyDescent="0.35">
      <c r="H36" t="s">
        <v>588</v>
      </c>
    </row>
    <row r="37" spans="8:8" x14ac:dyDescent="0.35">
      <c r="H37" t="s">
        <v>589</v>
      </c>
    </row>
    <row r="38" spans="8:8" x14ac:dyDescent="0.35">
      <c r="H38" t="s">
        <v>590</v>
      </c>
    </row>
    <row r="39" spans="8:8" x14ac:dyDescent="0.35">
      <c r="H39" t="s">
        <v>591</v>
      </c>
    </row>
    <row r="40" spans="8:8" x14ac:dyDescent="0.35">
      <c r="H40" t="s">
        <v>592</v>
      </c>
    </row>
    <row r="41" spans="8:8" x14ac:dyDescent="0.35">
      <c r="H41" t="s">
        <v>593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0540E-3FC2-4D86-9779-CECF83C3B686}">
  <sheetPr codeName="Hoja5"/>
  <dimension ref="B1:AF28"/>
  <sheetViews>
    <sheetView workbookViewId="0">
      <selection activeCell="C3" sqref="C3"/>
    </sheetView>
  </sheetViews>
  <sheetFormatPr baseColWidth="10" defaultColWidth="11.453125" defaultRowHeight="14.5" x14ac:dyDescent="0.35"/>
  <cols>
    <col min="1" max="1" width="1.81640625" customWidth="1"/>
    <col min="2" max="2" width="14.453125" customWidth="1"/>
    <col min="3" max="3" width="25.81640625" customWidth="1"/>
    <col min="4" max="4" width="1.81640625" customWidth="1"/>
    <col min="5" max="5" width="3.453125" style="22" customWidth="1"/>
    <col min="6" max="6" width="1.81640625" customWidth="1"/>
    <col min="7" max="7" width="25.1796875" customWidth="1"/>
    <col min="8" max="8" width="21.54296875" customWidth="1"/>
    <col min="10" max="10" width="3.453125" customWidth="1"/>
    <col min="11" max="11" width="19.81640625" customWidth="1"/>
    <col min="12" max="12" width="15.54296875" bestFit="1" customWidth="1"/>
    <col min="13" max="13" width="15.54296875" style="5" bestFit="1" customWidth="1"/>
    <col min="14" max="14" width="33" customWidth="1"/>
    <col min="15" max="15" width="1.81640625" customWidth="1"/>
    <col min="16" max="16" width="3.453125" style="22" customWidth="1"/>
    <col min="17" max="17" width="1.81640625" customWidth="1"/>
    <col min="18" max="18" width="20" bestFit="1" customWidth="1"/>
    <col min="19" max="19" width="71.54296875" customWidth="1"/>
    <col min="20" max="20" width="1.81640625" customWidth="1"/>
    <col min="21" max="21" width="3.1796875" style="20" customWidth="1"/>
    <col min="22" max="22" width="1.81640625" customWidth="1"/>
    <col min="23" max="23" width="15.453125" customWidth="1"/>
    <col min="24" max="25" width="19.54296875" bestFit="1" customWidth="1"/>
    <col min="26" max="26" width="19.54296875" customWidth="1"/>
    <col min="27" max="27" width="14.54296875" bestFit="1" customWidth="1"/>
    <col min="28" max="28" width="16.453125" customWidth="1"/>
    <col min="29" max="30" width="16" bestFit="1" customWidth="1"/>
    <col min="32" max="32" width="8" bestFit="1" customWidth="1"/>
    <col min="33" max="33" width="9.453125" customWidth="1"/>
  </cols>
  <sheetData>
    <row r="1" spans="2:32" x14ac:dyDescent="0.35">
      <c r="E1" s="21"/>
      <c r="P1" s="21"/>
      <c r="U1" s="19"/>
      <c r="W1" s="188" t="s">
        <v>594</v>
      </c>
      <c r="X1" s="16" t="s">
        <v>595</v>
      </c>
      <c r="Y1" s="16" t="s">
        <v>596</v>
      </c>
      <c r="Z1" s="16" t="s">
        <v>597</v>
      </c>
      <c r="AA1" s="17" t="s">
        <v>56</v>
      </c>
      <c r="AB1" s="16" t="s">
        <v>598</v>
      </c>
      <c r="AC1" s="16" t="s">
        <v>599</v>
      </c>
      <c r="AD1" s="16" t="s">
        <v>600</v>
      </c>
      <c r="AE1" s="16" t="s">
        <v>601</v>
      </c>
      <c r="AF1" s="18" t="s">
        <v>602</v>
      </c>
    </row>
    <row r="2" spans="2:32" ht="15" thickBot="1" x14ac:dyDescent="0.4">
      <c r="W2" s="189"/>
      <c r="X2" s="14">
        <f>IF('Incident Com. (COMPLETAR)'!E30="Yes",1,0)</f>
        <v>0</v>
      </c>
      <c r="Y2" s="14" t="str">
        <f>'Incident Com. (COMPLETAR)'!E6</f>
        <v>Aperture Incident</v>
      </c>
      <c r="Z2" s="14" t="str">
        <f>C4</f>
        <v>GSNET International</v>
      </c>
      <c r="AA2" s="25" t="str">
        <f>C3</f>
        <v>IX Spain</v>
      </c>
      <c r="AB2" s="14" t="str">
        <f>NOTIFICACIÓN!C13</f>
        <v>ASWIXBE01_ASWIXCS01_BT</v>
      </c>
      <c r="AC2" s="14" t="str">
        <f>'Incident Com. (COMPLETAR)'!E16</f>
        <v>Tunnel Down</v>
      </c>
      <c r="AD2" s="14" t="str">
        <f>'Incident Com. (COMPLETAR)'!E18</f>
        <v>Up</v>
      </c>
      <c r="AE2" s="14" t="str">
        <f>'Incident Com. (COMPLETAR)'!E8</f>
        <v>INC056906221</v>
      </c>
      <c r="AF2" s="15" t="str">
        <f>'Incident Com. (COMPLETAR)'!E22</f>
        <v>NO</v>
      </c>
    </row>
    <row r="3" spans="2:32" ht="15" thickBot="1" x14ac:dyDescent="0.4">
      <c r="B3" s="13" t="s">
        <v>603</v>
      </c>
      <c r="C3" s="12" t="str">
        <f>IFERROR(VLOOKUP('Incident Com. (COMPLETAR)'!E10,BBDD!A:C,3,FALSE),"No encontrado. Completar")</f>
        <v>IX Spain</v>
      </c>
    </row>
    <row r="4" spans="2:32" ht="15" thickBot="1" x14ac:dyDescent="0.4">
      <c r="B4" s="13" t="s">
        <v>597</v>
      </c>
      <c r="C4" s="12" t="str">
        <f>IFERROR(VLOOKUP('Incident Com. (COMPLETAR)'!E10,BBDD!A:B,2,FALSE),"No encontrado. Completar")</f>
        <v>GSNET International</v>
      </c>
      <c r="K4" s="9"/>
      <c r="W4" s="23" t="s">
        <v>604</v>
      </c>
      <c r="X4" s="12" t="str">
        <f>IF(X2=1,_xlfn.CONCAT("[REVISED] ",Y2," // ",Z2," // ",AA2," // ",AB2," // ",IF(C7=1,AD2,_xlfn.CONCAT(AD2," // ",AC2))," // ",AE2," (P5)"," - Impact: ",AF2), _xlfn.CONCAT(Y2," // ",Z2," // ",AA2," // ",AB2," // ",IF(C7=1,AD2,_xlfn.CONCAT(AD2," // ",AC2))," // ",AE2," (P5)"," - Impact: ",AF2))</f>
        <v>Aperture Incident // GSNET International // IX Spain // ASWIXBE01_ASWIXCS01_BT // Up // INC056906221 (P5) - Impact: NO</v>
      </c>
      <c r="Y4" s="12"/>
    </row>
    <row r="5" spans="2:32" ht="16" thickBot="1" x14ac:dyDescent="0.4">
      <c r="B5" s="13" t="s">
        <v>605</v>
      </c>
      <c r="C5" s="12" t="str">
        <f>CONCATENATE('Incident Com. (COMPLETAR)'!E8," (P5)")</f>
        <v>INC056906221 (P5)</v>
      </c>
      <c r="R5" s="185" t="s">
        <v>22</v>
      </c>
      <c r="S5" s="186"/>
    </row>
    <row r="6" spans="2:32" ht="15" thickBot="1" x14ac:dyDescent="0.4">
      <c r="R6" s="2" t="s">
        <v>606</v>
      </c>
      <c r="S6" s="11" t="s">
        <v>25</v>
      </c>
    </row>
    <row r="7" spans="2:32" ht="29.5" thickBot="1" x14ac:dyDescent="0.4">
      <c r="B7" s="40" t="s">
        <v>521</v>
      </c>
      <c r="C7" s="24" cm="1">
        <f t="array" ref="C7">IF(OR('Incident Com. (COMPLETAR)'!E16:F16="BGP Down",'Incident Com. (COMPLETAR)'!E16:F16="Link Down",'Incident Com. (COMPLETAR)'!E16:F16="Tunnel Down",'Incident Com. (COMPLETAR)'!E16:F16="Interface Down"),1,0)</f>
        <v>1</v>
      </c>
      <c r="G7" s="29" cm="1">
        <f t="array" ref="G7">IFERROR(LOOKUP(2,1/(K:K&lt;&gt;""),K:K),"")</f>
        <v>45862.089456018519</v>
      </c>
      <c r="H7" s="35" cm="1">
        <f t="array" ref="H7">IFERROR(LOOKUP(2,1/(L:L&lt;&gt;""),L:L),"")</f>
        <v>45862.09375</v>
      </c>
      <c r="I7" s="36" t="str" cm="1">
        <f t="array" ref="I7">IFERROR(LOOKUP(2,1/(M:M&lt;&gt;""),M:M),"")</f>
        <v>6 min</v>
      </c>
      <c r="R7" s="7">
        <f ca="1">NOW()</f>
        <v>45862.461785300926</v>
      </c>
      <c r="S7" s="1">
        <f>IF(Y2="Closure Incident",R11,'Incident Com. (COMPLETAR)'!D56)</f>
        <v>0</v>
      </c>
    </row>
    <row r="8" spans="2:32" ht="15" thickBot="1" x14ac:dyDescent="0.4">
      <c r="G8" s="4"/>
      <c r="H8" s="4"/>
    </row>
    <row r="9" spans="2:32" ht="15" thickBot="1" x14ac:dyDescent="0.4">
      <c r="B9" s="40" t="s">
        <v>526</v>
      </c>
      <c r="G9" s="4"/>
      <c r="H9" s="4"/>
    </row>
    <row r="10" spans="2:32" ht="16" thickBot="1" x14ac:dyDescent="0.4">
      <c r="G10" s="4"/>
      <c r="H10" s="4"/>
      <c r="R10" s="185" t="s">
        <v>607</v>
      </c>
      <c r="S10" s="186"/>
    </row>
    <row r="11" spans="2:32" x14ac:dyDescent="0.35">
      <c r="G11" s="3" t="s">
        <v>608</v>
      </c>
      <c r="H11" s="3" t="s">
        <v>609</v>
      </c>
      <c r="I11" s="3" t="s">
        <v>610</v>
      </c>
      <c r="R11" s="187" t="str" cm="1">
        <f t="array" ref="R11">CONCATENATE("The service has remained stable since ", TEXT(IFERROR(LOOKUP(2,1/(H:H&lt;&gt;""),H:H),""),"dd/mm hh:mm"), " GMT+1. After having monitored its stability for the last 24 hours, we proceed to close the ticket.")</f>
        <v>The service has remained stable since 24/07 02:15 GMT+1. After having monitored its stability for the last 24 hours, we proceed to close the ticket.</v>
      </c>
      <c r="S11" s="187"/>
    </row>
    <row r="12" spans="2:32" x14ac:dyDescent="0.35">
      <c r="G12" s="6">
        <f>IF('Incident Com. (COMPLETAR)'!C36="","",'Incident Com. (COMPLETAR)'!C36)</f>
        <v>45862.089456018519</v>
      </c>
      <c r="H12" s="6">
        <f>IF('Incident Com. (COMPLETAR)'!E36="","",'Incident Com. (COMPLETAR)'!E36)</f>
        <v>45862.09375</v>
      </c>
      <c r="I12" s="1">
        <f t="shared" ref="I12:I17" si="0">IFERROR(ROUND((H12-G12)*24*60,0),"")</f>
        <v>6</v>
      </c>
      <c r="K12" s="33">
        <f>IF(G12="","",G12)</f>
        <v>45862.089456018519</v>
      </c>
      <c r="L12" s="33">
        <f>IF(H12="","",H12)</f>
        <v>45862.09375</v>
      </c>
      <c r="M12" s="34" t="str">
        <f>IF(I12="","",CONCATENATE(I12," min"))</f>
        <v>6 min</v>
      </c>
    </row>
    <row r="13" spans="2:32" x14ac:dyDescent="0.35">
      <c r="G13" s="6" t="str">
        <f>IF('Incident Com. (COMPLETAR)'!C37="","",'Incident Com. (COMPLETAR)'!C37)</f>
        <v/>
      </c>
      <c r="H13" s="6" t="str">
        <f>IF('Incident Com. (COMPLETAR)'!E37="","",'Incident Com. (COMPLETAR)'!E37)</f>
        <v/>
      </c>
      <c r="I13" s="1" t="str">
        <f t="shared" si="0"/>
        <v/>
      </c>
      <c r="K13" s="26" t="str">
        <f t="shared" ref="K13:L21" si="1">IF(G13="","",CONCATENATE(TEXT(K12,"dd/mm/aaa hh:mm"),CHAR(10),TEXT(G13,"dd/mm/aaa hh:mm")))</f>
        <v/>
      </c>
      <c r="L13" s="26" t="str">
        <f>IF(H13="","",CONCATENATE(TEXT(L12,"dd/mm/aaa hh:mm"),CHAR(10),TEXT(H13,"dd/mm/aaa hh:mm")))</f>
        <v/>
      </c>
      <c r="M13" s="34" t="str">
        <f>IF(I13="","",CONCATENATE(M12, " + ",I13," min"))</f>
        <v/>
      </c>
      <c r="N13" s="10" t="s">
        <v>611</v>
      </c>
    </row>
    <row r="14" spans="2:32" x14ac:dyDescent="0.35">
      <c r="G14" s="6" t="str">
        <f>IF('Incident Com. (COMPLETAR)'!C38="","",'Incident Com. (COMPLETAR)'!C38)</f>
        <v/>
      </c>
      <c r="H14" s="6" t="str">
        <f>IF('Incident Com. (COMPLETAR)'!E38="","",'Incident Com. (COMPLETAR)'!E38)</f>
        <v/>
      </c>
      <c r="I14" s="1" t="str">
        <f t="shared" si="0"/>
        <v/>
      </c>
      <c r="K14" s="26" t="str">
        <f t="shared" si="1"/>
        <v/>
      </c>
      <c r="L14" s="26" t="str">
        <f t="shared" si="1"/>
        <v/>
      </c>
      <c r="M14" s="34" t="str">
        <f>IF(I14="","",CONCATENATE(M13, " + ",I14," min"))</f>
        <v/>
      </c>
    </row>
    <row r="15" spans="2:32" x14ac:dyDescent="0.35">
      <c r="G15" s="6" t="str">
        <f>IF('Incident Com. (COMPLETAR)'!C39="","",'Incident Com. (COMPLETAR)'!C39)</f>
        <v/>
      </c>
      <c r="H15" s="6" t="str">
        <f>IF('Incident Com. (COMPLETAR)'!E39="","",'Incident Com. (COMPLETAR)'!E39)</f>
        <v/>
      </c>
      <c r="I15" s="1" t="str">
        <f t="shared" si="0"/>
        <v/>
      </c>
      <c r="K15" s="26" t="str">
        <f t="shared" si="1"/>
        <v/>
      </c>
      <c r="L15" s="26" t="str">
        <f t="shared" si="1"/>
        <v/>
      </c>
      <c r="M15" s="34" t="str">
        <f t="shared" ref="M15:M21" si="2">IF(I15="","",CONCATENATE(M14, " + ",I15," min"))</f>
        <v/>
      </c>
    </row>
    <row r="16" spans="2:32" x14ac:dyDescent="0.35">
      <c r="G16" s="6" t="str">
        <f>IF('Incident Com. (COMPLETAR)'!C40="","",'Incident Com. (COMPLETAR)'!C40)</f>
        <v/>
      </c>
      <c r="H16" s="6" t="str">
        <f>IF('Incident Com. (COMPLETAR)'!E40="","",'Incident Com. (COMPLETAR)'!E40)</f>
        <v/>
      </c>
      <c r="I16" s="1" t="str">
        <f t="shared" si="0"/>
        <v/>
      </c>
      <c r="K16" s="26" t="str">
        <f t="shared" si="1"/>
        <v/>
      </c>
      <c r="L16" s="26" t="str">
        <f t="shared" si="1"/>
        <v/>
      </c>
      <c r="M16" s="34" t="str">
        <f t="shared" si="2"/>
        <v/>
      </c>
    </row>
    <row r="17" spans="7:13" x14ac:dyDescent="0.35">
      <c r="G17" s="6" t="str">
        <f>IF('Incident Com. (COMPLETAR)'!C41="","",'Incident Com. (COMPLETAR)'!C41)</f>
        <v/>
      </c>
      <c r="H17" s="6" t="str">
        <f>IF('Incident Com. (COMPLETAR)'!E41="","",'Incident Com. (COMPLETAR)'!E41)</f>
        <v/>
      </c>
      <c r="I17" s="1" t="str">
        <f t="shared" si="0"/>
        <v/>
      </c>
      <c r="K17" s="26" t="str">
        <f t="shared" si="1"/>
        <v/>
      </c>
      <c r="L17" s="26" t="str">
        <f t="shared" si="1"/>
        <v/>
      </c>
      <c r="M17" s="34" t="str">
        <f t="shared" si="2"/>
        <v/>
      </c>
    </row>
    <row r="18" spans="7:13" x14ac:dyDescent="0.35">
      <c r="G18" s="6" t="str">
        <f>IF('Incident Com. (COMPLETAR)'!C42="","",'Incident Com. (COMPLETAR)'!C42)</f>
        <v/>
      </c>
      <c r="H18" s="6" t="str">
        <f>IF('Incident Com. (COMPLETAR)'!E42="","",'Incident Com. (COMPLETAR)'!E42)</f>
        <v/>
      </c>
      <c r="I18" s="1" t="str">
        <f>IFERROR(ROUND((H18-G18)*24*60,0),"")</f>
        <v/>
      </c>
      <c r="K18" s="26" t="str">
        <f t="shared" si="1"/>
        <v/>
      </c>
      <c r="L18" s="26" t="str">
        <f t="shared" si="1"/>
        <v/>
      </c>
      <c r="M18" s="34" t="str">
        <f t="shared" si="2"/>
        <v/>
      </c>
    </row>
    <row r="19" spans="7:13" x14ac:dyDescent="0.35">
      <c r="G19" s="6" t="str">
        <f>IF('Incident Com. (COMPLETAR)'!C43="","",'Incident Com. (COMPLETAR)'!C43)</f>
        <v/>
      </c>
      <c r="H19" s="6" t="str">
        <f>IF('Incident Com. (COMPLETAR)'!E43="","",'Incident Com. (COMPLETAR)'!E43)</f>
        <v/>
      </c>
      <c r="I19" s="1" t="str">
        <f t="shared" ref="I19:I28" si="3">IFERROR(ROUND((H19-G19)*24*60,0),"")</f>
        <v/>
      </c>
      <c r="K19" s="26" t="str">
        <f t="shared" si="1"/>
        <v/>
      </c>
      <c r="L19" s="26" t="str">
        <f t="shared" si="1"/>
        <v/>
      </c>
      <c r="M19" s="34" t="str">
        <f t="shared" si="2"/>
        <v/>
      </c>
    </row>
    <row r="20" spans="7:13" x14ac:dyDescent="0.35">
      <c r="G20" s="6" t="str">
        <f>IF('Incident Com. (COMPLETAR)'!C44="","",'Incident Com. (COMPLETAR)'!C44)</f>
        <v/>
      </c>
      <c r="H20" s="6" t="str">
        <f>IF('Incident Com. (COMPLETAR)'!E44="","",'Incident Com. (COMPLETAR)'!E44)</f>
        <v/>
      </c>
      <c r="I20" s="1" t="str">
        <f t="shared" si="3"/>
        <v/>
      </c>
      <c r="K20" s="26" t="str">
        <f t="shared" si="1"/>
        <v/>
      </c>
      <c r="L20" s="26" t="str">
        <f t="shared" si="1"/>
        <v/>
      </c>
      <c r="M20" s="34" t="str">
        <f t="shared" si="2"/>
        <v/>
      </c>
    </row>
    <row r="21" spans="7:13" x14ac:dyDescent="0.35">
      <c r="G21" s="6" t="str">
        <f>IF('Incident Com. (COMPLETAR)'!C45="","",'Incident Com. (COMPLETAR)'!C45)</f>
        <v/>
      </c>
      <c r="H21" s="6" t="str">
        <f>IF('Incident Com. (COMPLETAR)'!E45="","",'Incident Com. (COMPLETAR)'!E45)</f>
        <v/>
      </c>
      <c r="I21" s="1" t="str">
        <f t="shared" si="3"/>
        <v/>
      </c>
      <c r="K21" s="26" t="str">
        <f t="shared" si="1"/>
        <v/>
      </c>
      <c r="L21" s="26" t="str">
        <f t="shared" si="1"/>
        <v/>
      </c>
      <c r="M21" s="34" t="str">
        <f t="shared" si="2"/>
        <v/>
      </c>
    </row>
    <row r="22" spans="7:13" x14ac:dyDescent="0.35">
      <c r="G22" s="6" t="str">
        <f>IF('Incident Com. (COMPLETAR)'!C46="","",'Incident Com. (COMPLETAR)'!C46)</f>
        <v/>
      </c>
      <c r="H22" s="6" t="str">
        <f>IF('Incident Com. (COMPLETAR)'!E46="","",'Incident Com. (COMPLETAR)'!E46)</f>
        <v/>
      </c>
      <c r="I22" s="1" t="str">
        <f t="shared" si="3"/>
        <v/>
      </c>
      <c r="K22" s="26" t="str">
        <f t="shared" ref="K22:K28" si="4">IF(G22="","",CONCATENATE(TEXT(K21,"dd/mm/aaa hh:mm"),CHAR(10),TEXT(G22,"dd/mm/aaa hh:mm")))</f>
        <v/>
      </c>
      <c r="L22" s="26" t="str">
        <f t="shared" ref="L22:L28" si="5">IF(H22="","",CONCATENATE(TEXT(L21,"dd/mm/aaa hh:mm"),CHAR(10),TEXT(H22,"dd/mm/aaa hh:mm")))</f>
        <v/>
      </c>
      <c r="M22" s="34" t="str">
        <f t="shared" ref="M22:M28" si="6">IF(I22="","",CONCATENATE(M21, " + ",I22," min"))</f>
        <v/>
      </c>
    </row>
    <row r="23" spans="7:13" x14ac:dyDescent="0.35">
      <c r="G23" s="6" t="str">
        <f>IF('Incident Com. (COMPLETAR)'!C47="","",'Incident Com. (COMPLETAR)'!C47)</f>
        <v/>
      </c>
      <c r="H23" s="6" t="str">
        <f>IF('Incident Com. (COMPLETAR)'!E47="","",'Incident Com. (COMPLETAR)'!E47)</f>
        <v/>
      </c>
      <c r="I23" s="1" t="str">
        <f t="shared" si="3"/>
        <v/>
      </c>
      <c r="K23" s="26" t="str">
        <f t="shared" si="4"/>
        <v/>
      </c>
      <c r="L23" s="26" t="str">
        <f t="shared" si="5"/>
        <v/>
      </c>
      <c r="M23" s="34" t="str">
        <f t="shared" si="6"/>
        <v/>
      </c>
    </row>
    <row r="24" spans="7:13" x14ac:dyDescent="0.35">
      <c r="G24" s="6" t="str">
        <f>IF('Incident Com. (COMPLETAR)'!C48="","",'Incident Com. (COMPLETAR)'!C48)</f>
        <v/>
      </c>
      <c r="H24" s="6" t="str">
        <f>IF('Incident Com. (COMPLETAR)'!E48="","",'Incident Com. (COMPLETAR)'!E48)</f>
        <v/>
      </c>
      <c r="I24" s="1" t="str">
        <f t="shared" si="3"/>
        <v/>
      </c>
      <c r="K24" s="26" t="str">
        <f t="shared" si="4"/>
        <v/>
      </c>
      <c r="L24" s="26" t="str">
        <f t="shared" si="5"/>
        <v/>
      </c>
      <c r="M24" s="34" t="str">
        <f t="shared" si="6"/>
        <v/>
      </c>
    </row>
    <row r="25" spans="7:13" x14ac:dyDescent="0.35">
      <c r="G25" s="6" t="str">
        <f>IF('Incident Com. (COMPLETAR)'!C49="","",'Incident Com. (COMPLETAR)'!C49)</f>
        <v/>
      </c>
      <c r="H25" s="6" t="str">
        <f>IF('Incident Com. (COMPLETAR)'!E49="","",'Incident Com. (COMPLETAR)'!E49)</f>
        <v/>
      </c>
      <c r="I25" s="1" t="str">
        <f t="shared" si="3"/>
        <v/>
      </c>
      <c r="K25" s="26" t="str">
        <f t="shared" si="4"/>
        <v/>
      </c>
      <c r="L25" s="26" t="str">
        <f t="shared" si="5"/>
        <v/>
      </c>
      <c r="M25" s="34" t="str">
        <f t="shared" si="6"/>
        <v/>
      </c>
    </row>
    <row r="26" spans="7:13" x14ac:dyDescent="0.35">
      <c r="G26" s="6" t="str">
        <f>IF('Incident Com. (COMPLETAR)'!C50="","",'Incident Com. (COMPLETAR)'!C50)</f>
        <v/>
      </c>
      <c r="H26" s="6" t="str">
        <f>IF('Incident Com. (COMPLETAR)'!E50="","",'Incident Com. (COMPLETAR)'!E50)</f>
        <v/>
      </c>
      <c r="I26" s="1" t="str">
        <f t="shared" si="3"/>
        <v/>
      </c>
      <c r="K26" s="26" t="str">
        <f t="shared" si="4"/>
        <v/>
      </c>
      <c r="L26" s="26" t="str">
        <f t="shared" si="5"/>
        <v/>
      </c>
      <c r="M26" s="34" t="str">
        <f t="shared" si="6"/>
        <v/>
      </c>
    </row>
    <row r="27" spans="7:13" x14ac:dyDescent="0.35">
      <c r="G27" s="6" t="str">
        <f>IF('Incident Com. (COMPLETAR)'!C51="","",'Incident Com. (COMPLETAR)'!C51)</f>
        <v/>
      </c>
      <c r="H27" s="6" t="str">
        <f>IF('Incident Com. (COMPLETAR)'!E51="","",'Incident Com. (COMPLETAR)'!E51)</f>
        <v/>
      </c>
      <c r="I27" s="1" t="str">
        <f t="shared" si="3"/>
        <v/>
      </c>
      <c r="K27" s="26" t="str">
        <f t="shared" si="4"/>
        <v/>
      </c>
      <c r="L27" s="26" t="str">
        <f t="shared" si="5"/>
        <v/>
      </c>
      <c r="M27" s="34" t="str">
        <f t="shared" si="6"/>
        <v/>
      </c>
    </row>
    <row r="28" spans="7:13" x14ac:dyDescent="0.35">
      <c r="G28" s="6" t="str">
        <f>IF('Incident Com. (COMPLETAR)'!C52="","",'Incident Com. (COMPLETAR)'!C52)</f>
        <v/>
      </c>
      <c r="H28" s="6" t="str">
        <f>IF('Incident Com. (COMPLETAR)'!E52="","",'Incident Com. (COMPLETAR)'!E52)</f>
        <v/>
      </c>
      <c r="I28" s="1" t="str">
        <f t="shared" si="3"/>
        <v/>
      </c>
      <c r="K28" s="26" t="str">
        <f t="shared" si="4"/>
        <v/>
      </c>
      <c r="L28" s="26" t="str">
        <f t="shared" si="5"/>
        <v/>
      </c>
      <c r="M28" s="34" t="str">
        <f t="shared" si="6"/>
        <v/>
      </c>
    </row>
  </sheetData>
  <mergeCells count="4">
    <mergeCell ref="R5:S5"/>
    <mergeCell ref="R10:S10"/>
    <mergeCell ref="R11:S11"/>
    <mergeCell ref="W1:W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AA4C6-FDC7-4F34-B7B3-390D2F3FFFA4}">
  <sheetPr>
    <tabColor theme="0" tint="-0.249977111117893"/>
  </sheetPr>
  <dimension ref="B1:I393"/>
  <sheetViews>
    <sheetView showGridLines="0" zoomScaleNormal="100" workbookViewId="0"/>
  </sheetViews>
  <sheetFormatPr baseColWidth="10" defaultColWidth="11.453125" defaultRowHeight="14.5" x14ac:dyDescent="0.35"/>
  <cols>
    <col min="1" max="1" width="7" style="24" customWidth="1"/>
    <col min="2" max="2" width="30.453125" style="24" customWidth="1"/>
    <col min="3" max="3" width="20.81640625" style="24" customWidth="1"/>
    <col min="4" max="4" width="26.453125" style="24" customWidth="1"/>
    <col min="5" max="5" width="24.1796875" style="24" customWidth="1"/>
    <col min="6" max="6" width="2.54296875" style="24" customWidth="1"/>
    <col min="7" max="7" width="20.54296875" style="24" customWidth="1"/>
    <col min="8" max="8" width="23.1796875" style="24" customWidth="1"/>
    <col min="9" max="9" width="17.1796875" style="24" customWidth="1"/>
    <col min="10" max="10" width="18.54296875" style="24" customWidth="1"/>
    <col min="11" max="16384" width="11.453125" style="24"/>
  </cols>
  <sheetData>
    <row r="1" spans="2:9" ht="18" customHeight="1" x14ac:dyDescent="0.35">
      <c r="B1" s="53" t="s">
        <v>0</v>
      </c>
    </row>
    <row r="2" spans="2:9" ht="18" customHeight="1" thickBot="1" x14ac:dyDescent="0.4">
      <c r="B2" s="53" t="s">
        <v>612</v>
      </c>
    </row>
    <row r="3" spans="2:9" ht="18" customHeight="1" thickBot="1" x14ac:dyDescent="0.4">
      <c r="B3" s="46" t="s">
        <v>1</v>
      </c>
      <c r="C3" s="50" t="str">
        <f>Fórmulas!X4</f>
        <v>Aperture Incident // GSNET International // IX Spain // ASWIXBE01_ASWIXCS01_BT // Up // INC056906221 (P5) - Impact: NO</v>
      </c>
      <c r="D3" s="51"/>
      <c r="E3" s="51"/>
      <c r="F3" s="51"/>
      <c r="G3" s="51"/>
      <c r="H3" s="52"/>
    </row>
    <row r="4" spans="2:9" ht="18" customHeight="1" x14ac:dyDescent="0.35">
      <c r="B4" s="124"/>
      <c r="C4" s="125"/>
      <c r="D4" s="125"/>
      <c r="E4" s="125"/>
      <c r="F4" s="125"/>
      <c r="G4" s="125"/>
      <c r="H4" s="125"/>
    </row>
    <row r="5" spans="2:9" ht="18" customHeight="1" thickBot="1" x14ac:dyDescent="0.4"/>
    <row r="6" spans="2:9" ht="60" customHeight="1" thickBot="1" x14ac:dyDescent="0.4">
      <c r="B6" s="146"/>
      <c r="C6" s="147"/>
      <c r="D6" s="147"/>
      <c r="E6" s="148"/>
      <c r="G6" s="144" t="str">
        <f>CONCATENATE(SUM('Incident Com. (COMPLETAR)'!I:I)," ERRORES")</f>
        <v>0 ERRORES</v>
      </c>
      <c r="H6" s="145"/>
    </row>
    <row r="7" spans="2:9" ht="21" customHeight="1" x14ac:dyDescent="0.35">
      <c r="B7" s="71" t="s">
        <v>2</v>
      </c>
      <c r="C7" s="149" t="str">
        <f>Fórmulas!C4</f>
        <v>GSNET International</v>
      </c>
      <c r="D7" s="149"/>
      <c r="E7" s="150"/>
      <c r="G7" s="155" t="s">
        <v>3</v>
      </c>
      <c r="H7" s="155"/>
    </row>
    <row r="8" spans="2:9" ht="30" customHeight="1" x14ac:dyDescent="0.35">
      <c r="B8" s="31" t="s">
        <v>4</v>
      </c>
      <c r="C8" s="126" t="str">
        <f>'Incident Com. (COMPLETAR)'!E14</f>
        <v>IX Spain</v>
      </c>
      <c r="D8" s="30" t="s">
        <v>5</v>
      </c>
      <c r="E8" s="127" t="str">
        <f>IF('Incident Com. (COMPLETAR)'!E8="","",Fórmulas!C5)</f>
        <v>INC056906221 (P5)</v>
      </c>
    </row>
    <row r="9" spans="2:9" ht="21" customHeight="1" x14ac:dyDescent="0.35">
      <c r="B9" s="31" t="s">
        <v>613</v>
      </c>
      <c r="C9" s="128">
        <f>Fórmulas!G7</f>
        <v>45862.089456018519</v>
      </c>
      <c r="D9" s="30" t="s">
        <v>614</v>
      </c>
      <c r="E9" s="129">
        <f>Fórmulas!H7</f>
        <v>45862.09375</v>
      </c>
      <c r="G9" s="154" t="s">
        <v>8</v>
      </c>
      <c r="H9" s="154"/>
      <c r="I9" s="24" t="s">
        <v>9</v>
      </c>
    </row>
    <row r="10" spans="2:9" ht="21" customHeight="1" x14ac:dyDescent="0.35">
      <c r="B10" s="31" t="s">
        <v>10</v>
      </c>
      <c r="C10" s="130" t="str">
        <f>Fórmulas!I7</f>
        <v>6 min</v>
      </c>
      <c r="D10" s="30" t="s">
        <v>11</v>
      </c>
      <c r="E10" s="127" t="str">
        <f>'Incident Com. (COMPLETAR)'!E18</f>
        <v>Up</v>
      </c>
      <c r="G10" s="154" t="s">
        <v>12</v>
      </c>
      <c r="H10" s="154"/>
      <c r="I10" s="24" t="s">
        <v>13</v>
      </c>
    </row>
    <row r="11" spans="2:9" ht="21" customHeight="1" x14ac:dyDescent="0.35">
      <c r="B11" s="31" t="s">
        <v>14</v>
      </c>
      <c r="C11" s="138" t="str">
        <f>IF('Incident Com. (COMPLETAR)'!E20="","PENDIENTE",'Incident Com. (COMPLETAR)'!E20)</f>
        <v>THE COMMUNICATION LINK IS DOWN [Ethernet1/59]</v>
      </c>
      <c r="D11" s="138"/>
      <c r="E11" s="151"/>
    </row>
    <row r="12" spans="2:9" ht="21" customHeight="1" x14ac:dyDescent="0.35">
      <c r="B12" s="31" t="s">
        <v>15</v>
      </c>
      <c r="C12" s="131" t="str">
        <f>IF('Incident Com. (COMPLETAR)'!E22="","",'Incident Com. (COMPLETAR)'!E22)</f>
        <v>NO</v>
      </c>
      <c r="D12" s="30" t="s">
        <v>16</v>
      </c>
      <c r="E12" s="132" t="str">
        <f>IF('Incident Com. (COMPLETAR)'!E24="","",'Incident Com. (COMPLETAR)'!E24)</f>
        <v>Confirmed by CCS</v>
      </c>
      <c r="G12" s="49" t="s">
        <v>17</v>
      </c>
      <c r="H12" s="48">
        <f ca="1">IF('Incident Com. (COMPLETAR)'!E6="Aperture Incident",IF('Incident Com. (COMPLETAR)'!C36="","",IF(AND(Fórmulas!C4="GSNET DATA",Fórmulas!AC2="Saturation"),45-((NOW()-'Incident Com. (COMPLETAR)'!C36)*1440),30-((NOW()-'Incident Com. (COMPLETAR)'!C36)*1440))),"")</f>
        <v>-506.15416666609235</v>
      </c>
    </row>
    <row r="13" spans="2:9" ht="21" customHeight="1" x14ac:dyDescent="0.35">
      <c r="B13" s="31" t="s">
        <v>18</v>
      </c>
      <c r="C13" s="152" t="str">
        <f>IF('Incident Com. (COMPLETAR)'!E12="",'Incident Com. (COMPLETAR)'!E10,_xlfn.CONCAT('Incident Com. (COMPLETAR)'!E10," - ",'Incident Com. (COMPLETAR)'!E12))</f>
        <v>ASWIXBE01_ASWIXCS01_BT</v>
      </c>
      <c r="D13" s="152"/>
      <c r="E13" s="153"/>
      <c r="G13" s="49" t="s">
        <v>19</v>
      </c>
      <c r="H13" s="54">
        <f ca="1">NOW()</f>
        <v>45862.461785300926</v>
      </c>
    </row>
    <row r="14" spans="2:9" ht="21" customHeight="1" x14ac:dyDescent="0.35">
      <c r="B14" s="31" t="s">
        <v>20</v>
      </c>
      <c r="C14" s="141" t="str">
        <f>IF('Incident Com. (COMPLETAR)'!E26="","",'Incident Com. (COMPLETAR)'!E26)</f>
        <v/>
      </c>
      <c r="D14" s="142"/>
      <c r="E14" s="143"/>
    </row>
    <row r="15" spans="2:9" ht="21" customHeight="1" thickBot="1" x14ac:dyDescent="0.4">
      <c r="B15" s="32" t="s">
        <v>21</v>
      </c>
      <c r="C15" s="161" t="str">
        <f>IF('Incident Com. (COMPLETAR)'!E28="","",'Incident Com. (COMPLETAR)'!E28)</f>
        <v/>
      </c>
      <c r="D15" s="162"/>
      <c r="E15" s="163"/>
    </row>
    <row r="16" spans="2:9" ht="21" customHeight="1" thickBot="1" x14ac:dyDescent="0.4">
      <c r="B16" s="158" t="s">
        <v>22</v>
      </c>
      <c r="C16" s="159"/>
      <c r="D16" s="159"/>
      <c r="E16" s="160"/>
      <c r="G16" s="24" t="s">
        <v>23</v>
      </c>
    </row>
    <row r="17" spans="2:8" ht="21" customHeight="1" x14ac:dyDescent="0.35">
      <c r="B17" s="44" t="s">
        <v>615</v>
      </c>
      <c r="C17" s="156" t="s">
        <v>25</v>
      </c>
      <c r="D17" s="156"/>
      <c r="E17" s="157"/>
    </row>
    <row r="18" spans="2:8" ht="39.65" customHeight="1" x14ac:dyDescent="0.35">
      <c r="B18" s="41"/>
      <c r="C18" s="138"/>
      <c r="D18" s="138"/>
      <c r="E18" s="139"/>
    </row>
    <row r="19" spans="2:8" ht="14.5" customHeight="1" x14ac:dyDescent="0.35">
      <c r="B19" s="140"/>
      <c r="C19" s="140"/>
      <c r="D19" s="140"/>
      <c r="E19" s="140"/>
      <c r="H19" s="72"/>
    </row>
    <row r="20" spans="2:8" ht="40.4" customHeight="1" x14ac:dyDescent="0.35">
      <c r="B20" s="42"/>
      <c r="C20" s="43"/>
      <c r="D20" s="43"/>
      <c r="E20" s="43"/>
      <c r="H20" s="72"/>
    </row>
    <row r="21" spans="2:8" ht="40.4" customHeight="1" x14ac:dyDescent="0.35">
      <c r="B21" s="42"/>
      <c r="C21" s="43"/>
      <c r="D21" s="43"/>
      <c r="E21" s="43"/>
      <c r="H21" s="72"/>
    </row>
    <row r="22" spans="2:8" ht="14.5" customHeight="1" x14ac:dyDescent="0.35">
      <c r="B22" s="42"/>
      <c r="C22" s="43"/>
      <c r="D22" s="43"/>
      <c r="E22" s="43"/>
    </row>
    <row r="23" spans="2:8" ht="14.5" customHeight="1" x14ac:dyDescent="0.35">
      <c r="B23" s="42"/>
      <c r="C23" s="43"/>
      <c r="D23" s="43"/>
      <c r="E23" s="43"/>
    </row>
    <row r="24" spans="2:8" ht="14.5" customHeight="1" x14ac:dyDescent="0.35">
      <c r="B24" s="42"/>
      <c r="C24" s="43"/>
      <c r="D24" s="43"/>
      <c r="E24" s="43"/>
    </row>
    <row r="25" spans="2:8" ht="14.5" customHeight="1" x14ac:dyDescent="0.35">
      <c r="B25" s="42"/>
      <c r="C25" s="43"/>
      <c r="D25" s="43"/>
      <c r="E25" s="43"/>
    </row>
    <row r="26" spans="2:8" x14ac:dyDescent="0.35">
      <c r="B26" s="42"/>
      <c r="C26" s="43"/>
      <c r="D26" s="43"/>
      <c r="E26" s="43"/>
    </row>
    <row r="27" spans="2:8" x14ac:dyDescent="0.35">
      <c r="B27" s="42"/>
      <c r="C27" s="47"/>
      <c r="D27" s="43"/>
      <c r="E27" s="43"/>
    </row>
    <row r="28" spans="2:8" x14ac:dyDescent="0.35">
      <c r="B28" s="42"/>
      <c r="C28" s="43"/>
      <c r="D28" s="43"/>
      <c r="E28" s="43"/>
    </row>
    <row r="29" spans="2:8" x14ac:dyDescent="0.35">
      <c r="B29" s="42"/>
      <c r="C29" s="43"/>
      <c r="D29" s="43"/>
      <c r="E29" s="43"/>
    </row>
    <row r="30" spans="2:8" x14ac:dyDescent="0.35">
      <c r="B30" s="42"/>
      <c r="C30" s="43"/>
      <c r="D30" s="43"/>
      <c r="E30" s="43"/>
    </row>
    <row r="31" spans="2:8" x14ac:dyDescent="0.35">
      <c r="B31" s="42"/>
      <c r="C31" s="43"/>
      <c r="D31" s="43"/>
      <c r="E31" s="43"/>
    </row>
    <row r="32" spans="2:8" x14ac:dyDescent="0.35">
      <c r="B32" s="42"/>
      <c r="C32" s="43"/>
      <c r="D32" s="43"/>
      <c r="E32" s="43"/>
    </row>
    <row r="33" spans="2:5" x14ac:dyDescent="0.35">
      <c r="B33" s="42"/>
      <c r="C33" s="43"/>
      <c r="D33" s="43"/>
      <c r="E33" s="43"/>
    </row>
    <row r="34" spans="2:5" x14ac:dyDescent="0.35">
      <c r="B34" s="42"/>
      <c r="C34" s="43"/>
      <c r="D34" s="43"/>
      <c r="E34" s="43"/>
    </row>
    <row r="35" spans="2:5" x14ac:dyDescent="0.35">
      <c r="B35" s="42"/>
      <c r="C35" s="43"/>
      <c r="D35" s="43"/>
      <c r="E35" s="43"/>
    </row>
    <row r="36" spans="2:5" x14ac:dyDescent="0.35">
      <c r="B36" s="42"/>
      <c r="C36" s="43"/>
      <c r="D36" s="43"/>
      <c r="E36" s="43"/>
    </row>
    <row r="37" spans="2:5" x14ac:dyDescent="0.35">
      <c r="B37" s="42"/>
      <c r="C37" s="43"/>
      <c r="D37" s="43"/>
      <c r="E37" s="43"/>
    </row>
    <row r="38" spans="2:5" x14ac:dyDescent="0.35">
      <c r="B38" s="42"/>
      <c r="C38" s="43"/>
      <c r="D38" s="43"/>
      <c r="E38" s="43"/>
    </row>
    <row r="39" spans="2:5" x14ac:dyDescent="0.35">
      <c r="B39" s="42"/>
      <c r="C39" s="43"/>
      <c r="D39" s="43"/>
      <c r="E39" s="43"/>
    </row>
    <row r="40" spans="2:5" x14ac:dyDescent="0.35">
      <c r="B40" s="42"/>
      <c r="C40" s="43"/>
      <c r="D40" s="43"/>
      <c r="E40" s="43"/>
    </row>
    <row r="41" spans="2:5" x14ac:dyDescent="0.35">
      <c r="B41" s="42"/>
      <c r="C41" s="43"/>
      <c r="D41" s="43"/>
      <c r="E41" s="43"/>
    </row>
    <row r="42" spans="2:5" x14ac:dyDescent="0.35">
      <c r="B42" s="42"/>
      <c r="C42" s="43"/>
      <c r="D42" s="43"/>
      <c r="E42" s="43"/>
    </row>
    <row r="43" spans="2:5" x14ac:dyDescent="0.35">
      <c r="B43" s="42"/>
      <c r="C43" s="43"/>
      <c r="D43" s="43"/>
      <c r="E43" s="43"/>
    </row>
    <row r="44" spans="2:5" x14ac:dyDescent="0.35">
      <c r="B44" s="42"/>
      <c r="C44" s="43"/>
      <c r="D44" s="43"/>
      <c r="E44" s="43"/>
    </row>
    <row r="45" spans="2:5" x14ac:dyDescent="0.35">
      <c r="B45" s="42"/>
      <c r="C45" s="43"/>
      <c r="D45" s="43"/>
      <c r="E45" s="43"/>
    </row>
    <row r="46" spans="2:5" x14ac:dyDescent="0.35">
      <c r="B46" s="42"/>
      <c r="C46" s="43"/>
      <c r="D46" s="43"/>
      <c r="E46" s="43"/>
    </row>
    <row r="47" spans="2:5" x14ac:dyDescent="0.35">
      <c r="B47" s="42"/>
      <c r="C47" s="43"/>
      <c r="D47" s="43"/>
      <c r="E47" s="43"/>
    </row>
    <row r="48" spans="2:5" x14ac:dyDescent="0.35">
      <c r="B48" s="42"/>
      <c r="C48" s="43"/>
      <c r="D48" s="43"/>
      <c r="E48" s="43"/>
    </row>
    <row r="49" spans="2:5" x14ac:dyDescent="0.35">
      <c r="B49" s="42"/>
      <c r="C49" s="43"/>
      <c r="D49" s="43"/>
      <c r="E49" s="43"/>
    </row>
    <row r="50" spans="2:5" x14ac:dyDescent="0.35">
      <c r="B50" s="42"/>
      <c r="C50" s="43"/>
      <c r="D50" s="43"/>
      <c r="E50" s="43"/>
    </row>
    <row r="51" spans="2:5" x14ac:dyDescent="0.35">
      <c r="B51" s="42"/>
      <c r="C51" s="43"/>
      <c r="D51" s="43"/>
      <c r="E51" s="43"/>
    </row>
    <row r="52" spans="2:5" x14ac:dyDescent="0.35">
      <c r="B52" s="42"/>
      <c r="C52" s="43"/>
      <c r="D52" s="43"/>
      <c r="E52" s="43"/>
    </row>
    <row r="53" spans="2:5" x14ac:dyDescent="0.35">
      <c r="B53" s="42"/>
      <c r="C53" s="43"/>
      <c r="D53" s="43"/>
      <c r="E53" s="43"/>
    </row>
    <row r="54" spans="2:5" x14ac:dyDescent="0.35">
      <c r="B54" s="42"/>
      <c r="C54" s="43"/>
      <c r="D54" s="43"/>
      <c r="E54" s="43"/>
    </row>
    <row r="55" spans="2:5" x14ac:dyDescent="0.35">
      <c r="B55" s="42"/>
      <c r="C55" s="43"/>
      <c r="D55" s="43"/>
      <c r="E55" s="43"/>
    </row>
    <row r="56" spans="2:5" x14ac:dyDescent="0.35">
      <c r="B56" s="42"/>
      <c r="C56" s="43"/>
      <c r="D56" s="43"/>
      <c r="E56" s="43"/>
    </row>
    <row r="57" spans="2:5" x14ac:dyDescent="0.35">
      <c r="B57" s="42"/>
      <c r="C57" s="43"/>
      <c r="D57" s="43"/>
      <c r="E57" s="43"/>
    </row>
    <row r="58" spans="2:5" x14ac:dyDescent="0.35">
      <c r="B58" s="42"/>
      <c r="C58" s="43"/>
      <c r="D58" s="43"/>
      <c r="E58" s="43"/>
    </row>
    <row r="59" spans="2:5" x14ac:dyDescent="0.35">
      <c r="B59" s="42"/>
      <c r="C59" s="43"/>
      <c r="D59" s="43"/>
      <c r="E59" s="43"/>
    </row>
    <row r="60" spans="2:5" x14ac:dyDescent="0.35">
      <c r="B60" s="42"/>
      <c r="C60" s="43"/>
      <c r="D60" s="43"/>
      <c r="E60" s="43"/>
    </row>
    <row r="61" spans="2:5" x14ac:dyDescent="0.35">
      <c r="B61" s="42"/>
      <c r="C61" s="43"/>
      <c r="D61" s="43"/>
      <c r="E61" s="43"/>
    </row>
    <row r="62" spans="2:5" x14ac:dyDescent="0.35">
      <c r="B62" s="42"/>
      <c r="C62" s="43"/>
      <c r="D62" s="43"/>
      <c r="E62" s="43"/>
    </row>
    <row r="63" spans="2:5" x14ac:dyDescent="0.35">
      <c r="B63" s="42"/>
      <c r="C63" s="43"/>
      <c r="D63" s="43"/>
      <c r="E63" s="43"/>
    </row>
    <row r="64" spans="2:5" x14ac:dyDescent="0.35">
      <c r="B64" s="42"/>
      <c r="C64" s="43"/>
      <c r="D64" s="43"/>
      <c r="E64" s="43"/>
    </row>
    <row r="65" spans="2:5" x14ac:dyDescent="0.35">
      <c r="B65" s="42"/>
      <c r="C65" s="43"/>
      <c r="D65" s="43"/>
      <c r="E65" s="43"/>
    </row>
    <row r="66" spans="2:5" x14ac:dyDescent="0.35">
      <c r="B66" s="42"/>
      <c r="C66" s="43"/>
      <c r="D66" s="43"/>
      <c r="E66" s="43"/>
    </row>
    <row r="67" spans="2:5" x14ac:dyDescent="0.35">
      <c r="B67" s="42"/>
      <c r="C67" s="43"/>
      <c r="D67" s="43"/>
      <c r="E67" s="43"/>
    </row>
    <row r="68" spans="2:5" x14ac:dyDescent="0.35">
      <c r="B68" s="42"/>
      <c r="C68" s="43"/>
      <c r="D68" s="43"/>
      <c r="E68" s="43"/>
    </row>
    <row r="69" spans="2:5" x14ac:dyDescent="0.35">
      <c r="B69" s="42"/>
      <c r="C69" s="43"/>
      <c r="D69" s="43"/>
      <c r="E69" s="43"/>
    </row>
    <row r="70" spans="2:5" x14ac:dyDescent="0.35">
      <c r="B70" s="42"/>
      <c r="C70" s="43"/>
      <c r="D70" s="43"/>
      <c r="E70" s="43"/>
    </row>
    <row r="71" spans="2:5" x14ac:dyDescent="0.35">
      <c r="B71" s="42"/>
      <c r="C71" s="43"/>
      <c r="D71" s="43"/>
      <c r="E71" s="43"/>
    </row>
    <row r="72" spans="2:5" x14ac:dyDescent="0.35">
      <c r="B72" s="42"/>
      <c r="C72" s="43"/>
      <c r="D72" s="43"/>
      <c r="E72" s="43"/>
    </row>
    <row r="73" spans="2:5" x14ac:dyDescent="0.35">
      <c r="B73" s="42"/>
      <c r="C73" s="43"/>
      <c r="D73" s="43"/>
      <c r="E73" s="43"/>
    </row>
    <row r="74" spans="2:5" x14ac:dyDescent="0.35">
      <c r="B74" s="42"/>
      <c r="C74" s="43"/>
      <c r="D74" s="43"/>
      <c r="E74" s="43"/>
    </row>
    <row r="75" spans="2:5" x14ac:dyDescent="0.35">
      <c r="B75" s="42"/>
      <c r="C75" s="43"/>
      <c r="D75" s="43"/>
      <c r="E75" s="43"/>
    </row>
    <row r="76" spans="2:5" x14ac:dyDescent="0.35">
      <c r="B76" s="42"/>
      <c r="C76" s="43"/>
      <c r="D76" s="43"/>
      <c r="E76" s="43"/>
    </row>
    <row r="77" spans="2:5" x14ac:dyDescent="0.35">
      <c r="B77" s="42"/>
      <c r="C77" s="43"/>
      <c r="D77" s="43"/>
      <c r="E77" s="43"/>
    </row>
    <row r="78" spans="2:5" x14ac:dyDescent="0.35">
      <c r="B78" s="42"/>
      <c r="C78" s="43"/>
      <c r="D78" s="43"/>
      <c r="E78" s="43"/>
    </row>
    <row r="79" spans="2:5" x14ac:dyDescent="0.35">
      <c r="B79" s="42"/>
      <c r="C79" s="43"/>
      <c r="D79" s="43"/>
      <c r="E79" s="43"/>
    </row>
    <row r="80" spans="2:5" x14ac:dyDescent="0.35">
      <c r="B80" s="42"/>
      <c r="C80" s="43"/>
      <c r="D80" s="43"/>
      <c r="E80" s="43"/>
    </row>
    <row r="81" spans="2:5" x14ac:dyDescent="0.35">
      <c r="B81" s="42"/>
      <c r="C81" s="43"/>
      <c r="D81" s="43"/>
      <c r="E81" s="43"/>
    </row>
    <row r="82" spans="2:5" x14ac:dyDescent="0.35">
      <c r="B82" s="42"/>
      <c r="C82" s="43"/>
      <c r="D82" s="43"/>
      <c r="E82" s="43"/>
    </row>
    <row r="83" spans="2:5" x14ac:dyDescent="0.35">
      <c r="B83" s="42"/>
      <c r="C83" s="43"/>
      <c r="D83" s="43"/>
      <c r="E83" s="43"/>
    </row>
    <row r="84" spans="2:5" x14ac:dyDescent="0.35">
      <c r="B84" s="42"/>
      <c r="C84" s="43"/>
      <c r="D84" s="43"/>
      <c r="E84" s="43"/>
    </row>
    <row r="85" spans="2:5" x14ac:dyDescent="0.35">
      <c r="B85" s="42"/>
      <c r="C85" s="43"/>
      <c r="D85" s="43"/>
      <c r="E85" s="43"/>
    </row>
    <row r="86" spans="2:5" x14ac:dyDescent="0.35">
      <c r="B86" s="42"/>
      <c r="C86" s="43"/>
      <c r="D86" s="43"/>
      <c r="E86" s="43"/>
    </row>
    <row r="87" spans="2:5" x14ac:dyDescent="0.35">
      <c r="B87" s="42"/>
      <c r="C87" s="43"/>
      <c r="D87" s="43"/>
      <c r="E87" s="43"/>
    </row>
    <row r="88" spans="2:5" x14ac:dyDescent="0.35">
      <c r="B88" s="42"/>
      <c r="C88" s="43"/>
      <c r="D88" s="43"/>
      <c r="E88" s="43"/>
    </row>
    <row r="89" spans="2:5" x14ac:dyDescent="0.35">
      <c r="B89" s="42"/>
      <c r="C89" s="43"/>
      <c r="D89" s="43"/>
      <c r="E89" s="43"/>
    </row>
    <row r="90" spans="2:5" x14ac:dyDescent="0.35">
      <c r="B90" s="42"/>
      <c r="C90" s="43"/>
      <c r="D90" s="43"/>
      <c r="E90" s="43"/>
    </row>
    <row r="91" spans="2:5" x14ac:dyDescent="0.35">
      <c r="B91" s="42"/>
      <c r="C91" s="43"/>
      <c r="D91" s="43"/>
      <c r="E91" s="43"/>
    </row>
    <row r="92" spans="2:5" x14ac:dyDescent="0.35">
      <c r="B92" s="42"/>
      <c r="C92" s="43"/>
      <c r="D92" s="43"/>
      <c r="E92" s="43"/>
    </row>
    <row r="93" spans="2:5" x14ac:dyDescent="0.35">
      <c r="B93" s="42"/>
      <c r="C93" s="43"/>
      <c r="D93" s="43"/>
      <c r="E93" s="43"/>
    </row>
    <row r="94" spans="2:5" x14ac:dyDescent="0.35">
      <c r="B94" s="42"/>
      <c r="C94" s="43"/>
      <c r="D94" s="43"/>
      <c r="E94" s="43"/>
    </row>
    <row r="95" spans="2:5" x14ac:dyDescent="0.35">
      <c r="B95" s="42"/>
      <c r="C95" s="43"/>
      <c r="D95" s="43"/>
      <c r="E95" s="43"/>
    </row>
    <row r="96" spans="2:5" x14ac:dyDescent="0.35">
      <c r="B96" s="42"/>
      <c r="C96" s="43"/>
      <c r="D96" s="43"/>
      <c r="E96" s="43"/>
    </row>
    <row r="97" spans="2:5" x14ac:dyDescent="0.35">
      <c r="B97" s="42"/>
      <c r="C97" s="43"/>
      <c r="D97" s="43"/>
      <c r="E97" s="43"/>
    </row>
    <row r="98" spans="2:5" x14ac:dyDescent="0.35">
      <c r="B98" s="42"/>
      <c r="C98" s="43"/>
      <c r="D98" s="43"/>
      <c r="E98" s="43"/>
    </row>
    <row r="99" spans="2:5" x14ac:dyDescent="0.35">
      <c r="B99" s="42"/>
      <c r="C99" s="43"/>
      <c r="D99" s="43"/>
      <c r="E99" s="43"/>
    </row>
    <row r="100" spans="2:5" x14ac:dyDescent="0.35">
      <c r="B100" s="42"/>
      <c r="C100" s="43"/>
      <c r="D100" s="43"/>
      <c r="E100" s="43"/>
    </row>
    <row r="101" spans="2:5" x14ac:dyDescent="0.35">
      <c r="B101" s="42"/>
      <c r="C101" s="43"/>
      <c r="D101" s="43"/>
      <c r="E101" s="43"/>
    </row>
    <row r="102" spans="2:5" x14ac:dyDescent="0.35">
      <c r="B102" s="42"/>
      <c r="C102" s="43"/>
      <c r="D102" s="43"/>
      <c r="E102" s="43"/>
    </row>
    <row r="103" spans="2:5" x14ac:dyDescent="0.35">
      <c r="B103" s="42"/>
      <c r="C103" s="43"/>
      <c r="D103" s="43"/>
      <c r="E103" s="43"/>
    </row>
    <row r="104" spans="2:5" x14ac:dyDescent="0.35">
      <c r="B104" s="42"/>
      <c r="C104" s="43"/>
      <c r="D104" s="43"/>
      <c r="E104" s="43"/>
    </row>
    <row r="105" spans="2:5" x14ac:dyDescent="0.35">
      <c r="B105" s="42"/>
      <c r="C105" s="43"/>
      <c r="D105" s="43"/>
      <c r="E105" s="43"/>
    </row>
    <row r="106" spans="2:5" x14ac:dyDescent="0.35">
      <c r="B106" s="42"/>
      <c r="C106" s="43"/>
      <c r="D106" s="43"/>
      <c r="E106" s="43"/>
    </row>
    <row r="107" spans="2:5" x14ac:dyDescent="0.35">
      <c r="B107" s="42"/>
      <c r="C107" s="43"/>
      <c r="D107" s="43"/>
      <c r="E107" s="43"/>
    </row>
    <row r="108" spans="2:5" x14ac:dyDescent="0.35">
      <c r="B108" s="42"/>
      <c r="C108" s="43"/>
      <c r="D108" s="43"/>
      <c r="E108" s="43"/>
    </row>
    <row r="109" spans="2:5" x14ac:dyDescent="0.35">
      <c r="B109" s="42"/>
      <c r="C109" s="43"/>
      <c r="D109" s="43"/>
      <c r="E109" s="43"/>
    </row>
    <row r="110" spans="2:5" x14ac:dyDescent="0.35">
      <c r="B110" s="42"/>
      <c r="C110" s="43"/>
      <c r="D110" s="43"/>
      <c r="E110" s="43"/>
    </row>
    <row r="111" spans="2:5" x14ac:dyDescent="0.35">
      <c r="B111" s="42"/>
      <c r="C111" s="43"/>
      <c r="D111" s="43"/>
      <c r="E111" s="43"/>
    </row>
    <row r="112" spans="2:5" x14ac:dyDescent="0.35">
      <c r="B112" s="42"/>
      <c r="C112" s="43"/>
      <c r="D112" s="43"/>
      <c r="E112" s="43"/>
    </row>
    <row r="113" spans="2:5" x14ac:dyDescent="0.35">
      <c r="B113" s="42"/>
      <c r="C113" s="43"/>
      <c r="D113" s="43"/>
      <c r="E113" s="43"/>
    </row>
    <row r="114" spans="2:5" x14ac:dyDescent="0.35">
      <c r="B114" s="42"/>
      <c r="C114" s="43"/>
      <c r="D114" s="43"/>
      <c r="E114" s="43"/>
    </row>
    <row r="115" spans="2:5" x14ac:dyDescent="0.35">
      <c r="B115" s="42"/>
      <c r="C115" s="43"/>
      <c r="D115" s="43"/>
      <c r="E115" s="43"/>
    </row>
    <row r="116" spans="2:5" x14ac:dyDescent="0.35">
      <c r="B116" s="42"/>
      <c r="C116" s="43"/>
      <c r="D116" s="43"/>
      <c r="E116" s="43"/>
    </row>
    <row r="117" spans="2:5" x14ac:dyDescent="0.35">
      <c r="B117" s="42"/>
      <c r="C117" s="43"/>
      <c r="D117" s="43"/>
      <c r="E117" s="43"/>
    </row>
    <row r="118" spans="2:5" x14ac:dyDescent="0.35">
      <c r="B118" s="42"/>
      <c r="C118" s="43"/>
      <c r="D118" s="43"/>
      <c r="E118" s="43"/>
    </row>
    <row r="119" spans="2:5" x14ac:dyDescent="0.35">
      <c r="B119" s="42"/>
      <c r="C119" s="43"/>
      <c r="D119" s="43"/>
      <c r="E119" s="43"/>
    </row>
    <row r="120" spans="2:5" x14ac:dyDescent="0.35">
      <c r="B120" s="42"/>
      <c r="C120" s="43"/>
      <c r="D120" s="43"/>
      <c r="E120" s="43"/>
    </row>
    <row r="121" spans="2:5" x14ac:dyDescent="0.35">
      <c r="B121" s="42"/>
      <c r="C121" s="43"/>
      <c r="D121" s="43"/>
      <c r="E121" s="43"/>
    </row>
    <row r="122" spans="2:5" x14ac:dyDescent="0.35">
      <c r="B122" s="42"/>
      <c r="C122" s="43"/>
      <c r="D122" s="43"/>
      <c r="E122" s="43"/>
    </row>
    <row r="123" spans="2:5" x14ac:dyDescent="0.35">
      <c r="B123" s="42"/>
      <c r="C123" s="43"/>
      <c r="D123" s="43"/>
      <c r="E123" s="43"/>
    </row>
    <row r="124" spans="2:5" x14ac:dyDescent="0.35">
      <c r="B124" s="42"/>
      <c r="C124" s="43"/>
      <c r="D124" s="43"/>
      <c r="E124" s="43"/>
    </row>
    <row r="125" spans="2:5" x14ac:dyDescent="0.35">
      <c r="B125" s="42"/>
      <c r="C125" s="43"/>
      <c r="D125" s="43"/>
      <c r="E125" s="43"/>
    </row>
    <row r="126" spans="2:5" x14ac:dyDescent="0.35">
      <c r="B126" s="42"/>
      <c r="C126" s="43"/>
      <c r="D126" s="43"/>
      <c r="E126" s="43"/>
    </row>
    <row r="127" spans="2:5" x14ac:dyDescent="0.35">
      <c r="B127" s="42"/>
      <c r="C127" s="43"/>
      <c r="D127" s="43"/>
      <c r="E127" s="43"/>
    </row>
    <row r="128" spans="2:5" x14ac:dyDescent="0.35">
      <c r="B128" s="42"/>
      <c r="C128" s="43"/>
      <c r="D128" s="43"/>
      <c r="E128" s="43"/>
    </row>
    <row r="129" spans="2:5" x14ac:dyDescent="0.35">
      <c r="B129" s="42"/>
      <c r="C129" s="43"/>
      <c r="D129" s="43"/>
      <c r="E129" s="43"/>
    </row>
    <row r="130" spans="2:5" x14ac:dyDescent="0.35">
      <c r="B130" s="42"/>
      <c r="C130" s="43"/>
      <c r="D130" s="43"/>
      <c r="E130" s="43"/>
    </row>
    <row r="131" spans="2:5" x14ac:dyDescent="0.35">
      <c r="B131" s="42"/>
      <c r="C131" s="43"/>
      <c r="D131" s="43"/>
      <c r="E131" s="43"/>
    </row>
    <row r="132" spans="2:5" x14ac:dyDescent="0.35">
      <c r="B132" s="42"/>
      <c r="C132" s="43"/>
      <c r="D132" s="43"/>
      <c r="E132" s="43"/>
    </row>
    <row r="133" spans="2:5" x14ac:dyDescent="0.35">
      <c r="B133" s="42"/>
      <c r="C133" s="43"/>
      <c r="D133" s="43"/>
      <c r="E133" s="43"/>
    </row>
    <row r="134" spans="2:5" x14ac:dyDescent="0.35">
      <c r="B134" s="42"/>
      <c r="C134" s="43"/>
      <c r="D134" s="43"/>
      <c r="E134" s="43"/>
    </row>
    <row r="135" spans="2:5" x14ac:dyDescent="0.35">
      <c r="B135" s="42"/>
      <c r="C135" s="43"/>
      <c r="D135" s="43"/>
      <c r="E135" s="43"/>
    </row>
    <row r="136" spans="2:5" x14ac:dyDescent="0.35">
      <c r="B136" s="42"/>
      <c r="C136" s="43"/>
      <c r="D136" s="43"/>
      <c r="E136" s="43"/>
    </row>
    <row r="137" spans="2:5" x14ac:dyDescent="0.35">
      <c r="B137" s="42"/>
      <c r="C137" s="43"/>
      <c r="D137" s="43"/>
      <c r="E137" s="43"/>
    </row>
    <row r="138" spans="2:5" x14ac:dyDescent="0.35">
      <c r="B138" s="42"/>
      <c r="C138" s="43"/>
      <c r="D138" s="43"/>
      <c r="E138" s="43"/>
    </row>
    <row r="139" spans="2:5" x14ac:dyDescent="0.35">
      <c r="B139" s="42"/>
      <c r="C139" s="43"/>
      <c r="D139" s="43"/>
      <c r="E139" s="43"/>
    </row>
    <row r="140" spans="2:5" x14ac:dyDescent="0.35">
      <c r="B140" s="42"/>
      <c r="C140" s="43"/>
      <c r="D140" s="43"/>
      <c r="E140" s="43"/>
    </row>
    <row r="141" spans="2:5" x14ac:dyDescent="0.35">
      <c r="B141" s="42"/>
      <c r="C141" s="43"/>
      <c r="D141" s="43"/>
      <c r="E141" s="43"/>
    </row>
    <row r="142" spans="2:5" x14ac:dyDescent="0.35">
      <c r="B142" s="42"/>
      <c r="C142" s="43"/>
      <c r="D142" s="43"/>
      <c r="E142" s="43"/>
    </row>
    <row r="143" spans="2:5" x14ac:dyDescent="0.35">
      <c r="B143" s="42"/>
      <c r="C143" s="43"/>
      <c r="D143" s="43"/>
      <c r="E143" s="43"/>
    </row>
    <row r="144" spans="2:5" x14ac:dyDescent="0.35">
      <c r="B144" s="42"/>
      <c r="C144" s="43"/>
      <c r="D144" s="43"/>
      <c r="E144" s="43"/>
    </row>
    <row r="145" spans="2:5" x14ac:dyDescent="0.35">
      <c r="B145" s="42"/>
      <c r="C145" s="43"/>
      <c r="D145" s="43"/>
      <c r="E145" s="43"/>
    </row>
    <row r="146" spans="2:5" x14ac:dyDescent="0.35">
      <c r="B146" s="42"/>
      <c r="C146" s="43"/>
      <c r="D146" s="43"/>
      <c r="E146" s="43"/>
    </row>
    <row r="147" spans="2:5" x14ac:dyDescent="0.35">
      <c r="B147" s="42"/>
      <c r="C147" s="43"/>
      <c r="D147" s="43"/>
      <c r="E147" s="43"/>
    </row>
    <row r="148" spans="2:5" x14ac:dyDescent="0.35">
      <c r="B148" s="42"/>
      <c r="C148" s="43"/>
      <c r="D148" s="43"/>
      <c r="E148" s="43"/>
    </row>
    <row r="149" spans="2:5" x14ac:dyDescent="0.35">
      <c r="B149" s="42"/>
      <c r="C149" s="43"/>
      <c r="D149" s="43"/>
      <c r="E149" s="43"/>
    </row>
    <row r="150" spans="2:5" x14ac:dyDescent="0.35">
      <c r="B150" s="42"/>
      <c r="C150" s="43"/>
      <c r="D150" s="43"/>
      <c r="E150" s="43"/>
    </row>
    <row r="151" spans="2:5" x14ac:dyDescent="0.35">
      <c r="B151" s="42"/>
      <c r="C151" s="43"/>
      <c r="D151" s="43"/>
      <c r="E151" s="43"/>
    </row>
    <row r="152" spans="2:5" x14ac:dyDescent="0.35">
      <c r="B152" s="42"/>
      <c r="C152" s="43"/>
      <c r="D152" s="43"/>
      <c r="E152" s="43"/>
    </row>
    <row r="153" spans="2:5" x14ac:dyDescent="0.35">
      <c r="B153" s="42"/>
      <c r="C153" s="43"/>
      <c r="D153" s="43"/>
      <c r="E153" s="43"/>
    </row>
    <row r="154" spans="2:5" x14ac:dyDescent="0.35">
      <c r="B154" s="42"/>
      <c r="C154" s="43"/>
      <c r="D154" s="43"/>
      <c r="E154" s="43"/>
    </row>
    <row r="155" spans="2:5" x14ac:dyDescent="0.35">
      <c r="B155" s="42"/>
      <c r="C155" s="43"/>
      <c r="D155" s="43"/>
      <c r="E155" s="43"/>
    </row>
    <row r="156" spans="2:5" x14ac:dyDescent="0.35">
      <c r="B156" s="42"/>
      <c r="C156" s="43"/>
      <c r="D156" s="43"/>
      <c r="E156" s="43"/>
    </row>
    <row r="157" spans="2:5" x14ac:dyDescent="0.35">
      <c r="B157" s="42"/>
      <c r="C157" s="43"/>
      <c r="D157" s="43"/>
      <c r="E157" s="43"/>
    </row>
    <row r="158" spans="2:5" x14ac:dyDescent="0.35">
      <c r="B158" s="42"/>
      <c r="C158" s="43"/>
      <c r="D158" s="43"/>
      <c r="E158" s="43"/>
    </row>
    <row r="159" spans="2:5" x14ac:dyDescent="0.35">
      <c r="B159" s="42"/>
      <c r="C159" s="43"/>
      <c r="D159" s="43"/>
      <c r="E159" s="43"/>
    </row>
    <row r="160" spans="2:5" x14ac:dyDescent="0.35">
      <c r="B160" s="42"/>
      <c r="C160" s="43"/>
      <c r="D160" s="43"/>
      <c r="E160" s="43"/>
    </row>
    <row r="161" spans="2:5" x14ac:dyDescent="0.35">
      <c r="B161" s="42"/>
      <c r="C161" s="43"/>
      <c r="D161" s="43"/>
      <c r="E161" s="43"/>
    </row>
    <row r="162" spans="2:5" x14ac:dyDescent="0.35">
      <c r="B162" s="42"/>
      <c r="C162" s="43"/>
      <c r="D162" s="43"/>
      <c r="E162" s="43"/>
    </row>
    <row r="163" spans="2:5" x14ac:dyDescent="0.35">
      <c r="B163" s="42"/>
      <c r="C163" s="43"/>
      <c r="D163" s="43"/>
      <c r="E163" s="43"/>
    </row>
    <row r="164" spans="2:5" x14ac:dyDescent="0.35">
      <c r="B164" s="42"/>
      <c r="C164" s="43"/>
      <c r="D164" s="43"/>
      <c r="E164" s="43"/>
    </row>
    <row r="165" spans="2:5" x14ac:dyDescent="0.35">
      <c r="B165" s="42"/>
      <c r="C165" s="43"/>
      <c r="D165" s="43"/>
      <c r="E165" s="43"/>
    </row>
    <row r="166" spans="2:5" x14ac:dyDescent="0.35">
      <c r="B166" s="42"/>
      <c r="C166" s="43"/>
      <c r="D166" s="43"/>
      <c r="E166" s="43"/>
    </row>
    <row r="167" spans="2:5" x14ac:dyDescent="0.35">
      <c r="B167" s="42"/>
      <c r="C167" s="43"/>
      <c r="D167" s="43"/>
      <c r="E167" s="43"/>
    </row>
    <row r="168" spans="2:5" x14ac:dyDescent="0.35">
      <c r="B168" s="42"/>
      <c r="C168" s="43"/>
      <c r="D168" s="43"/>
      <c r="E168" s="43"/>
    </row>
    <row r="169" spans="2:5" x14ac:dyDescent="0.35">
      <c r="B169" s="42"/>
      <c r="C169" s="43"/>
      <c r="D169" s="43"/>
      <c r="E169" s="43"/>
    </row>
    <row r="170" spans="2:5" x14ac:dyDescent="0.35">
      <c r="B170" s="42"/>
      <c r="C170" s="43"/>
      <c r="D170" s="43"/>
      <c r="E170" s="43"/>
    </row>
    <row r="171" spans="2:5" x14ac:dyDescent="0.35">
      <c r="B171" s="42"/>
      <c r="C171" s="43"/>
      <c r="D171" s="43"/>
      <c r="E171" s="43"/>
    </row>
    <row r="172" spans="2:5" x14ac:dyDescent="0.35">
      <c r="B172" s="42"/>
      <c r="C172" s="43"/>
      <c r="D172" s="43"/>
      <c r="E172" s="43"/>
    </row>
    <row r="173" spans="2:5" x14ac:dyDescent="0.35">
      <c r="B173" s="42"/>
      <c r="C173" s="43"/>
      <c r="D173" s="43"/>
      <c r="E173" s="43"/>
    </row>
    <row r="174" spans="2:5" x14ac:dyDescent="0.35">
      <c r="B174" s="42"/>
      <c r="C174" s="43"/>
      <c r="D174" s="43"/>
      <c r="E174" s="43"/>
    </row>
    <row r="175" spans="2:5" x14ac:dyDescent="0.35">
      <c r="B175" s="42"/>
      <c r="C175" s="43"/>
      <c r="D175" s="43"/>
      <c r="E175" s="43"/>
    </row>
    <row r="176" spans="2:5" x14ac:dyDescent="0.35">
      <c r="B176" s="42"/>
      <c r="C176" s="43"/>
      <c r="D176" s="43"/>
      <c r="E176" s="43"/>
    </row>
    <row r="177" spans="2:5" x14ac:dyDescent="0.35">
      <c r="B177" s="42"/>
      <c r="C177" s="43"/>
      <c r="D177" s="43"/>
      <c r="E177" s="43"/>
    </row>
    <row r="178" spans="2:5" x14ac:dyDescent="0.35">
      <c r="B178" s="42"/>
      <c r="C178" s="43"/>
      <c r="D178" s="43"/>
      <c r="E178" s="43"/>
    </row>
    <row r="179" spans="2:5" x14ac:dyDescent="0.35">
      <c r="B179" s="42"/>
      <c r="C179" s="43"/>
      <c r="D179" s="43"/>
      <c r="E179" s="43"/>
    </row>
    <row r="180" spans="2:5" x14ac:dyDescent="0.35">
      <c r="B180" s="42"/>
      <c r="C180" s="43"/>
      <c r="D180" s="43"/>
      <c r="E180" s="43"/>
    </row>
    <row r="181" spans="2:5" x14ac:dyDescent="0.35">
      <c r="B181" s="42"/>
      <c r="C181" s="43"/>
      <c r="D181" s="43"/>
      <c r="E181" s="43"/>
    </row>
    <row r="182" spans="2:5" x14ac:dyDescent="0.35">
      <c r="B182" s="42"/>
      <c r="C182" s="43"/>
      <c r="D182" s="43"/>
      <c r="E182" s="43"/>
    </row>
    <row r="183" spans="2:5" x14ac:dyDescent="0.35">
      <c r="B183" s="42"/>
      <c r="C183" s="43"/>
      <c r="D183" s="43"/>
      <c r="E183" s="43"/>
    </row>
    <row r="184" spans="2:5" x14ac:dyDescent="0.35">
      <c r="B184" s="42"/>
      <c r="C184" s="43"/>
      <c r="D184" s="43"/>
      <c r="E184" s="43"/>
    </row>
    <row r="185" spans="2:5" x14ac:dyDescent="0.35">
      <c r="B185" s="42"/>
      <c r="C185" s="43"/>
      <c r="D185" s="43"/>
      <c r="E185" s="43"/>
    </row>
    <row r="186" spans="2:5" x14ac:dyDescent="0.35">
      <c r="B186" s="42"/>
      <c r="C186" s="43"/>
      <c r="D186" s="43"/>
      <c r="E186" s="43"/>
    </row>
    <row r="187" spans="2:5" x14ac:dyDescent="0.35">
      <c r="B187" s="42"/>
      <c r="C187" s="43"/>
      <c r="D187" s="43"/>
      <c r="E187" s="43"/>
    </row>
    <row r="188" spans="2:5" x14ac:dyDescent="0.35">
      <c r="B188" s="42"/>
      <c r="C188" s="43"/>
      <c r="D188" s="43"/>
      <c r="E188" s="43"/>
    </row>
    <row r="189" spans="2:5" x14ac:dyDescent="0.35">
      <c r="B189" s="42"/>
      <c r="C189" s="43"/>
      <c r="D189" s="43"/>
      <c r="E189" s="43"/>
    </row>
    <row r="190" spans="2:5" x14ac:dyDescent="0.35">
      <c r="B190" s="42"/>
      <c r="C190" s="43"/>
      <c r="D190" s="43"/>
      <c r="E190" s="43"/>
    </row>
    <row r="191" spans="2:5" x14ac:dyDescent="0.35">
      <c r="B191" s="42"/>
      <c r="C191" s="43"/>
      <c r="D191" s="43"/>
      <c r="E191" s="43"/>
    </row>
    <row r="192" spans="2:5" x14ac:dyDescent="0.35">
      <c r="B192" s="42"/>
      <c r="C192" s="43"/>
      <c r="D192" s="43"/>
      <c r="E192" s="43"/>
    </row>
    <row r="193" spans="2:5" x14ac:dyDescent="0.35">
      <c r="B193" s="42"/>
      <c r="C193" s="43"/>
      <c r="D193" s="43"/>
      <c r="E193" s="43"/>
    </row>
    <row r="194" spans="2:5" x14ac:dyDescent="0.35">
      <c r="B194" s="42"/>
      <c r="C194" s="43"/>
      <c r="D194" s="43"/>
      <c r="E194" s="43"/>
    </row>
    <row r="195" spans="2:5" x14ac:dyDescent="0.35">
      <c r="B195" s="42"/>
      <c r="C195" s="43"/>
      <c r="D195" s="43"/>
      <c r="E195" s="43"/>
    </row>
    <row r="196" spans="2:5" x14ac:dyDescent="0.35">
      <c r="B196" s="42"/>
      <c r="C196" s="43"/>
      <c r="D196" s="43"/>
      <c r="E196" s="43"/>
    </row>
    <row r="197" spans="2:5" x14ac:dyDescent="0.35">
      <c r="B197" s="42"/>
      <c r="C197" s="43"/>
      <c r="D197" s="43"/>
      <c r="E197" s="43"/>
    </row>
    <row r="198" spans="2:5" x14ac:dyDescent="0.35">
      <c r="B198" s="42"/>
      <c r="C198" s="43"/>
      <c r="D198" s="43"/>
      <c r="E198" s="43"/>
    </row>
    <row r="199" spans="2:5" x14ac:dyDescent="0.35">
      <c r="B199" s="42"/>
      <c r="C199" s="43"/>
      <c r="D199" s="43"/>
      <c r="E199" s="43"/>
    </row>
    <row r="200" spans="2:5" x14ac:dyDescent="0.35">
      <c r="B200" s="42"/>
      <c r="C200" s="43"/>
      <c r="D200" s="43"/>
      <c r="E200" s="43"/>
    </row>
    <row r="201" spans="2:5" x14ac:dyDescent="0.35">
      <c r="B201" s="42"/>
      <c r="C201" s="43"/>
      <c r="D201" s="43"/>
      <c r="E201" s="43"/>
    </row>
    <row r="202" spans="2:5" x14ac:dyDescent="0.35">
      <c r="B202" s="42"/>
      <c r="C202" s="43"/>
      <c r="D202" s="43"/>
      <c r="E202" s="43"/>
    </row>
    <row r="203" spans="2:5" x14ac:dyDescent="0.35">
      <c r="B203" s="42"/>
      <c r="C203" s="43"/>
      <c r="D203" s="43"/>
      <c r="E203" s="43"/>
    </row>
    <row r="204" spans="2:5" x14ac:dyDescent="0.35">
      <c r="B204" s="42"/>
      <c r="C204" s="43"/>
      <c r="D204" s="43"/>
      <c r="E204" s="43"/>
    </row>
    <row r="205" spans="2:5" x14ac:dyDescent="0.35">
      <c r="B205" s="42"/>
      <c r="C205" s="43"/>
      <c r="D205" s="43"/>
      <c r="E205" s="43"/>
    </row>
    <row r="206" spans="2:5" x14ac:dyDescent="0.35">
      <c r="B206" s="42"/>
      <c r="C206" s="43"/>
      <c r="D206" s="43"/>
      <c r="E206" s="43"/>
    </row>
    <row r="207" spans="2:5" x14ac:dyDescent="0.35">
      <c r="B207" s="42"/>
      <c r="C207" s="43"/>
      <c r="D207" s="43"/>
      <c r="E207" s="43"/>
    </row>
    <row r="208" spans="2:5" x14ac:dyDescent="0.35">
      <c r="B208" s="42"/>
      <c r="C208" s="43"/>
      <c r="D208" s="43"/>
      <c r="E208" s="43"/>
    </row>
    <row r="209" spans="2:5" x14ac:dyDescent="0.35">
      <c r="B209" s="42"/>
      <c r="C209" s="43"/>
      <c r="D209" s="43"/>
      <c r="E209" s="43"/>
    </row>
    <row r="210" spans="2:5" x14ac:dyDescent="0.35">
      <c r="B210" s="42"/>
      <c r="C210" s="43"/>
      <c r="D210" s="43"/>
      <c r="E210" s="43"/>
    </row>
    <row r="211" spans="2:5" x14ac:dyDescent="0.35">
      <c r="B211" s="42"/>
      <c r="C211" s="43"/>
      <c r="D211" s="43"/>
      <c r="E211" s="43"/>
    </row>
    <row r="212" spans="2:5" x14ac:dyDescent="0.35">
      <c r="B212" s="42"/>
      <c r="C212" s="43"/>
      <c r="D212" s="43"/>
      <c r="E212" s="43"/>
    </row>
    <row r="213" spans="2:5" x14ac:dyDescent="0.35">
      <c r="B213" s="42"/>
      <c r="C213" s="43"/>
      <c r="D213" s="43"/>
      <c r="E213" s="43"/>
    </row>
    <row r="214" spans="2:5" x14ac:dyDescent="0.35">
      <c r="B214" s="42"/>
      <c r="C214" s="43"/>
      <c r="D214" s="43"/>
      <c r="E214" s="43"/>
    </row>
    <row r="215" spans="2:5" x14ac:dyDescent="0.35">
      <c r="B215" s="42"/>
      <c r="C215" s="43"/>
      <c r="D215" s="43"/>
      <c r="E215" s="43"/>
    </row>
    <row r="216" spans="2:5" x14ac:dyDescent="0.35">
      <c r="B216" s="42"/>
      <c r="C216" s="43"/>
      <c r="D216" s="43"/>
      <c r="E216" s="43"/>
    </row>
    <row r="217" spans="2:5" x14ac:dyDescent="0.35">
      <c r="B217" s="42"/>
      <c r="C217" s="43"/>
      <c r="D217" s="43"/>
      <c r="E217" s="43"/>
    </row>
    <row r="218" spans="2:5" x14ac:dyDescent="0.35">
      <c r="B218" s="42"/>
      <c r="C218" s="43"/>
      <c r="D218" s="43"/>
      <c r="E218" s="43"/>
    </row>
    <row r="219" spans="2:5" x14ac:dyDescent="0.35">
      <c r="B219" s="42"/>
      <c r="C219" s="43"/>
      <c r="D219" s="43"/>
      <c r="E219" s="43"/>
    </row>
    <row r="220" spans="2:5" x14ac:dyDescent="0.35">
      <c r="B220" s="42"/>
      <c r="C220" s="43"/>
      <c r="D220" s="43"/>
      <c r="E220" s="43"/>
    </row>
    <row r="221" spans="2:5" x14ac:dyDescent="0.35">
      <c r="B221" s="42"/>
      <c r="C221" s="43"/>
      <c r="D221" s="43"/>
      <c r="E221" s="43"/>
    </row>
    <row r="222" spans="2:5" x14ac:dyDescent="0.35">
      <c r="B222" s="42"/>
      <c r="C222" s="43"/>
      <c r="D222" s="43"/>
      <c r="E222" s="43"/>
    </row>
    <row r="223" spans="2:5" x14ac:dyDescent="0.35">
      <c r="B223" s="42"/>
      <c r="C223" s="43"/>
      <c r="D223" s="43"/>
      <c r="E223" s="43"/>
    </row>
    <row r="224" spans="2:5" x14ac:dyDescent="0.35">
      <c r="B224" s="42"/>
      <c r="C224" s="43"/>
      <c r="D224" s="43"/>
      <c r="E224" s="43"/>
    </row>
    <row r="225" spans="2:5" x14ac:dyDescent="0.35">
      <c r="B225" s="42"/>
      <c r="C225" s="43"/>
      <c r="D225" s="43"/>
      <c r="E225" s="43"/>
    </row>
    <row r="226" spans="2:5" x14ac:dyDescent="0.35">
      <c r="B226" s="42"/>
      <c r="C226" s="43"/>
      <c r="D226" s="43"/>
      <c r="E226" s="43"/>
    </row>
    <row r="227" spans="2:5" x14ac:dyDescent="0.35">
      <c r="B227" s="42"/>
      <c r="C227" s="43"/>
      <c r="D227" s="43"/>
      <c r="E227" s="43"/>
    </row>
    <row r="228" spans="2:5" x14ac:dyDescent="0.35">
      <c r="B228" s="42"/>
      <c r="C228" s="43"/>
      <c r="D228" s="43"/>
      <c r="E228" s="43"/>
    </row>
    <row r="229" spans="2:5" x14ac:dyDescent="0.35">
      <c r="B229" s="42"/>
      <c r="C229" s="43"/>
      <c r="D229" s="43"/>
      <c r="E229" s="43"/>
    </row>
    <row r="230" spans="2:5" x14ac:dyDescent="0.35">
      <c r="B230" s="42"/>
      <c r="C230" s="43"/>
      <c r="D230" s="43"/>
      <c r="E230" s="43"/>
    </row>
    <row r="231" spans="2:5" x14ac:dyDescent="0.35">
      <c r="B231" s="42"/>
      <c r="C231" s="43"/>
      <c r="D231" s="43"/>
      <c r="E231" s="43"/>
    </row>
    <row r="232" spans="2:5" x14ac:dyDescent="0.35">
      <c r="B232" s="42"/>
      <c r="C232" s="43"/>
      <c r="D232" s="43"/>
      <c r="E232" s="43"/>
    </row>
    <row r="233" spans="2:5" x14ac:dyDescent="0.35">
      <c r="B233" s="42"/>
      <c r="C233" s="43"/>
      <c r="D233" s="43"/>
      <c r="E233" s="43"/>
    </row>
    <row r="234" spans="2:5" x14ac:dyDescent="0.35">
      <c r="B234" s="42"/>
      <c r="C234" s="43"/>
      <c r="D234" s="43"/>
      <c r="E234" s="43"/>
    </row>
    <row r="235" spans="2:5" x14ac:dyDescent="0.35">
      <c r="B235" s="42"/>
      <c r="C235" s="43"/>
      <c r="D235" s="43"/>
      <c r="E235" s="43"/>
    </row>
    <row r="236" spans="2:5" x14ac:dyDescent="0.35">
      <c r="B236" s="42"/>
      <c r="C236" s="43"/>
      <c r="D236" s="43"/>
      <c r="E236" s="43"/>
    </row>
    <row r="237" spans="2:5" x14ac:dyDescent="0.35">
      <c r="B237" s="42"/>
      <c r="C237" s="43"/>
      <c r="D237" s="43"/>
      <c r="E237" s="43"/>
    </row>
    <row r="238" spans="2:5" x14ac:dyDescent="0.35">
      <c r="B238" s="42"/>
      <c r="C238" s="43"/>
      <c r="D238" s="43"/>
      <c r="E238" s="43"/>
    </row>
    <row r="239" spans="2:5" x14ac:dyDescent="0.35">
      <c r="B239" s="42"/>
      <c r="C239" s="43"/>
      <c r="D239" s="43"/>
      <c r="E239" s="43"/>
    </row>
    <row r="240" spans="2:5" x14ac:dyDescent="0.35">
      <c r="B240" s="42"/>
      <c r="C240" s="43"/>
      <c r="D240" s="43"/>
      <c r="E240" s="43"/>
    </row>
    <row r="241" spans="2:5" x14ac:dyDescent="0.35">
      <c r="B241" s="42"/>
      <c r="C241" s="43"/>
      <c r="D241" s="43"/>
      <c r="E241" s="43"/>
    </row>
    <row r="242" spans="2:5" x14ac:dyDescent="0.35">
      <c r="B242" s="42"/>
      <c r="C242" s="43"/>
      <c r="D242" s="43"/>
      <c r="E242" s="43"/>
    </row>
    <row r="243" spans="2:5" x14ac:dyDescent="0.35">
      <c r="B243" s="42"/>
      <c r="C243" s="43"/>
      <c r="D243" s="43"/>
      <c r="E243" s="43"/>
    </row>
    <row r="244" spans="2:5" x14ac:dyDescent="0.35">
      <c r="B244" s="42"/>
      <c r="C244" s="43"/>
      <c r="D244" s="43"/>
      <c r="E244" s="43"/>
    </row>
    <row r="245" spans="2:5" x14ac:dyDescent="0.35">
      <c r="B245" s="42"/>
      <c r="C245" s="43"/>
      <c r="D245" s="43"/>
      <c r="E245" s="43"/>
    </row>
    <row r="246" spans="2:5" x14ac:dyDescent="0.35">
      <c r="B246" s="42"/>
      <c r="C246" s="43"/>
      <c r="D246" s="43"/>
      <c r="E246" s="43"/>
    </row>
    <row r="247" spans="2:5" x14ac:dyDescent="0.35">
      <c r="B247" s="42"/>
      <c r="C247" s="43"/>
      <c r="D247" s="43"/>
      <c r="E247" s="43"/>
    </row>
    <row r="248" spans="2:5" x14ac:dyDescent="0.35">
      <c r="B248" s="42"/>
      <c r="C248" s="43"/>
      <c r="D248" s="43"/>
      <c r="E248" s="43"/>
    </row>
    <row r="249" spans="2:5" x14ac:dyDescent="0.35">
      <c r="B249" s="42"/>
      <c r="C249" s="43"/>
      <c r="D249" s="43"/>
      <c r="E249" s="43"/>
    </row>
    <row r="250" spans="2:5" x14ac:dyDescent="0.35">
      <c r="B250" s="42"/>
      <c r="C250" s="43"/>
      <c r="D250" s="43"/>
      <c r="E250" s="43"/>
    </row>
    <row r="251" spans="2:5" x14ac:dyDescent="0.35">
      <c r="B251" s="42"/>
      <c r="C251" s="43"/>
      <c r="D251" s="43"/>
      <c r="E251" s="43"/>
    </row>
    <row r="252" spans="2:5" x14ac:dyDescent="0.35">
      <c r="B252" s="42"/>
      <c r="C252" s="43"/>
      <c r="D252" s="43"/>
      <c r="E252" s="43"/>
    </row>
    <row r="253" spans="2:5" x14ac:dyDescent="0.35">
      <c r="B253" s="42"/>
      <c r="C253" s="43"/>
      <c r="D253" s="43"/>
      <c r="E253" s="43"/>
    </row>
    <row r="254" spans="2:5" x14ac:dyDescent="0.35">
      <c r="B254" s="42"/>
      <c r="C254" s="43"/>
      <c r="D254" s="43"/>
      <c r="E254" s="43"/>
    </row>
    <row r="255" spans="2:5" x14ac:dyDescent="0.35">
      <c r="B255" s="42"/>
      <c r="C255" s="43"/>
      <c r="D255" s="43"/>
      <c r="E255" s="43"/>
    </row>
    <row r="256" spans="2:5" x14ac:dyDescent="0.35">
      <c r="B256" s="42"/>
      <c r="C256" s="43"/>
      <c r="D256" s="43"/>
      <c r="E256" s="43"/>
    </row>
    <row r="257" spans="2:5" x14ac:dyDescent="0.35">
      <c r="B257" s="42"/>
      <c r="C257" s="43"/>
      <c r="D257" s="43"/>
      <c r="E257" s="43"/>
    </row>
    <row r="258" spans="2:5" x14ac:dyDescent="0.35">
      <c r="B258" s="42"/>
      <c r="C258" s="43"/>
      <c r="D258" s="43"/>
      <c r="E258" s="43"/>
    </row>
    <row r="259" spans="2:5" x14ac:dyDescent="0.35">
      <c r="B259" s="42"/>
      <c r="C259" s="43"/>
      <c r="D259" s="43"/>
      <c r="E259" s="43"/>
    </row>
    <row r="260" spans="2:5" x14ac:dyDescent="0.35">
      <c r="B260" s="42"/>
      <c r="C260" s="43"/>
      <c r="D260" s="43"/>
      <c r="E260" s="43"/>
    </row>
    <row r="261" spans="2:5" x14ac:dyDescent="0.35">
      <c r="B261" s="42"/>
      <c r="C261" s="43"/>
      <c r="D261" s="43"/>
      <c r="E261" s="43"/>
    </row>
    <row r="262" spans="2:5" x14ac:dyDescent="0.35">
      <c r="B262" s="42"/>
      <c r="C262" s="43"/>
      <c r="D262" s="43"/>
      <c r="E262" s="43"/>
    </row>
    <row r="263" spans="2:5" x14ac:dyDescent="0.35">
      <c r="B263" s="42"/>
      <c r="C263" s="43"/>
      <c r="D263" s="43"/>
      <c r="E263" s="43"/>
    </row>
    <row r="264" spans="2:5" x14ac:dyDescent="0.35">
      <c r="B264" s="42"/>
      <c r="C264" s="43"/>
      <c r="D264" s="43"/>
      <c r="E264" s="43"/>
    </row>
    <row r="265" spans="2:5" x14ac:dyDescent="0.35">
      <c r="B265" s="42"/>
      <c r="C265" s="43"/>
      <c r="D265" s="43"/>
      <c r="E265" s="43"/>
    </row>
    <row r="266" spans="2:5" x14ac:dyDescent="0.35">
      <c r="B266" s="42"/>
      <c r="C266" s="43"/>
      <c r="D266" s="43"/>
      <c r="E266" s="43"/>
    </row>
    <row r="267" spans="2:5" x14ac:dyDescent="0.35">
      <c r="B267" s="42"/>
      <c r="C267" s="43"/>
      <c r="D267" s="43"/>
      <c r="E267" s="43"/>
    </row>
    <row r="268" spans="2:5" x14ac:dyDescent="0.35">
      <c r="B268" s="42"/>
      <c r="C268" s="43"/>
      <c r="D268" s="43"/>
      <c r="E268" s="43"/>
    </row>
    <row r="269" spans="2:5" x14ac:dyDescent="0.35">
      <c r="B269" s="42"/>
      <c r="C269" s="43"/>
      <c r="D269" s="43"/>
      <c r="E269" s="43"/>
    </row>
    <row r="270" spans="2:5" x14ac:dyDescent="0.35">
      <c r="B270" s="42"/>
      <c r="C270" s="43"/>
      <c r="D270" s="43"/>
      <c r="E270" s="43"/>
    </row>
    <row r="271" spans="2:5" x14ac:dyDescent="0.35">
      <c r="B271" s="42"/>
      <c r="C271" s="43"/>
      <c r="D271" s="43"/>
      <c r="E271" s="43"/>
    </row>
    <row r="272" spans="2:5" x14ac:dyDescent="0.35">
      <c r="B272" s="42"/>
      <c r="C272" s="43"/>
      <c r="D272" s="43"/>
      <c r="E272" s="43"/>
    </row>
    <row r="273" spans="2:5" x14ac:dyDescent="0.35">
      <c r="B273" s="42"/>
      <c r="C273" s="43"/>
      <c r="D273" s="43"/>
      <c r="E273" s="43"/>
    </row>
    <row r="274" spans="2:5" x14ac:dyDescent="0.35">
      <c r="B274" s="42"/>
      <c r="C274" s="43"/>
      <c r="D274" s="43"/>
      <c r="E274" s="43"/>
    </row>
    <row r="275" spans="2:5" x14ac:dyDescent="0.35">
      <c r="B275" s="42"/>
      <c r="C275" s="43"/>
      <c r="D275" s="43"/>
      <c r="E275" s="43"/>
    </row>
    <row r="276" spans="2:5" x14ac:dyDescent="0.35">
      <c r="B276" s="42"/>
      <c r="C276" s="43"/>
      <c r="D276" s="43"/>
      <c r="E276" s="43"/>
    </row>
    <row r="277" spans="2:5" x14ac:dyDescent="0.35">
      <c r="B277" s="42"/>
      <c r="C277" s="43"/>
      <c r="D277" s="43"/>
      <c r="E277" s="43"/>
    </row>
    <row r="278" spans="2:5" x14ac:dyDescent="0.35">
      <c r="B278" s="42"/>
      <c r="C278" s="43"/>
      <c r="D278" s="43"/>
      <c r="E278" s="43"/>
    </row>
    <row r="279" spans="2:5" x14ac:dyDescent="0.35">
      <c r="B279" s="42"/>
      <c r="C279" s="43"/>
      <c r="D279" s="43"/>
      <c r="E279" s="43"/>
    </row>
    <row r="280" spans="2:5" x14ac:dyDescent="0.35">
      <c r="B280" s="42"/>
      <c r="C280" s="43"/>
      <c r="D280" s="43"/>
      <c r="E280" s="43"/>
    </row>
    <row r="281" spans="2:5" x14ac:dyDescent="0.35">
      <c r="B281" s="42"/>
      <c r="C281" s="43"/>
      <c r="D281" s="43"/>
      <c r="E281" s="43"/>
    </row>
    <row r="282" spans="2:5" x14ac:dyDescent="0.35">
      <c r="B282" s="42"/>
      <c r="C282" s="43"/>
      <c r="D282" s="43"/>
      <c r="E282" s="43"/>
    </row>
    <row r="283" spans="2:5" x14ac:dyDescent="0.35">
      <c r="B283" s="42"/>
      <c r="C283" s="43"/>
      <c r="D283" s="43"/>
      <c r="E283" s="43"/>
    </row>
    <row r="284" spans="2:5" x14ac:dyDescent="0.35">
      <c r="B284" s="42"/>
      <c r="C284" s="43"/>
      <c r="D284" s="43"/>
      <c r="E284" s="43"/>
    </row>
    <row r="285" spans="2:5" x14ac:dyDescent="0.35">
      <c r="B285" s="42"/>
      <c r="C285" s="43"/>
      <c r="D285" s="43"/>
      <c r="E285" s="43"/>
    </row>
    <row r="286" spans="2:5" x14ac:dyDescent="0.35">
      <c r="B286" s="42"/>
      <c r="C286" s="43"/>
      <c r="D286" s="43"/>
      <c r="E286" s="43"/>
    </row>
    <row r="287" spans="2:5" x14ac:dyDescent="0.35">
      <c r="B287" s="42"/>
      <c r="C287" s="43"/>
      <c r="D287" s="43"/>
      <c r="E287" s="43"/>
    </row>
    <row r="288" spans="2:5" x14ac:dyDescent="0.35">
      <c r="B288" s="42"/>
      <c r="C288" s="43"/>
      <c r="D288" s="43"/>
      <c r="E288" s="43"/>
    </row>
    <row r="289" spans="2:5" x14ac:dyDescent="0.35">
      <c r="B289" s="42"/>
      <c r="C289" s="43"/>
      <c r="D289" s="43"/>
      <c r="E289" s="43"/>
    </row>
    <row r="290" spans="2:5" x14ac:dyDescent="0.35">
      <c r="B290" s="42"/>
      <c r="C290" s="43"/>
      <c r="D290" s="43"/>
      <c r="E290" s="43"/>
    </row>
    <row r="291" spans="2:5" x14ac:dyDescent="0.35">
      <c r="B291" s="42"/>
      <c r="C291" s="43"/>
      <c r="D291" s="43"/>
      <c r="E291" s="43"/>
    </row>
    <row r="292" spans="2:5" x14ac:dyDescent="0.35">
      <c r="B292" s="42"/>
      <c r="C292" s="43"/>
      <c r="D292" s="43"/>
      <c r="E292" s="43"/>
    </row>
    <row r="293" spans="2:5" x14ac:dyDescent="0.35">
      <c r="B293" s="42"/>
      <c r="C293" s="43"/>
      <c r="D293" s="43"/>
      <c r="E293" s="43"/>
    </row>
    <row r="294" spans="2:5" x14ac:dyDescent="0.35">
      <c r="B294" s="42"/>
      <c r="C294" s="43"/>
      <c r="D294" s="43"/>
      <c r="E294" s="43"/>
    </row>
    <row r="295" spans="2:5" x14ac:dyDescent="0.35">
      <c r="B295" s="42"/>
      <c r="C295" s="43"/>
      <c r="D295" s="43"/>
      <c r="E295" s="43"/>
    </row>
    <row r="296" spans="2:5" x14ac:dyDescent="0.35">
      <c r="B296" s="42"/>
      <c r="C296" s="43"/>
      <c r="D296" s="43"/>
      <c r="E296" s="43"/>
    </row>
    <row r="297" spans="2:5" x14ac:dyDescent="0.35">
      <c r="B297" s="42"/>
      <c r="C297" s="43"/>
      <c r="D297" s="43"/>
      <c r="E297" s="43"/>
    </row>
    <row r="298" spans="2:5" x14ac:dyDescent="0.35">
      <c r="B298" s="42"/>
      <c r="C298" s="43"/>
      <c r="D298" s="43"/>
      <c r="E298" s="43"/>
    </row>
    <row r="299" spans="2:5" x14ac:dyDescent="0.35">
      <c r="B299" s="42"/>
      <c r="C299" s="43"/>
      <c r="D299" s="43"/>
      <c r="E299" s="43"/>
    </row>
    <row r="300" spans="2:5" x14ac:dyDescent="0.35">
      <c r="B300" s="42"/>
      <c r="C300" s="43"/>
      <c r="D300" s="43"/>
      <c r="E300" s="43"/>
    </row>
    <row r="301" spans="2:5" x14ac:dyDescent="0.35">
      <c r="B301" s="42"/>
      <c r="C301" s="43"/>
      <c r="D301" s="43"/>
      <c r="E301" s="43"/>
    </row>
    <row r="302" spans="2:5" x14ac:dyDescent="0.35">
      <c r="B302" s="42"/>
      <c r="C302" s="43"/>
      <c r="D302" s="43"/>
      <c r="E302" s="43"/>
    </row>
    <row r="303" spans="2:5" x14ac:dyDescent="0.35">
      <c r="B303" s="42"/>
      <c r="C303" s="43"/>
      <c r="D303" s="43"/>
      <c r="E303" s="43"/>
    </row>
    <row r="304" spans="2:5" x14ac:dyDescent="0.35">
      <c r="B304" s="42"/>
      <c r="C304" s="43"/>
      <c r="D304" s="43"/>
      <c r="E304" s="43"/>
    </row>
    <row r="305" spans="2:5" x14ac:dyDescent="0.35">
      <c r="B305" s="42"/>
      <c r="C305" s="43"/>
      <c r="D305" s="43"/>
      <c r="E305" s="43"/>
    </row>
    <row r="306" spans="2:5" x14ac:dyDescent="0.35">
      <c r="B306" s="42"/>
      <c r="C306" s="43"/>
      <c r="D306" s="43"/>
      <c r="E306" s="43"/>
    </row>
    <row r="307" spans="2:5" x14ac:dyDescent="0.35">
      <c r="B307" s="42"/>
      <c r="C307" s="43"/>
      <c r="D307" s="43"/>
      <c r="E307" s="43"/>
    </row>
    <row r="308" spans="2:5" x14ac:dyDescent="0.35">
      <c r="B308" s="42"/>
      <c r="C308" s="43"/>
      <c r="D308" s="43"/>
      <c r="E308" s="43"/>
    </row>
    <row r="309" spans="2:5" x14ac:dyDescent="0.35">
      <c r="B309" s="42"/>
      <c r="C309" s="43"/>
      <c r="D309" s="43"/>
      <c r="E309" s="43"/>
    </row>
    <row r="310" spans="2:5" x14ac:dyDescent="0.35">
      <c r="B310" s="42"/>
      <c r="C310" s="43"/>
      <c r="D310" s="43"/>
      <c r="E310" s="43"/>
    </row>
    <row r="311" spans="2:5" x14ac:dyDescent="0.35">
      <c r="B311" s="42"/>
      <c r="C311" s="43"/>
      <c r="D311" s="43"/>
      <c r="E311" s="43"/>
    </row>
    <row r="312" spans="2:5" x14ac:dyDescent="0.35">
      <c r="B312" s="42"/>
      <c r="C312" s="43"/>
      <c r="D312" s="43"/>
      <c r="E312" s="43"/>
    </row>
    <row r="313" spans="2:5" x14ac:dyDescent="0.35">
      <c r="B313" s="42"/>
      <c r="C313" s="43"/>
      <c r="D313" s="43"/>
      <c r="E313" s="43"/>
    </row>
    <row r="314" spans="2:5" x14ac:dyDescent="0.35">
      <c r="B314" s="42"/>
      <c r="C314" s="43"/>
      <c r="D314" s="43"/>
      <c r="E314" s="43"/>
    </row>
    <row r="315" spans="2:5" x14ac:dyDescent="0.35">
      <c r="B315" s="42"/>
      <c r="C315" s="43"/>
      <c r="D315" s="43"/>
      <c r="E315" s="43"/>
    </row>
    <row r="316" spans="2:5" x14ac:dyDescent="0.35">
      <c r="B316" s="42"/>
      <c r="C316" s="43"/>
      <c r="D316" s="43"/>
      <c r="E316" s="43"/>
    </row>
    <row r="317" spans="2:5" x14ac:dyDescent="0.35">
      <c r="B317" s="42"/>
      <c r="C317" s="43"/>
      <c r="D317" s="43"/>
      <c r="E317" s="43"/>
    </row>
    <row r="318" spans="2:5" x14ac:dyDescent="0.35">
      <c r="B318" s="42"/>
      <c r="C318" s="43"/>
      <c r="D318" s="43"/>
      <c r="E318" s="43"/>
    </row>
    <row r="319" spans="2:5" x14ac:dyDescent="0.35">
      <c r="B319" s="42"/>
      <c r="C319" s="43"/>
      <c r="D319" s="43"/>
      <c r="E319" s="43"/>
    </row>
    <row r="320" spans="2:5" x14ac:dyDescent="0.35">
      <c r="B320" s="42"/>
      <c r="C320" s="43"/>
      <c r="D320" s="43"/>
      <c r="E320" s="43"/>
    </row>
    <row r="321" spans="2:5" x14ac:dyDescent="0.35">
      <c r="B321" s="42"/>
      <c r="C321" s="43"/>
      <c r="D321" s="43"/>
      <c r="E321" s="43"/>
    </row>
    <row r="322" spans="2:5" x14ac:dyDescent="0.35">
      <c r="B322" s="42"/>
      <c r="C322" s="43"/>
      <c r="D322" s="43"/>
      <c r="E322" s="43"/>
    </row>
    <row r="323" spans="2:5" x14ac:dyDescent="0.35">
      <c r="B323" s="42"/>
      <c r="C323" s="43"/>
      <c r="D323" s="43"/>
      <c r="E323" s="43"/>
    </row>
    <row r="324" spans="2:5" x14ac:dyDescent="0.35">
      <c r="B324" s="42"/>
      <c r="C324" s="43"/>
      <c r="D324" s="43"/>
      <c r="E324" s="43"/>
    </row>
    <row r="325" spans="2:5" x14ac:dyDescent="0.35">
      <c r="B325" s="42"/>
      <c r="C325" s="43"/>
      <c r="D325" s="43"/>
      <c r="E325" s="43"/>
    </row>
    <row r="326" spans="2:5" x14ac:dyDescent="0.35">
      <c r="B326" s="42"/>
      <c r="C326" s="43"/>
      <c r="D326" s="43"/>
      <c r="E326" s="43"/>
    </row>
    <row r="327" spans="2:5" x14ac:dyDescent="0.35">
      <c r="B327" s="42"/>
      <c r="C327" s="43"/>
      <c r="D327" s="43"/>
      <c r="E327" s="43"/>
    </row>
    <row r="328" spans="2:5" x14ac:dyDescent="0.35">
      <c r="B328" s="42"/>
      <c r="C328" s="43"/>
      <c r="D328" s="43"/>
      <c r="E328" s="43"/>
    </row>
    <row r="329" spans="2:5" x14ac:dyDescent="0.35">
      <c r="B329" s="42"/>
      <c r="C329" s="43"/>
      <c r="D329" s="43"/>
      <c r="E329" s="43"/>
    </row>
    <row r="330" spans="2:5" x14ac:dyDescent="0.35">
      <c r="B330" s="42"/>
      <c r="C330" s="43"/>
      <c r="D330" s="43"/>
      <c r="E330" s="43"/>
    </row>
    <row r="331" spans="2:5" x14ac:dyDescent="0.35">
      <c r="B331" s="42"/>
      <c r="C331" s="43"/>
      <c r="D331" s="43"/>
      <c r="E331" s="43"/>
    </row>
    <row r="332" spans="2:5" x14ac:dyDescent="0.35">
      <c r="B332" s="42"/>
      <c r="C332" s="43"/>
      <c r="D332" s="43"/>
      <c r="E332" s="43"/>
    </row>
    <row r="333" spans="2:5" x14ac:dyDescent="0.35">
      <c r="B333" s="42"/>
      <c r="C333" s="43"/>
      <c r="D333" s="43"/>
      <c r="E333" s="43"/>
    </row>
    <row r="334" spans="2:5" x14ac:dyDescent="0.35">
      <c r="B334" s="42"/>
      <c r="C334" s="43"/>
      <c r="D334" s="43"/>
      <c r="E334" s="43"/>
    </row>
    <row r="335" spans="2:5" x14ac:dyDescent="0.35">
      <c r="B335" s="42"/>
      <c r="C335" s="43"/>
      <c r="D335" s="43"/>
      <c r="E335" s="43"/>
    </row>
    <row r="336" spans="2:5" x14ac:dyDescent="0.35">
      <c r="B336" s="42"/>
      <c r="C336" s="43"/>
      <c r="D336" s="43"/>
      <c r="E336" s="43"/>
    </row>
    <row r="337" spans="2:5" x14ac:dyDescent="0.35">
      <c r="B337" s="42"/>
      <c r="C337" s="43"/>
      <c r="D337" s="43"/>
      <c r="E337" s="43"/>
    </row>
    <row r="338" spans="2:5" x14ac:dyDescent="0.35">
      <c r="B338" s="42"/>
      <c r="C338" s="43"/>
      <c r="D338" s="43"/>
      <c r="E338" s="43"/>
    </row>
    <row r="339" spans="2:5" x14ac:dyDescent="0.35">
      <c r="B339" s="42"/>
      <c r="C339" s="43"/>
      <c r="D339" s="43"/>
      <c r="E339" s="43"/>
    </row>
    <row r="340" spans="2:5" x14ac:dyDescent="0.35">
      <c r="B340" s="42"/>
      <c r="C340" s="43"/>
      <c r="D340" s="43"/>
      <c r="E340" s="43"/>
    </row>
    <row r="341" spans="2:5" x14ac:dyDescent="0.35">
      <c r="B341" s="42"/>
      <c r="C341" s="43"/>
      <c r="D341" s="43"/>
      <c r="E341" s="43"/>
    </row>
    <row r="342" spans="2:5" x14ac:dyDescent="0.35">
      <c r="B342" s="42"/>
      <c r="C342" s="43"/>
      <c r="D342" s="43"/>
      <c r="E342" s="43"/>
    </row>
    <row r="343" spans="2:5" x14ac:dyDescent="0.35">
      <c r="B343" s="42"/>
      <c r="C343" s="43"/>
      <c r="D343" s="43"/>
      <c r="E343" s="43"/>
    </row>
    <row r="344" spans="2:5" x14ac:dyDescent="0.35">
      <c r="B344" s="42"/>
      <c r="C344" s="43"/>
      <c r="D344" s="43"/>
      <c r="E344" s="43"/>
    </row>
    <row r="345" spans="2:5" x14ac:dyDescent="0.35">
      <c r="B345" s="42"/>
      <c r="C345" s="43"/>
      <c r="D345" s="43"/>
      <c r="E345" s="43"/>
    </row>
    <row r="346" spans="2:5" x14ac:dyDescent="0.35">
      <c r="B346" s="42"/>
      <c r="C346" s="43"/>
      <c r="D346" s="43"/>
      <c r="E346" s="43"/>
    </row>
    <row r="347" spans="2:5" x14ac:dyDescent="0.35">
      <c r="B347" s="42"/>
      <c r="C347" s="43"/>
      <c r="D347" s="43"/>
      <c r="E347" s="43"/>
    </row>
    <row r="348" spans="2:5" x14ac:dyDescent="0.35">
      <c r="B348" s="42"/>
      <c r="C348" s="43"/>
      <c r="D348" s="43"/>
      <c r="E348" s="43"/>
    </row>
    <row r="349" spans="2:5" x14ac:dyDescent="0.35">
      <c r="B349" s="42"/>
      <c r="C349" s="43"/>
      <c r="D349" s="43"/>
      <c r="E349" s="43"/>
    </row>
    <row r="350" spans="2:5" x14ac:dyDescent="0.35">
      <c r="B350" s="42"/>
      <c r="C350" s="43"/>
      <c r="D350" s="43"/>
      <c r="E350" s="43"/>
    </row>
    <row r="351" spans="2:5" x14ac:dyDescent="0.35">
      <c r="B351" s="42"/>
      <c r="C351" s="43"/>
      <c r="D351" s="43"/>
      <c r="E351" s="43"/>
    </row>
    <row r="352" spans="2:5" x14ac:dyDescent="0.35">
      <c r="B352" s="42"/>
      <c r="C352" s="43"/>
      <c r="D352" s="43"/>
      <c r="E352" s="43"/>
    </row>
    <row r="353" spans="2:5" x14ac:dyDescent="0.35">
      <c r="B353" s="42"/>
      <c r="C353" s="43"/>
      <c r="D353" s="43"/>
      <c r="E353" s="43"/>
    </row>
    <row r="354" spans="2:5" x14ac:dyDescent="0.35">
      <c r="B354" s="42"/>
      <c r="C354" s="43"/>
      <c r="D354" s="43"/>
      <c r="E354" s="43"/>
    </row>
    <row r="355" spans="2:5" x14ac:dyDescent="0.35">
      <c r="B355" s="42"/>
      <c r="C355" s="43"/>
      <c r="D355" s="43"/>
      <c r="E355" s="43"/>
    </row>
    <row r="356" spans="2:5" x14ac:dyDescent="0.35">
      <c r="B356" s="42"/>
      <c r="C356" s="43"/>
      <c r="D356" s="43"/>
      <c r="E356" s="43"/>
    </row>
    <row r="357" spans="2:5" x14ac:dyDescent="0.35">
      <c r="B357" s="42"/>
      <c r="C357" s="43"/>
      <c r="D357" s="43"/>
      <c r="E357" s="43"/>
    </row>
    <row r="358" spans="2:5" x14ac:dyDescent="0.35">
      <c r="B358" s="42"/>
      <c r="C358" s="43"/>
      <c r="D358" s="43"/>
      <c r="E358" s="43"/>
    </row>
    <row r="359" spans="2:5" x14ac:dyDescent="0.35">
      <c r="B359" s="42"/>
      <c r="C359" s="43"/>
      <c r="D359" s="43"/>
      <c r="E359" s="43"/>
    </row>
    <row r="360" spans="2:5" x14ac:dyDescent="0.35">
      <c r="B360" s="42"/>
      <c r="C360" s="43"/>
      <c r="D360" s="43"/>
      <c r="E360" s="43"/>
    </row>
    <row r="361" spans="2:5" x14ac:dyDescent="0.35">
      <c r="B361" s="42"/>
      <c r="C361" s="43"/>
      <c r="D361" s="43"/>
      <c r="E361" s="43"/>
    </row>
    <row r="362" spans="2:5" x14ac:dyDescent="0.35">
      <c r="B362" s="42"/>
      <c r="C362" s="43"/>
      <c r="D362" s="43"/>
      <c r="E362" s="43"/>
    </row>
    <row r="363" spans="2:5" x14ac:dyDescent="0.35">
      <c r="B363" s="42"/>
      <c r="C363" s="43"/>
      <c r="D363" s="43"/>
      <c r="E363" s="43"/>
    </row>
    <row r="364" spans="2:5" x14ac:dyDescent="0.35">
      <c r="B364" s="42"/>
      <c r="C364" s="43"/>
      <c r="D364" s="43"/>
      <c r="E364" s="43"/>
    </row>
    <row r="365" spans="2:5" x14ac:dyDescent="0.35">
      <c r="B365" s="42"/>
      <c r="C365" s="43"/>
      <c r="D365" s="43"/>
      <c r="E365" s="43"/>
    </row>
    <row r="366" spans="2:5" x14ac:dyDescent="0.35">
      <c r="B366" s="42"/>
      <c r="C366" s="43"/>
      <c r="D366" s="43"/>
      <c r="E366" s="43"/>
    </row>
    <row r="367" spans="2:5" x14ac:dyDescent="0.35">
      <c r="B367" s="42"/>
      <c r="C367" s="43"/>
      <c r="D367" s="43"/>
      <c r="E367" s="43"/>
    </row>
    <row r="368" spans="2:5" x14ac:dyDescent="0.35">
      <c r="B368" s="42"/>
      <c r="C368" s="43"/>
      <c r="D368" s="43"/>
      <c r="E368" s="43"/>
    </row>
    <row r="369" spans="2:5" x14ac:dyDescent="0.35">
      <c r="B369" s="42"/>
      <c r="C369" s="43"/>
      <c r="D369" s="43"/>
      <c r="E369" s="43"/>
    </row>
    <row r="370" spans="2:5" x14ac:dyDescent="0.35">
      <c r="B370" s="42"/>
      <c r="C370" s="43"/>
      <c r="D370" s="43"/>
      <c r="E370" s="43"/>
    </row>
    <row r="371" spans="2:5" x14ac:dyDescent="0.35">
      <c r="B371" s="42"/>
      <c r="C371" s="43"/>
      <c r="D371" s="43"/>
      <c r="E371" s="43"/>
    </row>
    <row r="372" spans="2:5" x14ac:dyDescent="0.35">
      <c r="B372" s="42"/>
      <c r="C372" s="43"/>
      <c r="D372" s="43"/>
      <c r="E372" s="43"/>
    </row>
    <row r="373" spans="2:5" x14ac:dyDescent="0.35">
      <c r="B373" s="42"/>
      <c r="C373" s="43"/>
      <c r="D373" s="43"/>
      <c r="E373" s="43"/>
    </row>
    <row r="374" spans="2:5" x14ac:dyDescent="0.35">
      <c r="B374" s="42"/>
      <c r="C374" s="43"/>
      <c r="D374" s="43"/>
      <c r="E374" s="43"/>
    </row>
    <row r="375" spans="2:5" x14ac:dyDescent="0.35">
      <c r="B375" s="42"/>
      <c r="C375" s="43"/>
      <c r="D375" s="43"/>
      <c r="E375" s="43"/>
    </row>
    <row r="376" spans="2:5" x14ac:dyDescent="0.35">
      <c r="B376" s="42"/>
      <c r="C376" s="43"/>
      <c r="D376" s="43"/>
      <c r="E376" s="43"/>
    </row>
    <row r="377" spans="2:5" x14ac:dyDescent="0.35">
      <c r="B377" s="42"/>
      <c r="C377" s="43"/>
      <c r="D377" s="43"/>
      <c r="E377" s="43"/>
    </row>
    <row r="378" spans="2:5" x14ac:dyDescent="0.35">
      <c r="B378" s="42"/>
      <c r="C378" s="43"/>
      <c r="D378" s="43"/>
      <c r="E378" s="43"/>
    </row>
    <row r="379" spans="2:5" x14ac:dyDescent="0.35">
      <c r="B379" s="42"/>
      <c r="C379" s="43"/>
      <c r="D379" s="43"/>
      <c r="E379" s="43"/>
    </row>
    <row r="380" spans="2:5" x14ac:dyDescent="0.35">
      <c r="B380" s="42"/>
      <c r="C380" s="43"/>
      <c r="D380" s="43"/>
      <c r="E380" s="43"/>
    </row>
    <row r="381" spans="2:5" x14ac:dyDescent="0.35">
      <c r="B381" s="42"/>
      <c r="C381" s="43"/>
      <c r="D381" s="43"/>
      <c r="E381" s="43"/>
    </row>
    <row r="382" spans="2:5" x14ac:dyDescent="0.35">
      <c r="B382" s="42"/>
      <c r="C382" s="43"/>
      <c r="D382" s="43"/>
      <c r="E382" s="43"/>
    </row>
    <row r="383" spans="2:5" x14ac:dyDescent="0.35">
      <c r="B383" s="42"/>
      <c r="C383" s="43"/>
      <c r="D383" s="43"/>
      <c r="E383" s="43"/>
    </row>
    <row r="384" spans="2:5" x14ac:dyDescent="0.35">
      <c r="B384" s="42"/>
      <c r="C384" s="43"/>
      <c r="D384" s="43"/>
      <c r="E384" s="43"/>
    </row>
    <row r="385" spans="2:5" x14ac:dyDescent="0.35">
      <c r="B385" s="42"/>
      <c r="C385" s="43"/>
      <c r="D385" s="43"/>
      <c r="E385" s="43"/>
    </row>
    <row r="386" spans="2:5" x14ac:dyDescent="0.35">
      <c r="B386" s="42"/>
      <c r="C386" s="43"/>
      <c r="D386" s="43"/>
      <c r="E386" s="43"/>
    </row>
    <row r="387" spans="2:5" x14ac:dyDescent="0.35">
      <c r="B387" s="42"/>
      <c r="C387" s="43"/>
      <c r="D387" s="43"/>
      <c r="E387" s="43"/>
    </row>
    <row r="388" spans="2:5" x14ac:dyDescent="0.35">
      <c r="B388" s="42"/>
      <c r="C388" s="43"/>
      <c r="D388" s="43"/>
      <c r="E388" s="43"/>
    </row>
    <row r="389" spans="2:5" x14ac:dyDescent="0.35">
      <c r="B389" s="42"/>
      <c r="C389" s="43"/>
      <c r="D389" s="43"/>
      <c r="E389" s="43"/>
    </row>
    <row r="390" spans="2:5" x14ac:dyDescent="0.35">
      <c r="B390" s="42"/>
      <c r="C390" s="43"/>
      <c r="D390" s="43"/>
      <c r="E390" s="43"/>
    </row>
    <row r="391" spans="2:5" x14ac:dyDescent="0.35">
      <c r="B391" s="42"/>
      <c r="C391" s="43"/>
      <c r="D391" s="43"/>
      <c r="E391" s="43"/>
    </row>
    <row r="392" spans="2:5" x14ac:dyDescent="0.35">
      <c r="B392" s="42"/>
      <c r="C392" s="43"/>
      <c r="D392" s="43"/>
      <c r="E392" s="43"/>
    </row>
    <row r="393" spans="2:5" x14ac:dyDescent="0.35">
      <c r="B393" s="42"/>
      <c r="C393" s="43"/>
      <c r="D393" s="43"/>
      <c r="E393" s="43"/>
    </row>
  </sheetData>
  <mergeCells count="14">
    <mergeCell ref="G10:H10"/>
    <mergeCell ref="B6:E6"/>
    <mergeCell ref="G6:H6"/>
    <mergeCell ref="C7:E7"/>
    <mergeCell ref="G7:H7"/>
    <mergeCell ref="G9:H9"/>
    <mergeCell ref="C18:E18"/>
    <mergeCell ref="B19:E19"/>
    <mergeCell ref="C11:E11"/>
    <mergeCell ref="C13:E13"/>
    <mergeCell ref="C14:E14"/>
    <mergeCell ref="C15:E15"/>
    <mergeCell ref="B16:E16"/>
    <mergeCell ref="C17:E17"/>
  </mergeCells>
  <conditionalFormatting sqref="C8">
    <cfRule type="expression" dxfId="9" priority="8">
      <formula>$C$8="No encontrado. Completar"</formula>
    </cfRule>
  </conditionalFormatting>
  <conditionalFormatting sqref="C11:E11">
    <cfRule type="expression" dxfId="8" priority="7">
      <formula>$C$11="PENDIENTE"</formula>
    </cfRule>
  </conditionalFormatting>
  <conditionalFormatting sqref="H12">
    <cfRule type="colorScale" priority="1">
      <colorScale>
        <cfvo type="num" val="10"/>
        <cfvo type="num" val="20"/>
        <cfvo type="num" val="25"/>
        <color rgb="FFFCC0C1"/>
        <color rgb="FFFFF5C1"/>
        <color rgb="FFD3EDDA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8D0FB29-7D9D-4291-89CE-9F53541B24D3}">
            <xm:f>SUM('Incident Com. (COMPLETAR)'!$I$4:$I$57)&gt;0</xm:f>
            <x14:dxf>
              <fill>
                <patternFill>
                  <bgColor rgb="FFFF9B9B"/>
                </patternFill>
              </fill>
            </x14:dxf>
          </x14:cfRule>
          <xm:sqref>C3:J3</xm:sqref>
        </x14:conditionalFormatting>
        <x14:conditionalFormatting xmlns:xm="http://schemas.microsoft.com/office/excel/2006/main">
          <x14:cfRule type="expression" priority="9" id="{A52E29A4-22FB-40C0-B5B5-DB1433709C48}">
            <xm:f>'Incident Com. (COMPLETAR)'!$E$6="Aperture Incident"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10" id="{01336099-9655-4A43-B5FA-57BE187BE050}">
            <xm:f>'Incident Com. (COMPLETAR)'!$E$6="Update Incident"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" id="{7821A3C7-18C5-4EA8-9124-AA91B0E58D03}">
            <xm:f>'Incident Com. (COMPLETAR)'!$E$6="Closure Incident"</xm:f>
            <x14:dxf>
              <fill>
                <patternFill>
                  <bgColor theme="9" tint="0.59996337778862885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6" id="{8F004B37-370D-434A-9C3A-F0D8A6623899}">
            <xm:f>LEN('Incident Com. (COMPLETAR)'!$E$8:$F$8)&lt;&gt;12</xm:f>
            <x14:dxf>
              <fill>
                <patternFill>
                  <bgColor rgb="FFFF9F9F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4" id="{358D6E90-3EFD-40B0-8EC2-D81CD2D760CF}">
            <xm:f>SUM('Incident Com. (COMPLETAR)'!$I:$I)&gt;0</xm:f>
            <x14:dxf>
              <fill>
                <patternFill>
                  <bgColor rgb="FFFF0000"/>
                </patternFill>
              </fill>
            </x14:dxf>
          </x14:cfRule>
          <x14:cfRule type="expression" priority="5" id="{614062F2-4915-4B0F-9F74-36964C7B12EC}">
            <xm:f>SUM('Incident Com. (COMPLETAR)'!$I:$I)=0</xm:f>
            <x14:dxf>
              <fill>
                <patternFill>
                  <bgColor rgb="FF00B050"/>
                </patternFill>
              </fill>
            </x14:dxf>
          </x14:cfRule>
          <xm:sqref>G6:H6</xm:sqref>
        </x14:conditionalFormatting>
        <x14:conditionalFormatting xmlns:xm="http://schemas.microsoft.com/office/excel/2006/main">
          <x14:cfRule type="expression" priority="2" id="{40B91C67-CF7C-43E0-ABCC-C4ADE297ADEC}">
            <xm:f>'Incident Com. (COMPLETAR)'!$I$18=1</xm:f>
            <x14:dxf>
              <fill>
                <patternFill>
                  <bgColor rgb="FFFF9F9F"/>
                </patternFill>
              </fill>
            </x14:dxf>
          </x14:cfRule>
          <xm:sqref>E10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scriptIds xmlns="http://schemas.microsoft.com/office/extensibility/maker/v1.0" id="script-ids-node-id">
  <scriptId id="ms-officescript%3A%2F%2Fonedrive_business_itemlink%2F013P6QKTCIKOUPXAXPCBA257UHK5WZYGZN:ms-officescript%3A%2F%2Fonedrive_business_sharinglink%2Fu!aHR0cHM6Ly9zYW50YW5kZXJuZXQtbXkuc2hhcmVwb2ludC5jb20vOnU6L2cvcGVyc29uYWwveDg5MTM2MV9zYW50YW5kZXJnbG9iYWx0ZWNoX2NvbS9FVWhUcVB1Qzd4QkJydjZIVjIyY0d5MEJwOFR2UXJYb1Y3MHV4MlV1Nm9sZnNB"/>
  <scriptId xmlns="" id="ms-officescript%3A%2F%2Fonedrive_business_itemlink%2F013P6QKTD4WFGGVK5QYFBZQVFFIN3AP4Q7:ms-officescript%3A%2F%2Fonedrive_business_sharinglink%2Fu!aHR0cHM6Ly9zYW50YW5kZXJuZXQtbXkuc2hhcmVwb2ludC5jb20vOnU6L2cvcGVyc29uYWwveDg5MTM2MV9zYW50YW5kZXJnbG9iYWx0ZWNoX2NvbS9FWHl4VEdxcnNNRkRtRlNsUTNZSDhoOEJ0VFZENWFZTVVCNVdwck9WOTY5UTh3"/>
  <scriptId xmlns="" id="ms-officescript%3A%2F%2Fonedrive_business_itemlink%2F013P6QKTGZ644LGIAHNNFKP2VE6YYTPUBM:ms-officescript%3A%2F%2Fonedrive_business_sharinglink%2Fu!aHR0cHM6Ly9zYW50YW5kZXJuZXQtbXkuc2hhcmVwb2ludC5jb20vOnU6L2cvcGVyc29uYWwveDg5MTM2MV9zYW50YW5kZXJnbG9iYWx0ZWNoX2NvbS9FZG4zT0xNZ0IydEtwLXFrOWpFMzBDd0JLdVFJc0Fla3JiajR2RnVRZ1NUdVBR"/>
</scriptId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D453421A95D4FAA4AEEF46A964E01" ma:contentTypeVersion="14" ma:contentTypeDescription="Create a new document." ma:contentTypeScope="" ma:versionID="605a64d098304869f5592feea1ff01e0">
  <xsd:schema xmlns:xsd="http://www.w3.org/2001/XMLSchema" xmlns:xs="http://www.w3.org/2001/XMLSchema" xmlns:p="http://schemas.microsoft.com/office/2006/metadata/properties" xmlns:ns2="f2d69cfc-9e5e-49f5-89c5-c4254f1df494" xmlns:ns3="c4ea02d4-fa21-4b0d-ae81-62618081dde3" targetNamespace="http://schemas.microsoft.com/office/2006/metadata/properties" ma:root="true" ma:fieldsID="3660d38ccca2602157664ced66b1c521" ns2:_="" ns3:_="">
    <xsd:import namespace="f2d69cfc-9e5e-49f5-89c5-c4254f1df494"/>
    <xsd:import namespace="c4ea02d4-fa21-4b0d-ae81-62618081dd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69cfc-9e5e-49f5-89c5-c4254f1df4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ea02d4-fa21-4b0d-ae81-62618081dde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38222be-8632-4fe4-ba3b-3c93a424c0d8}" ma:internalName="TaxCatchAll" ma:showField="CatchAllData" ma:web="c4ea02d4-fa21-4b0d-ae81-62618081dd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4ea02d4-fa21-4b0d-ae81-62618081dde3" xsi:nil="true"/>
    <lcf76f155ced4ddcb4097134ff3c332f xmlns="f2d69cfc-9e5e-49f5-89c5-c4254f1df49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CD02BA4-4C09-4D3C-B51D-B5B13A78BD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643C50D-26BB-4892-AE4B-B12D675E6EB6}">
  <ds:schemaRefs>
    <ds:schemaRef ds:uri="http://schemas.microsoft.com/office/extensibility/maker/v1.0"/>
    <ds:schemaRef ds:uri=""/>
  </ds:schemaRefs>
</ds:datastoreItem>
</file>

<file path=customXml/itemProps3.xml><?xml version="1.0" encoding="utf-8"?>
<ds:datastoreItem xmlns:ds="http://schemas.openxmlformats.org/officeDocument/2006/customXml" ds:itemID="{2FFBE6C8-75E1-4E0A-A800-C262862987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d69cfc-9e5e-49f5-89c5-c4254f1df494"/>
    <ds:schemaRef ds:uri="c4ea02d4-fa21-4b0d-ae81-62618081dd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0B59409-D1FC-4B0F-968F-225488D91AEC}">
  <ds:schemaRefs>
    <ds:schemaRef ds:uri="http://schemas.microsoft.com/office/2006/documentManagement/types"/>
    <ds:schemaRef ds:uri="http://schemas.openxmlformats.org/package/2006/metadata/core-properties"/>
    <ds:schemaRef ds:uri="f2d69cfc-9e5e-49f5-89c5-c4254f1df494"/>
    <ds:schemaRef ds:uri="http://www.w3.org/XML/1998/namespace"/>
    <ds:schemaRef ds:uri="http://purl.org/dc/dcmitype/"/>
    <ds:schemaRef ds:uri="http://purl.org/dc/elements/1.1/"/>
    <ds:schemaRef ds:uri="c4ea02d4-fa21-4b0d-ae81-62618081dde3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NOTIFICACIÓN</vt:lpstr>
      <vt:lpstr>Incident Com. (COMPLETAR)</vt:lpstr>
      <vt:lpstr>BBDD</vt:lpstr>
      <vt:lpstr>Listas</vt:lpstr>
      <vt:lpstr>Fórmulas</vt:lpstr>
      <vt:lpstr>BCKP</vt:lpstr>
    </vt:vector>
  </TitlesOfParts>
  <Manager/>
  <Company>Grupo Santander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Iparraguirre - Daniel Domingo</dc:creator>
  <cp:keywords/>
  <dc:description/>
  <cp:lastModifiedBy>Muñoz Valle Adrian</cp:lastModifiedBy>
  <cp:revision/>
  <dcterms:created xsi:type="dcterms:W3CDTF">2024-02-20T07:42:07Z</dcterms:created>
  <dcterms:modified xsi:type="dcterms:W3CDTF">2025-07-24T09:05:00Z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2024-02-20T07:45:00Z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3c0f7402-22de-42f4-a908-e72aa50e6bc0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0x010100053D453421A95D4FAA4AEEF46A964E01</vt:lpwstr>
  </property>
  <property fmtid="{D5CDD505-2E9C-101B-9397-08002B2CF9AE}" pid="10" name="MediaServiceImageTags">
    <vt:lpwstr/>
  </property>
</Properties>
</file>