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037" documentId="8_{BF395F17-8A36-4A5B-A61D-48748E8233D4}" xr6:coauthVersionLast="47" xr6:coauthVersionMax="47" xr10:uidLastSave="{CF93704A-E941-4C30-89D0-7263E43CBA66}"/>
  <bookViews>
    <workbookView xWindow="-110" yWindow="-110" windowWidth="19200" windowHeight="9020" firstSheet="6" activeTab="9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1" i="21"/>
  <c r="Y21" i="21"/>
  <c r="N21" i="21"/>
  <c r="M21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1" i="21"/>
  <c r="L21" i="21"/>
  <c r="X21" i="21"/>
  <c r="K21" i="21"/>
  <c r="AE21" i="21"/>
  <c r="V21" i="21"/>
  <c r="AC21" i="21"/>
  <c r="Q21" i="21"/>
  <c r="E21" i="21"/>
  <c r="AG21" i="21"/>
  <c r="U21" i="21"/>
  <c r="I21" i="21"/>
  <c r="AB21" i="21"/>
  <c r="P21" i="21"/>
  <c r="D21" i="21"/>
  <c r="AD21" i="21"/>
  <c r="R21" i="21"/>
  <c r="F21" i="21"/>
  <c r="AF21" i="21"/>
  <c r="H21" i="21"/>
  <c r="G21" i="21"/>
  <c r="AA21" i="21"/>
  <c r="O21" i="21"/>
  <c r="C21" i="21"/>
  <c r="T21" i="21"/>
  <c r="S21" i="21"/>
  <c r="J21" i="21"/>
  <c r="V21" i="20"/>
  <c r="J21" i="20"/>
  <c r="I21" i="20"/>
  <c r="U21" i="20"/>
  <c r="S21" i="20"/>
  <c r="G21" i="20"/>
  <c r="AD21" i="20"/>
  <c r="C21" i="20"/>
  <c r="Z21" i="20"/>
  <c r="N21" i="20"/>
  <c r="Y21" i="20"/>
  <c r="M21" i="20"/>
  <c r="F21" i="20"/>
  <c r="AC21" i="20"/>
  <c r="Q21" i="20"/>
  <c r="E21" i="20"/>
  <c r="AB21" i="20"/>
  <c r="P21" i="20"/>
  <c r="D21" i="20"/>
  <c r="AA21" i="20"/>
  <c r="X21" i="20"/>
  <c r="L21" i="20"/>
  <c r="AF21" i="20"/>
  <c r="T21" i="20"/>
  <c r="H21" i="20"/>
  <c r="AE21" i="20"/>
  <c r="R21" i="20"/>
  <c r="O21" i="20"/>
  <c r="W21" i="20"/>
  <c r="K21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<sst xmlns="http://schemas.openxmlformats.org/spreadsheetml/2006/main" count="10112" uniqueCount="191">
  <si>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</si>
  <si>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</si>
  <si>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</si>
  <si>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</si>
  <si>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</si>
  <si>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</si>
  <si>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</si>
  <si>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</si>
  <si>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</si>
  <si>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</si>
  <si>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</si>
  <si>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</si>
  <si>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</si>
  <si>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</si>
  <si>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</si>
  <si>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</si>
  <si>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</si>
  <si>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</si>
  <si>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</si>
  <si>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</si>
  <si>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</si>
  <si>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</si>
  <si>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</si>
  <si>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</si>
  <si>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</si>
  <si>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</si>
  <si>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</si>
  <si>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</si>
  <si>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</si>
  <si>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</si>
  <si>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</si>
  <si>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</si>
  <si>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</si>
  <si>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</si>
  <si>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</si>
  <si>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</si>
  <si>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</si>
  <si>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</si>
  <si>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</si>
  <si>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</si>
  <si>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</si>
  <si>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</si>
  <si>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</si>
  <si>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</si>
  <si>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</si>
  <si>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</si>
  <si>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</si>
  <si>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</si>
  <si>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</si>
  <si>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</si>
  <si>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</si>
  <si>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</si>
  <si>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</si>
  <si>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</si>
  <si>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</si>
  <si>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</si>
  <si>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</si>
  <si>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</si>
  <si>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</si>
  <si>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</si>
  <si>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</si>
  <si>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</si>
  <si>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</si>
  <si>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</si>
  <si>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</si>
  <si>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</si>
  <si>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</si>
  <si>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</si>
  <si>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</si>
  <si>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</si>
  <si>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</si>
  <si>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</si>
  <si>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</si>
  <si>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</si>
  <si>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</si>
  <si>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</si>
  <si>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</si>
  <si>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</si>
  <si>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</si>
  <si>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</si>
  <si>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</si>
  <si>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</si>
  <si>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</si>
  <si>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</si>
  <si>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</si>
  <si>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</si>
  <si>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</si>
  <si>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</si>
  <si>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</si>
  <si>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</si>
  <si>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</si>
  <si>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</si>
  <si>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</si>
  <si>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</si>
  <si>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</si>
  <si>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</si>
  <si>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</si>
  <si>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</si>
  <si>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</si>
  <si>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</si>
  <si>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</si>
  <si>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</si>
  <si>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</si>
  <si>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</si>
  <si>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</si>
  <si>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Erik/Jorge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</si>
  <si>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</si>
  <si>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</si>
  <si>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</si>
  <si>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</si>
  <si>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</si>
  <si>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</si>
  <si>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</si>
  <si>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</si>
  <si>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</si>
  <si>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</si>
  <si>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</si>
  <si>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</si>
  <si>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</si>
  <si>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</si>
  <si>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</si>
  <si>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</si>
  <si>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</si>
  <si>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</si>
  <si>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</si>
  <si>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</si>
  <si>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</si>
  <si>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</si>
  <si>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</si>
  <si>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</si>
  <si>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</si>
  <si>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</si>
  <si>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</si>
  <si>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</si>
  <si>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</si>
  <si>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</si>
  <si>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</si>
  <si>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</si>
  <si>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</si>
  <si>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</si>
  <si>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</si>
  <si>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</si>
  <si>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</si>
  <si>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</si>
  <si>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</si>
  <si>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</si>
  <si>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</si>
  <si>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</si>
  <si>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</si>
  <si>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</si>
  <si>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</si>
  <si>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</si>
  <si>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</si>
  <si>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</si>
  <si>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</si>
  <si>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</si>
  <si>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</si>
  <si>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</si>
  <si>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</si>
  <si>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</si>
  <si>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</si>
  <si>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</si>
  <si>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</si>
  <si>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</si>
  <si>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</si>
  <si>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</si>
  <si>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</si>
  <si>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</si>
  <si>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</si>
  <si>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</si>
  <si>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</si>
  <si>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</si>
  <si>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</si>
  <si>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</si>
  <si>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</si>
  <si>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</si>
  <si>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</si>
  <si>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</si>
  <si>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</si>
  <si>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</si>
  <si>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</si>
  <si>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</si>
  <si>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</si>
  <si>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</si>
  <si>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</si>
  <si>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</si>
  <si>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</si>
  <si>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</si>
  <si>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</si>
  <si>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</si>
  <si>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Jared Orta/Cesar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</si>
</sst>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0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4" fillId="8" borderId="36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38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1" fillId="29" borderId="20" xfId="0" applyFont="1" applyFill="1" applyBorder="1" applyAlignment="1">
      <alignment horizontal="center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0"/>
      <c r="E2" s="167" t="s">
        <v>0</v>
      </c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9"/>
    </row>
    <row r="3" spans="1:36" ht="18" customHeight="1" x14ac:dyDescent="0.35">
      <c r="B3" s="32"/>
      <c r="D3" s="170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2"/>
      <c r="C11" s="34"/>
      <c r="D11" s="36"/>
      <c r="E11" s="177"/>
      <c r="F11" s="178"/>
      <c r="G11" s="178"/>
      <c r="H11" s="178"/>
      <c r="I11" s="178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178"/>
      <c r="AH11" s="178"/>
      <c r="AI11" s="179"/>
      <c r="AJ11" s="91"/>
    </row>
    <row r="12" spans="1:36" ht="18" customHeight="1" x14ac:dyDescent="0.35">
      <c r="A12" s="17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2"/>
      <c r="C17" s="34"/>
      <c r="D17" s="33"/>
      <c r="E17" s="177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9"/>
    </row>
    <row r="18" spans="1:36" ht="18" customHeight="1" x14ac:dyDescent="0.35">
      <c r="A18" s="17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2"/>
      <c r="C23" s="34"/>
      <c r="D23" s="35"/>
      <c r="E23" s="174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6"/>
    </row>
    <row r="24" spans="1:36" ht="18" customHeight="1" x14ac:dyDescent="0.35">
      <c r="A24" s="17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6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6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6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6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6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6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0"/>
      <c r="E2" s="167" t="s">
        <v>49</v>
      </c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9"/>
    </row>
    <row r="3" spans="1:36" x14ac:dyDescent="0.35">
      <c r="A3" s="6"/>
      <c r="B3" s="32"/>
      <c r="C3" s="6"/>
      <c r="D3" s="170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2"/>
      <c r="B10" s="6"/>
      <c r="C10" s="34"/>
      <c r="D10" s="36"/>
      <c r="E10" s="177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9"/>
    </row>
    <row r="11" spans="1:36" x14ac:dyDescent="0.35">
      <c r="A11" s="17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2"/>
      <c r="B18" s="6"/>
      <c r="C18" s="34"/>
      <c r="D18" s="33"/>
      <c r="E18" s="177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9"/>
    </row>
    <row r="19" spans="1:35" x14ac:dyDescent="0.35">
      <c r="A19" s="17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2"/>
      <c r="B24" s="6"/>
      <c r="C24" s="34"/>
      <c r="E24" s="17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6"/>
    </row>
    <row r="25" spans="1:35" ht="15" thickBot="1" x14ac:dyDescent="0.4">
      <c r="A25" s="17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6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6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6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6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6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6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70"/>
      <c r="C1" s="167" t="s">
        <v>57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</row>
    <row r="2" spans="1:33" x14ac:dyDescent="0.35">
      <c r="A2" s="6"/>
      <c r="B2" s="170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178"/>
      <c r="AF9" s="178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8"/>
      <c r="AD19" s="178"/>
      <c r="AE19" s="178"/>
      <c r="AF19" s="178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70"/>
      <c r="C1" s="180" t="s">
        <v>78</v>
      </c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2"/>
    </row>
    <row r="2" spans="1:34" x14ac:dyDescent="0.35">
      <c r="A2" s="6"/>
      <c r="B2" s="170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70"/>
      <c r="C1" s="183" t="s">
        <v>81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</row>
    <row r="2" spans="1:34" x14ac:dyDescent="0.35">
      <c r="A2" s="6"/>
      <c r="B2" s="170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70"/>
      <c r="C1" s="183" t="s">
        <v>95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</row>
    <row r="2" spans="1:37" x14ac:dyDescent="0.35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70"/>
      <c r="C1" s="183" t="s">
        <v>97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</row>
    <row r="2" spans="1:34" x14ac:dyDescent="0.35">
      <c r="A2" s="6"/>
      <c r="B2" s="170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topLeftCell="B6" workbookViewId="0">
      <selection activeCell="D9" sqref="D9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4" t="s">
        <v>98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</row>
    <row r="2" spans="1:34" x14ac:dyDescent="0.35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44" t="s">
        <v>20</v>
      </c>
      <c r="S12" s="144" t="s">
        <v>20</v>
      </c>
      <c r="T12" s="144" t="s">
        <v>20</v>
      </c>
      <c r="U12" s="144" t="s">
        <v>20</v>
      </c>
      <c r="V12" s="144" t="s">
        <v>20</v>
      </c>
      <c r="W12" s="131" t="s">
        <v>17</v>
      </c>
      <c r="X12" s="131" t="s">
        <v>17</v>
      </c>
      <c r="Y12" s="125"/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 x14ac:dyDescent="0.35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43" t="s">
        <v>16</v>
      </c>
      <c r="S13" s="143" t="s">
        <v>16</v>
      </c>
      <c r="T13" s="143" t="s">
        <v>16</v>
      </c>
      <c r="U13" s="143" t="s">
        <v>16</v>
      </c>
      <c r="V13" s="143" t="s">
        <v>16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 x14ac:dyDescent="0.35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 x14ac:dyDescent="0.35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 x14ac:dyDescent="0.35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 x14ac:dyDescent="0.35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topLeftCell="B1" workbookViewId="0">
      <selection activeCell="AD10" sqref="AD10:AE1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104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148" t="s">
        <v>6</v>
      </c>
      <c r="D2" s="149" t="s">
        <v>7</v>
      </c>
      <c r="E2" s="149" t="s">
        <v>1</v>
      </c>
      <c r="F2" s="150" t="s">
        <v>2</v>
      </c>
      <c r="G2" s="150" t="s">
        <v>3</v>
      </c>
      <c r="H2" s="150" t="s">
        <v>4</v>
      </c>
      <c r="I2" s="148" t="s">
        <v>5</v>
      </c>
      <c r="J2" s="148" t="s">
        <v>6</v>
      </c>
      <c r="K2" s="149" t="s">
        <v>7</v>
      </c>
      <c r="L2" s="149" t="s">
        <v>1</v>
      </c>
      <c r="M2" s="150" t="s">
        <v>2</v>
      </c>
      <c r="N2" s="150" t="s">
        <v>3</v>
      </c>
      <c r="O2" s="150" t="s">
        <v>4</v>
      </c>
      <c r="P2" s="148" t="s">
        <v>5</v>
      </c>
      <c r="Q2" s="148" t="s">
        <v>6</v>
      </c>
      <c r="R2" s="149" t="s">
        <v>7</v>
      </c>
      <c r="S2" s="149" t="s">
        <v>1</v>
      </c>
      <c r="T2" s="150" t="s">
        <v>2</v>
      </c>
      <c r="U2" s="150" t="s">
        <v>3</v>
      </c>
      <c r="V2" s="150" t="s">
        <v>4</v>
      </c>
      <c r="W2" s="148" t="s">
        <v>5</v>
      </c>
      <c r="X2" s="148" t="s">
        <v>6</v>
      </c>
      <c r="Y2" s="149" t="s">
        <v>7</v>
      </c>
      <c r="Z2" s="149" t="s">
        <v>1</v>
      </c>
      <c r="AA2" s="150" t="s">
        <v>2</v>
      </c>
      <c r="AB2" s="150" t="s">
        <v>3</v>
      </c>
      <c r="AC2" s="150" t="s">
        <v>4</v>
      </c>
      <c r="AD2" s="148" t="s">
        <v>5</v>
      </c>
      <c r="AE2" s="148" t="s">
        <v>6</v>
      </c>
      <c r="AF2" s="149" t="s">
        <v>7</v>
      </c>
      <c r="AG2" s="149" t="s">
        <v>1</v>
      </c>
      <c r="AH2"/>
    </row>
    <row r="3" spans="1:34" x14ac:dyDescent="0.35">
      <c r="A3" s="6"/>
      <c r="B3" s="170"/>
      <c r="C3" s="151">
        <v>1</v>
      </c>
      <c r="D3" s="151">
        <v>2</v>
      </c>
      <c r="E3" s="151">
        <v>3</v>
      </c>
      <c r="F3" s="151">
        <v>4</v>
      </c>
      <c r="G3" s="151">
        <v>5</v>
      </c>
      <c r="H3" s="151">
        <v>6</v>
      </c>
      <c r="I3" s="151">
        <v>7</v>
      </c>
      <c r="J3" s="151">
        <v>8</v>
      </c>
      <c r="K3" s="151">
        <v>9</v>
      </c>
      <c r="L3" s="151">
        <v>10</v>
      </c>
      <c r="M3" s="151">
        <v>11</v>
      </c>
      <c r="N3" s="151">
        <v>12</v>
      </c>
      <c r="O3" s="151">
        <v>13</v>
      </c>
      <c r="P3" s="151">
        <v>14</v>
      </c>
      <c r="Q3" s="151">
        <v>15</v>
      </c>
      <c r="R3" s="151">
        <v>16</v>
      </c>
      <c r="S3" s="151">
        <v>17</v>
      </c>
      <c r="T3" s="151">
        <v>18</v>
      </c>
      <c r="U3" s="151">
        <v>19</v>
      </c>
      <c r="V3" s="151">
        <v>20</v>
      </c>
      <c r="W3" s="151">
        <v>21</v>
      </c>
      <c r="X3" s="151">
        <v>22</v>
      </c>
      <c r="Y3" s="151">
        <v>23</v>
      </c>
      <c r="Z3" s="151">
        <v>24</v>
      </c>
      <c r="AA3" s="151">
        <v>25</v>
      </c>
      <c r="AB3" s="151">
        <v>26</v>
      </c>
      <c r="AC3" s="151">
        <v>27</v>
      </c>
      <c r="AD3" s="151">
        <v>28</v>
      </c>
      <c r="AE3" s="151">
        <v>29</v>
      </c>
      <c r="AF3" s="151">
        <v>30</v>
      </c>
      <c r="AG3" s="151">
        <v>31</v>
      </c>
      <c r="AH3"/>
    </row>
    <row r="4" spans="1:34" x14ac:dyDescent="0.35">
      <c r="A4" s="63" t="s">
        <v>12</v>
      </c>
      <c r="B4" s="62" t="s">
        <v>105</v>
      </c>
      <c r="C4" s="145" t="s">
        <v>7</v>
      </c>
      <c r="D4" s="138" t="s">
        <v>14</v>
      </c>
      <c r="E4" s="138" t="s">
        <v>14</v>
      </c>
      <c r="F4" s="138" t="s">
        <v>14</v>
      </c>
      <c r="G4" s="138" t="s">
        <v>14</v>
      </c>
      <c r="H4" s="138" t="s">
        <v>14</v>
      </c>
      <c r="I4" s="145" t="s">
        <v>7</v>
      </c>
      <c r="J4" s="145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8" t="s">
        <v>15</v>
      </c>
      <c r="Q4" s="138" t="s">
        <v>15</v>
      </c>
      <c r="R4" s="145" t="s">
        <v>7</v>
      </c>
      <c r="S4" s="145" t="s">
        <v>7</v>
      </c>
      <c r="T4" s="145" t="s">
        <v>7</v>
      </c>
      <c r="U4" s="145" t="s">
        <v>7</v>
      </c>
      <c r="V4" s="109" t="s">
        <v>4</v>
      </c>
      <c r="W4" s="145" t="s">
        <v>7</v>
      </c>
      <c r="X4" s="145" t="s">
        <v>7</v>
      </c>
      <c r="Y4" s="138" t="s">
        <v>14</v>
      </c>
      <c r="Z4" s="138" t="s">
        <v>14</v>
      </c>
      <c r="AA4" s="138" t="s">
        <v>14</v>
      </c>
      <c r="AB4" s="138" t="s">
        <v>14</v>
      </c>
      <c r="AC4" s="138" t="s">
        <v>14</v>
      </c>
      <c r="AD4" s="138" t="s">
        <v>15</v>
      </c>
      <c r="AE4" s="138" t="s">
        <v>15</v>
      </c>
      <c r="AF4" s="145" t="s">
        <v>7</v>
      </c>
      <c r="AG4" s="145" t="s">
        <v>7</v>
      </c>
      <c r="AH4"/>
    </row>
    <row r="5" spans="1:34" x14ac:dyDescent="0.35">
      <c r="A5" s="34" t="s">
        <v>12</v>
      </c>
      <c r="B5" s="33" t="s">
        <v>19</v>
      </c>
      <c r="C5" s="138" t="s">
        <v>15</v>
      </c>
      <c r="D5" s="145" t="s">
        <v>7</v>
      </c>
      <c r="E5" s="145" t="s">
        <v>7</v>
      </c>
      <c r="F5" s="145" t="s">
        <v>7</v>
      </c>
      <c r="G5" s="109" t="s">
        <v>4</v>
      </c>
      <c r="H5" s="145" t="s">
        <v>7</v>
      </c>
      <c r="I5" s="145" t="s">
        <v>7</v>
      </c>
      <c r="J5" s="145" t="s">
        <v>7</v>
      </c>
      <c r="K5" s="152" t="s">
        <v>20</v>
      </c>
      <c r="L5" s="152" t="s">
        <v>20</v>
      </c>
      <c r="M5" s="152" t="s">
        <v>20</v>
      </c>
      <c r="N5" s="152" t="s">
        <v>20</v>
      </c>
      <c r="O5" s="152" t="s">
        <v>20</v>
      </c>
      <c r="P5" s="145" t="s">
        <v>7</v>
      </c>
      <c r="Q5" s="145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8" t="s">
        <v>15</v>
      </c>
      <c r="X5" s="138" t="s">
        <v>15</v>
      </c>
      <c r="Y5" s="145" t="s">
        <v>7</v>
      </c>
      <c r="Z5" s="145" t="s">
        <v>7</v>
      </c>
      <c r="AA5" s="145" t="s">
        <v>7</v>
      </c>
      <c r="AB5" s="145" t="s">
        <v>7</v>
      </c>
      <c r="AC5" s="109" t="s">
        <v>4</v>
      </c>
      <c r="AD5" s="145" t="s">
        <v>7</v>
      </c>
      <c r="AE5" s="145" t="s">
        <v>7</v>
      </c>
      <c r="AF5" s="138" t="s">
        <v>14</v>
      </c>
      <c r="AG5" s="138" t="s">
        <v>14</v>
      </c>
      <c r="AH5"/>
    </row>
    <row r="6" spans="1:34" x14ac:dyDescent="0.35">
      <c r="A6" s="34" t="s">
        <v>12</v>
      </c>
      <c r="B6" s="33" t="s">
        <v>21</v>
      </c>
      <c r="C6" s="145" t="s">
        <v>7</v>
      </c>
      <c r="D6" s="152" t="s">
        <v>20</v>
      </c>
      <c r="E6" s="152" t="s">
        <v>20</v>
      </c>
      <c r="F6" s="152" t="s">
        <v>20</v>
      </c>
      <c r="G6" s="152" t="s">
        <v>20</v>
      </c>
      <c r="H6" s="152" t="s">
        <v>20</v>
      </c>
      <c r="I6" s="138" t="s">
        <v>15</v>
      </c>
      <c r="J6" s="138" t="s">
        <v>15</v>
      </c>
      <c r="K6" s="145" t="s">
        <v>7</v>
      </c>
      <c r="L6" s="145" t="s">
        <v>7</v>
      </c>
      <c r="M6" s="145" t="s">
        <v>7</v>
      </c>
      <c r="N6" s="145" t="s">
        <v>7</v>
      </c>
      <c r="O6" s="109" t="s">
        <v>4</v>
      </c>
      <c r="P6" s="145" t="s">
        <v>7</v>
      </c>
      <c r="Q6" s="145" t="s">
        <v>7</v>
      </c>
      <c r="R6" s="152" t="s">
        <v>20</v>
      </c>
      <c r="S6" s="152" t="s">
        <v>20</v>
      </c>
      <c r="T6" s="152" t="s">
        <v>20</v>
      </c>
      <c r="U6" s="152" t="s">
        <v>20</v>
      </c>
      <c r="V6" s="152" t="s">
        <v>20</v>
      </c>
      <c r="W6" s="145" t="s">
        <v>7</v>
      </c>
      <c r="X6" s="145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8" t="s">
        <v>15</v>
      </c>
      <c r="AE6" s="138" t="s">
        <v>15</v>
      </c>
      <c r="AF6" s="145" t="s">
        <v>7</v>
      </c>
      <c r="AG6" s="145" t="s">
        <v>7</v>
      </c>
      <c r="AH6"/>
    </row>
    <row r="7" spans="1:34" x14ac:dyDescent="0.35">
      <c r="A7" s="34" t="s">
        <v>12</v>
      </c>
      <c r="B7" s="33" t="s">
        <v>22</v>
      </c>
      <c r="C7" s="138" t="s">
        <v>15</v>
      </c>
      <c r="D7" s="145" t="s">
        <v>7</v>
      </c>
      <c r="E7" s="145" t="s">
        <v>7</v>
      </c>
      <c r="F7" s="145" t="s">
        <v>7</v>
      </c>
      <c r="G7" s="145" t="s">
        <v>7</v>
      </c>
      <c r="H7" s="109" t="s">
        <v>4</v>
      </c>
      <c r="I7" s="145" t="s">
        <v>7</v>
      </c>
      <c r="J7" s="145" t="s">
        <v>7</v>
      </c>
      <c r="K7" s="138" t="s">
        <v>14</v>
      </c>
      <c r="L7" s="138" t="s">
        <v>14</v>
      </c>
      <c r="M7" s="138" t="s">
        <v>14</v>
      </c>
      <c r="N7" s="138" t="s">
        <v>14</v>
      </c>
      <c r="O7" s="138" t="s">
        <v>14</v>
      </c>
      <c r="P7" s="138" t="s">
        <v>15</v>
      </c>
      <c r="Q7" s="138" t="s">
        <v>15</v>
      </c>
      <c r="R7" s="145" t="s">
        <v>7</v>
      </c>
      <c r="S7" s="145" t="s">
        <v>7</v>
      </c>
      <c r="T7" s="145" t="s">
        <v>7</v>
      </c>
      <c r="U7" s="109" t="s">
        <v>4</v>
      </c>
      <c r="V7" s="145" t="s">
        <v>7</v>
      </c>
      <c r="W7" s="145" t="s">
        <v>7</v>
      </c>
      <c r="X7" s="145" t="s">
        <v>7</v>
      </c>
      <c r="Y7" s="152" t="s">
        <v>20</v>
      </c>
      <c r="Z7" s="152" t="s">
        <v>20</v>
      </c>
      <c r="AA7" s="152" t="s">
        <v>20</v>
      </c>
      <c r="AB7" s="152" t="s">
        <v>20</v>
      </c>
      <c r="AC7" s="152" t="s">
        <v>20</v>
      </c>
      <c r="AD7" s="145" t="s">
        <v>7</v>
      </c>
      <c r="AE7" s="145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5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8" t="s">
        <v>15</v>
      </c>
      <c r="J8" s="138" t="s">
        <v>15</v>
      </c>
      <c r="K8" s="145" t="s">
        <v>7</v>
      </c>
      <c r="L8" s="145" t="s">
        <v>7</v>
      </c>
      <c r="M8" s="145" t="s">
        <v>7</v>
      </c>
      <c r="N8" s="109" t="s">
        <v>4</v>
      </c>
      <c r="O8" s="145" t="s">
        <v>7</v>
      </c>
      <c r="P8" s="145" t="s">
        <v>7</v>
      </c>
      <c r="Q8" s="145" t="s">
        <v>7</v>
      </c>
      <c r="R8" s="138" t="s">
        <v>14</v>
      </c>
      <c r="S8" s="138" t="s">
        <v>14</v>
      </c>
      <c r="T8" s="138" t="s">
        <v>14</v>
      </c>
      <c r="U8" s="138" t="s">
        <v>14</v>
      </c>
      <c r="V8" s="138" t="s">
        <v>14</v>
      </c>
      <c r="W8" s="138" t="s">
        <v>15</v>
      </c>
      <c r="X8" s="138" t="s">
        <v>15</v>
      </c>
      <c r="Y8" s="145" t="s">
        <v>7</v>
      </c>
      <c r="Z8" s="145" t="s">
        <v>7</v>
      </c>
      <c r="AA8" s="145" t="s">
        <v>7</v>
      </c>
      <c r="AB8" s="109" t="s">
        <v>4</v>
      </c>
      <c r="AC8" s="145" t="s">
        <v>7</v>
      </c>
      <c r="AD8" s="145" t="s">
        <v>7</v>
      </c>
      <c r="AE8" s="145" t="s">
        <v>7</v>
      </c>
      <c r="AF8" s="152" t="s">
        <v>20</v>
      </c>
      <c r="AG8" s="152" t="s">
        <v>20</v>
      </c>
      <c r="AH8"/>
    </row>
    <row r="9" spans="1:34" x14ac:dyDescent="0.35">
      <c r="A9" s="34"/>
      <c r="C9" s="153"/>
      <c r="D9" s="153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153"/>
      <c r="AF9" s="153"/>
      <c r="AG9" s="153"/>
      <c r="AH9"/>
    </row>
    <row r="10" spans="1:34" x14ac:dyDescent="0.35">
      <c r="A10" s="34" t="s">
        <v>12</v>
      </c>
      <c r="B10" s="33" t="s">
        <v>101</v>
      </c>
      <c r="C10" s="137" t="s">
        <v>7</v>
      </c>
      <c r="D10" s="155" t="s">
        <v>16</v>
      </c>
      <c r="E10" s="155" t="s">
        <v>16</v>
      </c>
      <c r="F10" s="155" t="s">
        <v>16</v>
      </c>
      <c r="G10" s="155" t="s">
        <v>16</v>
      </c>
      <c r="H10" s="155" t="s">
        <v>16</v>
      </c>
      <c r="I10" s="155" t="s">
        <v>17</v>
      </c>
      <c r="J10" s="155" t="s">
        <v>17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56" t="s">
        <v>20</v>
      </c>
      <c r="S10" s="156" t="s">
        <v>20</v>
      </c>
      <c r="T10" s="156" t="s">
        <v>20</v>
      </c>
      <c r="U10" s="156" t="s">
        <v>20</v>
      </c>
      <c r="V10" s="156" t="s">
        <v>20</v>
      </c>
      <c r="W10" s="187" t="s">
        <v>17</v>
      </c>
      <c r="X10" s="187" t="s">
        <v>17</v>
      </c>
      <c r="Y10" s="155" t="s">
        <v>16</v>
      </c>
      <c r="Z10" s="155" t="s">
        <v>16</v>
      </c>
      <c r="AA10" s="155" t="s">
        <v>16</v>
      </c>
      <c r="AB10" s="155" t="s">
        <v>16</v>
      </c>
      <c r="AC10" s="155" t="s">
        <v>16</v>
      </c>
      <c r="AD10" s="189" t="s">
        <v>7</v>
      </c>
      <c r="AE10" s="189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33" t="s">
        <v>52</v>
      </c>
      <c r="C11" s="155" t="s">
        <v>17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55" t="s">
        <v>16</v>
      </c>
      <c r="L11" s="155" t="s">
        <v>16</v>
      </c>
      <c r="M11" s="155" t="s">
        <v>16</v>
      </c>
      <c r="N11" s="155" t="s">
        <v>16</v>
      </c>
      <c r="O11" s="155" t="s">
        <v>16</v>
      </c>
      <c r="P11" s="155" t="s">
        <v>17</v>
      </c>
      <c r="Q11" s="155" t="s">
        <v>17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56" t="s">
        <v>20</v>
      </c>
      <c r="Z11" s="156" t="s">
        <v>20</v>
      </c>
      <c r="AA11" s="156" t="s">
        <v>20</v>
      </c>
      <c r="AB11" s="156" t="s">
        <v>20</v>
      </c>
      <c r="AC11" s="156" t="s">
        <v>20</v>
      </c>
      <c r="AD11" s="137" t="s">
        <v>7</v>
      </c>
      <c r="AE11" s="137" t="s">
        <v>7</v>
      </c>
      <c r="AF11" s="155" t="s">
        <v>16</v>
      </c>
      <c r="AG11" s="155" t="s">
        <v>16</v>
      </c>
      <c r="AH11"/>
    </row>
    <row r="12" spans="1:34" x14ac:dyDescent="0.35">
      <c r="A12" s="34" t="s">
        <v>12</v>
      </c>
      <c r="B12" s="33" t="s">
        <v>24</v>
      </c>
      <c r="C12" s="137" t="s">
        <v>7</v>
      </c>
      <c r="D12" s="155" t="s">
        <v>16</v>
      </c>
      <c r="E12" s="155" t="s">
        <v>16</v>
      </c>
      <c r="F12" s="155" t="s">
        <v>16</v>
      </c>
      <c r="G12" s="155" t="s">
        <v>16</v>
      </c>
      <c r="H12" s="155" t="s">
        <v>16</v>
      </c>
      <c r="I12" s="155" t="s">
        <v>17</v>
      </c>
      <c r="J12" s="155" t="s">
        <v>17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55" t="s">
        <v>16</v>
      </c>
      <c r="S12" s="155" t="s">
        <v>16</v>
      </c>
      <c r="T12" s="155" t="s">
        <v>16</v>
      </c>
      <c r="U12" s="155" t="s">
        <v>16</v>
      </c>
      <c r="V12" s="155" t="s">
        <v>16</v>
      </c>
      <c r="W12" s="155" t="s">
        <v>17</v>
      </c>
      <c r="X12" s="155" t="s">
        <v>17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56" t="s">
        <v>20</v>
      </c>
      <c r="AG12" s="156" t="s">
        <v>20</v>
      </c>
      <c r="AH12"/>
    </row>
    <row r="13" spans="1:34" x14ac:dyDescent="0.35">
      <c r="A13" s="34" t="s">
        <v>12</v>
      </c>
      <c r="B13" s="33" t="s">
        <v>84</v>
      </c>
      <c r="C13" s="137" t="s">
        <v>7</v>
      </c>
      <c r="D13" s="156" t="s">
        <v>20</v>
      </c>
      <c r="E13" s="156" t="s">
        <v>20</v>
      </c>
      <c r="F13" s="156" t="s">
        <v>20</v>
      </c>
      <c r="G13" s="156" t="s">
        <v>20</v>
      </c>
      <c r="H13" s="156" t="s">
        <v>20</v>
      </c>
      <c r="I13" s="137" t="s">
        <v>7</v>
      </c>
      <c r="J13" s="137" t="s">
        <v>7</v>
      </c>
      <c r="K13" s="155" t="s">
        <v>16</v>
      </c>
      <c r="L13" s="155" t="s">
        <v>16</v>
      </c>
      <c r="M13" s="155" t="s">
        <v>16</v>
      </c>
      <c r="N13" s="155" t="s">
        <v>16</v>
      </c>
      <c r="O13" s="155" t="s">
        <v>16</v>
      </c>
      <c r="P13" s="155" t="s">
        <v>17</v>
      </c>
      <c r="Q13" s="155" t="s">
        <v>17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55" t="s">
        <v>16</v>
      </c>
      <c r="Z13" s="155" t="s">
        <v>16</v>
      </c>
      <c r="AA13" s="155" t="s">
        <v>16</v>
      </c>
      <c r="AB13" s="155" t="s">
        <v>16</v>
      </c>
      <c r="AC13" s="155" t="s">
        <v>16</v>
      </c>
      <c r="AD13" s="155" t="s">
        <v>17</v>
      </c>
      <c r="AE13" s="155" t="s">
        <v>17</v>
      </c>
      <c r="AF13" s="137" t="s">
        <v>7</v>
      </c>
      <c r="AG13" s="137" t="s">
        <v>7</v>
      </c>
      <c r="AH13"/>
    </row>
    <row r="14" spans="1:34" x14ac:dyDescent="0.35">
      <c r="A14" s="34" t="s">
        <v>12</v>
      </c>
      <c r="B14" s="33" t="s">
        <v>53</v>
      </c>
      <c r="C14" s="157" t="s">
        <v>17</v>
      </c>
      <c r="D14" s="158" t="s">
        <v>7</v>
      </c>
      <c r="E14" s="158" t="s">
        <v>7</v>
      </c>
      <c r="F14" s="158" t="s">
        <v>7</v>
      </c>
      <c r="G14" s="158" t="s">
        <v>7</v>
      </c>
      <c r="H14" s="158" t="s">
        <v>7</v>
      </c>
      <c r="I14" s="158" t="s">
        <v>7</v>
      </c>
      <c r="J14" s="158" t="s">
        <v>7</v>
      </c>
      <c r="K14" s="159" t="s">
        <v>20</v>
      </c>
      <c r="L14" s="159" t="s">
        <v>20</v>
      </c>
      <c r="M14" s="159" t="s">
        <v>20</v>
      </c>
      <c r="N14" s="159" t="s">
        <v>20</v>
      </c>
      <c r="O14" s="159" t="s">
        <v>20</v>
      </c>
      <c r="P14" s="158" t="s">
        <v>7</v>
      </c>
      <c r="Q14" s="158" t="s">
        <v>7</v>
      </c>
      <c r="R14" s="157" t="s">
        <v>16</v>
      </c>
      <c r="S14" s="157" t="s">
        <v>16</v>
      </c>
      <c r="T14" s="157" t="s">
        <v>16</v>
      </c>
      <c r="U14" s="157" t="s">
        <v>16</v>
      </c>
      <c r="V14" s="157" t="s">
        <v>16</v>
      </c>
      <c r="W14" s="189" t="s">
        <v>7</v>
      </c>
      <c r="X14" s="189" t="s">
        <v>7</v>
      </c>
      <c r="Y14" s="158" t="s">
        <v>7</v>
      </c>
      <c r="Z14" s="158" t="s">
        <v>7</v>
      </c>
      <c r="AA14" s="158" t="s">
        <v>7</v>
      </c>
      <c r="AB14" s="158" t="s">
        <v>7</v>
      </c>
      <c r="AC14" s="158" t="s">
        <v>7</v>
      </c>
      <c r="AD14" s="188" t="s">
        <v>17</v>
      </c>
      <c r="AE14" s="188" t="s">
        <v>17</v>
      </c>
      <c r="AF14" s="157" t="s">
        <v>16</v>
      </c>
      <c r="AG14" s="157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3" t="s">
        <v>29</v>
      </c>
      <c r="C17" s="160" t="s">
        <v>30</v>
      </c>
      <c r="D17" s="161" t="s">
        <v>85</v>
      </c>
      <c r="E17" s="161" t="s">
        <v>85</v>
      </c>
      <c r="F17" s="161" t="s">
        <v>85</v>
      </c>
      <c r="G17" s="161" t="s">
        <v>85</v>
      </c>
      <c r="H17" s="161" t="s">
        <v>85</v>
      </c>
      <c r="I17" s="162" t="s">
        <v>30</v>
      </c>
      <c r="J17" s="162" t="s">
        <v>30</v>
      </c>
      <c r="K17" s="163" t="s">
        <v>11</v>
      </c>
      <c r="L17" s="163" t="s">
        <v>11</v>
      </c>
      <c r="M17" s="163" t="s">
        <v>11</v>
      </c>
      <c r="N17" s="163" t="s">
        <v>11</v>
      </c>
      <c r="O17" s="163" t="s">
        <v>11</v>
      </c>
      <c r="P17" s="160" t="s">
        <v>7</v>
      </c>
      <c r="Q17" s="160" t="s">
        <v>7</v>
      </c>
      <c r="R17" s="161" t="s">
        <v>54</v>
      </c>
      <c r="S17" s="161" t="s">
        <v>54</v>
      </c>
      <c r="T17" s="161" t="s">
        <v>54</v>
      </c>
      <c r="U17" s="161" t="s">
        <v>54</v>
      </c>
      <c r="V17" s="161" t="s">
        <v>54</v>
      </c>
      <c r="W17" s="160" t="s">
        <v>7</v>
      </c>
      <c r="X17" s="160" t="s">
        <v>7</v>
      </c>
      <c r="Y17" s="161" t="s">
        <v>85</v>
      </c>
      <c r="Z17" s="161" t="s">
        <v>85</v>
      </c>
      <c r="AA17" s="161" t="s">
        <v>85</v>
      </c>
      <c r="AB17" s="161" t="s">
        <v>85</v>
      </c>
      <c r="AC17" s="161" t="s">
        <v>85</v>
      </c>
      <c r="AD17" s="162" t="s">
        <v>30</v>
      </c>
      <c r="AE17" s="162" t="s">
        <v>30</v>
      </c>
      <c r="AF17" s="163" t="s">
        <v>11</v>
      </c>
      <c r="AG17" s="163" t="s">
        <v>11</v>
      </c>
      <c r="AH17"/>
    </row>
    <row r="18" spans="1:34" x14ac:dyDescent="0.35">
      <c r="A18" s="34" t="s">
        <v>28</v>
      </c>
      <c r="B18" s="35" t="s">
        <v>60</v>
      </c>
      <c r="C18" s="145" t="s">
        <v>7</v>
      </c>
      <c r="D18" s="146" t="s">
        <v>54</v>
      </c>
      <c r="E18" s="146" t="s">
        <v>54</v>
      </c>
      <c r="F18" s="146" t="s">
        <v>54</v>
      </c>
      <c r="G18" s="146" t="s">
        <v>54</v>
      </c>
      <c r="H18" s="146" t="s">
        <v>54</v>
      </c>
      <c r="I18" s="145" t="s">
        <v>7</v>
      </c>
      <c r="J18" s="145" t="s">
        <v>7</v>
      </c>
      <c r="K18" s="146" t="s">
        <v>85</v>
      </c>
      <c r="L18" s="146" t="s">
        <v>85</v>
      </c>
      <c r="M18" s="146" t="s">
        <v>85</v>
      </c>
      <c r="N18" s="146" t="s">
        <v>85</v>
      </c>
      <c r="O18" s="146" t="s">
        <v>85</v>
      </c>
      <c r="P18" s="147" t="s">
        <v>30</v>
      </c>
      <c r="Q18" s="147" t="s">
        <v>30</v>
      </c>
      <c r="R18" s="121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5" t="s">
        <v>7</v>
      </c>
      <c r="X18" s="145" t="s">
        <v>7</v>
      </c>
      <c r="Y18" s="146" t="s">
        <v>54</v>
      </c>
      <c r="Z18" s="146" t="s">
        <v>54</v>
      </c>
      <c r="AA18" s="146" t="s">
        <v>54</v>
      </c>
      <c r="AB18" s="146" t="s">
        <v>54</v>
      </c>
      <c r="AC18" s="146" t="s">
        <v>54</v>
      </c>
      <c r="AD18" s="145" t="s">
        <v>7</v>
      </c>
      <c r="AE18" s="145" t="s">
        <v>7</v>
      </c>
      <c r="AF18" s="146" t="s">
        <v>85</v>
      </c>
      <c r="AG18" s="146" t="s">
        <v>85</v>
      </c>
      <c r="AH18"/>
    </row>
    <row r="19" spans="1:34" x14ac:dyDescent="0.35">
      <c r="A19" s="34" t="s">
        <v>28</v>
      </c>
      <c r="B19" s="62" t="s">
        <v>13</v>
      </c>
      <c r="C19" s="145" t="s">
        <v>7</v>
      </c>
      <c r="D19" s="121" t="s">
        <v>11</v>
      </c>
      <c r="E19" s="121" t="s">
        <v>11</v>
      </c>
      <c r="F19" s="121" t="s">
        <v>11</v>
      </c>
      <c r="G19" s="121" t="s">
        <v>11</v>
      </c>
      <c r="H19" s="121" t="s">
        <v>11</v>
      </c>
      <c r="I19" s="145" t="s">
        <v>7</v>
      </c>
      <c r="J19" s="145" t="s">
        <v>7</v>
      </c>
      <c r="K19" s="146" t="s">
        <v>54</v>
      </c>
      <c r="L19" s="146" t="s">
        <v>54</v>
      </c>
      <c r="M19" s="146" t="s">
        <v>54</v>
      </c>
      <c r="N19" s="146" t="s">
        <v>54</v>
      </c>
      <c r="O19" s="146" t="s">
        <v>54</v>
      </c>
      <c r="P19" s="145" t="s">
        <v>7</v>
      </c>
      <c r="Q19" s="145" t="s">
        <v>7</v>
      </c>
      <c r="R19" s="146" t="s">
        <v>85</v>
      </c>
      <c r="S19" s="146" t="s">
        <v>85</v>
      </c>
      <c r="T19" s="146" t="s">
        <v>85</v>
      </c>
      <c r="U19" s="146" t="s">
        <v>85</v>
      </c>
      <c r="V19" s="146" t="s">
        <v>85</v>
      </c>
      <c r="W19" s="147" t="s">
        <v>30</v>
      </c>
      <c r="X19" s="147" t="s">
        <v>30</v>
      </c>
      <c r="Y19" s="121" t="s">
        <v>11</v>
      </c>
      <c r="Z19" s="121" t="s">
        <v>11</v>
      </c>
      <c r="AA19" s="121" t="s">
        <v>11</v>
      </c>
      <c r="AB19" s="121" t="s">
        <v>11</v>
      </c>
      <c r="AC19" s="121" t="s">
        <v>11</v>
      </c>
      <c r="AD19" s="145" t="s">
        <v>7</v>
      </c>
      <c r="AE19" s="145" t="s">
        <v>7</v>
      </c>
      <c r="AF19" s="146" t="s">
        <v>54</v>
      </c>
      <c r="AG19" s="146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4</v>
      </c>
      <c r="D21" s="110">
        <f t="shared" si="0"/>
        <v>7</v>
      </c>
      <c r="E21" s="110">
        <f t="shared" si="0"/>
        <v>5</v>
      </c>
      <c r="F21" s="110">
        <f t="shared" si="0"/>
        <v>7</v>
      </c>
      <c r="G21" s="110">
        <f t="shared" si="0"/>
        <v>7</v>
      </c>
      <c r="H21" s="110">
        <f t="shared" si="0"/>
        <v>7</v>
      </c>
      <c r="I21" s="110">
        <f t="shared" si="0"/>
        <v>4</v>
      </c>
      <c r="J21" s="110">
        <f t="shared" si="0"/>
        <v>4</v>
      </c>
      <c r="K21" s="110">
        <f t="shared" si="0"/>
        <v>7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2</v>
      </c>
      <c r="E22" s="112">
        <f t="shared" si="1"/>
        <v>2</v>
      </c>
      <c r="F22" s="112">
        <f t="shared" si="1"/>
        <v>2</v>
      </c>
      <c r="G22" s="112">
        <f t="shared" si="1"/>
        <v>2</v>
      </c>
      <c r="H22" s="112">
        <f t="shared" si="1"/>
        <v>2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3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8"/>
  <sheetViews>
    <sheetView tabSelected="1" topLeftCell="A3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106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/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190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E16" s="50"/>
      <c r="F16" s="50"/>
      <c r="G16" s="50"/>
      <c r="H16" s="123"/>
      <c r="I16" s="123"/>
      <c r="J16" s="123"/>
      <c r="K16" s="123"/>
      <c r="L16" s="123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123"/>
      <c r="AD16" s="123"/>
      <c r="AG16"/>
    </row>
    <row r="17" spans="1:33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28" t="s">
        <v>7</v>
      </c>
      <c r="G17" s="28" t="s">
        <v>7</v>
      </c>
      <c r="H17" s="4" t="s">
        <v>33</v>
      </c>
      <c r="I17" s="4" t="s">
        <v>33</v>
      </c>
      <c r="J17" s="4" t="s">
        <v>33</v>
      </c>
      <c r="K17" s="4" t="s">
        <v>33</v>
      </c>
      <c r="L17" s="4" t="s">
        <v>33</v>
      </c>
      <c r="M17" s="28" t="s">
        <v>30</v>
      </c>
      <c r="N17" s="28" t="s">
        <v>30</v>
      </c>
      <c r="O17" s="25" t="s">
        <v>11</v>
      </c>
      <c r="P17" s="25" t="s">
        <v>11</v>
      </c>
      <c r="Q17" s="25" t="s">
        <v>11</v>
      </c>
      <c r="R17" s="25" t="s">
        <v>11</v>
      </c>
      <c r="S17" s="25" t="s">
        <v>11</v>
      </c>
      <c r="T17" s="28" t="s">
        <v>7</v>
      </c>
      <c r="U17" s="28" t="s">
        <v>7</v>
      </c>
      <c r="V17" s="4" t="s">
        <v>33</v>
      </c>
      <c r="W17" s="4" t="s">
        <v>33</v>
      </c>
      <c r="X17" s="4" t="s">
        <v>33</v>
      </c>
      <c r="Y17" s="4" t="s">
        <v>33</v>
      </c>
      <c r="Z17" s="4" t="s">
        <v>33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60</v>
      </c>
      <c r="C18" s="4" t="s">
        <v>33</v>
      </c>
      <c r="D18" s="28" t="s">
        <v>30</v>
      </c>
      <c r="E18" s="28" t="s">
        <v>30</v>
      </c>
      <c r="F18" s="28" t="s">
        <v>30</v>
      </c>
      <c r="G18" s="28" t="s">
        <v>30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33</v>
      </c>
      <c r="P18" s="4" t="s">
        <v>33</v>
      </c>
      <c r="Q18" s="4" t="s">
        <v>33</v>
      </c>
      <c r="R18" s="4" t="s">
        <v>33</v>
      </c>
      <c r="S18" s="4" t="s">
        <v>33</v>
      </c>
      <c r="T18" s="28" t="s">
        <v>30</v>
      </c>
      <c r="U18" s="28" t="s">
        <v>30</v>
      </c>
      <c r="V18" s="25" t="s">
        <v>11</v>
      </c>
      <c r="W18" s="25" t="s">
        <v>11</v>
      </c>
      <c r="X18" s="25" t="s">
        <v>11</v>
      </c>
      <c r="Y18" s="25" t="s">
        <v>11</v>
      </c>
      <c r="Z18" s="25" t="s">
        <v>11</v>
      </c>
      <c r="AA18" s="28" t="s">
        <v>7</v>
      </c>
      <c r="AB18" s="28" t="s">
        <v>7</v>
      </c>
      <c r="AC18" s="4" t="s">
        <v>33</v>
      </c>
      <c r="AD18" s="4" t="s">
        <v>33</v>
      </c>
      <c r="AE18" s="4" t="s">
        <v>33</v>
      </c>
      <c r="AF18" s="4" t="s">
        <v>33</v>
      </c>
      <c r="AG18"/>
    </row>
    <row r="19" spans="1:33" x14ac:dyDescent="0.35">
      <c r="A19" s="34" t="s">
        <v>28</v>
      </c>
      <c r="B19" s="62" t="s">
        <v>13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/>
    </row>
    <row r="20" spans="1:33" x14ac:dyDescent="0.35">
      <c r="AG20"/>
    </row>
    <row r="21" spans="1:33" x14ac:dyDescent="0.35">
      <c r="B21" s="111" t="s">
        <v>89</v>
      </c>
      <c r="C21" s="110">
        <f t="shared" ref="C21:AF21" si="0">SUM(C22:C24)</f>
        <v>5</v>
      </c>
      <c r="D21" s="110">
        <f t="shared" si="0"/>
        <v>4</v>
      </c>
      <c r="E21" s="110">
        <f t="shared" si="0"/>
        <v>4</v>
      </c>
      <c r="F21" s="110">
        <f t="shared" si="0"/>
        <v>4</v>
      </c>
      <c r="G21" s="110">
        <f t="shared" si="0"/>
        <v>4</v>
      </c>
      <c r="H21" s="110">
        <f t="shared" si="0"/>
        <v>5</v>
      </c>
      <c r="I21" s="110">
        <f t="shared" si="0"/>
        <v>5</v>
      </c>
      <c r="J21" s="110">
        <f t="shared" si="0"/>
        <v>5</v>
      </c>
      <c r="K21" s="110">
        <f t="shared" si="0"/>
        <v>5</v>
      </c>
      <c r="L21" s="110">
        <f t="shared" si="0"/>
        <v>5</v>
      </c>
      <c r="M21" s="110">
        <f t="shared" si="0"/>
        <v>4</v>
      </c>
      <c r="N21" s="110">
        <f t="shared" si="0"/>
        <v>4</v>
      </c>
      <c r="O21" s="110">
        <f t="shared" si="0"/>
        <v>4</v>
      </c>
      <c r="P21" s="110">
        <f t="shared" si="0"/>
        <v>5</v>
      </c>
      <c r="Q21" s="110">
        <f t="shared" si="0"/>
        <v>5</v>
      </c>
      <c r="R21" s="110">
        <f t="shared" si="0"/>
        <v>5</v>
      </c>
      <c r="S21" s="110">
        <f t="shared" si="0"/>
        <v>5</v>
      </c>
      <c r="T21" s="110">
        <f t="shared" si="0"/>
        <v>4</v>
      </c>
      <c r="U21" s="110">
        <f t="shared" si="0"/>
        <v>4</v>
      </c>
      <c r="V21" s="110">
        <f t="shared" si="0"/>
        <v>5</v>
      </c>
      <c r="W21" s="110">
        <f t="shared" si="0"/>
        <v>5</v>
      </c>
      <c r="X21" s="110">
        <f t="shared" si="0"/>
        <v>5</v>
      </c>
      <c r="Y21" s="110">
        <f t="shared" si="0"/>
        <v>5</v>
      </c>
      <c r="Z21" s="110">
        <f t="shared" si="0"/>
        <v>5</v>
      </c>
      <c r="AA21" s="110">
        <f t="shared" si="0"/>
        <v>4</v>
      </c>
      <c r="AB21" s="110">
        <f t="shared" si="0"/>
        <v>4</v>
      </c>
      <c r="AC21" s="110">
        <f t="shared" si="0"/>
        <v>5</v>
      </c>
      <c r="AD21" s="110">
        <f t="shared" si="0"/>
        <v>5</v>
      </c>
      <c r="AE21" s="110">
        <f t="shared" si="0"/>
        <v>5</v>
      </c>
      <c r="AF21" s="110">
        <f t="shared" si="0"/>
        <v>5</v>
      </c>
    </row>
    <row r="22" spans="1:33" x14ac:dyDescent="0.35">
      <c r="B22" s="111" t="s">
        <v>90</v>
      </c>
      <c r="C22" s="112">
        <f t="shared" ref="C22:AF22" si="1">COUNTIF(C4:C19,"T")</f>
        <v>2</v>
      </c>
      <c r="D22" s="112">
        <f t="shared" si="1"/>
        <v>2</v>
      </c>
      <c r="E22" s="112">
        <f t="shared" si="1"/>
        <v>2</v>
      </c>
      <c r="F22" s="112">
        <f t="shared" si="1"/>
        <v>0</v>
      </c>
      <c r="G22" s="112">
        <f t="shared" si="1"/>
        <v>0</v>
      </c>
      <c r="H22" s="112">
        <f t="shared" si="1"/>
        <v>2</v>
      </c>
      <c r="I22" s="112">
        <f t="shared" si="1"/>
        <v>2</v>
      </c>
      <c r="J22" s="112">
        <f t="shared" si="1"/>
        <v>2</v>
      </c>
      <c r="K22" s="112">
        <f t="shared" si="1"/>
        <v>2</v>
      </c>
      <c r="L22" s="112">
        <f t="shared" si="1"/>
        <v>2</v>
      </c>
      <c r="M22" s="112">
        <f t="shared" si="1"/>
        <v>0</v>
      </c>
      <c r="N22" s="112">
        <f t="shared" si="1"/>
        <v>0</v>
      </c>
      <c r="O22" s="112">
        <f t="shared" si="1"/>
        <v>1</v>
      </c>
      <c r="P22" s="112">
        <f t="shared" si="1"/>
        <v>2</v>
      </c>
      <c r="Q22" s="112">
        <f t="shared" si="1"/>
        <v>2</v>
      </c>
      <c r="R22" s="112">
        <f t="shared" si="1"/>
        <v>2</v>
      </c>
      <c r="S22" s="112">
        <f t="shared" si="1"/>
        <v>2</v>
      </c>
      <c r="T22" s="112">
        <f t="shared" si="1"/>
        <v>0</v>
      </c>
      <c r="U22" s="112">
        <f t="shared" si="1"/>
        <v>0</v>
      </c>
      <c r="V22" s="112">
        <f t="shared" si="1"/>
        <v>2</v>
      </c>
      <c r="W22" s="112">
        <f t="shared" si="1"/>
        <v>2</v>
      </c>
      <c r="X22" s="112">
        <f t="shared" si="1"/>
        <v>2</v>
      </c>
      <c r="Y22" s="112">
        <f t="shared" si="1"/>
        <v>2</v>
      </c>
      <c r="Z22" s="112">
        <f t="shared" si="1"/>
        <v>2</v>
      </c>
      <c r="AA22" s="112">
        <f t="shared" si="1"/>
        <v>0</v>
      </c>
      <c r="AB22" s="112">
        <f t="shared" si="1"/>
        <v>0</v>
      </c>
      <c r="AC22" s="112">
        <f t="shared" si="1"/>
        <v>2</v>
      </c>
      <c r="AD22" s="112">
        <f t="shared" si="1"/>
        <v>2</v>
      </c>
      <c r="AE22" s="112">
        <f t="shared" si="1"/>
        <v>2</v>
      </c>
      <c r="AF22" s="112">
        <f t="shared" si="1"/>
        <v>2</v>
      </c>
    </row>
    <row r="23" spans="1:33" x14ac:dyDescent="0.35">
      <c r="B23" s="111" t="s">
        <v>91</v>
      </c>
      <c r="C23" s="112">
        <f t="shared" ref="C23:AF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</row>
    <row r="24" spans="1:33" x14ac:dyDescent="0.35">
      <c r="B24" s="111" t="s">
        <v>92</v>
      </c>
      <c r="C24" s="112">
        <f>COUNTIF(C4:C19,"M/F")+COUNTIF(C4:C19,"M1")+COUNTIF(C4:C19,"M3")+COUNTIF(C4:C19,"M3/G")+COUNTIF(C4:C19,"M2")</f>
        <v>1</v>
      </c>
      <c r="D24" s="112">
        <f>COUNTIF(D4:D19,"M/F")+COUNTIF(D4:D19,"M1")+COUNTIF(D4:D19,"M3")+COUNTIF(D4:D19,"M3/G")+COUNTIF(D4:D19,"M2")</f>
        <v>0</v>
      </c>
      <c r="E24" s="112">
        <f>COUNTIF(E4:E19,"M1")+COUNTIF(E4:E19,"NF")</f>
        <v>0</v>
      </c>
      <c r="F24" s="112">
        <f t="shared" ref="F24:AF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1</v>
      </c>
      <c r="I24" s="112">
        <f t="shared" si="3"/>
        <v>1</v>
      </c>
      <c r="J24" s="112">
        <f t="shared" si="3"/>
        <v>1</v>
      </c>
      <c r="K24" s="112">
        <f t="shared" si="3"/>
        <v>1</v>
      </c>
      <c r="L24" s="112">
        <f t="shared" si="3"/>
        <v>1</v>
      </c>
      <c r="M24" s="112">
        <f t="shared" si="3"/>
        <v>2</v>
      </c>
      <c r="N24" s="112">
        <f t="shared" si="3"/>
        <v>2</v>
      </c>
      <c r="O24" s="112">
        <f t="shared" si="3"/>
        <v>1</v>
      </c>
      <c r="P24" s="112">
        <f t="shared" si="3"/>
        <v>1</v>
      </c>
      <c r="Q24" s="112">
        <f t="shared" si="3"/>
        <v>1</v>
      </c>
      <c r="R24" s="112">
        <f t="shared" si="3"/>
        <v>1</v>
      </c>
      <c r="S24" s="112">
        <f t="shared" si="3"/>
        <v>1</v>
      </c>
      <c r="T24" s="112">
        <f t="shared" si="3"/>
        <v>2</v>
      </c>
      <c r="U24" s="112">
        <f t="shared" si="3"/>
        <v>2</v>
      </c>
      <c r="V24" s="112">
        <f t="shared" si="3"/>
        <v>1</v>
      </c>
      <c r="W24" s="112">
        <f t="shared" si="3"/>
        <v>1</v>
      </c>
      <c r="X24" s="112">
        <f t="shared" si="3"/>
        <v>1</v>
      </c>
      <c r="Y24" s="112">
        <f t="shared" si="3"/>
        <v>1</v>
      </c>
      <c r="Z24" s="112">
        <f t="shared" si="3"/>
        <v>1</v>
      </c>
      <c r="AA24" s="112">
        <f t="shared" si="3"/>
        <v>2</v>
      </c>
      <c r="AB24" s="112">
        <f t="shared" si="3"/>
        <v>2</v>
      </c>
      <c r="AC24" s="112">
        <f t="shared" si="3"/>
        <v>1</v>
      </c>
      <c r="AD24" s="112">
        <f t="shared" si="3"/>
        <v>1</v>
      </c>
      <c r="AE24" s="112">
        <f t="shared" si="3"/>
        <v>1</v>
      </c>
      <c r="AF24" s="112">
        <f t="shared" si="3"/>
        <v>1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F1"/>
  </mergeCells>
  <conditionalFormatting sqref="C22:AF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8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107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123"/>
      <c r="U16" s="123"/>
      <c r="V16" s="123"/>
      <c r="W16" s="123"/>
      <c r="X16" s="123"/>
      <c r="Y16" s="50"/>
      <c r="Z16" s="50"/>
      <c r="AA16" s="50"/>
      <c r="AB16" s="50"/>
      <c r="AC16" s="50"/>
      <c r="AD16" s="50"/>
      <c r="AH16"/>
    </row>
    <row r="17" spans="1:34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4" t="s">
        <v>14</v>
      </c>
      <c r="G17" s="4" t="s">
        <v>14</v>
      </c>
      <c r="H17" s="4" t="s">
        <v>14</v>
      </c>
      <c r="I17" s="4" t="s">
        <v>14</v>
      </c>
      <c r="J17" s="4" t="s">
        <v>14</v>
      </c>
      <c r="K17" s="28" t="s">
        <v>7</v>
      </c>
      <c r="L17" s="28" t="s">
        <v>7</v>
      </c>
      <c r="M17" s="4" t="s">
        <v>85</v>
      </c>
      <c r="N17" s="4" t="s">
        <v>85</v>
      </c>
      <c r="O17" s="4" t="s">
        <v>85</v>
      </c>
      <c r="P17" s="4" t="s">
        <v>85</v>
      </c>
      <c r="Q17" s="4" t="s">
        <v>85</v>
      </c>
      <c r="R17" s="28" t="s">
        <v>7</v>
      </c>
      <c r="S17" s="28" t="s">
        <v>7</v>
      </c>
      <c r="T17" s="25" t="s">
        <v>11</v>
      </c>
      <c r="U17" s="25" t="s">
        <v>11</v>
      </c>
      <c r="V17" s="25" t="s">
        <v>11</v>
      </c>
      <c r="W17" s="25" t="s">
        <v>11</v>
      </c>
      <c r="X17" s="25" t="s">
        <v>11</v>
      </c>
      <c r="Y17" s="28" t="s">
        <v>7</v>
      </c>
      <c r="Z17" s="28" t="s">
        <v>7</v>
      </c>
      <c r="AA17" s="4" t="s">
        <v>14</v>
      </c>
      <c r="AB17" s="4" t="s">
        <v>14</v>
      </c>
      <c r="AC17" s="4" t="s">
        <v>14</v>
      </c>
      <c r="AD17" s="4" t="s">
        <v>14</v>
      </c>
      <c r="AE17" s="4" t="s">
        <v>14</v>
      </c>
      <c r="AF17" s="28" t="s">
        <v>7</v>
      </c>
      <c r="AG17" s="28" t="s">
        <v>7</v>
      </c>
      <c r="AH17"/>
    </row>
    <row r="18" spans="1:34" x14ac:dyDescent="0.35">
      <c r="A18" s="34" t="s">
        <v>28</v>
      </c>
      <c r="B18" s="35" t="s">
        <v>60</v>
      </c>
      <c r="C18" s="4" t="s">
        <v>85</v>
      </c>
      <c r="D18" s="28" t="s">
        <v>7</v>
      </c>
      <c r="E18" s="28" t="s">
        <v>7</v>
      </c>
      <c r="F18" s="25" t="s">
        <v>11</v>
      </c>
      <c r="G18" s="25" t="s">
        <v>11</v>
      </c>
      <c r="H18" s="25" t="s">
        <v>11</v>
      </c>
      <c r="I18" s="25" t="s">
        <v>11</v>
      </c>
      <c r="J18" s="25" t="s">
        <v>11</v>
      </c>
      <c r="K18" s="28" t="s">
        <v>7</v>
      </c>
      <c r="L18" s="28" t="s">
        <v>7</v>
      </c>
      <c r="M18" s="4" t="s">
        <v>14</v>
      </c>
      <c r="N18" s="4" t="s">
        <v>14</v>
      </c>
      <c r="O18" s="4" t="s">
        <v>14</v>
      </c>
      <c r="P18" s="4" t="s">
        <v>14</v>
      </c>
      <c r="Q18" s="4" t="s">
        <v>14</v>
      </c>
      <c r="R18" s="28" t="s">
        <v>7</v>
      </c>
      <c r="S18" s="28" t="s">
        <v>7</v>
      </c>
      <c r="T18" s="4" t="s">
        <v>85</v>
      </c>
      <c r="U18" s="4" t="s">
        <v>85</v>
      </c>
      <c r="V18" s="4" t="s">
        <v>85</v>
      </c>
      <c r="W18" s="4" t="s">
        <v>85</v>
      </c>
      <c r="X18" s="4" t="s">
        <v>85</v>
      </c>
      <c r="Y18" s="28" t="s">
        <v>7</v>
      </c>
      <c r="Z18" s="28" t="s">
        <v>7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62" t="s">
        <v>13</v>
      </c>
      <c r="C19" s="4" t="s">
        <v>14</v>
      </c>
      <c r="D19" s="28" t="s">
        <v>7</v>
      </c>
      <c r="E19" s="28" t="s">
        <v>7</v>
      </c>
      <c r="F19" s="4" t="s">
        <v>85</v>
      </c>
      <c r="G19" s="4" t="s">
        <v>85</v>
      </c>
      <c r="H19" s="4" t="s">
        <v>85</v>
      </c>
      <c r="I19" s="4" t="s">
        <v>85</v>
      </c>
      <c r="J19" s="4" t="s">
        <v>85</v>
      </c>
      <c r="K19" s="28" t="s">
        <v>7</v>
      </c>
      <c r="L19" s="28" t="s">
        <v>7</v>
      </c>
      <c r="M19" s="25" t="s">
        <v>11</v>
      </c>
      <c r="N19" s="25" t="s">
        <v>11</v>
      </c>
      <c r="O19" s="25" t="s">
        <v>11</v>
      </c>
      <c r="P19" s="25" t="s">
        <v>11</v>
      </c>
      <c r="Q19" s="25" t="s">
        <v>11</v>
      </c>
      <c r="R19" s="28" t="s">
        <v>7</v>
      </c>
      <c r="S19" s="28" t="s">
        <v>7</v>
      </c>
      <c r="T19" s="4" t="s">
        <v>14</v>
      </c>
      <c r="U19" s="4" t="s">
        <v>14</v>
      </c>
      <c r="V19" s="4" t="s">
        <v>14</v>
      </c>
      <c r="W19" s="4" t="s">
        <v>14</v>
      </c>
      <c r="X19" s="4" t="s">
        <v>14</v>
      </c>
      <c r="Y19" s="28" t="s">
        <v>7</v>
      </c>
      <c r="Z19" s="28" t="s">
        <v>7</v>
      </c>
      <c r="AA19" s="4" t="s">
        <v>85</v>
      </c>
      <c r="AB19" s="4" t="s">
        <v>85</v>
      </c>
      <c r="AC19" s="4" t="s">
        <v>85</v>
      </c>
      <c r="AD19" s="4" t="s">
        <v>85</v>
      </c>
      <c r="AE19" s="4" t="s">
        <v>85</v>
      </c>
      <c r="AF19" s="28" t="s">
        <v>7</v>
      </c>
      <c r="AG19" s="28" t="s">
        <v>7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2</v>
      </c>
      <c r="E21" s="110">
        <f t="shared" si="0"/>
        <v>0</v>
      </c>
      <c r="F21" s="110">
        <f t="shared" si="0"/>
        <v>3</v>
      </c>
      <c r="G21" s="110">
        <f t="shared" si="0"/>
        <v>3</v>
      </c>
      <c r="H21" s="110">
        <f t="shared" si="0"/>
        <v>3</v>
      </c>
      <c r="I21" s="110">
        <f t="shared" si="0"/>
        <v>3</v>
      </c>
      <c r="J21" s="110">
        <f t="shared" si="0"/>
        <v>3</v>
      </c>
      <c r="K21" s="110">
        <f t="shared" si="0"/>
        <v>2</v>
      </c>
      <c r="L21" s="110">
        <f t="shared" si="0"/>
        <v>2</v>
      </c>
      <c r="M21" s="110">
        <f t="shared" si="0"/>
        <v>3</v>
      </c>
      <c r="N21" s="110">
        <f t="shared" si="0"/>
        <v>3</v>
      </c>
      <c r="O21" s="110">
        <f t="shared" si="0"/>
        <v>3</v>
      </c>
      <c r="P21" s="110">
        <f t="shared" si="0"/>
        <v>3</v>
      </c>
      <c r="Q21" s="110">
        <f t="shared" si="0"/>
        <v>3</v>
      </c>
      <c r="R21" s="110">
        <f t="shared" si="0"/>
        <v>2</v>
      </c>
      <c r="S21" s="110">
        <f t="shared" si="0"/>
        <v>2</v>
      </c>
      <c r="T21" s="110">
        <f t="shared" si="0"/>
        <v>3</v>
      </c>
      <c r="U21" s="110">
        <f t="shared" si="0"/>
        <v>3</v>
      </c>
      <c r="V21" s="110">
        <f t="shared" si="0"/>
        <v>3</v>
      </c>
      <c r="W21" s="110">
        <f t="shared" si="0"/>
        <v>3</v>
      </c>
      <c r="X21" s="110">
        <f t="shared" si="0"/>
        <v>3</v>
      </c>
      <c r="Y21" s="110">
        <f t="shared" si="0"/>
        <v>2</v>
      </c>
      <c r="Z21" s="110">
        <f t="shared" si="0"/>
        <v>2</v>
      </c>
      <c r="AA21" s="110">
        <f t="shared" si="0"/>
        <v>3</v>
      </c>
      <c r="AB21" s="110">
        <f t="shared" si="0"/>
        <v>3</v>
      </c>
      <c r="AC21" s="110">
        <f t="shared" si="0"/>
        <v>3</v>
      </c>
      <c r="AD21" s="110">
        <f t="shared" si="0"/>
        <v>3</v>
      </c>
      <c r="AE21" s="110">
        <f t="shared" si="0"/>
        <v>3</v>
      </c>
      <c r="AF21" s="110">
        <f t="shared" si="0"/>
        <v>2</v>
      </c>
      <c r="AG21" s="110">
        <f t="shared" si="0"/>
        <v>2</v>
      </c>
    </row>
    <row r="22" spans="1:34" x14ac:dyDescent="0.35">
      <c r="B22" s="111" t="s">
        <v>90</v>
      </c>
      <c r="C22" s="112">
        <f t="shared" ref="C22:AG22" si="1">COUNTIF(C4:C19,"T")</f>
        <v>1</v>
      </c>
      <c r="D22" s="112">
        <f t="shared" si="1"/>
        <v>0</v>
      </c>
      <c r="E22" s="112">
        <f t="shared" si="1"/>
        <v>0</v>
      </c>
      <c r="F22" s="112">
        <f t="shared" si="1"/>
        <v>1</v>
      </c>
      <c r="G22" s="112">
        <f t="shared" si="1"/>
        <v>1</v>
      </c>
      <c r="H22" s="112">
        <f t="shared" si="1"/>
        <v>1</v>
      </c>
      <c r="I22" s="112">
        <f t="shared" si="1"/>
        <v>1</v>
      </c>
      <c r="J22" s="112">
        <f t="shared" si="1"/>
        <v>1</v>
      </c>
      <c r="K22" s="112">
        <f t="shared" si="1"/>
        <v>0</v>
      </c>
      <c r="L22" s="112">
        <f t="shared" si="1"/>
        <v>0</v>
      </c>
      <c r="M22" s="112">
        <f t="shared" si="1"/>
        <v>1</v>
      </c>
      <c r="N22" s="112">
        <f t="shared" si="1"/>
        <v>1</v>
      </c>
      <c r="O22" s="112">
        <f t="shared" si="1"/>
        <v>1</v>
      </c>
      <c r="P22" s="112">
        <f t="shared" si="1"/>
        <v>1</v>
      </c>
      <c r="Q22" s="112">
        <f t="shared" si="1"/>
        <v>1</v>
      </c>
      <c r="R22" s="112">
        <f t="shared" si="1"/>
        <v>0</v>
      </c>
      <c r="S22" s="112">
        <f t="shared" si="1"/>
        <v>0</v>
      </c>
      <c r="T22" s="112">
        <f t="shared" si="1"/>
        <v>1</v>
      </c>
      <c r="U22" s="112">
        <f t="shared" si="1"/>
        <v>1</v>
      </c>
      <c r="V22" s="112">
        <f t="shared" si="1"/>
        <v>1</v>
      </c>
      <c r="W22" s="112">
        <f t="shared" si="1"/>
        <v>1</v>
      </c>
      <c r="X22" s="112">
        <f t="shared" si="1"/>
        <v>1</v>
      </c>
      <c r="Y22" s="112">
        <f t="shared" si="1"/>
        <v>0</v>
      </c>
      <c r="Z22" s="112">
        <f t="shared" si="1"/>
        <v>0</v>
      </c>
      <c r="AA22" s="112">
        <f t="shared" si="1"/>
        <v>1</v>
      </c>
      <c r="AB22" s="112">
        <f t="shared" si="1"/>
        <v>1</v>
      </c>
      <c r="AC22" s="112">
        <f t="shared" si="1"/>
        <v>1</v>
      </c>
      <c r="AD22" s="112">
        <f t="shared" si="1"/>
        <v>1</v>
      </c>
      <c r="AE22" s="112">
        <f t="shared" si="1"/>
        <v>1</v>
      </c>
      <c r="AF22" s="112">
        <f t="shared" si="1"/>
        <v>0</v>
      </c>
      <c r="AG22" s="112">
        <f t="shared" si="1"/>
        <v>0</v>
      </c>
    </row>
    <row r="23" spans="1:34" x14ac:dyDescent="0.35">
      <c r="B23" s="111" t="s">
        <v>91</v>
      </c>
      <c r="C23" s="112">
        <f t="shared" ref="C23:AG23" si="2">COUNTIF(C4:C19,"N")+COUNTIF(C4:C19,"NF")</f>
        <v>0</v>
      </c>
      <c r="D23" s="112">
        <f t="shared" si="2"/>
        <v>0</v>
      </c>
      <c r="E23" s="112">
        <f t="shared" si="2"/>
        <v>0</v>
      </c>
      <c r="F23" s="112">
        <f t="shared" si="2"/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  <c r="AG23" s="112">
        <f t="shared" si="2"/>
        <v>0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2</v>
      </c>
      <c r="E24" s="112">
        <f>COUNTIF(E4:E19,"M1")+COUNTIF(E4:E19,"NF")</f>
        <v>0</v>
      </c>
      <c r="F24" s="112">
        <f t="shared" ref="F24:AG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2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2</v>
      </c>
      <c r="M24" s="112">
        <f t="shared" si="3"/>
        <v>2</v>
      </c>
      <c r="N24" s="112">
        <f t="shared" si="3"/>
        <v>2</v>
      </c>
      <c r="O24" s="112">
        <f t="shared" si="3"/>
        <v>2</v>
      </c>
      <c r="P24" s="112">
        <f t="shared" si="3"/>
        <v>2</v>
      </c>
      <c r="Q24" s="112">
        <f t="shared" si="3"/>
        <v>2</v>
      </c>
      <c r="R24" s="112">
        <f t="shared" si="3"/>
        <v>2</v>
      </c>
      <c r="S24" s="112">
        <f t="shared" si="3"/>
        <v>2</v>
      </c>
      <c r="T24" s="112">
        <f t="shared" si="3"/>
        <v>2</v>
      </c>
      <c r="U24" s="112">
        <f t="shared" si="3"/>
        <v>2</v>
      </c>
      <c r="V24" s="112">
        <f t="shared" si="3"/>
        <v>2</v>
      </c>
      <c r="W24" s="112">
        <f t="shared" si="3"/>
        <v>2</v>
      </c>
      <c r="X24" s="112">
        <f t="shared" si="3"/>
        <v>2</v>
      </c>
      <c r="Y24" s="112">
        <f t="shared" si="3"/>
        <v>2</v>
      </c>
      <c r="Z24" s="112">
        <f t="shared" si="3"/>
        <v>2</v>
      </c>
      <c r="AA24" s="112">
        <f t="shared" si="3"/>
        <v>2</v>
      </c>
      <c r="AB24" s="112">
        <f t="shared" si="3"/>
        <v>2</v>
      </c>
      <c r="AC24" s="112">
        <f t="shared" si="3"/>
        <v>2</v>
      </c>
      <c r="AD24" s="112">
        <f t="shared" si="3"/>
        <v>2</v>
      </c>
      <c r="AE24" s="112">
        <f t="shared" si="3"/>
        <v>2</v>
      </c>
      <c r="AF24" s="112">
        <f t="shared" si="3"/>
        <v>2</v>
      </c>
      <c r="AG24" s="112">
        <f t="shared" si="3"/>
        <v>2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U19" sqref="U19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108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109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110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M6" sqref="M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70"/>
      <c r="C1" s="185" t="s">
        <v>111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6" x14ac:dyDescent="0.35">
      <c r="A2" s="6"/>
      <c r="B2" s="17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112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70"/>
      <c r="C1" s="185" t="s">
        <v>113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/>
    </row>
    <row r="2" spans="1:33" x14ac:dyDescent="0.35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114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115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116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117</v>
      </c>
      <c r="I2" s="102">
        <f>1800*10</f>
        <v>18000</v>
      </c>
    </row>
    <row r="3" spans="4:64" x14ac:dyDescent="0.35">
      <c r="G3" s="101" t="s">
        <v>118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119</v>
      </c>
      <c r="H9" s="99" t="s">
        <v>120</v>
      </c>
      <c r="I9" s="99" t="s">
        <v>121</v>
      </c>
      <c r="J9" s="99" t="s">
        <v>122</v>
      </c>
      <c r="K9" s="99" t="s">
        <v>123</v>
      </c>
      <c r="L9" s="99" t="s">
        <v>124</v>
      </c>
      <c r="M9" s="99" t="s">
        <v>125</v>
      </c>
      <c r="N9" s="99" t="s">
        <v>126</v>
      </c>
      <c r="O9" s="99" t="s">
        <v>127</v>
      </c>
      <c r="P9" s="99" t="s">
        <v>128</v>
      </c>
      <c r="Q9" s="99" t="s">
        <v>129</v>
      </c>
      <c r="R9" s="99" t="s">
        <v>130</v>
      </c>
      <c r="S9" s="99" t="s">
        <v>131</v>
      </c>
      <c r="T9" s="99" t="s">
        <v>132</v>
      </c>
      <c r="U9" s="99" t="s">
        <v>133</v>
      </c>
      <c r="V9" s="99" t="s">
        <v>134</v>
      </c>
      <c r="W9" s="99" t="s">
        <v>135</v>
      </c>
      <c r="X9" s="99" t="s">
        <v>136</v>
      </c>
      <c r="Y9" s="99" t="s">
        <v>137</v>
      </c>
      <c r="Z9" s="99" t="s">
        <v>138</v>
      </c>
      <c r="AA9" s="99" t="s">
        <v>139</v>
      </c>
      <c r="AB9" s="99" t="s">
        <v>140</v>
      </c>
      <c r="AC9" s="99" t="s">
        <v>141</v>
      </c>
      <c r="AD9" s="99" t="s">
        <v>142</v>
      </c>
      <c r="AE9" s="99" t="s">
        <v>143</v>
      </c>
      <c r="AF9" s="99" t="s">
        <v>144</v>
      </c>
      <c r="AG9" s="99" t="s">
        <v>145</v>
      </c>
      <c r="AH9" s="99" t="s">
        <v>146</v>
      </c>
      <c r="AI9" s="99" t="s">
        <v>147</v>
      </c>
      <c r="AJ9" s="99" t="s">
        <v>148</v>
      </c>
      <c r="AK9" s="99" t="s">
        <v>149</v>
      </c>
      <c r="AL9" s="99" t="s">
        <v>150</v>
      </c>
      <c r="AM9" s="99" t="s">
        <v>151</v>
      </c>
      <c r="AN9" s="99" t="s">
        <v>152</v>
      </c>
      <c r="AO9" s="99" t="s">
        <v>153</v>
      </c>
      <c r="AP9" s="99" t="s">
        <v>154</v>
      </c>
      <c r="AQ9" s="99" t="s">
        <v>155</v>
      </c>
      <c r="AR9" s="99" t="s">
        <v>156</v>
      </c>
      <c r="AS9" s="99" t="s">
        <v>157</v>
      </c>
      <c r="AT9" s="99" t="s">
        <v>158</v>
      </c>
      <c r="AU9" s="99" t="s">
        <v>159</v>
      </c>
      <c r="AV9" s="99" t="s">
        <v>160</v>
      </c>
      <c r="AW9" s="99" t="s">
        <v>161</v>
      </c>
      <c r="AX9" s="99" t="s">
        <v>162</v>
      </c>
      <c r="AY9" s="99" t="s">
        <v>163</v>
      </c>
      <c r="AZ9" s="99" t="s">
        <v>164</v>
      </c>
      <c r="BA9" s="99" t="s">
        <v>165</v>
      </c>
      <c r="BB9" s="99" t="s">
        <v>166</v>
      </c>
      <c r="BC9" s="99" t="s">
        <v>167</v>
      </c>
      <c r="BD9" s="99" t="s">
        <v>168</v>
      </c>
      <c r="BE9" s="99" t="s">
        <v>169</v>
      </c>
      <c r="BF9" s="99" t="s">
        <v>170</v>
      </c>
      <c r="BG9" s="99" t="s">
        <v>171</v>
      </c>
      <c r="BH9" s="99" t="s">
        <v>172</v>
      </c>
      <c r="BI9" s="99" t="s">
        <v>173</v>
      </c>
      <c r="BJ9" s="99" t="s">
        <v>174</v>
      </c>
      <c r="BK9" s="106" t="s">
        <v>175</v>
      </c>
      <c r="BL9" s="106" t="s">
        <v>176</v>
      </c>
    </row>
    <row r="10" spans="4:64" x14ac:dyDescent="0.35">
      <c r="D10" s="102"/>
      <c r="E10" s="102"/>
      <c r="F10" s="95"/>
      <c r="G10" s="97" t="s">
        <v>177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178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179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180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181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182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183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184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185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186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187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188</v>
      </c>
      <c r="H23">
        <f>AVERAGE(H10:H20)</f>
        <v>849.6</v>
      </c>
    </row>
    <row r="27" spans="7:64" x14ac:dyDescent="0.35">
      <c r="G27" s="99" t="s">
        <v>119</v>
      </c>
      <c r="H27" s="99" t="s">
        <v>120</v>
      </c>
      <c r="I27" s="99" t="s">
        <v>121</v>
      </c>
      <c r="J27" s="99" t="s">
        <v>122</v>
      </c>
      <c r="K27" s="99" t="s">
        <v>123</v>
      </c>
      <c r="L27" s="99" t="s">
        <v>124</v>
      </c>
      <c r="M27" s="99" t="s">
        <v>125</v>
      </c>
      <c r="N27" s="99" t="s">
        <v>126</v>
      </c>
      <c r="O27" s="99" t="s">
        <v>127</v>
      </c>
      <c r="P27" s="99" t="s">
        <v>128</v>
      </c>
      <c r="Q27" s="99" t="s">
        <v>129</v>
      </c>
      <c r="R27" s="99" t="s">
        <v>130</v>
      </c>
      <c r="S27" s="99" t="s">
        <v>131</v>
      </c>
      <c r="T27" s="99" t="s">
        <v>132</v>
      </c>
      <c r="U27" s="99" t="s">
        <v>133</v>
      </c>
      <c r="V27" s="99" t="s">
        <v>134</v>
      </c>
      <c r="W27" s="99" t="s">
        <v>135</v>
      </c>
      <c r="X27" s="99" t="s">
        <v>136</v>
      </c>
      <c r="Y27" s="99" t="s">
        <v>137</v>
      </c>
      <c r="Z27" s="99" t="s">
        <v>138</v>
      </c>
      <c r="AA27" s="99" t="s">
        <v>139</v>
      </c>
      <c r="AB27" s="99" t="s">
        <v>140</v>
      </c>
      <c r="AC27" s="99" t="s">
        <v>141</v>
      </c>
      <c r="AD27" s="99" t="s">
        <v>142</v>
      </c>
      <c r="AE27" s="99" t="s">
        <v>143</v>
      </c>
      <c r="AF27" s="99" t="s">
        <v>144</v>
      </c>
      <c r="AG27" s="99" t="s">
        <v>145</v>
      </c>
      <c r="AH27" s="99" t="s">
        <v>146</v>
      </c>
      <c r="AI27" s="99" t="s">
        <v>147</v>
      </c>
      <c r="AJ27" s="99" t="s">
        <v>148</v>
      </c>
      <c r="AK27" s="99" t="s">
        <v>149</v>
      </c>
      <c r="AL27" s="99" t="s">
        <v>150</v>
      </c>
      <c r="AM27" s="99" t="s">
        <v>151</v>
      </c>
      <c r="AN27" s="99" t="s">
        <v>152</v>
      </c>
      <c r="AO27" s="99" t="s">
        <v>153</v>
      </c>
      <c r="AP27" s="99" t="s">
        <v>154</v>
      </c>
      <c r="AQ27" s="99" t="s">
        <v>155</v>
      </c>
      <c r="AR27" s="99" t="s">
        <v>156</v>
      </c>
      <c r="AS27" s="99" t="s">
        <v>157</v>
      </c>
      <c r="AT27" s="99" t="s">
        <v>158</v>
      </c>
      <c r="AU27" s="99" t="s">
        <v>159</v>
      </c>
      <c r="AV27" s="99" t="s">
        <v>160</v>
      </c>
      <c r="AW27" s="99" t="s">
        <v>161</v>
      </c>
      <c r="AX27" s="99" t="s">
        <v>162</v>
      </c>
      <c r="AY27" s="99" t="s">
        <v>163</v>
      </c>
      <c r="AZ27" s="99" t="s">
        <v>164</v>
      </c>
      <c r="BA27" s="99" t="s">
        <v>165</v>
      </c>
      <c r="BB27" s="99" t="s">
        <v>166</v>
      </c>
      <c r="BC27" s="99" t="s">
        <v>167</v>
      </c>
      <c r="BD27" s="99" t="s">
        <v>168</v>
      </c>
      <c r="BE27" s="99" t="s">
        <v>169</v>
      </c>
      <c r="BF27" s="99" t="s">
        <v>170</v>
      </c>
      <c r="BG27" s="99" t="s">
        <v>171</v>
      </c>
      <c r="BH27" s="99" t="s">
        <v>172</v>
      </c>
      <c r="BI27" s="99" t="s">
        <v>173</v>
      </c>
      <c r="BJ27" s="99" t="s">
        <v>174</v>
      </c>
      <c r="BK27" s="106" t="s">
        <v>175</v>
      </c>
      <c r="BL27" s="106" t="s">
        <v>176</v>
      </c>
    </row>
    <row r="28" spans="7:64" x14ac:dyDescent="0.35">
      <c r="G28" s="97" t="s">
        <v>177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178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179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180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181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182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183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184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185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186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187</v>
      </c>
      <c r="H40">
        <f>SUM(H28:H38)</f>
        <v>17424</v>
      </c>
    </row>
    <row r="41" spans="7:64" x14ac:dyDescent="0.35">
      <c r="G41" s="101" t="s">
        <v>188</v>
      </c>
      <c r="H41">
        <f>AVERAGE(H28:H38)</f>
        <v>1742.4</v>
      </c>
      <c r="K41" s="104" t="s">
        <v>189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2026-02-25T07:37:31Z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