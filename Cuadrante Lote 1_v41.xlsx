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-my.sharepoint.com/personal/x707728_santanderglobaltech_com/Documents/Escritorio/"/>
    </mc:Choice>
  </mc:AlternateContent>
  <xr:revisionPtr revIDLastSave="0" documentId="8_{09D04BCB-4C1C-4F41-9E61-F3EB10989CB3}" xr6:coauthVersionLast="47" xr6:coauthVersionMax="47" xr10:uidLastSave="{00000000-0000-0000-0000-000000000000}"/>
  <bookViews>
    <workbookView xWindow="-110" yWindow="-110" windowWidth="19200" windowHeight="9020" firstSheet="27" activeTab="29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C18" i="39" s="1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E18" i="41" s="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I18" i="44" l="1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<sst xmlns="http://schemas.openxmlformats.org/spreadsheetml/2006/main" count="11126" uniqueCount="105">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</sst>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94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3" fillId="4" borderId="50" xfId="0" applyFont="1" applyFill="1" applyBorder="1"/>
    <xf numFmtId="0" fontId="3" fillId="4" borderId="57" xfId="0" applyFont="1" applyFill="1" applyBorder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32" sqref="A32"/>
    </sheetView>
  </sheetViews>
  <sheetFormatPr baseColWidth="10"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164"/>
      <c r="G1" s="1164"/>
      <c r="H1" s="1164"/>
      <c r="I1" s="1164"/>
      <c r="J1" s="1164"/>
      <c r="K1" s="1164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162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162"/>
      <c r="C3" s="2"/>
      <c r="D3" s="7"/>
      <c r="E3" s="7"/>
      <c r="F3" s="1172" t="s">
        <v>1</v>
      </c>
      <c r="G3" s="1172"/>
      <c r="H3" s="1172"/>
      <c r="I3" s="1172"/>
      <c r="J3" s="1172"/>
      <c r="K3" s="1172"/>
      <c r="L3" s="1172"/>
      <c r="M3" s="1172"/>
      <c r="N3" s="1172"/>
      <c r="O3" s="1172"/>
      <c r="P3" s="1172"/>
      <c r="Q3" s="1172"/>
      <c r="R3" s="1172"/>
      <c r="S3" s="1172"/>
      <c r="T3" s="1172"/>
      <c r="U3" s="1172"/>
      <c r="V3" s="1172"/>
      <c r="W3" s="1172"/>
      <c r="X3" s="1172"/>
      <c r="Y3" s="1172"/>
      <c r="Z3" s="1172"/>
      <c r="AA3" s="1172"/>
      <c r="AB3" s="1172"/>
      <c r="AC3" s="1172"/>
      <c r="AD3" s="1172"/>
      <c r="AE3" s="1172"/>
      <c r="AF3" s="1172"/>
      <c r="AG3" s="1172"/>
      <c r="AH3" s="1172"/>
      <c r="AI3" s="1172"/>
      <c r="AJ3" s="1172"/>
      <c r="AK3" s="1172"/>
      <c r="AL3" s="1167" t="s">
        <v>2</v>
      </c>
      <c r="AM3" s="1167"/>
      <c r="AN3" s="1167"/>
      <c r="AO3" s="1167"/>
      <c r="AP3" s="1167"/>
      <c r="AQ3" s="1167"/>
    </row>
    <row r="4" spans="2:45" ht="11.25" customHeight="1" x14ac:dyDescent="0.25">
      <c r="B4" s="41"/>
      <c r="C4" s="1165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166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163" t="str">
        <f>"Plantilla de Turnos CCNC  "&amp;D29</f>
        <v>Plantilla de Turnos CCNC  Raquel</v>
      </c>
      <c r="G28" s="1163"/>
      <c r="H28" s="1163"/>
      <c r="I28" s="1163"/>
      <c r="J28" s="1163"/>
      <c r="K28" s="1163"/>
      <c r="L28" s="1163"/>
      <c r="M28" s="27"/>
      <c r="N28" s="27"/>
      <c r="O28" s="27"/>
      <c r="P28" s="11"/>
      <c r="Q28" s="10"/>
      <c r="R28" s="10"/>
      <c r="S28" s="10"/>
      <c r="T28" s="10"/>
      <c r="U28" s="10"/>
      <c r="V28" s="1163" t="str">
        <f>"Plantilla de Turnos CCNC  "&amp;V29</f>
        <v>Plantilla de Turnos CCNC  To Be</v>
      </c>
      <c r="W28" s="1163"/>
      <c r="X28" s="1163"/>
      <c r="Y28" s="1163"/>
      <c r="Z28" s="1163"/>
      <c r="AA28" s="1163"/>
      <c r="AB28" s="1163"/>
      <c r="AC28" s="1163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75">
        <f>8.33*(COUNTIFS(F30:L30,"&lt;&gt;"&amp;"L"))</f>
        <v>41.65</v>
      </c>
      <c r="P30" s="1176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73">
        <f>8.33*(COUNTIFS(W30:AC30,"&lt;&gt;"&amp;"L"))</f>
        <v>58.31</v>
      </c>
      <c r="AG30" s="1174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56">
        <f t="shared" ref="O31:O38" si="12">8.33*(COUNTIFS(F31:L31,"&lt;&gt;"&amp;"L"))</f>
        <v>33.32</v>
      </c>
      <c r="P31" s="1157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68">
        <f t="shared" ref="AF31:AF37" si="13">8.33*(COUNTIFS(W31:AC31,"&lt;&gt;"&amp;"L"))</f>
        <v>24.990000000000002</v>
      </c>
      <c r="AG31" s="1169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56">
        <f t="shared" si="12"/>
        <v>58.31</v>
      </c>
      <c r="P32" s="1157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68">
        <f t="shared" si="13"/>
        <v>33.32</v>
      </c>
      <c r="AG32" s="1169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56">
        <f>8.33*(COUNTIFS(F33:L33,"&lt;&gt;"&amp;"LG"))</f>
        <v>41.65</v>
      </c>
      <c r="P33" s="1157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68">
        <f t="shared" si="13"/>
        <v>41.65</v>
      </c>
      <c r="AG33" s="1169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68">
        <f t="shared" si="13"/>
        <v>24.990000000000002</v>
      </c>
      <c r="AG34" s="1169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56">
        <f t="shared" si="12"/>
        <v>58.31</v>
      </c>
      <c r="P35" s="1157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68">
        <f t="shared" si="13"/>
        <v>33.32</v>
      </c>
      <c r="AG35" s="1169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56">
        <f t="shared" si="12"/>
        <v>33.32</v>
      </c>
      <c r="P36" s="1157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68">
        <f t="shared" si="13"/>
        <v>41.65</v>
      </c>
      <c r="AG36" s="1169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56">
        <f t="shared" si="12"/>
        <v>24.990000000000002</v>
      </c>
      <c r="P37" s="1157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70">
        <f t="shared" si="13"/>
        <v>58.31</v>
      </c>
      <c r="AG37" s="1171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58">
        <f t="shared" si="12"/>
        <v>41.65</v>
      </c>
      <c r="P38" s="1159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77">
        <f>SUM(W40:AC40)</f>
        <v>12</v>
      </c>
      <c r="AG40" s="1178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60">
        <f>SUM(F41:L41)</f>
        <v>10</v>
      </c>
      <c r="P41" s="1161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79">
        <f t="shared" ref="AF41:AF44" si="17">SUM(W41:AC41)</f>
        <v>12</v>
      </c>
      <c r="AG41" s="1180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52">
        <f t="shared" ref="O42:O45" si="19">SUM(F42:L42)</f>
        <v>11</v>
      </c>
      <c r="P42" s="1153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79">
        <f t="shared" si="17"/>
        <v>7</v>
      </c>
      <c r="AG42" s="1180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52">
        <f t="shared" si="19"/>
        <v>7</v>
      </c>
      <c r="P43" s="1153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79">
        <f t="shared" si="17"/>
        <v>7</v>
      </c>
      <c r="AG43" s="1180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52">
        <f t="shared" si="19"/>
        <v>7</v>
      </c>
      <c r="P44" s="1153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81">
        <f t="shared" si="17"/>
        <v>18</v>
      </c>
      <c r="AG44" s="1182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54">
        <f t="shared" si="19"/>
        <v>14</v>
      </c>
      <c r="P45" s="1155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AF40:AG40"/>
    <mergeCell ref="AF41:AG41"/>
    <mergeCell ref="AF42:AG42"/>
    <mergeCell ref="AF43:AG43"/>
    <mergeCell ref="AF44:AG44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B2:B3"/>
    <mergeCell ref="V28:AC28"/>
    <mergeCell ref="F1:K1"/>
    <mergeCell ref="C4:C5"/>
    <mergeCell ref="AL3:AQ3"/>
    <mergeCell ref="F28:L28"/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4"/>
      <c r="E1" s="1164"/>
      <c r="F1" s="1164"/>
      <c r="G1" s="1164"/>
      <c r="H1" s="1164"/>
      <c r="I1" s="116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5" t="s">
        <v>51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67" t="s">
        <v>52</v>
      </c>
      <c r="AC3" s="1167"/>
      <c r="AD3" s="1167"/>
      <c r="AE3" s="1167"/>
    </row>
    <row r="4" spans="2:31" ht="11.25" customHeight="1" x14ac:dyDescent="0.25">
      <c r="B4" s="116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66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163" t="str">
        <f>"Plantilla de Turnos CCNC  "&amp;H31</f>
        <v>Plantilla de Turnos CCNC  To Be</v>
      </c>
      <c r="I30" s="1163"/>
      <c r="J30" s="1163"/>
      <c r="K30" s="1163"/>
      <c r="L30" s="1163"/>
      <c r="M30" s="1163"/>
      <c r="N30" s="1163"/>
      <c r="O30" s="1163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73">
        <f>8.33*(COUNTIFS(I32:O32,"&lt;&gt;"&amp;"L",I32:O32,"&lt;&gt;"&amp;"D"))+8*(COUNTIFS(I32:O32,"="&amp;"D"))</f>
        <v>57.65</v>
      </c>
      <c r="S32" s="117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73">
        <f t="shared" ref="R33:R39" si="7">8.33*(COUNTIFS(I33:O33,"&lt;&gt;"&amp;"L",I33:O33,"&lt;&gt;"&amp;"D"))+8*(COUNTIFS(I33:O33,"="&amp;"D"))</f>
        <v>24.990000000000002</v>
      </c>
      <c r="S33" s="117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73">
        <f t="shared" si="7"/>
        <v>33.32</v>
      </c>
      <c r="S34" s="117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73">
        <f t="shared" si="7"/>
        <v>41.32</v>
      </c>
      <c r="S35" s="117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73">
        <f t="shared" si="7"/>
        <v>24.990000000000002</v>
      </c>
      <c r="S36" s="117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73">
        <f t="shared" si="7"/>
        <v>32.99</v>
      </c>
      <c r="S37" s="1174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73">
        <f t="shared" si="7"/>
        <v>41.65</v>
      </c>
      <c r="S38" s="1174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83">
        <f t="shared" si="7"/>
        <v>57.32</v>
      </c>
      <c r="S39" s="1184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77">
        <f>SUM(I42:O42)</f>
        <v>12</v>
      </c>
      <c r="S42" s="11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79">
        <f t="shared" ref="R43:R46" si="10">SUM(I43:O43)</f>
        <v>12</v>
      </c>
      <c r="S43" s="11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79">
        <f t="shared" si="10"/>
        <v>7</v>
      </c>
      <c r="S44" s="11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79">
        <f t="shared" si="10"/>
        <v>7</v>
      </c>
      <c r="S45" s="118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81">
        <f t="shared" si="10"/>
        <v>18</v>
      </c>
      <c r="S46" s="1182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32:S32"/>
    <mergeCell ref="D1:I1"/>
    <mergeCell ref="D3:AA3"/>
    <mergeCell ref="AB3:AE3"/>
    <mergeCell ref="B4:B5"/>
    <mergeCell ref="H30:O30"/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4"/>
      <c r="E1" s="1164"/>
      <c r="F1" s="1164"/>
      <c r="G1" s="1164"/>
      <c r="H1" s="1164"/>
      <c r="I1" s="116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185" t="s">
        <v>59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67" t="s">
        <v>51</v>
      </c>
      <c r="AC3" s="1167"/>
      <c r="AD3" s="1167"/>
      <c r="AE3" s="1167"/>
    </row>
    <row r="4" spans="2:33" ht="11.25" customHeight="1" x14ac:dyDescent="0.25">
      <c r="B4" s="116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166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163" t="str">
        <f>"Plantilla de Turnos CCNC  "&amp;H29</f>
        <v>Plantilla de Turnos CCNC  To Be</v>
      </c>
      <c r="I28" s="1163"/>
      <c r="J28" s="1163"/>
      <c r="K28" s="1163"/>
      <c r="L28" s="1163"/>
      <c r="M28" s="1163"/>
      <c r="N28" s="1163"/>
      <c r="O28" s="1163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3">
        <f>8.33*(COUNTIFS(I30:O30,"&lt;&gt;"&amp;"L",I30:O30,"&lt;&gt;"&amp;"D"))+8*(COUNTIFS(I30:O30,"="&amp;"D"))</f>
        <v>57.65</v>
      </c>
      <c r="S30" s="117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3">
        <f t="shared" ref="R31:R37" si="7">8.33*(COUNTIFS(I31:O31,"&lt;&gt;"&amp;"L",I31:O31,"&lt;&gt;"&amp;"D"))+8*(COUNTIFS(I31:O31,"="&amp;"D"))</f>
        <v>24.990000000000002</v>
      </c>
      <c r="S31" s="117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3">
        <f t="shared" si="7"/>
        <v>33.32</v>
      </c>
      <c r="S32" s="117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3">
        <f t="shared" si="7"/>
        <v>41.32</v>
      </c>
      <c r="S33" s="117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3">
        <f t="shared" si="7"/>
        <v>24.990000000000002</v>
      </c>
      <c r="S34" s="117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3">
        <f t="shared" si="7"/>
        <v>32.99</v>
      </c>
      <c r="S35" s="117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3">
        <f t="shared" si="7"/>
        <v>41.65</v>
      </c>
      <c r="S36" s="117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3">
        <f t="shared" si="7"/>
        <v>57.32</v>
      </c>
      <c r="S37" s="1184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77">
        <f>SUM(I40:O40)</f>
        <v>12</v>
      </c>
      <c r="S40" s="117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79">
        <f t="shared" ref="R41:R44" si="10">SUM(I41:O41)</f>
        <v>12</v>
      </c>
      <c r="S41" s="118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79">
        <f t="shared" si="10"/>
        <v>7</v>
      </c>
      <c r="S42" s="118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79">
        <f t="shared" si="10"/>
        <v>7</v>
      </c>
      <c r="S43" s="11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81">
        <f t="shared" si="10"/>
        <v>18</v>
      </c>
      <c r="S44" s="118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D1:I1"/>
    <mergeCell ref="B4:B5"/>
    <mergeCell ref="H28:O28"/>
    <mergeCell ref="D3:AA3"/>
    <mergeCell ref="AB3:AE3"/>
    <mergeCell ref="R42:S42"/>
    <mergeCell ref="R43:S43"/>
    <mergeCell ref="R44:S44"/>
    <mergeCell ref="R37:S37"/>
    <mergeCell ref="R40:S40"/>
    <mergeCell ref="R41:S41"/>
    <mergeCell ref="R33:S33"/>
    <mergeCell ref="R34:S34"/>
    <mergeCell ref="R35:S35"/>
    <mergeCell ref="R36:S36"/>
    <mergeCell ref="R30:S30"/>
    <mergeCell ref="R31:S31"/>
    <mergeCell ref="R32:S3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4"/>
      <c r="E1" s="1164"/>
      <c r="F1" s="1164"/>
      <c r="G1" s="1164"/>
      <c r="H1" s="1164"/>
      <c r="I1" s="116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5" t="str">
        <f>TEXT(D5,"mmm")</f>
        <v>mar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</row>
    <row r="4" spans="2:31" ht="11.25" customHeight="1" x14ac:dyDescent="0.25">
      <c r="B4" s="116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66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73">
        <f>8.33*(COUNTIFS(I31:O31,"&lt;&gt;"&amp;"L",I31:O31,"&lt;&gt;"&amp;"D"))+8*(COUNTIFS(I31:O31,"="&amp;"D"))</f>
        <v>57.65</v>
      </c>
      <c r="S31" s="117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73">
        <f t="shared" ref="R32:R38" si="7">8.33*(COUNTIFS(I32:O32,"&lt;&gt;"&amp;"L",I32:O32,"&lt;&gt;"&amp;"D"))+8*(COUNTIFS(I32:O32,"="&amp;"D"))</f>
        <v>24.990000000000002</v>
      </c>
      <c r="S32" s="117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73">
        <f t="shared" si="7"/>
        <v>33.32</v>
      </c>
      <c r="S33" s="117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73">
        <f t="shared" si="7"/>
        <v>41.32</v>
      </c>
      <c r="S34" s="117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73">
        <f t="shared" si="7"/>
        <v>24.990000000000002</v>
      </c>
      <c r="S35" s="117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73">
        <f t="shared" si="7"/>
        <v>32.99</v>
      </c>
      <c r="S36" s="117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73">
        <f t="shared" si="7"/>
        <v>41.65</v>
      </c>
      <c r="S37" s="1174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83">
        <f t="shared" si="7"/>
        <v>57.32</v>
      </c>
      <c r="S38" s="1184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77">
        <f>SUM(I41:O41)</f>
        <v>12</v>
      </c>
      <c r="S41" s="11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79">
        <f t="shared" ref="R42:R45" si="10">SUM(I42:O42)</f>
        <v>12</v>
      </c>
      <c r="S42" s="118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79">
        <f t="shared" si="10"/>
        <v>7</v>
      </c>
      <c r="S43" s="11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79">
        <f t="shared" si="10"/>
        <v>7</v>
      </c>
      <c r="S44" s="11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81">
        <f t="shared" si="10"/>
        <v>18</v>
      </c>
      <c r="S45" s="1182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baseColWidth="10"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4"/>
      <c r="E1" s="1164"/>
      <c r="F1" s="1164"/>
      <c r="G1" s="1164"/>
      <c r="H1" s="1164"/>
      <c r="I1" s="116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5" t="s">
        <v>65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</row>
    <row r="4" spans="2:33" ht="11.25" customHeight="1" x14ac:dyDescent="0.25">
      <c r="B4" s="116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166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3">
        <f>8.33*(COUNTIFS(I30:O30,"&lt;&gt;"&amp;"L",I30:O30,"&lt;&gt;"&amp;"D"))+8*(COUNTIFS(I30:O30,"="&amp;"D"))</f>
        <v>57.65</v>
      </c>
      <c r="S30" s="117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3">
        <f t="shared" ref="R31:R37" si="14">8.33*(COUNTIFS(I31:O31,"&lt;&gt;"&amp;"L",I31:O31,"&lt;&gt;"&amp;"D"))+8*(COUNTIFS(I31:O31,"="&amp;"D"))</f>
        <v>24.990000000000002</v>
      </c>
      <c r="S31" s="117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3">
        <f t="shared" si="14"/>
        <v>33.32</v>
      </c>
      <c r="S32" s="117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3">
        <f t="shared" si="14"/>
        <v>41.32</v>
      </c>
      <c r="S33" s="117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3">
        <f t="shared" si="14"/>
        <v>24.990000000000002</v>
      </c>
      <c r="S34" s="117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3">
        <f t="shared" si="14"/>
        <v>32.99</v>
      </c>
      <c r="S35" s="117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3">
        <f t="shared" si="14"/>
        <v>41.65</v>
      </c>
      <c r="S36" s="117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3">
        <f t="shared" si="14"/>
        <v>57.32</v>
      </c>
      <c r="S37" s="1184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77">
        <f>SUM(I40:O40)</f>
        <v>12</v>
      </c>
      <c r="S40" s="117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79">
        <f t="shared" ref="R41:R44" si="17">SUM(I41:O41)</f>
        <v>12</v>
      </c>
      <c r="S41" s="118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79">
        <f t="shared" si="17"/>
        <v>7</v>
      </c>
      <c r="S42" s="118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79">
        <f t="shared" si="17"/>
        <v>7</v>
      </c>
      <c r="S43" s="11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81">
        <f t="shared" si="17"/>
        <v>18</v>
      </c>
      <c r="S44" s="118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  <mergeCell ref="R40:S40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4"/>
      <c r="E1" s="1164"/>
      <c r="F1" s="1164"/>
      <c r="G1" s="1164"/>
      <c r="H1" s="1164"/>
      <c r="I1" s="116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5" t="s">
        <v>67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</row>
    <row r="4" spans="2:34" ht="11.25" customHeight="1" x14ac:dyDescent="0.25">
      <c r="B4" s="1165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166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3">
        <f>8.33*(COUNTIFS(I29:O29,"&lt;&gt;"&amp;"L",I29:O29,"&lt;&gt;"&amp;"D"))+8*(COUNTIFS(I29:O29,"="&amp;"D"))</f>
        <v>57.65</v>
      </c>
      <c r="S29" s="1174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3">
        <f t="shared" ref="R30:R36" si="14">8.33*(COUNTIFS(I30:O30,"&lt;&gt;"&amp;"L",I30:O30,"&lt;&gt;"&amp;"D"))+8*(COUNTIFS(I30:O30,"="&amp;"D"))</f>
        <v>24.990000000000002</v>
      </c>
      <c r="S30" s="117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3">
        <f t="shared" si="14"/>
        <v>33.32</v>
      </c>
      <c r="S31" s="117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3">
        <f t="shared" si="14"/>
        <v>41.32</v>
      </c>
      <c r="S32" s="117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3">
        <f t="shared" si="14"/>
        <v>24.990000000000002</v>
      </c>
      <c r="S33" s="117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3">
        <f t="shared" si="14"/>
        <v>32.99</v>
      </c>
      <c r="S34" s="117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3">
        <f t="shared" si="14"/>
        <v>41.65</v>
      </c>
      <c r="S35" s="117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3">
        <f t="shared" si="14"/>
        <v>57.32</v>
      </c>
      <c r="S36" s="118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77">
        <f>SUM(I39:O39)</f>
        <v>12</v>
      </c>
      <c r="S39" s="1178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79">
        <f t="shared" ref="R40:R43" si="17">SUM(I40:O40)</f>
        <v>12</v>
      </c>
      <c r="S40" s="118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79">
        <f t="shared" si="17"/>
        <v>7</v>
      </c>
      <c r="S41" s="118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79">
        <f t="shared" si="17"/>
        <v>7</v>
      </c>
      <c r="S42" s="118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81">
        <f t="shared" si="17"/>
        <v>18</v>
      </c>
      <c r="S43" s="118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baseColWidth="10"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164"/>
      <c r="E1" s="1164"/>
      <c r="F1" s="1164"/>
      <c r="G1" s="1164"/>
      <c r="H1" s="1164"/>
      <c r="I1" s="116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5" t="s">
        <v>72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</row>
    <row r="4" spans="2:33" ht="11.25" customHeight="1" x14ac:dyDescent="0.25">
      <c r="B4" s="1165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166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3">
        <f>8.33*(COUNTIFS(I30:O30,"&lt;&gt;"&amp;"L",I30:O30,"&lt;&gt;"&amp;"D"))+8*(COUNTIFS(I30:O30,"="&amp;"D"))</f>
        <v>57.65</v>
      </c>
      <c r="S30" s="117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3">
        <f t="shared" ref="R31:R37" si="14">8.33*(COUNTIFS(I31:O31,"&lt;&gt;"&amp;"L",I31:O31,"&lt;&gt;"&amp;"D"))+8*(COUNTIFS(I31:O31,"="&amp;"D"))</f>
        <v>24.990000000000002</v>
      </c>
      <c r="S31" s="117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3">
        <f t="shared" si="14"/>
        <v>33.32</v>
      </c>
      <c r="S32" s="117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3">
        <f t="shared" si="14"/>
        <v>41.32</v>
      </c>
      <c r="S33" s="117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3">
        <f t="shared" si="14"/>
        <v>24.990000000000002</v>
      </c>
      <c r="S34" s="117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3">
        <f t="shared" si="14"/>
        <v>32.99</v>
      </c>
      <c r="S35" s="117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3">
        <f t="shared" si="14"/>
        <v>41.65</v>
      </c>
      <c r="S36" s="117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3">
        <f t="shared" si="14"/>
        <v>57.32</v>
      </c>
      <c r="S37" s="1184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77">
        <f>SUM(I40:O40)</f>
        <v>12</v>
      </c>
      <c r="S40" s="117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79">
        <f t="shared" ref="R41:R44" si="17">SUM(I41:O41)</f>
        <v>12</v>
      </c>
      <c r="S41" s="118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79">
        <f t="shared" si="17"/>
        <v>7</v>
      </c>
      <c r="S42" s="118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79">
        <f t="shared" si="17"/>
        <v>7</v>
      </c>
      <c r="S43" s="11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81">
        <f t="shared" si="17"/>
        <v>18</v>
      </c>
      <c r="S44" s="118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4"/>
      <c r="E1" s="1164"/>
      <c r="F1" s="1164"/>
      <c r="G1" s="1164"/>
      <c r="H1" s="1164"/>
      <c r="I1" s="116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5" t="s">
        <v>76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  <c r="AH3" s="179"/>
    </row>
    <row r="4" spans="2:34" ht="11.25" customHeight="1" x14ac:dyDescent="0.25">
      <c r="B4" s="1165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166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3">
        <f>8.33*(COUNTIFS(I30:O30,"&lt;&gt;"&amp;"L",I30:O30,"&lt;&gt;"&amp;"D"))+8*(COUNTIFS(I30:O30,"="&amp;"D"))</f>
        <v>57.65</v>
      </c>
      <c r="S30" s="117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3">
        <f t="shared" ref="R31:R37" si="8">8.33*(COUNTIFS(I31:O31,"&lt;&gt;"&amp;"L",I31:O31,"&lt;&gt;"&amp;"D"))+8*(COUNTIFS(I31:O31,"="&amp;"D"))</f>
        <v>24.990000000000002</v>
      </c>
      <c r="S31" s="117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3">
        <f t="shared" si="8"/>
        <v>33.32</v>
      </c>
      <c r="S32" s="117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3">
        <f t="shared" si="8"/>
        <v>41.32</v>
      </c>
      <c r="S33" s="117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3">
        <f t="shared" si="8"/>
        <v>24.990000000000002</v>
      </c>
      <c r="S34" s="117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3">
        <f t="shared" si="8"/>
        <v>32.99</v>
      </c>
      <c r="S35" s="117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3">
        <f t="shared" si="8"/>
        <v>41.65</v>
      </c>
      <c r="S36" s="117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3">
        <f t="shared" si="8"/>
        <v>57.32</v>
      </c>
      <c r="S37" s="1184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77">
        <f>SUM(I40:O40)</f>
        <v>12</v>
      </c>
      <c r="S40" s="117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79">
        <f t="shared" ref="R41:R44" si="11">SUM(I41:O41)</f>
        <v>12</v>
      </c>
      <c r="S41" s="118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79">
        <f t="shared" si="11"/>
        <v>7</v>
      </c>
      <c r="S42" s="118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79">
        <f t="shared" si="11"/>
        <v>7</v>
      </c>
      <c r="S43" s="11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81">
        <f t="shared" si="11"/>
        <v>18</v>
      </c>
      <c r="S44" s="118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4"/>
      <c r="E1" s="1164"/>
      <c r="F1" s="1164"/>
      <c r="G1" s="1164"/>
      <c r="H1" s="1164"/>
      <c r="I1" s="1164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5" t="s">
        <v>80</v>
      </c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</row>
    <row r="4" spans="2:34" ht="11.25" customHeight="1" x14ac:dyDescent="0.25">
      <c r="B4" s="1165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166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3">
        <f>8.33*(COUNTIFS(I29:O29,"&lt;&gt;"&amp;"L",I29:O29,"&lt;&gt;"&amp;"D"))+8*(COUNTIFS(I29:O29,"="&amp;"D"))</f>
        <v>57.65</v>
      </c>
      <c r="S29" s="1174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3">
        <f t="shared" ref="R30:R36" si="8">8.33*(COUNTIFS(I30:O30,"&lt;&gt;"&amp;"L",I30:O30,"&lt;&gt;"&amp;"D"))+8*(COUNTIFS(I30:O30,"="&amp;"D"))</f>
        <v>24.990000000000002</v>
      </c>
      <c r="S30" s="1174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3">
        <f t="shared" si="8"/>
        <v>33.32</v>
      </c>
      <c r="S31" s="1174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3">
        <f t="shared" si="8"/>
        <v>41.32</v>
      </c>
      <c r="S32" s="1174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3">
        <f t="shared" si="8"/>
        <v>24.990000000000002</v>
      </c>
      <c r="S33" s="1174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3">
        <f t="shared" si="8"/>
        <v>32.99</v>
      </c>
      <c r="S34" s="1174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3">
        <f t="shared" si="8"/>
        <v>41.65</v>
      </c>
      <c r="S35" s="1174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3">
        <f t="shared" si="8"/>
        <v>57.32</v>
      </c>
      <c r="S36" s="1184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77">
        <f>SUM(I39:O39)</f>
        <v>12</v>
      </c>
      <c r="S39" s="1178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79">
        <f t="shared" ref="R40:R43" si="11">SUM(I40:O40)</f>
        <v>12</v>
      </c>
      <c r="S40" s="118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79">
        <f t="shared" si="11"/>
        <v>7</v>
      </c>
      <c r="S41" s="118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79">
        <f t="shared" si="11"/>
        <v>7</v>
      </c>
      <c r="S42" s="118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81">
        <f t="shared" si="11"/>
        <v>18</v>
      </c>
      <c r="S43" s="118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164"/>
      <c r="E1" s="1164"/>
      <c r="F1" s="1164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5"/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</row>
    <row r="4" spans="2:33" ht="11.25" customHeight="1" x14ac:dyDescent="0.25">
      <c r="B4" s="1165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166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73">
        <f>8.33*(COUNTIFS(F29:L29,"&lt;&gt;"&amp;"L",F29:L29,"&lt;&gt;"&amp;"D"))+8*(COUNTIFS(F29:L29,"="&amp;"D"))</f>
        <v>57.65</v>
      </c>
      <c r="P29" s="1174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73">
        <f t="shared" ref="O30:O36" si="8">8.33*(COUNTIFS(F30:L30,"&lt;&gt;"&amp;"L",F30:L30,"&lt;&gt;"&amp;"D"))+8*(COUNTIFS(F30:L30,"="&amp;"D"))</f>
        <v>24.990000000000002</v>
      </c>
      <c r="P30" s="1174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73">
        <f t="shared" si="8"/>
        <v>33.32</v>
      </c>
      <c r="P31" s="1174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73">
        <f t="shared" si="8"/>
        <v>41.32</v>
      </c>
      <c r="P32" s="1174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73">
        <f t="shared" si="8"/>
        <v>24.990000000000002</v>
      </c>
      <c r="P33" s="1174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73">
        <f t="shared" si="8"/>
        <v>32.99</v>
      </c>
      <c r="P34" s="1174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73">
        <f t="shared" si="8"/>
        <v>41.65</v>
      </c>
      <c r="P35" s="1174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83">
        <f t="shared" si="8"/>
        <v>57.32</v>
      </c>
      <c r="P36" s="1184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77">
        <f>SUM(F39:L39)</f>
        <v>12</v>
      </c>
      <c r="P39" s="1178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79">
        <f t="shared" ref="O40:O43" si="11">SUM(F40:L40)</f>
        <v>12</v>
      </c>
      <c r="P40" s="118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79">
        <f t="shared" si="11"/>
        <v>7</v>
      </c>
      <c r="P41" s="118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79">
        <f t="shared" si="11"/>
        <v>7</v>
      </c>
      <c r="P42" s="118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81">
        <f t="shared" si="11"/>
        <v>18</v>
      </c>
      <c r="P43" s="1182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  <mergeCell ref="O31:P31"/>
    <mergeCell ref="D1:F1"/>
    <mergeCell ref="D3:AD3"/>
    <mergeCell ref="B4:B5"/>
    <mergeCell ref="O29:P29"/>
    <mergeCell ref="O30:P30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baseColWidth="10"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185"/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6"/>
      <c r="AF3" s="1185"/>
      <c r="AG3" s="1186"/>
    </row>
    <row r="4" spans="2:33" ht="11.25" customHeight="1" x14ac:dyDescent="0.25">
      <c r="B4" s="1187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187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83">
        <f t="shared" ref="N30:N37" si="8">8.33*(COUNTIFS(E30:K30,"&lt;&gt;"&amp;"L",E30:K30,"&lt;&gt;"&amp;"D"))+8*(COUNTIFS(E30:K30,"="&amp;"D"))</f>
        <v>57.65</v>
      </c>
      <c r="O30" s="1184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83">
        <f t="shared" si="8"/>
        <v>24.990000000000002</v>
      </c>
      <c r="O31" s="1184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83">
        <f t="shared" si="8"/>
        <v>33.32</v>
      </c>
      <c r="O32" s="1184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83">
        <f t="shared" si="8"/>
        <v>41.32</v>
      </c>
      <c r="O33" s="1184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83">
        <f t="shared" si="8"/>
        <v>24.990000000000002</v>
      </c>
      <c r="O34" s="1184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83">
        <f t="shared" si="8"/>
        <v>32.99</v>
      </c>
      <c r="O35" s="1184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83">
        <f t="shared" si="8"/>
        <v>41.65</v>
      </c>
      <c r="O36" s="1184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83">
        <f t="shared" si="8"/>
        <v>57.32</v>
      </c>
      <c r="O37" s="1184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77">
        <f>SUM(E40:K40)</f>
        <v>12</v>
      </c>
      <c r="O40" s="1178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79">
        <f>SUM(E41:K41)</f>
        <v>12</v>
      </c>
      <c r="O41" s="118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79">
        <f>SUM(E42:K42)</f>
        <v>7</v>
      </c>
      <c r="O42" s="118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79">
        <f>SUM(E43:K43)</f>
        <v>7</v>
      </c>
      <c r="O43" s="118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81">
        <f>SUM(E44:K44)</f>
        <v>18</v>
      </c>
      <c r="O44" s="1182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AF3:AG3"/>
    <mergeCell ref="AB3:AE3"/>
    <mergeCell ref="B4:B5"/>
    <mergeCell ref="N30:O30"/>
    <mergeCell ref="N31:O31"/>
    <mergeCell ref="N32:O32"/>
    <mergeCell ref="N33:O33"/>
    <mergeCell ref="D3:AA3"/>
    <mergeCell ref="N42:O42"/>
    <mergeCell ref="N43:O43"/>
    <mergeCell ref="N44:O44"/>
    <mergeCell ref="N34:O34"/>
    <mergeCell ref="N35:O35"/>
    <mergeCell ref="N36:O36"/>
    <mergeCell ref="N37:O37"/>
    <mergeCell ref="N40:O40"/>
    <mergeCell ref="N41:O4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188" t="s">
        <v>95</v>
      </c>
      <c r="D2" s="1188"/>
      <c r="E2" s="1188"/>
      <c r="F2" s="1188"/>
      <c r="G2" s="1188" t="s">
        <v>95</v>
      </c>
      <c r="H2" s="1188"/>
      <c r="I2" s="1188" t="s">
        <v>95</v>
      </c>
      <c r="J2" s="1188"/>
      <c r="K2" s="1188" t="s">
        <v>95</v>
      </c>
      <c r="L2" s="1188"/>
      <c r="M2" s="1188" t="s">
        <v>95</v>
      </c>
      <c r="N2" s="1188"/>
      <c r="O2" s="1188" t="s">
        <v>95</v>
      </c>
      <c r="P2" s="1188"/>
      <c r="Q2" s="1188" t="s">
        <v>95</v>
      </c>
      <c r="R2" s="1188"/>
      <c r="S2" s="1188" t="s">
        <v>95</v>
      </c>
      <c r="T2" s="1188"/>
      <c r="U2" s="1188" t="s">
        <v>95</v>
      </c>
      <c r="V2" s="1188"/>
      <c r="W2" s="1188" t="s">
        <v>95</v>
      </c>
      <c r="X2" s="1188"/>
      <c r="Y2" s="1188" t="s">
        <v>95</v>
      </c>
      <c r="Z2" s="1188"/>
      <c r="AA2" s="1188" t="s">
        <v>95</v>
      </c>
      <c r="AB2" s="1188"/>
      <c r="AC2" s="1188" t="s">
        <v>95</v>
      </c>
      <c r="AD2" s="1188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189" t="s">
        <v>95</v>
      </c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89"/>
      <c r="U3" s="1189"/>
      <c r="V3" s="1189"/>
      <c r="W3" s="1189"/>
      <c r="X3" s="1189"/>
      <c r="Y3" s="1189"/>
      <c r="Z3" s="1189"/>
      <c r="AA3" s="1189"/>
      <c r="AB3" s="1189"/>
      <c r="AC3" s="1189"/>
      <c r="AD3" s="1189" t="s">
        <v>95</v>
      </c>
      <c r="AE3" s="1190"/>
      <c r="AF3" s="448"/>
      <c r="AG3" s="448"/>
      <c r="AH3" s="449"/>
    </row>
    <row r="4" spans="2:34" ht="15" customHeight="1" x14ac:dyDescent="0.3">
      <c r="B4" s="1191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164"/>
      <c r="E1" s="1164"/>
      <c r="F1" s="1164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185"/>
      <c r="E3" s="1185"/>
      <c r="F3" s="1185"/>
      <c r="G3" s="1185"/>
      <c r="H3" s="1185"/>
      <c r="I3" s="1185"/>
      <c r="J3" s="1185"/>
      <c r="K3" s="1185"/>
      <c r="L3" s="1185"/>
      <c r="M3" s="1185"/>
      <c r="N3" s="1185"/>
      <c r="O3" s="1185"/>
      <c r="P3" s="1185"/>
      <c r="Q3" s="1185"/>
      <c r="R3" s="1185"/>
      <c r="S3" s="1185"/>
      <c r="T3" s="1185"/>
      <c r="U3" s="1185"/>
      <c r="V3" s="1185"/>
      <c r="W3" s="1185"/>
      <c r="X3" s="1185"/>
      <c r="Y3" s="1185"/>
      <c r="Z3" s="1185"/>
      <c r="AA3" s="1185"/>
      <c r="AB3" s="1185"/>
      <c r="AC3" s="1185"/>
      <c r="AD3" s="1185"/>
      <c r="AE3" s="1185"/>
      <c r="AF3" s="1185"/>
      <c r="AG3" s="1185"/>
      <c r="AH3" s="1186"/>
    </row>
    <row r="4" spans="2:34" ht="11.25" customHeight="1" x14ac:dyDescent="0.25">
      <c r="B4" s="1187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187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83">
        <f>8.33*(COUNTIFS(F30:L30,"&lt;&gt;"&amp;"L",F30:L30,"&lt;&gt;"&amp;"D"))+8*(COUNTIFS(F30:L30,"="&amp;"D"))</f>
        <v>57.65</v>
      </c>
      <c r="P30" s="1184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83">
        <f t="shared" ref="O31:O37" si="10">8.33*(COUNTIFS(F31:L31,"&lt;&gt;"&amp;"L",F31:L31,"&lt;&gt;"&amp;"D"))+8*(COUNTIFS(F31:L31,"="&amp;"D"))</f>
        <v>24.990000000000002</v>
      </c>
      <c r="P31" s="1184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83">
        <f t="shared" si="10"/>
        <v>33.32</v>
      </c>
      <c r="P32" s="1184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83">
        <f t="shared" si="10"/>
        <v>41.32</v>
      </c>
      <c r="P33" s="1184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83">
        <f t="shared" si="10"/>
        <v>24.990000000000002</v>
      </c>
      <c r="P34" s="1184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83">
        <f t="shared" si="10"/>
        <v>32.99</v>
      </c>
      <c r="P35" s="1184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83">
        <f t="shared" si="10"/>
        <v>41.65</v>
      </c>
      <c r="P36" s="1184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83">
        <f t="shared" si="10"/>
        <v>57.32</v>
      </c>
      <c r="P37" s="1184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77">
        <f>SUM(F40:L40)</f>
        <v>12</v>
      </c>
      <c r="P40" s="1178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79">
        <f t="shared" ref="O41:O44" si="13">SUM(F41:L41)</f>
        <v>12</v>
      </c>
      <c r="P41" s="118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79">
        <f t="shared" si="13"/>
        <v>7</v>
      </c>
      <c r="P42" s="118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79">
        <f t="shared" si="13"/>
        <v>7</v>
      </c>
      <c r="P43" s="118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81">
        <f t="shared" si="13"/>
        <v>18</v>
      </c>
      <c r="P44" s="1182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AE3:AH3"/>
    <mergeCell ref="D1:F1"/>
    <mergeCell ref="D3:AD3"/>
    <mergeCell ref="O30:P30"/>
    <mergeCell ref="O31:P31"/>
    <mergeCell ref="O41:P41"/>
    <mergeCell ref="O42:P42"/>
    <mergeCell ref="O43:P43"/>
    <mergeCell ref="O44:P44"/>
    <mergeCell ref="O37:P37"/>
    <mergeCell ref="O40:P40"/>
    <mergeCell ref="B4:B5"/>
    <mergeCell ref="O33:P33"/>
    <mergeCell ref="O34:P34"/>
    <mergeCell ref="O35:P35"/>
    <mergeCell ref="O36:P36"/>
    <mergeCell ref="O32:P3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baseColWidth="10"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85"/>
      <c r="AC3" s="1185"/>
      <c r="AD3" s="1185"/>
      <c r="AE3" s="1186"/>
      <c r="AF3" s="1185"/>
      <c r="AG3" s="1185"/>
      <c r="AH3" s="1186"/>
    </row>
    <row r="4" spans="2:34" ht="11.25" customHeight="1" x14ac:dyDescent="0.25">
      <c r="B4" s="1187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187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85"/>
      <c r="Z3" s="1185"/>
      <c r="AA3" s="1185"/>
      <c r="AB3" s="1185"/>
      <c r="AC3" s="1185"/>
      <c r="AD3" s="1185"/>
      <c r="AE3" s="1185"/>
      <c r="AF3" s="195"/>
      <c r="AG3" s="195"/>
      <c r="AH3" s="337"/>
    </row>
    <row r="4" spans="2:34" ht="11.25" customHeight="1" x14ac:dyDescent="0.25">
      <c r="B4" s="1187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187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188" t="s">
        <v>95</v>
      </c>
      <c r="D2" s="1188"/>
      <c r="E2" s="1188"/>
      <c r="F2" s="1188"/>
      <c r="G2" s="1188" t="s">
        <v>95</v>
      </c>
      <c r="H2" s="1188"/>
      <c r="I2" s="1188" t="s">
        <v>95</v>
      </c>
      <c r="J2" s="1188"/>
      <c r="K2" s="1188" t="s">
        <v>95</v>
      </c>
      <c r="L2" s="1188"/>
      <c r="M2" s="1188" t="s">
        <v>95</v>
      </c>
      <c r="N2" s="1188"/>
      <c r="O2" s="1188" t="s">
        <v>95</v>
      </c>
      <c r="P2" s="1188"/>
      <c r="Q2" s="1188" t="s">
        <v>95</v>
      </c>
      <c r="R2" s="1188"/>
      <c r="S2" s="1188" t="s">
        <v>95</v>
      </c>
      <c r="T2" s="1188"/>
      <c r="U2" s="1188" t="s">
        <v>95</v>
      </c>
      <c r="V2" s="1188"/>
      <c r="W2" s="1188" t="s">
        <v>95</v>
      </c>
      <c r="X2" s="1188"/>
      <c r="Y2" s="1188" t="s">
        <v>95</v>
      </c>
      <c r="Z2" s="1188"/>
      <c r="AA2" s="1188" t="s">
        <v>95</v>
      </c>
      <c r="AB2" s="1188"/>
      <c r="AC2" s="1188" t="s">
        <v>95</v>
      </c>
      <c r="AD2" s="1188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189" t="s">
        <v>95</v>
      </c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89"/>
      <c r="U3" s="1189"/>
      <c r="V3" s="1189"/>
      <c r="W3" s="1189"/>
      <c r="X3" s="1189"/>
      <c r="Y3" s="1189"/>
      <c r="Z3" s="1189"/>
      <c r="AA3" s="1189"/>
      <c r="AB3" s="1189"/>
      <c r="AC3" s="1189"/>
      <c r="AD3" s="1189" t="s">
        <v>95</v>
      </c>
      <c r="AE3" s="1190"/>
    </row>
    <row r="4" spans="2:31" ht="15" customHeight="1" x14ac:dyDescent="0.3">
      <c r="B4" s="1191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B4:B5"/>
    <mergeCell ref="C2:F2"/>
    <mergeCell ref="G2:H2"/>
    <mergeCell ref="I2:J2"/>
    <mergeCell ref="K2:L2"/>
    <mergeCell ref="F3:AC3"/>
    <mergeCell ref="M2:N2"/>
    <mergeCell ref="O2:P2"/>
    <mergeCell ref="Q2:R2"/>
    <mergeCell ref="AD3:AE3"/>
    <mergeCell ref="S2:T2"/>
    <mergeCell ref="U2:V2"/>
    <mergeCell ref="W2:X2"/>
    <mergeCell ref="Y2:Z2"/>
    <mergeCell ref="AA2:AB2"/>
    <mergeCell ref="AC2:AD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188" t="s">
        <v>95</v>
      </c>
      <c r="D2" s="1188"/>
      <c r="E2" s="1188"/>
      <c r="F2" s="1188"/>
      <c r="G2" s="1188" t="s">
        <v>95</v>
      </c>
      <c r="H2" s="1188"/>
      <c r="I2" s="1188" t="s">
        <v>95</v>
      </c>
      <c r="J2" s="1188"/>
      <c r="K2" s="1188" t="s">
        <v>95</v>
      </c>
      <c r="L2" s="1188"/>
      <c r="M2" s="1188" t="s">
        <v>95</v>
      </c>
      <c r="N2" s="1188"/>
      <c r="O2" s="1188" t="s">
        <v>95</v>
      </c>
      <c r="P2" s="1188"/>
      <c r="Q2" s="1188" t="s">
        <v>95</v>
      </c>
      <c r="R2" s="1188"/>
      <c r="S2" s="1188" t="s">
        <v>95</v>
      </c>
      <c r="T2" s="1188"/>
      <c r="U2" s="1188" t="s">
        <v>95</v>
      </c>
      <c r="V2" s="1188"/>
      <c r="W2" s="1188" t="s">
        <v>95</v>
      </c>
      <c r="X2" s="1188"/>
      <c r="Y2" s="1188" t="s">
        <v>95</v>
      </c>
      <c r="Z2" s="1188"/>
      <c r="AA2" s="1188" t="s">
        <v>95</v>
      </c>
      <c r="AB2" s="1188"/>
      <c r="AC2" s="1188" t="s">
        <v>95</v>
      </c>
      <c r="AD2" s="1188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189"/>
      <c r="E3" s="1189"/>
      <c r="F3" s="1189" t="s">
        <v>95</v>
      </c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89"/>
      <c r="U3" s="1189"/>
      <c r="V3" s="1189"/>
      <c r="W3" s="1189"/>
      <c r="X3" s="1189"/>
      <c r="Y3" s="1189"/>
      <c r="Z3" s="1189"/>
      <c r="AA3" s="1189"/>
      <c r="AB3" s="1189"/>
      <c r="AC3" s="1189"/>
      <c r="AD3" s="1189" t="s">
        <v>95</v>
      </c>
      <c r="AE3" s="1189"/>
      <c r="AF3" s="1189"/>
      <c r="AG3" s="1190"/>
    </row>
    <row r="4" spans="2:33" ht="15" customHeight="1" thickBot="1" x14ac:dyDescent="0.35">
      <c r="B4" s="1191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  <mergeCell ref="AF3:AG3"/>
    <mergeCell ref="D3:E3"/>
    <mergeCell ref="AC2:AD2"/>
    <mergeCell ref="F3:AC3"/>
    <mergeCell ref="AD3:AE3"/>
    <mergeCell ref="Y2:Z2"/>
    <mergeCell ref="AA2:AB2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191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191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191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191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191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191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191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191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191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19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Z16" sqref="Z1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192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193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U10" sqref="U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192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193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23</v>
      </c>
      <c r="R6" s="205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9" t="s">
        <v>8</v>
      </c>
      <c r="P7" s="874" t="s">
        <v>8</v>
      </c>
      <c r="Q7" s="621" t="s">
        <v>7</v>
      </c>
      <c r="R7" s="62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870" t="s">
        <v>53</v>
      </c>
    </row>
    <row r="8" spans="2:33" ht="15" customHeight="1" x14ac:dyDescent="0.25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4" t="s">
        <v>8</v>
      </c>
    </row>
    <row r="10" spans="2:33" ht="17.25" customHeight="1" thickBot="1" x14ac:dyDescent="0.35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657" t="s">
        <v>7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4" t="s">
        <v>6</v>
      </c>
      <c r="T11" s="1144" t="s">
        <v>6</v>
      </c>
      <c r="U11" s="1144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8" t="s">
        <v>19</v>
      </c>
      <c r="I13" s="1148" t="s">
        <v>19</v>
      </c>
      <c r="J13" s="627" t="s">
        <v>19</v>
      </c>
      <c r="K13" s="628" t="s">
        <v>19</v>
      </c>
      <c r="L13" s="1145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I6" activePane="bottomRight" state="frozen"/>
      <selection pane="topRight" activeCell="C1" sqref="C1"/>
      <selection pane="bottomLeft" activeCell="A6" sqref="A6"/>
      <selection pane="bottomRight" activeCell="N7" sqref="N7"/>
    </sheetView>
  </sheetViews>
  <sheetFormatPr baseColWidth="10"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192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193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622" t="s">
        <v>53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5">
      <c r="A9" s="244" t="s">
        <v>66</v>
      </c>
      <c r="B9" s="375" t="s">
        <v>26</v>
      </c>
      <c r="C9" s="517" t="s">
        <v>8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25">
      <c r="A10" s="242" t="s">
        <v>90</v>
      </c>
      <c r="B10" s="432" t="s">
        <v>28</v>
      </c>
      <c r="C10" s="1147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1101" t="s">
        <v>19</v>
      </c>
      <c r="V10" s="1101" t="s">
        <v>19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25">
      <c r="A11" s="376" t="s">
        <v>91</v>
      </c>
      <c r="B11" s="375" t="s">
        <v>30</v>
      </c>
      <c r="C11" s="1147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04" t="s">
        <v>14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 x14ac:dyDescent="0.3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 x14ac:dyDescent="0.3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4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5</v>
      </c>
      <c r="V18" s="53">
        <f t="shared" si="0"/>
        <v>5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1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4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1</v>
      </c>
      <c r="V25" s="94">
        <f t="shared" si="18"/>
        <v>1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tabSelected="1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15" sqref="J15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92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193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50" t="s">
        <v>7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51" t="s">
        <v>14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topRight" activeCell="D1" sqref="D1"/>
      <selection pane="bottomLeft" activeCell="A6" sqref="A6"/>
      <selection pane="bottomRight" activeCell="R23" sqref="R23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192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 x14ac:dyDescent="0.35">
      <c r="B5" s="1193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103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K8" sqref="K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92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193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103</v>
      </c>
      <c r="C8" s="375" t="s">
        <v>21</v>
      </c>
      <c r="D8" s="1146" t="s">
        <v>4</v>
      </c>
      <c r="E8" s="1146" t="s">
        <v>4</v>
      </c>
      <c r="F8" s="1146" t="s">
        <v>4</v>
      </c>
      <c r="G8" s="1146" t="s">
        <v>4</v>
      </c>
      <c r="H8" s="103" t="s">
        <v>7</v>
      </c>
      <c r="I8" s="1085" t="s">
        <v>7</v>
      </c>
      <c r="J8" s="1086" t="s">
        <v>7</v>
      </c>
      <c r="K8" s="1146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D6FFE2-DE6B-49D2-8C31-13273A5560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a1bf74-9a69-48a2-9296-74439b2d6558"/>
    <ds:schemaRef ds:uri="c0094d01-527c-406c-8203-8092854866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4AEC4E9-D5BB-40A4-AB55-3FD90BB5AFFA}">
  <ds:schemaRefs>
    <ds:schemaRef ds:uri="http://schemas.openxmlformats.org/package/2006/metadata/core-properties"/>
    <ds:schemaRef ds:uri="5fa1bf74-9a69-48a2-9296-74439b2d6558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dcmitype/"/>
    <ds:schemaRef ds:uri="http://www.w3.org/XML/1998/namespace"/>
    <ds:schemaRef ds:uri="http://purl.org/dc/terms/"/>
    <ds:schemaRef ds:uri="c0094d01-527c-406c-8203-80928548660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32</vt:i4>
      </vt:variant>
    </vt:vector>
  </HeadingPairs>
  <TitlesOfParts>
    <vt:vector size="32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Abril</vt:lpstr>
      <vt:lpstr>Mayo </vt:lpstr>
      <vt:lpstr>Junio</vt:lpstr>
      <vt:lpstr>Julio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2023-03-28T15:04:58Z</dcterms:created>
  <dcterms:modified xsi:type="dcterms:W3CDTF">2026-02-13T07:47:23Z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