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Lote1/Shared Documents/General/Turnos/"/>
    </mc:Choice>
  </mc:AlternateContent>
  <xr:revisionPtr revIDLastSave="156" documentId="121_S{DD794ABC-ECB3-58DA-BED6-5FE5248B16B9}" xr6:coauthVersionLast="47" xr6:coauthVersionMax="47" xr10:uidLastSave="{BA591317-8905-452B-9373-656D28190E2A}"/>
  <bookViews>
    <workbookView xWindow="-110" yWindow="-110" windowWidth="19200" windowHeight="9020" firstSheet="28" activeTab="29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Julio" sheetId="31" r:id="rId19"/>
    <sheet name="Abril" sheetId="27" r:id="rId20"/>
    <sheet name="Mayo " sheetId="29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  <sheet name="Julio 2026" sheetId="46" r:id="rId33"/>
    <sheet name="Agosto 2026" sheetId="47" r:id="rId34"/>
    <sheet name="Septiembre 2026" sheetId="48" r:id="rId35"/>
    <sheet name="Octubre 2026" sheetId="49" r:id="rId36"/>
    <sheet name="Noviembre 2026" sheetId="50" r:id="rId37"/>
    <sheet name="Diciembre 2026" sheetId="52" r:id="rId38"/>
    <sheet name="Hoja2" sheetId="51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5" i="52" l="1"/>
  <c r="AH25" i="52"/>
  <c r="AG25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AI24" i="52"/>
  <c r="AH24" i="52"/>
  <c r="AG24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AI23" i="52"/>
  <c r="AH23" i="52"/>
  <c r="AG23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AI22" i="52"/>
  <c r="AH22" i="52"/>
  <c r="AG22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AI21" i="52"/>
  <c r="AH21" i="52"/>
  <c r="AG21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AI20" i="52"/>
  <c r="AH20" i="52"/>
  <c r="AG20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AI19" i="52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H18" i="52"/>
  <c r="AG18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AH24" i="50"/>
  <c r="AG24" i="50"/>
  <c r="AF24" i="50"/>
  <c r="AE24" i="50"/>
  <c r="AD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H18" i="50"/>
  <c r="AG18" i="50"/>
  <c r="AF18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AH25" i="49"/>
  <c r="AG25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AH24" i="49"/>
  <c r="AG24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AH22" i="49"/>
  <c r="AG22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AH20" i="49"/>
  <c r="AG20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H18" i="49"/>
  <c r="AG18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AG25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AG24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AG23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AG22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AG20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G18" i="48"/>
  <c r="AF18" i="48"/>
  <c r="AE18" i="48"/>
  <c r="AD18" i="48"/>
  <c r="AC18" i="48"/>
  <c r="AB18" i="48"/>
  <c r="AA18" i="48"/>
  <c r="Z18" i="48"/>
  <c r="Y18" i="48"/>
  <c r="X18" i="48"/>
  <c r="W18" i="48"/>
  <c r="V18" i="48"/>
  <c r="U18" i="48"/>
  <c r="T18" i="48"/>
  <c r="S18" i="48"/>
  <c r="R18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E18" i="48"/>
  <c r="D18" i="48"/>
  <c r="AH25" i="47"/>
  <c r="AG25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AH24" i="47"/>
  <c r="AG24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AH23" i="47"/>
  <c r="AG23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AH22" i="47"/>
  <c r="AG22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AH20" i="47"/>
  <c r="AG20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H18" i="47"/>
  <c r="AG18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AH25" i="46"/>
  <c r="AG25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AH24" i="46"/>
  <c r="AG24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AH23" i="46"/>
  <c r="AG23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AH22" i="46"/>
  <c r="AG22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AH20" i="46"/>
  <c r="AG20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H18" i="46"/>
  <c r="AG18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AG25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C18" i="44" s="1"/>
  <c r="AB20" i="44"/>
  <c r="AA20" i="44"/>
  <c r="Z20" i="44"/>
  <c r="Y20" i="44"/>
  <c r="X20" i="44"/>
  <c r="W20" i="44"/>
  <c r="V20" i="44"/>
  <c r="U20" i="44"/>
  <c r="U18" i="44" s="1"/>
  <c r="T20" i="44"/>
  <c r="S20" i="44"/>
  <c r="R20" i="44"/>
  <c r="R18" i="44" s="1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AG19" i="44"/>
  <c r="AF19" i="44"/>
  <c r="AE19" i="44"/>
  <c r="AE18" i="44" s="1"/>
  <c r="AD19" i="44"/>
  <c r="AC19" i="44"/>
  <c r="AB19" i="44"/>
  <c r="AA19" i="44"/>
  <c r="AA18" i="44" s="1"/>
  <c r="Z19" i="44"/>
  <c r="Z18" i="44" s="1"/>
  <c r="Y19" i="44"/>
  <c r="X19" i="44"/>
  <c r="W19" i="44"/>
  <c r="W18" i="44" s="1"/>
  <c r="V19" i="44"/>
  <c r="U19" i="44"/>
  <c r="T19" i="44"/>
  <c r="S19" i="44"/>
  <c r="S18" i="44" s="1"/>
  <c r="R19" i="44"/>
  <c r="Q19" i="44"/>
  <c r="P19" i="44"/>
  <c r="P18" i="44" s="1"/>
  <c r="O19" i="44"/>
  <c r="N19" i="44"/>
  <c r="M19" i="44"/>
  <c r="L19" i="44"/>
  <c r="K19" i="44"/>
  <c r="J19" i="44"/>
  <c r="I19" i="44"/>
  <c r="H19" i="44"/>
  <c r="G19" i="44"/>
  <c r="F19" i="44"/>
  <c r="E19" i="44"/>
  <c r="D19" i="44"/>
  <c r="AG18" i="44"/>
  <c r="AF18" i="44"/>
  <c r="AD18" i="44"/>
  <c r="AB18" i="44"/>
  <c r="T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X18" i="44" l="1"/>
  <c r="V18" i="44"/>
  <c r="Q18" i="44"/>
  <c r="O18" i="44"/>
  <c r="N18" i="44"/>
  <c r="L18" i="44"/>
  <c r="Y18" i="44"/>
  <c r="K18" i="44"/>
  <c r="J18" i="44"/>
  <c r="D18" i="45"/>
  <c r="U18" i="43"/>
  <c r="T18" i="43"/>
  <c r="S18" i="43"/>
  <c r="Q18" i="43"/>
  <c r="I18" i="43"/>
  <c r="H18" i="44"/>
  <c r="G18" i="44"/>
  <c r="F18" i="44"/>
  <c r="E18" i="44"/>
  <c r="M18" i="44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<sst xmlns="http://schemas.openxmlformats.org/spreadsheetml/2006/main" count="12976" uniqueCount="106">
  <si>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</si>
  <si>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</si>
  <si>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</si>
  <si>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</si>
  <si>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</si>
  <si>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</si>
  <si>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</si>
  <si>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</si>
  <si>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</si>
  <si>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</si>
  <si>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</si>
  <si>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</si>
  <si>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</si>
  <si>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</si>
  <si>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</si>
  <si>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</si>
  <si>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</si>
  <si>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</si>
  <si>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</si>
  <si>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</si>
  <si>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</si>
  <si>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</si>
  <si>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</si>
  <si>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</si>
  <si>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</si>
  <si>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</si>
  <si>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</si>
  <si>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</si>
  <si>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</si>
  <si>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</si>
  <si>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</si>
  <si>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</si>
  <si>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</si>
  <si>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</si>
  <si>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</si>
  <si>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</si>
  <si>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</si>
  <si>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</si>
  <si>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</si>
  <si>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</si>
  <si>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</si>
  <si>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</si>
  <si>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</si>
  <si>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</si>
  <si>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</si>
  <si>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</si>
  <si>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</si>
  <si>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</si>
  <si>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</si>
  <si>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</si>
  <si>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</si>
  <si>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</si>
  <si>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</si>
  <si>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</si>
  <si>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</si>
  <si>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</si>
  <si>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</si>
  <si>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</si>
  <si>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</si>
  <si>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</si>
  <si>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</si>
  <si>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</si>
  <si>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</si>
  <si>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</si>
  <si>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</si>
  <si>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</si>
  <si>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</si>
  <si>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</si>
  <si>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</si>
  <si>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</si>
  <si>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</si>
  <si>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</si>
  <si>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</si>
  <si>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</si>
  <si>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</si>
  <si>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</si>
  <si>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</si>
  <si>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</si>
  <si>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</si>
  <si>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</si>
  <si>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</si>
  <si>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</si>
  <si>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</si>
  <si>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</si>
  <si>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</si>
  <si>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</si>
  <si>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</si>
  <si>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</si>
  <si>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</si>
  <si>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</si>
  <si>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</si>
  <si>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</si>
  <si>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</si>
  <si>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</si>
  <si>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</si>
  <si>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</si>
  <si>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</si>
  <si>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</si>
  <si>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</si>
  <si>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</si>
  <si>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</si>
  <si>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</si>
  <si>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</si>
  <si>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</si>
  <si>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</si>
  <si>
    <t>D/N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</si>
</sst>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3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  <font>
      <sz val="8"/>
      <color theme="4"/>
      <name val="Calibri"/>
      <family val="2"/>
    </font>
    <font>
      <b/>
      <sz val="8"/>
      <color theme="4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</fills>
  <borders count="2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rgb="FF0000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n">
        <color rgb="FF0000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/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indexed="64"/>
      </bottom>
      <diagonal/>
    </border>
    <border>
      <left style="thick">
        <color rgb="FFFFFF00"/>
      </left>
      <right style="thick">
        <color rgb="FFFFFF00"/>
      </right>
      <top/>
      <bottom style="thick">
        <color rgb="FFFFFF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/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/>
      <diagonal/>
    </border>
    <border>
      <left/>
      <right style="medium">
        <color rgb="FFFFFF00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318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0" fontId="5" fillId="52" borderId="42" xfId="0" applyFont="1" applyFill="1" applyBorder="1" applyAlignment="1">
      <alignment horizontal="center" vertical="center"/>
    </xf>
    <xf numFmtId="0" fontId="5" fillId="53" borderId="114" xfId="0" applyFont="1" applyFill="1" applyBorder="1" applyAlignment="1">
      <alignment horizontal="center" vertical="center"/>
    </xf>
    <xf numFmtId="0" fontId="5" fillId="52" borderId="95" xfId="0" applyFont="1" applyFill="1" applyBorder="1" applyAlignment="1">
      <alignment horizontal="center" vertical="center"/>
    </xf>
    <xf numFmtId="0" fontId="5" fillId="52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190" xfId="0" applyFont="1" applyBorder="1" applyAlignment="1">
      <alignment horizontal="center" vertical="center"/>
    </xf>
    <xf numFmtId="0" fontId="5" fillId="52" borderId="188" xfId="0" applyFont="1" applyFill="1" applyBorder="1" applyAlignment="1">
      <alignment horizontal="center" vertical="center"/>
    </xf>
    <xf numFmtId="0" fontId="41" fillId="47" borderId="227" xfId="0" applyFont="1" applyFill="1" applyBorder="1" applyAlignment="1">
      <alignment horizontal="center"/>
    </xf>
    <xf numFmtId="0" fontId="13" fillId="46" borderId="228" xfId="0" applyFont="1" applyFill="1" applyBorder="1" applyAlignment="1">
      <alignment horizontal="center"/>
    </xf>
    <xf numFmtId="0" fontId="13" fillId="46" borderId="229" xfId="0" applyFont="1" applyFill="1" applyBorder="1" applyAlignment="1">
      <alignment horizontal="center"/>
    </xf>
    <xf numFmtId="0" fontId="5" fillId="41" borderId="189" xfId="0" applyFont="1" applyFill="1" applyBorder="1" applyAlignment="1">
      <alignment horizontal="center" vertical="center"/>
    </xf>
    <xf numFmtId="0" fontId="5" fillId="52" borderId="230" xfId="0" applyFont="1" applyFill="1" applyBorder="1" applyAlignment="1">
      <alignment horizontal="center" vertical="center"/>
    </xf>
    <xf numFmtId="0" fontId="5" fillId="54" borderId="8" xfId="0" applyFont="1" applyFill="1" applyBorder="1" applyAlignment="1">
      <alignment horizontal="center" vertical="center"/>
    </xf>
    <xf numFmtId="0" fontId="28" fillId="41" borderId="231" xfId="0" applyFont="1" applyFill="1" applyBorder="1" applyAlignment="1">
      <alignment horizontal="center" vertical="center"/>
    </xf>
    <xf numFmtId="0" fontId="28" fillId="41" borderId="42" xfId="0" applyFont="1" applyFill="1" applyBorder="1" applyAlignment="1">
      <alignment horizontal="center" vertical="center"/>
    </xf>
    <xf numFmtId="0" fontId="5" fillId="52" borderId="232" xfId="0" applyFont="1" applyFill="1" applyBorder="1" applyAlignment="1">
      <alignment horizontal="center" vertical="center"/>
    </xf>
    <xf numFmtId="0" fontId="5" fillId="54" borderId="114" xfId="0" applyFont="1" applyFill="1" applyBorder="1" applyAlignment="1">
      <alignment horizontal="center" vertical="center"/>
    </xf>
    <xf numFmtId="0" fontId="28" fillId="25" borderId="189" xfId="0" applyFont="1" applyFill="1" applyBorder="1" applyAlignment="1">
      <alignment horizontal="center" vertical="center"/>
    </xf>
    <xf numFmtId="0" fontId="5" fillId="52" borderId="231" xfId="0" applyFont="1" applyFill="1" applyBorder="1" applyAlignment="1">
      <alignment horizontal="center" vertical="center"/>
    </xf>
    <xf numFmtId="0" fontId="28" fillId="25" borderId="190" xfId="0" applyFont="1" applyFill="1" applyBorder="1" applyAlignment="1">
      <alignment horizontal="center" vertical="center"/>
    </xf>
    <xf numFmtId="0" fontId="5" fillId="52" borderId="233" xfId="0" applyFont="1" applyFill="1" applyBorder="1" applyAlignment="1">
      <alignment horizontal="center" vertical="center"/>
    </xf>
    <xf numFmtId="0" fontId="5" fillId="11" borderId="234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/>
    </xf>
    <xf numFmtId="0" fontId="13" fillId="46" borderId="10" xfId="0" applyFont="1" applyFill="1" applyBorder="1" applyAlignment="1">
      <alignment horizontal="center"/>
    </xf>
    <xf numFmtId="0" fontId="5" fillId="52" borderId="189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28" fillId="40" borderId="114" xfId="0" applyFont="1" applyFill="1" applyBorder="1" applyAlignment="1">
      <alignment horizontal="center" vertical="center"/>
    </xf>
    <xf numFmtId="0" fontId="5" fillId="52" borderId="190" xfId="0" applyFont="1" applyFill="1" applyBorder="1" applyAlignment="1">
      <alignment horizontal="center" vertical="center"/>
    </xf>
    <xf numFmtId="0" fontId="42" fillId="47" borderId="230" xfId="0" applyFont="1" applyFill="1" applyBorder="1" applyAlignment="1">
      <alignment horizontal="center"/>
    </xf>
    <xf numFmtId="0" fontId="13" fillId="46" borderId="230" xfId="0" applyFont="1" applyFill="1" applyBorder="1" applyAlignment="1">
      <alignment horizontal="center"/>
    </xf>
    <xf numFmtId="0" fontId="5" fillId="28" borderId="230" xfId="0" applyFont="1" applyFill="1" applyBorder="1" applyAlignment="1">
      <alignment horizontal="center" vertical="center"/>
    </xf>
    <xf numFmtId="0" fontId="28" fillId="41" borderId="8" xfId="0" applyFont="1" applyFill="1" applyBorder="1" applyAlignment="1">
      <alignment horizontal="center" vertical="center"/>
    </xf>
    <xf numFmtId="0" fontId="5" fillId="41" borderId="230" xfId="0" applyFont="1" applyFill="1" applyBorder="1" applyAlignment="1">
      <alignment horizontal="center" vertical="center"/>
    </xf>
    <xf numFmtId="0" fontId="5" fillId="55" borderId="230" xfId="0" applyFont="1" applyFill="1" applyBorder="1" applyAlignment="1">
      <alignment horizontal="center" vertical="center"/>
    </xf>
    <xf numFmtId="0" fontId="5" fillId="0" borderId="230" xfId="0" applyFont="1" applyBorder="1" applyAlignment="1">
      <alignment horizontal="center" vertical="center"/>
    </xf>
    <xf numFmtId="0" fontId="28" fillId="12" borderId="230" xfId="0" applyFont="1" applyFill="1" applyBorder="1" applyAlignment="1">
      <alignment horizontal="center" vertical="center"/>
    </xf>
    <xf numFmtId="0" fontId="28" fillId="40" borderId="230" xfId="0" applyFont="1" applyFill="1" applyBorder="1" applyAlignment="1">
      <alignment horizontal="center" vertical="center"/>
    </xf>
    <xf numFmtId="0" fontId="28" fillId="40" borderId="188" xfId="0" applyFont="1" applyFill="1" applyBorder="1" applyAlignment="1">
      <alignment horizontal="center" vertical="center"/>
    </xf>
    <xf numFmtId="0" fontId="12" fillId="45" borderId="235" xfId="0" applyFont="1" applyFill="1" applyBorder="1" applyAlignment="1">
      <alignment horizontal="center"/>
    </xf>
    <xf numFmtId="0" fontId="10" fillId="47" borderId="219" xfId="0" applyFont="1" applyFill="1" applyBorder="1" applyAlignment="1">
      <alignment horizontal="center"/>
    </xf>
    <xf numFmtId="0" fontId="10" fillId="47" borderId="191" xfId="0" applyFont="1" applyFill="1" applyBorder="1" applyAlignment="1">
      <alignment horizontal="center"/>
    </xf>
    <xf numFmtId="0" fontId="13" fillId="46" borderId="236" xfId="0" applyFont="1" applyFill="1" applyBorder="1" applyAlignment="1">
      <alignment horizontal="center"/>
    </xf>
    <xf numFmtId="0" fontId="5" fillId="41" borderId="75" xfId="0" applyFont="1" applyFill="1" applyBorder="1" applyAlignment="1">
      <alignment horizontal="center" vertical="center"/>
    </xf>
    <xf numFmtId="0" fontId="5" fillId="41" borderId="65" xfId="0" applyFont="1" applyFill="1" applyBorder="1" applyAlignment="1">
      <alignment horizontal="center" vertical="center"/>
    </xf>
    <xf numFmtId="0" fontId="5" fillId="55" borderId="75" xfId="0" applyFont="1" applyFill="1" applyBorder="1" applyAlignment="1">
      <alignment horizontal="center" vertical="center"/>
    </xf>
    <xf numFmtId="0" fontId="5" fillId="28" borderId="19" xfId="0" applyFont="1" applyFill="1" applyBorder="1" applyAlignment="1">
      <alignment horizontal="center" vertical="center"/>
    </xf>
    <xf numFmtId="0" fontId="5" fillId="28" borderId="236" xfId="0" applyFont="1" applyFill="1" applyBorder="1" applyAlignment="1">
      <alignment horizontal="center" vertical="center"/>
    </xf>
    <xf numFmtId="0" fontId="5" fillId="41" borderId="236" xfId="0" applyFont="1" applyFill="1" applyBorder="1" applyAlignment="1">
      <alignment horizontal="center" vertical="center"/>
    </xf>
    <xf numFmtId="0" fontId="28" fillId="40" borderId="189" xfId="0" applyFont="1" applyFill="1" applyBorder="1" applyAlignment="1">
      <alignment horizontal="center" vertical="center"/>
    </xf>
    <xf numFmtId="0" fontId="5" fillId="52" borderId="114" xfId="0" applyFont="1" applyFill="1" applyBorder="1" applyAlignment="1">
      <alignment horizontal="center" vertical="center"/>
    </xf>
    <xf numFmtId="0" fontId="5" fillId="55" borderId="237" xfId="0" applyFont="1" applyFill="1" applyBorder="1" applyAlignment="1">
      <alignment horizontal="center" vertical="center"/>
    </xf>
    <xf numFmtId="0" fontId="5" fillId="28" borderId="237" xfId="0" applyFont="1" applyFill="1" applyBorder="1" applyAlignment="1">
      <alignment horizontal="center" vertical="center"/>
    </xf>
    <xf numFmtId="0" fontId="28" fillId="40" borderId="75" xfId="0" applyFont="1" applyFill="1" applyBorder="1" applyAlignment="1">
      <alignment horizontal="center" vertical="center"/>
    </xf>
    <xf numFmtId="0" fontId="28" fillId="40" borderId="65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36" xfId="0" applyFont="1" applyBorder="1" applyAlignment="1">
      <alignment horizontal="center" vertical="center"/>
    </xf>
    <xf numFmtId="0" fontId="28" fillId="40" borderId="236" xfId="0" applyFont="1" applyFill="1" applyBorder="1" applyAlignment="1">
      <alignment horizontal="center" vertical="center"/>
    </xf>
    <xf numFmtId="0" fontId="28" fillId="12" borderId="238" xfId="0" applyFont="1" applyFill="1" applyBorder="1" applyAlignment="1">
      <alignment horizontal="center" vertical="center"/>
    </xf>
    <xf numFmtId="0" fontId="5" fillId="0" borderId="188" xfId="0" applyFont="1" applyBorder="1" applyAlignment="1">
      <alignment horizontal="center" vertical="center"/>
    </xf>
    <xf numFmtId="0" fontId="5" fillId="0" borderId="238" xfId="0" applyFont="1" applyBorder="1" applyAlignment="1">
      <alignment horizontal="center" vertical="center"/>
    </xf>
    <xf numFmtId="0" fontId="28" fillId="0" borderId="238" xfId="0" applyFont="1" applyBorder="1" applyAlignment="1">
      <alignment horizontal="center" vertical="center"/>
    </xf>
    <xf numFmtId="0" fontId="10" fillId="47" borderId="153" xfId="0" applyFont="1" applyFill="1" applyBorder="1" applyAlignment="1">
      <alignment horizontal="center"/>
    </xf>
    <xf numFmtId="0" fontId="10" fillId="47" borderId="239" xfId="0" applyFont="1" applyFill="1" applyBorder="1" applyAlignment="1">
      <alignment horizontal="center"/>
    </xf>
    <xf numFmtId="0" fontId="10" fillId="6" borderId="240" xfId="0" applyFont="1" applyFill="1" applyBorder="1" applyAlignment="1">
      <alignment horizontal="center"/>
    </xf>
    <xf numFmtId="0" fontId="13" fillId="46" borderId="241" xfId="0" applyFont="1" applyFill="1" applyBorder="1" applyAlignment="1">
      <alignment horizontal="center"/>
    </xf>
    <xf numFmtId="0" fontId="13" fillId="46" borderId="242" xfId="0" applyFont="1" applyFill="1" applyBorder="1" applyAlignment="1">
      <alignment horizontal="center"/>
    </xf>
    <xf numFmtId="0" fontId="13" fillId="46" borderId="243" xfId="0" applyFont="1" applyFill="1" applyBorder="1" applyAlignment="1">
      <alignment horizontal="center"/>
    </xf>
    <xf numFmtId="0" fontId="13" fillId="46" borderId="244" xfId="0" applyFont="1" applyFill="1" applyBorder="1" applyAlignment="1">
      <alignment horizontal="center"/>
    </xf>
    <xf numFmtId="0" fontId="13" fillId="46" borderId="245" xfId="0" applyFont="1" applyFill="1" applyBorder="1" applyAlignment="1">
      <alignment horizontal="center"/>
    </xf>
    <xf numFmtId="0" fontId="13" fillId="46" borderId="246" xfId="0" applyFont="1" applyFill="1" applyBorder="1" applyAlignment="1">
      <alignment horizontal="center"/>
    </xf>
    <xf numFmtId="0" fontId="13" fillId="46" borderId="247" xfId="0" applyFont="1" applyFill="1" applyBorder="1" applyAlignment="1">
      <alignment horizontal="center"/>
    </xf>
    <xf numFmtId="0" fontId="13" fillId="46" borderId="248" xfId="0" applyFont="1" applyFill="1" applyBorder="1" applyAlignment="1">
      <alignment horizontal="center"/>
    </xf>
    <xf numFmtId="0" fontId="13" fillId="46" borderId="249" xfId="0" applyFont="1" applyFill="1" applyBorder="1" applyAlignment="1">
      <alignment horizontal="center"/>
    </xf>
    <xf numFmtId="0" fontId="5" fillId="28" borderId="250" xfId="0" applyFont="1" applyFill="1" applyBorder="1" applyAlignment="1">
      <alignment horizontal="center" vertical="center"/>
    </xf>
    <xf numFmtId="0" fontId="5" fillId="28" borderId="251" xfId="0" applyFont="1" applyFill="1" applyBorder="1" applyAlignment="1">
      <alignment horizontal="center" vertical="center"/>
    </xf>
    <xf numFmtId="0" fontId="5" fillId="28" borderId="252" xfId="0" applyFont="1" applyFill="1" applyBorder="1" applyAlignment="1">
      <alignment horizontal="center" vertical="center"/>
    </xf>
    <xf numFmtId="0" fontId="5" fillId="28" borderId="75" xfId="0" applyFont="1" applyFill="1" applyBorder="1" applyAlignment="1">
      <alignment horizontal="center" vertical="center"/>
    </xf>
    <xf numFmtId="0" fontId="5" fillId="41" borderId="253" xfId="0" applyFont="1" applyFill="1" applyBorder="1" applyAlignment="1">
      <alignment horizontal="center" vertical="center"/>
    </xf>
    <xf numFmtId="0" fontId="5" fillId="41" borderId="71" xfId="0" applyFont="1" applyFill="1" applyBorder="1" applyAlignment="1">
      <alignment horizontal="center" vertical="center"/>
    </xf>
    <xf numFmtId="0" fontId="5" fillId="41" borderId="254" xfId="0" applyFont="1" applyFill="1" applyBorder="1" applyAlignment="1">
      <alignment horizontal="center" vertical="center"/>
    </xf>
    <xf numFmtId="0" fontId="5" fillId="41" borderId="255" xfId="0" applyFont="1" applyFill="1" applyBorder="1" applyAlignment="1">
      <alignment horizontal="center" vertical="center"/>
    </xf>
    <xf numFmtId="0" fontId="5" fillId="41" borderId="243" xfId="0" applyFont="1" applyFill="1" applyBorder="1" applyAlignment="1">
      <alignment horizontal="center" vertical="center"/>
    </xf>
    <xf numFmtId="0" fontId="5" fillId="28" borderId="256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55" borderId="255" xfId="0" applyFont="1" applyFill="1" applyBorder="1" applyAlignment="1">
      <alignment horizontal="center" vertical="center"/>
    </xf>
    <xf numFmtId="0" fontId="5" fillId="55" borderId="243" xfId="0" applyFont="1" applyFill="1" applyBorder="1" applyAlignment="1">
      <alignment horizontal="center" vertical="center"/>
    </xf>
    <xf numFmtId="0" fontId="5" fillId="28" borderId="257" xfId="0" applyFont="1" applyFill="1" applyBorder="1" applyAlignment="1">
      <alignment horizontal="center" vertical="center"/>
    </xf>
    <xf numFmtId="0" fontId="5" fillId="28" borderId="258" xfId="0" applyFont="1" applyFill="1" applyBorder="1" applyAlignment="1">
      <alignment horizontal="center" vertical="center"/>
    </xf>
    <xf numFmtId="0" fontId="5" fillId="28" borderId="259" xfId="0" applyFont="1" applyFill="1" applyBorder="1" applyAlignment="1">
      <alignment horizontal="center" vertical="center"/>
    </xf>
    <xf numFmtId="0" fontId="5" fillId="28" borderId="25" xfId="0" applyFont="1" applyFill="1" applyBorder="1" applyAlignment="1">
      <alignment horizontal="center" vertical="center"/>
    </xf>
    <xf numFmtId="0" fontId="5" fillId="0" borderId="250" xfId="0" applyFont="1" applyBorder="1" applyAlignment="1">
      <alignment horizontal="center" vertical="center"/>
    </xf>
    <xf numFmtId="0" fontId="5" fillId="0" borderId="251" xfId="0" applyFont="1" applyBorder="1" applyAlignment="1">
      <alignment horizontal="center" vertical="center"/>
    </xf>
    <xf numFmtId="0" fontId="28" fillId="0" borderId="189" xfId="0" applyFont="1" applyBorder="1" applyAlignment="1">
      <alignment horizontal="center" vertical="center"/>
    </xf>
    <xf numFmtId="0" fontId="28" fillId="0" borderId="75" xfId="0" applyFont="1" applyBorder="1" applyAlignment="1">
      <alignment horizontal="center" vertical="center"/>
    </xf>
    <xf numFmtId="0" fontId="5" fillId="51" borderId="65" xfId="0" applyFont="1" applyFill="1" applyBorder="1" applyAlignment="1">
      <alignment horizontal="center" vertical="center"/>
    </xf>
    <xf numFmtId="0" fontId="28" fillId="40" borderId="254" xfId="0" applyFont="1" applyFill="1" applyBorder="1" applyAlignment="1">
      <alignment horizontal="center" vertical="center"/>
    </xf>
    <xf numFmtId="0" fontId="28" fillId="40" borderId="71" xfId="0" applyFont="1" applyFill="1" applyBorder="1" applyAlignment="1">
      <alignment horizontal="center" vertical="center"/>
    </xf>
    <xf numFmtId="0" fontId="5" fillId="0" borderId="255" xfId="0" applyFont="1" applyBorder="1" applyAlignment="1">
      <alignment horizontal="center" vertical="center"/>
    </xf>
    <xf numFmtId="0" fontId="5" fillId="0" borderId="243" xfId="0" applyFont="1" applyBorder="1" applyAlignment="1">
      <alignment horizontal="center" vertical="center"/>
    </xf>
    <xf numFmtId="0" fontId="28" fillId="12" borderId="236" xfId="0" applyFont="1" applyFill="1" applyBorder="1" applyAlignment="1">
      <alignment horizontal="center" vertical="center"/>
    </xf>
    <xf numFmtId="0" fontId="5" fillId="0" borderId="25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8" fillId="55" borderId="255" xfId="0" applyFont="1" applyFill="1" applyBorder="1" applyAlignment="1">
      <alignment horizontal="center" vertical="center"/>
    </xf>
    <xf numFmtId="0" fontId="5" fillId="12" borderId="243" xfId="0" applyFont="1" applyFill="1" applyBorder="1" applyAlignment="1">
      <alignment horizontal="center" vertical="center"/>
    </xf>
    <xf numFmtId="0" fontId="5" fillId="0" borderId="260" xfId="0" applyFont="1" applyBorder="1" applyAlignment="1">
      <alignment horizontal="center" vertical="center"/>
    </xf>
    <xf numFmtId="0" fontId="28" fillId="40" borderId="261" xfId="0" applyFont="1" applyFill="1" applyBorder="1" applyAlignment="1">
      <alignment horizontal="center" vertical="center"/>
    </xf>
    <xf numFmtId="0" fontId="5" fillId="24" borderId="190" xfId="0" applyFont="1" applyFill="1" applyBorder="1" applyAlignment="1">
      <alignment horizontal="center" vertical="center"/>
    </xf>
    <xf numFmtId="0" fontId="28" fillId="0" borderId="262" xfId="0" applyFont="1" applyBorder="1" applyAlignment="1">
      <alignment horizontal="center" vertical="center"/>
    </xf>
    <xf numFmtId="0" fontId="5" fillId="0" borderId="263" xfId="0" applyFont="1" applyBorder="1" applyAlignment="1">
      <alignment horizontal="center" vertical="center"/>
    </xf>
    <xf numFmtId="0" fontId="5" fillId="0" borderId="262" xfId="0" applyFont="1" applyBorder="1" applyAlignment="1">
      <alignment horizontal="center" vertical="center"/>
    </xf>
    <xf numFmtId="0" fontId="26" fillId="12" borderId="191" xfId="0" applyFont="1" applyFill="1" applyBorder="1" applyAlignment="1">
      <alignment horizontal="center"/>
    </xf>
    <xf numFmtId="0" fontId="5" fillId="7" borderId="42" xfId="0" applyFont="1" applyFill="1" applyBorder="1" applyAlignment="1">
      <alignment horizontal="center" vertical="center"/>
    </xf>
    <xf numFmtId="0" fontId="5" fillId="48" borderId="21" xfId="0" applyFont="1" applyFill="1" applyBorder="1" applyAlignment="1">
      <alignment horizontal="center" vertical="center"/>
    </xf>
    <xf numFmtId="0" fontId="5" fillId="7" borderId="21" xfId="0" applyFont="1" applyFill="1" applyBorder="1" applyAlignment="1">
      <alignment horizontal="center" vertical="center"/>
    </xf>
    <xf numFmtId="0" fontId="28" fillId="7" borderId="21" xfId="0" applyFont="1" applyFill="1" applyBorder="1" applyAlignment="1">
      <alignment horizontal="center" vertical="center"/>
    </xf>
    <xf numFmtId="0" fontId="28" fillId="47" borderId="7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4</xdr:col>
      <xdr:colOff>276225</xdr:colOff>
      <xdr:row>36</xdr:row>
      <xdr:rowOff>28575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339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200025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BC440C-91F1-4E23-87FF-781DE1303B04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8958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4</xdr:col>
      <xdr:colOff>200025</xdr:colOff>
      <xdr:row>35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FBDDAF-7409-4423-B81F-461A3E80458E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3392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E637BB-4DC2-4BA6-AA00-8A99F332E05C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5AB7B5-5235-44DD-B6F1-FB77B061EA4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E1DD61-7184-4CDC-89C8-2AB77BAEA17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F6620F-6518-4A50-A0B4-900A74538202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A32" sqref="AA32"/>
    </sheetView>
  </sheetViews>
  <sheetFormatPr baseColWidth="10"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288"/>
      <c r="G1" s="1288"/>
      <c r="H1" s="1288"/>
      <c r="I1" s="1288"/>
      <c r="J1" s="1288"/>
      <c r="K1" s="128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286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286"/>
      <c r="C3" s="2"/>
      <c r="D3" s="7"/>
      <c r="E3" s="7"/>
      <c r="F3" s="1296" t="s">
        <v>1</v>
      </c>
      <c r="G3" s="1296"/>
      <c r="H3" s="1296"/>
      <c r="I3" s="1296"/>
      <c r="J3" s="1296"/>
      <c r="K3" s="1296"/>
      <c r="L3" s="1296"/>
      <c r="M3" s="1296"/>
      <c r="N3" s="1296"/>
      <c r="O3" s="1296"/>
      <c r="P3" s="1296"/>
      <c r="Q3" s="1296"/>
      <c r="R3" s="1296"/>
      <c r="S3" s="1296"/>
      <c r="T3" s="1296"/>
      <c r="U3" s="1296"/>
      <c r="V3" s="1296"/>
      <c r="W3" s="1296"/>
      <c r="X3" s="1296"/>
      <c r="Y3" s="1296"/>
      <c r="Z3" s="1296"/>
      <c r="AA3" s="1296"/>
      <c r="AB3" s="1296"/>
      <c r="AC3" s="1296"/>
      <c r="AD3" s="1296"/>
      <c r="AE3" s="1296"/>
      <c r="AF3" s="1296"/>
      <c r="AG3" s="1296"/>
      <c r="AH3" s="1296"/>
      <c r="AI3" s="1296"/>
      <c r="AJ3" s="1296"/>
      <c r="AK3" s="1296"/>
      <c r="AL3" s="1291" t="s">
        <v>2</v>
      </c>
      <c r="AM3" s="1291"/>
      <c r="AN3" s="1291"/>
      <c r="AO3" s="1291"/>
      <c r="AP3" s="1291"/>
      <c r="AQ3" s="1291"/>
    </row>
    <row r="4" spans="2:45" ht="11.25" customHeight="1" x14ac:dyDescent="0.25">
      <c r="B4" s="41"/>
      <c r="C4" s="1289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290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287" t="str">
        <f>"Plantilla de Turnos CCNC  "&amp;D29</f>
        <v>Plantilla de Turnos CCNC  Raquel</v>
      </c>
      <c r="G28" s="1287"/>
      <c r="H28" s="1287"/>
      <c r="I28" s="1287"/>
      <c r="J28" s="1287"/>
      <c r="K28" s="1287"/>
      <c r="L28" s="1287"/>
      <c r="M28" s="27"/>
      <c r="N28" s="27"/>
      <c r="O28" s="27"/>
      <c r="P28" s="11"/>
      <c r="Q28" s="10"/>
      <c r="R28" s="10"/>
      <c r="S28" s="10"/>
      <c r="T28" s="10"/>
      <c r="U28" s="10"/>
      <c r="V28" s="1287" t="str">
        <f>"Plantilla de Turnos CCNC  "&amp;V29</f>
        <v>Plantilla de Turnos CCNC  To Be</v>
      </c>
      <c r="W28" s="1287"/>
      <c r="X28" s="1287"/>
      <c r="Y28" s="1287"/>
      <c r="Z28" s="1287"/>
      <c r="AA28" s="1287"/>
      <c r="AB28" s="1287"/>
      <c r="AC28" s="1287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299">
        <f>8.33*(COUNTIFS(F30:L30,"&lt;&gt;"&amp;"L"))</f>
        <v>41.65</v>
      </c>
      <c r="P30" s="1300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297">
        <f>8.33*(COUNTIFS(W30:AC30,"&lt;&gt;"&amp;"L"))</f>
        <v>58.31</v>
      </c>
      <c r="AG30" s="1298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280">
        <f t="shared" ref="O31:O38" si="12">8.33*(COUNTIFS(F31:L31,"&lt;&gt;"&amp;"L"))</f>
        <v>33.32</v>
      </c>
      <c r="P31" s="1281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292">
        <f t="shared" ref="AF31:AF37" si="13">8.33*(COUNTIFS(W31:AC31,"&lt;&gt;"&amp;"L"))</f>
        <v>24.990000000000002</v>
      </c>
      <c r="AG31" s="1293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280">
        <f t="shared" si="12"/>
        <v>58.31</v>
      </c>
      <c r="P32" s="1281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292">
        <f t="shared" si="13"/>
        <v>33.32</v>
      </c>
      <c r="AG32" s="1293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280">
        <f>8.33*(COUNTIFS(F33:L33,"&lt;&gt;"&amp;"LG"))</f>
        <v>41.65</v>
      </c>
      <c r="P33" s="1281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292">
        <f t="shared" si="13"/>
        <v>41.65</v>
      </c>
      <c r="AG33" s="1293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292">
        <f t="shared" si="13"/>
        <v>24.990000000000002</v>
      </c>
      <c r="AG34" s="1293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280">
        <f t="shared" si="12"/>
        <v>58.31</v>
      </c>
      <c r="P35" s="1281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292">
        <f t="shared" si="13"/>
        <v>33.32</v>
      </c>
      <c r="AG35" s="1293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280">
        <f t="shared" si="12"/>
        <v>33.32</v>
      </c>
      <c r="P36" s="1281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292">
        <f t="shared" si="13"/>
        <v>41.65</v>
      </c>
      <c r="AG36" s="1293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280">
        <f t="shared" si="12"/>
        <v>24.990000000000002</v>
      </c>
      <c r="P37" s="1281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294">
        <f t="shared" si="13"/>
        <v>58.31</v>
      </c>
      <c r="AG37" s="1295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282">
        <f t="shared" si="12"/>
        <v>41.65</v>
      </c>
      <c r="P38" s="1283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301">
        <f>SUM(W40:AC40)</f>
        <v>12</v>
      </c>
      <c r="AG40" s="1302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284">
        <f>SUM(F41:L41)</f>
        <v>10</v>
      </c>
      <c r="P41" s="1285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303">
        <f t="shared" ref="AF41:AF44" si="17">SUM(W41:AC41)</f>
        <v>12</v>
      </c>
      <c r="AG41" s="1304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276">
        <f t="shared" ref="O42:O45" si="19">SUM(F42:L42)</f>
        <v>11</v>
      </c>
      <c r="P42" s="1277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303">
        <f t="shared" si="17"/>
        <v>7</v>
      </c>
      <c r="AG42" s="1304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276">
        <f t="shared" si="19"/>
        <v>7</v>
      </c>
      <c r="P43" s="1277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303">
        <f t="shared" si="17"/>
        <v>7</v>
      </c>
      <c r="AG43" s="1304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276">
        <f t="shared" si="19"/>
        <v>7</v>
      </c>
      <c r="P44" s="1277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305">
        <f t="shared" si="17"/>
        <v>18</v>
      </c>
      <c r="AG44" s="1306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278">
        <f t="shared" si="19"/>
        <v>14</v>
      </c>
      <c r="P45" s="1279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AF40:AG40"/>
    <mergeCell ref="AF41:AG41"/>
    <mergeCell ref="AF42:AG42"/>
    <mergeCell ref="AF43:AG43"/>
    <mergeCell ref="AF44:AG44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B2:B3"/>
    <mergeCell ref="V28:AC28"/>
    <mergeCell ref="F1:K1"/>
    <mergeCell ref="C4:C5"/>
    <mergeCell ref="AL3:AQ3"/>
    <mergeCell ref="F28:L28"/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309" t="s">
        <v>51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291" t="s">
        <v>52</v>
      </c>
      <c r="AC3" s="1291"/>
      <c r="AD3" s="1291"/>
      <c r="AE3" s="1291"/>
    </row>
    <row r="4" spans="2:31" ht="11.25" customHeight="1" x14ac:dyDescent="0.25">
      <c r="B4" s="128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290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287" t="str">
        <f>"Plantilla de Turnos CCNC  "&amp;H31</f>
        <v>Plantilla de Turnos CCNC  To Be</v>
      </c>
      <c r="I30" s="1287"/>
      <c r="J30" s="1287"/>
      <c r="K30" s="1287"/>
      <c r="L30" s="1287"/>
      <c r="M30" s="1287"/>
      <c r="N30" s="1287"/>
      <c r="O30" s="1287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297">
        <f>8.33*(COUNTIFS(I32:O32,"&lt;&gt;"&amp;"L",I32:O32,"&lt;&gt;"&amp;"D"))+8*(COUNTIFS(I32:O32,"="&amp;"D"))</f>
        <v>57.65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297">
        <f t="shared" ref="R33:R39" si="7">8.33*(COUNTIFS(I33:O33,"&lt;&gt;"&amp;"L",I33:O33,"&lt;&gt;"&amp;"D"))+8*(COUNTIFS(I33:O33,"="&amp;"D"))</f>
        <v>24.990000000000002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297">
        <f t="shared" si="7"/>
        <v>33.32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297">
        <f t="shared" si="7"/>
        <v>41.32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297">
        <f t="shared" si="7"/>
        <v>24.990000000000002</v>
      </c>
      <c r="S36" s="129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297">
        <f t="shared" si="7"/>
        <v>32.99</v>
      </c>
      <c r="S37" s="129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297">
        <f t="shared" si="7"/>
        <v>41.65</v>
      </c>
      <c r="S38" s="129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307">
        <f t="shared" si="7"/>
        <v>57.32</v>
      </c>
      <c r="S39" s="1308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301">
        <f>SUM(I42:O42)</f>
        <v>12</v>
      </c>
      <c r="S42" s="130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303">
        <f t="shared" ref="R43:R46" si="10">SUM(I43:O43)</f>
        <v>12</v>
      </c>
      <c r="S43" s="130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303">
        <f t="shared" si="10"/>
        <v>7</v>
      </c>
      <c r="S44" s="130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303">
        <f t="shared" si="10"/>
        <v>7</v>
      </c>
      <c r="S45" s="1304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305">
        <f t="shared" si="10"/>
        <v>18</v>
      </c>
      <c r="S46" s="1306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32:S32"/>
    <mergeCell ref="D1:I1"/>
    <mergeCell ref="D3:AA3"/>
    <mergeCell ref="AB3:AE3"/>
    <mergeCell ref="B4:B5"/>
    <mergeCell ref="H30:O30"/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309" t="s">
        <v>59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291" t="s">
        <v>51</v>
      </c>
      <c r="AC3" s="1291"/>
      <c r="AD3" s="1291"/>
      <c r="AE3" s="1291"/>
    </row>
    <row r="4" spans="2:33" ht="11.25" customHeight="1" x14ac:dyDescent="0.25">
      <c r="B4" s="128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290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287" t="str">
        <f>"Plantilla de Turnos CCNC  "&amp;H29</f>
        <v>Plantilla de Turnos CCNC  To Be</v>
      </c>
      <c r="I28" s="1287"/>
      <c r="J28" s="1287"/>
      <c r="K28" s="1287"/>
      <c r="L28" s="1287"/>
      <c r="M28" s="1287"/>
      <c r="N28" s="1287"/>
      <c r="O28" s="1287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97">
        <f>8.33*(COUNTIFS(I30:O30,"&lt;&gt;"&amp;"L",I30:O30,"&lt;&gt;"&amp;"D"))+8*(COUNTIFS(I30:O30,"="&amp;"D"))</f>
        <v>57.65</v>
      </c>
      <c r="S30" s="129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97">
        <f t="shared" ref="R31:R37" si="7">8.33*(COUNTIFS(I31:O31,"&lt;&gt;"&amp;"L",I31:O31,"&lt;&gt;"&amp;"D"))+8*(COUNTIFS(I31:O31,"="&amp;"D"))</f>
        <v>24.990000000000002</v>
      </c>
      <c r="S31" s="129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97">
        <f t="shared" si="7"/>
        <v>33.32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97">
        <f t="shared" si="7"/>
        <v>41.32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97">
        <f t="shared" si="7"/>
        <v>24.990000000000002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97">
        <f t="shared" si="7"/>
        <v>32.99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97">
        <f t="shared" si="7"/>
        <v>41.65</v>
      </c>
      <c r="S36" s="129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7">
        <f t="shared" si="7"/>
        <v>57.32</v>
      </c>
      <c r="S37" s="13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301">
        <f>SUM(I40:O40)</f>
        <v>12</v>
      </c>
      <c r="S40" s="130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303">
        <f t="shared" ref="R41:R44" si="10">SUM(I41:O41)</f>
        <v>12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303">
        <f t="shared" si="10"/>
        <v>7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303">
        <f t="shared" si="10"/>
        <v>7</v>
      </c>
      <c r="S43" s="130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305">
        <f t="shared" si="10"/>
        <v>18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D1:I1"/>
    <mergeCell ref="B4:B5"/>
    <mergeCell ref="H28:O28"/>
    <mergeCell ref="D3:AA3"/>
    <mergeCell ref="AB3:AE3"/>
    <mergeCell ref="R42:S42"/>
    <mergeCell ref="R43:S43"/>
    <mergeCell ref="R44:S44"/>
    <mergeCell ref="R37:S37"/>
    <mergeCell ref="R40:S40"/>
    <mergeCell ref="R41:S41"/>
    <mergeCell ref="R33:S33"/>
    <mergeCell ref="R34:S34"/>
    <mergeCell ref="R35:S35"/>
    <mergeCell ref="R36:S36"/>
    <mergeCell ref="R30:S30"/>
    <mergeCell ref="R31:S31"/>
    <mergeCell ref="R32:S32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309" t="str">
        <f>TEXT(D5,"mmm")</f>
        <v>mar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</row>
    <row r="4" spans="2:31" ht="11.25" customHeight="1" x14ac:dyDescent="0.25">
      <c r="B4" s="128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290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297">
        <f>8.33*(COUNTIFS(I31:O31,"&lt;&gt;"&amp;"L",I31:O31,"&lt;&gt;"&amp;"D"))+8*(COUNTIFS(I31:O31,"="&amp;"D"))</f>
        <v>57.65</v>
      </c>
      <c r="S31" s="129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297">
        <f t="shared" ref="R32:R38" si="7">8.33*(COUNTIFS(I32:O32,"&lt;&gt;"&amp;"L",I32:O32,"&lt;&gt;"&amp;"D"))+8*(COUNTIFS(I32:O32,"="&amp;"D"))</f>
        <v>24.990000000000002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297">
        <f t="shared" si="7"/>
        <v>33.32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297">
        <f t="shared" si="7"/>
        <v>41.32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297">
        <f t="shared" si="7"/>
        <v>24.990000000000002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297">
        <f t="shared" si="7"/>
        <v>32.99</v>
      </c>
      <c r="S36" s="129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297">
        <f t="shared" si="7"/>
        <v>41.65</v>
      </c>
      <c r="S37" s="129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307">
        <f t="shared" si="7"/>
        <v>57.32</v>
      </c>
      <c r="S38" s="130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301">
        <f>SUM(I41:O41)</f>
        <v>12</v>
      </c>
      <c r="S41" s="130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303">
        <f t="shared" ref="R42:R45" si="10">SUM(I42:O42)</f>
        <v>12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303">
        <f t="shared" si="10"/>
        <v>7</v>
      </c>
      <c r="S43" s="130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303">
        <f t="shared" si="10"/>
        <v>7</v>
      </c>
      <c r="S44" s="130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305">
        <f t="shared" si="10"/>
        <v>18</v>
      </c>
      <c r="S45" s="1306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baseColWidth="10"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9" t="s">
        <v>65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3" ht="11.25" customHeight="1" x14ac:dyDescent="0.25">
      <c r="B4" s="128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290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297">
        <f>8.33*(COUNTIFS(I30:O30,"&lt;&gt;"&amp;"L",I30:O30,"&lt;&gt;"&amp;"D"))+8*(COUNTIFS(I30:O30,"="&amp;"D"))</f>
        <v>57.65</v>
      </c>
      <c r="S30" s="129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297">
        <f t="shared" ref="R31:R37" si="14">8.33*(COUNTIFS(I31:O31,"&lt;&gt;"&amp;"L",I31:O31,"&lt;&gt;"&amp;"D"))+8*(COUNTIFS(I31:O31,"="&amp;"D"))</f>
        <v>24.990000000000002</v>
      </c>
      <c r="S31" s="129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297">
        <f t="shared" si="14"/>
        <v>33.32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297">
        <f t="shared" si="14"/>
        <v>41.32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297">
        <f t="shared" si="14"/>
        <v>24.990000000000002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297">
        <f t="shared" si="14"/>
        <v>32.99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297">
        <f t="shared" si="14"/>
        <v>41.65</v>
      </c>
      <c r="S36" s="129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307">
        <f t="shared" si="14"/>
        <v>57.32</v>
      </c>
      <c r="S37" s="13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301">
        <f>SUM(I40:O40)</f>
        <v>12</v>
      </c>
      <c r="S40" s="130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303">
        <f t="shared" ref="R41:R44" si="17">SUM(I41:O41)</f>
        <v>12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303">
        <f t="shared" si="17"/>
        <v>7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303">
        <f t="shared" si="17"/>
        <v>7</v>
      </c>
      <c r="S43" s="130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305">
        <f t="shared" si="17"/>
        <v>18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  <mergeCell ref="R40:S40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9" t="s">
        <v>67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4" ht="11.25" customHeight="1" x14ac:dyDescent="0.25">
      <c r="B4" s="1289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29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97">
        <f>8.33*(COUNTIFS(I29:O29,"&lt;&gt;"&amp;"L",I29:O29,"&lt;&gt;"&amp;"D"))+8*(COUNTIFS(I29:O29,"="&amp;"D"))</f>
        <v>57.65</v>
      </c>
      <c r="S29" s="129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97">
        <f t="shared" ref="R30:R36" si="14">8.33*(COUNTIFS(I30:O30,"&lt;&gt;"&amp;"L",I30:O30,"&lt;&gt;"&amp;"D"))+8*(COUNTIFS(I30:O30,"="&amp;"D"))</f>
        <v>24.990000000000002</v>
      </c>
      <c r="S30" s="129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97">
        <f t="shared" si="14"/>
        <v>33.32</v>
      </c>
      <c r="S31" s="129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97">
        <f t="shared" si="14"/>
        <v>41.32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97">
        <f t="shared" si="14"/>
        <v>24.990000000000002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97">
        <f t="shared" si="14"/>
        <v>32.99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97">
        <f t="shared" si="14"/>
        <v>41.65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7">
        <f t="shared" si="14"/>
        <v>57.32</v>
      </c>
      <c r="S36" s="130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301">
        <f>SUM(I39:O39)</f>
        <v>12</v>
      </c>
      <c r="S39" s="130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303">
        <f t="shared" ref="R40:R43" si="17"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303">
        <f t="shared" si="17"/>
        <v>7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303">
        <f t="shared" si="17"/>
        <v>7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305">
        <f t="shared" si="17"/>
        <v>18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baseColWidth="10"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9" t="s">
        <v>72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3" ht="11.25" customHeight="1" x14ac:dyDescent="0.25">
      <c r="B4" s="1289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290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97">
        <f>8.33*(COUNTIFS(I30:O30,"&lt;&gt;"&amp;"L",I30:O30,"&lt;&gt;"&amp;"D"))+8*(COUNTIFS(I30:O30,"="&amp;"D"))</f>
        <v>57.65</v>
      </c>
      <c r="S30" s="129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97">
        <f t="shared" ref="R31:R37" si="14">8.33*(COUNTIFS(I31:O31,"&lt;&gt;"&amp;"L",I31:O31,"&lt;&gt;"&amp;"D"))+8*(COUNTIFS(I31:O31,"="&amp;"D"))</f>
        <v>24.990000000000002</v>
      </c>
      <c r="S31" s="129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97">
        <f t="shared" si="14"/>
        <v>33.32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97">
        <f t="shared" si="14"/>
        <v>41.32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97">
        <f t="shared" si="14"/>
        <v>24.990000000000002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97">
        <f t="shared" si="14"/>
        <v>32.99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97">
        <f t="shared" si="14"/>
        <v>41.65</v>
      </c>
      <c r="S36" s="129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7">
        <f t="shared" si="14"/>
        <v>57.32</v>
      </c>
      <c r="S37" s="13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301">
        <f>SUM(I40:O40)</f>
        <v>12</v>
      </c>
      <c r="S40" s="130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303">
        <f t="shared" ref="R41:R44" si="17">SUM(I41:O41)</f>
        <v>12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303">
        <f t="shared" si="17"/>
        <v>7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303">
        <f t="shared" si="17"/>
        <v>7</v>
      </c>
      <c r="S43" s="130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305">
        <f t="shared" si="17"/>
        <v>18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9" t="s">
        <v>76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  <c r="AH3" s="179"/>
    </row>
    <row r="4" spans="2:34" ht="11.25" customHeight="1" x14ac:dyDescent="0.25">
      <c r="B4" s="128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29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297">
        <f>8.33*(COUNTIFS(I30:O30,"&lt;&gt;"&amp;"L",I30:O30,"&lt;&gt;"&amp;"D"))+8*(COUNTIFS(I30:O30,"="&amp;"D"))</f>
        <v>57.65</v>
      </c>
      <c r="S30" s="129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297">
        <f t="shared" ref="R31:R37" si="8">8.33*(COUNTIFS(I31:O31,"&lt;&gt;"&amp;"L",I31:O31,"&lt;&gt;"&amp;"D"))+8*(COUNTIFS(I31:O31,"="&amp;"D"))</f>
        <v>24.990000000000002</v>
      </c>
      <c r="S31" s="129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297">
        <f t="shared" si="8"/>
        <v>33.32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297">
        <f t="shared" si="8"/>
        <v>41.32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297">
        <f t="shared" si="8"/>
        <v>24.990000000000002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297">
        <f t="shared" si="8"/>
        <v>32.99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297">
        <f t="shared" si="8"/>
        <v>41.65</v>
      </c>
      <c r="S36" s="129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307">
        <f t="shared" si="8"/>
        <v>57.32</v>
      </c>
      <c r="S37" s="1308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301">
        <f>SUM(I40:O40)</f>
        <v>12</v>
      </c>
      <c r="S40" s="130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303">
        <f t="shared" ref="R41:R44" si="11">SUM(I41:O41)</f>
        <v>12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303">
        <f t="shared" si="11"/>
        <v>7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303">
        <f t="shared" si="11"/>
        <v>7</v>
      </c>
      <c r="S43" s="130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305">
        <f t="shared" si="11"/>
        <v>18</v>
      </c>
      <c r="S44" s="1306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288"/>
      <c r="E1" s="1288"/>
      <c r="F1" s="1288"/>
      <c r="G1" s="1288"/>
      <c r="H1" s="1288"/>
      <c r="I1" s="128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309" t="s">
        <v>80</v>
      </c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</row>
    <row r="4" spans="2:34" ht="11.25" customHeight="1" x14ac:dyDescent="0.25">
      <c r="B4" s="1289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290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297">
        <f>8.33*(COUNTIFS(I29:O29,"&lt;&gt;"&amp;"L",I29:O29,"&lt;&gt;"&amp;"D"))+8*(COUNTIFS(I29:O29,"="&amp;"D"))</f>
        <v>57.65</v>
      </c>
      <c r="S29" s="1298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297">
        <f t="shared" ref="R30:R36" si="8">8.33*(COUNTIFS(I30:O30,"&lt;&gt;"&amp;"L",I30:O30,"&lt;&gt;"&amp;"D"))+8*(COUNTIFS(I30:O30,"="&amp;"D"))</f>
        <v>24.990000000000002</v>
      </c>
      <c r="S30" s="1298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297">
        <f t="shared" si="8"/>
        <v>33.32</v>
      </c>
      <c r="S31" s="1298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297">
        <f t="shared" si="8"/>
        <v>41.32</v>
      </c>
      <c r="S32" s="1298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297">
        <f t="shared" si="8"/>
        <v>24.990000000000002</v>
      </c>
      <c r="S33" s="1298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297">
        <f t="shared" si="8"/>
        <v>32.99</v>
      </c>
      <c r="S34" s="1298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297">
        <f t="shared" si="8"/>
        <v>41.65</v>
      </c>
      <c r="S35" s="1298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307">
        <f t="shared" si="8"/>
        <v>57.32</v>
      </c>
      <c r="S36" s="1308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301">
        <f>SUM(I39:O39)</f>
        <v>12</v>
      </c>
      <c r="S39" s="130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303">
        <f t="shared" ref="R40:R43" si="11">SUM(I40:O40)</f>
        <v>12</v>
      </c>
      <c r="S40" s="1304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303">
        <f t="shared" si="11"/>
        <v>7</v>
      </c>
      <c r="S41" s="1304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303">
        <f t="shared" si="11"/>
        <v>7</v>
      </c>
      <c r="S42" s="1304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305">
        <f t="shared" si="11"/>
        <v>18</v>
      </c>
      <c r="S43" s="1306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288"/>
      <c r="E1" s="1288"/>
      <c r="F1" s="128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</row>
    <row r="4" spans="2:33" ht="11.25" customHeight="1" x14ac:dyDescent="0.25">
      <c r="B4" s="1289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290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297">
        <f>8.33*(COUNTIFS(F29:L29,"&lt;&gt;"&amp;"L",F29:L29,"&lt;&gt;"&amp;"D"))+8*(COUNTIFS(F29:L29,"="&amp;"D"))</f>
        <v>57.65</v>
      </c>
      <c r="P29" s="1298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297">
        <f t="shared" ref="O30:O36" si="8">8.33*(COUNTIFS(F30:L30,"&lt;&gt;"&amp;"L",F30:L30,"&lt;&gt;"&amp;"D"))+8*(COUNTIFS(F30:L30,"="&amp;"D"))</f>
        <v>24.990000000000002</v>
      </c>
      <c r="P30" s="1298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297">
        <f t="shared" si="8"/>
        <v>33.32</v>
      </c>
      <c r="P31" s="1298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297">
        <f t="shared" si="8"/>
        <v>41.32</v>
      </c>
      <c r="P32" s="1298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297">
        <f t="shared" si="8"/>
        <v>24.990000000000002</v>
      </c>
      <c r="P33" s="1298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297">
        <f t="shared" si="8"/>
        <v>32.99</v>
      </c>
      <c r="P34" s="1298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297">
        <f t="shared" si="8"/>
        <v>41.65</v>
      </c>
      <c r="P35" s="1298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307">
        <f t="shared" si="8"/>
        <v>57.32</v>
      </c>
      <c r="P36" s="1308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301">
        <f>SUM(F39:L39)</f>
        <v>12</v>
      </c>
      <c r="P39" s="1302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303">
        <f t="shared" ref="O40:O43" si="11">SUM(F40:L40)</f>
        <v>12</v>
      </c>
      <c r="P40" s="1304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303">
        <f t="shared" si="11"/>
        <v>7</v>
      </c>
      <c r="P41" s="1304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303">
        <f t="shared" si="11"/>
        <v>7</v>
      </c>
      <c r="P42" s="1304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305">
        <f t="shared" si="11"/>
        <v>18</v>
      </c>
      <c r="P43" s="1306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  <mergeCell ref="O31:P31"/>
    <mergeCell ref="D1:F1"/>
    <mergeCell ref="D3:AD3"/>
    <mergeCell ref="B4:B5"/>
    <mergeCell ref="O29:P29"/>
    <mergeCell ref="O30:P30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baseColWidth="10"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10"/>
      <c r="AF3" s="1309"/>
      <c r="AG3" s="1310"/>
    </row>
    <row r="4" spans="2:33" ht="11.25" customHeight="1" x14ac:dyDescent="0.25">
      <c r="B4" s="1311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311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307">
        <f t="shared" ref="N30:N37" si="8">8.33*(COUNTIFS(E30:K30,"&lt;&gt;"&amp;"L",E30:K30,"&lt;&gt;"&amp;"D"))+8*(COUNTIFS(E30:K30,"="&amp;"D"))</f>
        <v>57.65</v>
      </c>
      <c r="O30" s="1308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307">
        <f t="shared" si="8"/>
        <v>24.990000000000002</v>
      </c>
      <c r="O31" s="1308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307">
        <f t="shared" si="8"/>
        <v>33.32</v>
      </c>
      <c r="O32" s="1308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307">
        <f t="shared" si="8"/>
        <v>41.32</v>
      </c>
      <c r="O33" s="1308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307">
        <f t="shared" si="8"/>
        <v>24.990000000000002</v>
      </c>
      <c r="O34" s="1308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307">
        <f t="shared" si="8"/>
        <v>32.99</v>
      </c>
      <c r="O35" s="1308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307">
        <f t="shared" si="8"/>
        <v>41.65</v>
      </c>
      <c r="O36" s="1308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307">
        <f t="shared" si="8"/>
        <v>57.32</v>
      </c>
      <c r="O37" s="1308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301">
        <f>SUM(E40:K40)</f>
        <v>12</v>
      </c>
      <c r="O40" s="1302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303">
        <f>SUM(E41:K41)</f>
        <v>12</v>
      </c>
      <c r="O41" s="1304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303">
        <f>SUM(E42:K42)</f>
        <v>7</v>
      </c>
      <c r="O42" s="1304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303">
        <f>SUM(E43:K43)</f>
        <v>7</v>
      </c>
      <c r="O43" s="1304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305">
        <f>SUM(E44:K44)</f>
        <v>18</v>
      </c>
      <c r="O44" s="1306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AF3:AG3"/>
    <mergeCell ref="AB3:AE3"/>
    <mergeCell ref="B4:B5"/>
    <mergeCell ref="N30:O30"/>
    <mergeCell ref="N31:O31"/>
    <mergeCell ref="N32:O32"/>
    <mergeCell ref="N33:O33"/>
    <mergeCell ref="D3:AA3"/>
    <mergeCell ref="N42:O42"/>
    <mergeCell ref="N43:O43"/>
    <mergeCell ref="N44:O44"/>
    <mergeCell ref="N34:O34"/>
    <mergeCell ref="N35:O35"/>
    <mergeCell ref="N36:O36"/>
    <mergeCell ref="N37:O37"/>
    <mergeCell ref="N40:O40"/>
    <mergeCell ref="N41:O4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312" t="s">
        <v>95</v>
      </c>
      <c r="D2" s="1312"/>
      <c r="E2" s="1312"/>
      <c r="F2" s="1312"/>
      <c r="G2" s="1312" t="s">
        <v>95</v>
      </c>
      <c r="H2" s="1312"/>
      <c r="I2" s="1312" t="s">
        <v>95</v>
      </c>
      <c r="J2" s="1312"/>
      <c r="K2" s="1312" t="s">
        <v>95</v>
      </c>
      <c r="L2" s="1312"/>
      <c r="M2" s="1312" t="s">
        <v>95</v>
      </c>
      <c r="N2" s="1312"/>
      <c r="O2" s="1312" t="s">
        <v>95</v>
      </c>
      <c r="P2" s="1312"/>
      <c r="Q2" s="1312" t="s">
        <v>95</v>
      </c>
      <c r="R2" s="1312"/>
      <c r="S2" s="1312" t="s">
        <v>95</v>
      </c>
      <c r="T2" s="1312"/>
      <c r="U2" s="1312" t="s">
        <v>95</v>
      </c>
      <c r="V2" s="1312"/>
      <c r="W2" s="1312" t="s">
        <v>95</v>
      </c>
      <c r="X2" s="1312"/>
      <c r="Y2" s="1312" t="s">
        <v>95</v>
      </c>
      <c r="Z2" s="1312"/>
      <c r="AA2" s="1312" t="s">
        <v>95</v>
      </c>
      <c r="AB2" s="1312"/>
      <c r="AC2" s="1312" t="s">
        <v>95</v>
      </c>
      <c r="AD2" s="1312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313" t="s">
        <v>95</v>
      </c>
      <c r="G3" s="1313"/>
      <c r="H3" s="1313"/>
      <c r="I3" s="1313"/>
      <c r="J3" s="1313"/>
      <c r="K3" s="1313"/>
      <c r="L3" s="1313"/>
      <c r="M3" s="1313"/>
      <c r="N3" s="1313"/>
      <c r="O3" s="1313"/>
      <c r="P3" s="1313"/>
      <c r="Q3" s="1313"/>
      <c r="R3" s="1313"/>
      <c r="S3" s="1313"/>
      <c r="T3" s="1313"/>
      <c r="U3" s="1313"/>
      <c r="V3" s="1313"/>
      <c r="W3" s="1313"/>
      <c r="X3" s="1313"/>
      <c r="Y3" s="1313"/>
      <c r="Z3" s="1313"/>
      <c r="AA3" s="1313"/>
      <c r="AB3" s="1313"/>
      <c r="AC3" s="1313"/>
      <c r="AD3" s="1313" t="s">
        <v>95</v>
      </c>
      <c r="AE3" s="1314"/>
      <c r="AF3" s="448"/>
      <c r="AG3" s="448"/>
      <c r="AH3" s="449"/>
    </row>
    <row r="4" spans="2:34" ht="15" customHeight="1" x14ac:dyDescent="0.3">
      <c r="B4" s="1315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288"/>
      <c r="E1" s="1288"/>
      <c r="F1" s="128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309"/>
      <c r="E3" s="1309"/>
      <c r="F3" s="1309"/>
      <c r="G3" s="1309"/>
      <c r="H3" s="1309"/>
      <c r="I3" s="1309"/>
      <c r="J3" s="1309"/>
      <c r="K3" s="1309"/>
      <c r="L3" s="1309"/>
      <c r="M3" s="1309"/>
      <c r="N3" s="1309"/>
      <c r="O3" s="1309"/>
      <c r="P3" s="1309"/>
      <c r="Q3" s="1309"/>
      <c r="R3" s="1309"/>
      <c r="S3" s="1309"/>
      <c r="T3" s="1309"/>
      <c r="U3" s="1309"/>
      <c r="V3" s="1309"/>
      <c r="W3" s="1309"/>
      <c r="X3" s="1309"/>
      <c r="Y3" s="1309"/>
      <c r="Z3" s="1309"/>
      <c r="AA3" s="1309"/>
      <c r="AB3" s="1309"/>
      <c r="AC3" s="1309"/>
      <c r="AD3" s="1309"/>
      <c r="AE3" s="1309"/>
      <c r="AF3" s="1309"/>
      <c r="AG3" s="1309"/>
      <c r="AH3" s="1310"/>
    </row>
    <row r="4" spans="2:34" ht="11.25" customHeight="1" x14ac:dyDescent="0.25">
      <c r="B4" s="1311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31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307">
        <f>8.33*(COUNTIFS(F30:L30,"&lt;&gt;"&amp;"L",F30:L30,"&lt;&gt;"&amp;"D"))+8*(COUNTIFS(F30:L30,"="&amp;"D"))</f>
        <v>57.65</v>
      </c>
      <c r="P30" s="1308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307">
        <f t="shared" ref="O31:O37" si="10">8.33*(COUNTIFS(F31:L31,"&lt;&gt;"&amp;"L",F31:L31,"&lt;&gt;"&amp;"D"))+8*(COUNTIFS(F31:L31,"="&amp;"D"))</f>
        <v>24.990000000000002</v>
      </c>
      <c r="P31" s="1308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307">
        <f t="shared" si="10"/>
        <v>33.32</v>
      </c>
      <c r="P32" s="1308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307">
        <f t="shared" si="10"/>
        <v>41.32</v>
      </c>
      <c r="P33" s="1308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307">
        <f t="shared" si="10"/>
        <v>24.990000000000002</v>
      </c>
      <c r="P34" s="1308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307">
        <f t="shared" si="10"/>
        <v>32.99</v>
      </c>
      <c r="P35" s="1308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307">
        <f t="shared" si="10"/>
        <v>41.65</v>
      </c>
      <c r="P36" s="1308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307">
        <f t="shared" si="10"/>
        <v>57.32</v>
      </c>
      <c r="P37" s="1308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301">
        <f>SUM(F40:L40)</f>
        <v>12</v>
      </c>
      <c r="P40" s="1302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303">
        <f t="shared" ref="O41:O44" si="13">SUM(F41:L41)</f>
        <v>12</v>
      </c>
      <c r="P41" s="1304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303">
        <f t="shared" si="13"/>
        <v>7</v>
      </c>
      <c r="P42" s="1304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303">
        <f t="shared" si="13"/>
        <v>7</v>
      </c>
      <c r="P43" s="1304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305">
        <f t="shared" si="13"/>
        <v>18</v>
      </c>
      <c r="P44" s="1306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AE3:AH3"/>
    <mergeCell ref="D1:F1"/>
    <mergeCell ref="D3:AD3"/>
    <mergeCell ref="O30:P30"/>
    <mergeCell ref="O31:P31"/>
    <mergeCell ref="O41:P41"/>
    <mergeCell ref="O42:P42"/>
    <mergeCell ref="O43:P43"/>
    <mergeCell ref="O44:P44"/>
    <mergeCell ref="O37:P37"/>
    <mergeCell ref="O40:P40"/>
    <mergeCell ref="B4:B5"/>
    <mergeCell ref="O33:P33"/>
    <mergeCell ref="O34:P34"/>
    <mergeCell ref="O35:P35"/>
    <mergeCell ref="O36:P36"/>
    <mergeCell ref="O32:P3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baseColWidth="10"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309"/>
      <c r="AC3" s="1309"/>
      <c r="AD3" s="1309"/>
      <c r="AE3" s="1310"/>
      <c r="AF3" s="1309"/>
      <c r="AG3" s="1309"/>
      <c r="AH3" s="1310"/>
    </row>
    <row r="4" spans="2:34" ht="11.25" customHeight="1" x14ac:dyDescent="0.25">
      <c r="B4" s="1311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311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309"/>
      <c r="Z3" s="1309"/>
      <c r="AA3" s="1309"/>
      <c r="AB3" s="1309"/>
      <c r="AC3" s="1309"/>
      <c r="AD3" s="1309"/>
      <c r="AE3" s="1309"/>
      <c r="AF3" s="195"/>
      <c r="AG3" s="195"/>
      <c r="AH3" s="337"/>
    </row>
    <row r="4" spans="2:34" ht="11.25" customHeight="1" x14ac:dyDescent="0.25">
      <c r="B4" s="1311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311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312" t="s">
        <v>95</v>
      </c>
      <c r="D2" s="1312"/>
      <c r="E2" s="1312"/>
      <c r="F2" s="1312"/>
      <c r="G2" s="1312" t="s">
        <v>95</v>
      </c>
      <c r="H2" s="1312"/>
      <c r="I2" s="1312" t="s">
        <v>95</v>
      </c>
      <c r="J2" s="1312"/>
      <c r="K2" s="1312" t="s">
        <v>95</v>
      </c>
      <c r="L2" s="1312"/>
      <c r="M2" s="1312" t="s">
        <v>95</v>
      </c>
      <c r="N2" s="1312"/>
      <c r="O2" s="1312" t="s">
        <v>95</v>
      </c>
      <c r="P2" s="1312"/>
      <c r="Q2" s="1312" t="s">
        <v>95</v>
      </c>
      <c r="R2" s="1312"/>
      <c r="S2" s="1312" t="s">
        <v>95</v>
      </c>
      <c r="T2" s="1312"/>
      <c r="U2" s="1312" t="s">
        <v>95</v>
      </c>
      <c r="V2" s="1312"/>
      <c r="W2" s="1312" t="s">
        <v>95</v>
      </c>
      <c r="X2" s="1312"/>
      <c r="Y2" s="1312" t="s">
        <v>95</v>
      </c>
      <c r="Z2" s="1312"/>
      <c r="AA2" s="1312" t="s">
        <v>95</v>
      </c>
      <c r="AB2" s="1312"/>
      <c r="AC2" s="1312" t="s">
        <v>95</v>
      </c>
      <c r="AD2" s="1312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313" t="s">
        <v>95</v>
      </c>
      <c r="G3" s="1313"/>
      <c r="H3" s="1313"/>
      <c r="I3" s="1313"/>
      <c r="J3" s="1313"/>
      <c r="K3" s="1313"/>
      <c r="L3" s="1313"/>
      <c r="M3" s="1313"/>
      <c r="N3" s="1313"/>
      <c r="O3" s="1313"/>
      <c r="P3" s="1313"/>
      <c r="Q3" s="1313"/>
      <c r="R3" s="1313"/>
      <c r="S3" s="1313"/>
      <c r="T3" s="1313"/>
      <c r="U3" s="1313"/>
      <c r="V3" s="1313"/>
      <c r="W3" s="1313"/>
      <c r="X3" s="1313"/>
      <c r="Y3" s="1313"/>
      <c r="Z3" s="1313"/>
      <c r="AA3" s="1313"/>
      <c r="AB3" s="1313"/>
      <c r="AC3" s="1313"/>
      <c r="AD3" s="1313" t="s">
        <v>95</v>
      </c>
      <c r="AE3" s="1314"/>
    </row>
    <row r="4" spans="2:31" ht="15" customHeight="1" x14ac:dyDescent="0.3">
      <c r="B4" s="1315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B4:B5"/>
    <mergeCell ref="C2:F2"/>
    <mergeCell ref="G2:H2"/>
    <mergeCell ref="I2:J2"/>
    <mergeCell ref="K2:L2"/>
    <mergeCell ref="F3:AC3"/>
    <mergeCell ref="M2:N2"/>
    <mergeCell ref="O2:P2"/>
    <mergeCell ref="Q2:R2"/>
    <mergeCell ref="AD3:AE3"/>
    <mergeCell ref="S2:T2"/>
    <mergeCell ref="U2:V2"/>
    <mergeCell ref="W2:X2"/>
    <mergeCell ref="Y2:Z2"/>
    <mergeCell ref="AA2:AB2"/>
    <mergeCell ref="AC2:AD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315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315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315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312" t="s">
        <v>95</v>
      </c>
      <c r="D2" s="1312"/>
      <c r="E2" s="1312"/>
      <c r="F2" s="1312"/>
      <c r="G2" s="1312" t="s">
        <v>95</v>
      </c>
      <c r="H2" s="1312"/>
      <c r="I2" s="1312" t="s">
        <v>95</v>
      </c>
      <c r="J2" s="1312"/>
      <c r="K2" s="1312" t="s">
        <v>95</v>
      </c>
      <c r="L2" s="1312"/>
      <c r="M2" s="1312" t="s">
        <v>95</v>
      </c>
      <c r="N2" s="1312"/>
      <c r="O2" s="1312" t="s">
        <v>95</v>
      </c>
      <c r="P2" s="1312"/>
      <c r="Q2" s="1312" t="s">
        <v>95</v>
      </c>
      <c r="R2" s="1312"/>
      <c r="S2" s="1312" t="s">
        <v>95</v>
      </c>
      <c r="T2" s="1312"/>
      <c r="U2" s="1312" t="s">
        <v>95</v>
      </c>
      <c r="V2" s="1312"/>
      <c r="W2" s="1312" t="s">
        <v>95</v>
      </c>
      <c r="X2" s="1312"/>
      <c r="Y2" s="1312" t="s">
        <v>95</v>
      </c>
      <c r="Z2" s="1312"/>
      <c r="AA2" s="1312" t="s">
        <v>95</v>
      </c>
      <c r="AB2" s="1312"/>
      <c r="AC2" s="1312" t="s">
        <v>95</v>
      </c>
      <c r="AD2" s="1312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313"/>
      <c r="E3" s="1313"/>
      <c r="F3" s="1313" t="s">
        <v>95</v>
      </c>
      <c r="G3" s="1313"/>
      <c r="H3" s="1313"/>
      <c r="I3" s="1313"/>
      <c r="J3" s="1313"/>
      <c r="K3" s="1313"/>
      <c r="L3" s="1313"/>
      <c r="M3" s="1313"/>
      <c r="N3" s="1313"/>
      <c r="O3" s="1313"/>
      <c r="P3" s="1313"/>
      <c r="Q3" s="1313"/>
      <c r="R3" s="1313"/>
      <c r="S3" s="1313"/>
      <c r="T3" s="1313"/>
      <c r="U3" s="1313"/>
      <c r="V3" s="1313"/>
      <c r="W3" s="1313"/>
      <c r="X3" s="1313"/>
      <c r="Y3" s="1313"/>
      <c r="Z3" s="1313"/>
      <c r="AA3" s="1313"/>
      <c r="AB3" s="1313"/>
      <c r="AC3" s="1313"/>
      <c r="AD3" s="1313" t="s">
        <v>95</v>
      </c>
      <c r="AE3" s="1313"/>
      <c r="AF3" s="1313"/>
      <c r="AG3" s="1314"/>
    </row>
    <row r="4" spans="2:33" ht="15" customHeight="1" thickBot="1" x14ac:dyDescent="0.35">
      <c r="B4" s="1315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  <mergeCell ref="AF3:AG3"/>
    <mergeCell ref="D3:E3"/>
    <mergeCell ref="AC2:AD2"/>
    <mergeCell ref="F3:AC3"/>
    <mergeCell ref="AD3:AE3"/>
    <mergeCell ref="Y2:Z2"/>
    <mergeCell ref="AA2:AB2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315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315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315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315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315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315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315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Z16" sqref="Z1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316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317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V10" sqref="V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316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317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646" t="s">
        <v>23</v>
      </c>
      <c r="R6" s="647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 x14ac:dyDescent="0.25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Y7" sqref="Y7"/>
    </sheetView>
  </sheetViews>
  <sheetFormatPr baseColWidth="10"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316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317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5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3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3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49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 x14ac:dyDescent="0.25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x14ac:dyDescent="0.25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tabSelected="1" zoomScale="115" zoomScaleNormal="115" workbookViewId="0">
      <pane xSplit="3" ySplit="5" topLeftCell="E6" activePane="bottomRight" state="frozen"/>
      <selection pane="topRight" activeCell="D1" sqref="D1"/>
      <selection pane="bottomLeft" activeCell="A6" sqref="A6"/>
      <selection pane="bottomRight" activeCell="T10" sqref="T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316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317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1270" t="s">
        <v>7</v>
      </c>
      <c r="F6" s="1270" t="s">
        <v>7</v>
      </c>
      <c r="G6" s="1120" t="s">
        <v>53</v>
      </c>
      <c r="H6" s="1121" t="s">
        <v>53</v>
      </c>
      <c r="I6" s="1122" t="s">
        <v>23</v>
      </c>
      <c r="J6" s="1122" t="s">
        <v>23</v>
      </c>
      <c r="K6" s="1122" t="s">
        <v>16</v>
      </c>
      <c r="L6" s="1122" t="s">
        <v>16</v>
      </c>
      <c r="M6" s="1122" t="s">
        <v>16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16</v>
      </c>
      <c r="V6" s="1122" t="s">
        <v>16</v>
      </c>
      <c r="W6" s="1122" t="s">
        <v>22</v>
      </c>
      <c r="X6" s="1122" t="s">
        <v>22</v>
      </c>
      <c r="Y6" s="1122" t="s">
        <v>22</v>
      </c>
      <c r="Z6" s="1122" t="s">
        <v>22</v>
      </c>
      <c r="AA6" s="1122" t="s">
        <v>53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5">
      <c r="B10" s="242" t="s">
        <v>90</v>
      </c>
      <c r="C10" s="432" t="s">
        <v>28</v>
      </c>
      <c r="D10" s="1131" t="s">
        <v>7</v>
      </c>
      <c r="E10" s="732" t="s">
        <v>7</v>
      </c>
      <c r="F10" s="1270" t="s">
        <v>7</v>
      </c>
      <c r="G10" s="1132" t="s">
        <v>14</v>
      </c>
      <c r="H10" s="1099" t="s">
        <v>14</v>
      </c>
      <c r="I10" s="1272" t="s">
        <v>79</v>
      </c>
      <c r="J10" s="1272" t="s">
        <v>79</v>
      </c>
      <c r="K10" s="1272" t="s">
        <v>79</v>
      </c>
      <c r="L10" s="1272" t="s">
        <v>79</v>
      </c>
      <c r="M10" s="1272" t="s">
        <v>79</v>
      </c>
      <c r="N10" s="1272" t="s">
        <v>79</v>
      </c>
      <c r="O10" s="1272" t="s">
        <v>79</v>
      </c>
      <c r="P10" s="681" t="s">
        <v>4</v>
      </c>
      <c r="Q10" s="681" t="s">
        <v>4</v>
      </c>
      <c r="R10" s="681" t="s">
        <v>4</v>
      </c>
      <c r="S10" s="681" t="s">
        <v>4</v>
      </c>
      <c r="T10" s="681" t="s">
        <v>4</v>
      </c>
      <c r="U10" s="1109" t="s">
        <v>7</v>
      </c>
      <c r="V10" s="1114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155" t="s">
        <v>19</v>
      </c>
      <c r="P11" s="1105" t="s">
        <v>6</v>
      </c>
      <c r="Q11" s="1105" t="s">
        <v>6</v>
      </c>
      <c r="R11" s="1105" t="s">
        <v>6</v>
      </c>
      <c r="S11" s="1274" t="s">
        <v>19</v>
      </c>
      <c r="T11" s="1274" t="s">
        <v>19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275" t="s">
        <v>105</v>
      </c>
      <c r="J12" s="1275" t="s">
        <v>105</v>
      </c>
      <c r="K12" s="1275" t="s">
        <v>105</v>
      </c>
      <c r="L12" s="1154" t="s">
        <v>19</v>
      </c>
      <c r="M12" s="1149" t="s">
        <v>19</v>
      </c>
      <c r="N12" s="1085" t="s">
        <v>19</v>
      </c>
      <c r="O12" s="1149" t="s">
        <v>7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4" t="s">
        <v>6</v>
      </c>
      <c r="E13" s="1270" t="s">
        <v>7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273" t="s">
        <v>6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4</v>
      </c>
      <c r="F18" s="718">
        <f t="shared" si="0"/>
        <v>4</v>
      </c>
      <c r="G18" s="694">
        <f t="shared" si="0"/>
        <v>4</v>
      </c>
      <c r="H18" s="695">
        <f t="shared" si="0"/>
        <v>4</v>
      </c>
      <c r="I18" s="710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5</v>
      </c>
      <c r="Q18" s="53">
        <f t="shared" si="0"/>
        <v>5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1</v>
      </c>
      <c r="F19" s="719">
        <f t="shared" si="5"/>
        <v>1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>COUNTIFS(L$6:L$13,"M")+COUNTIFS(L$6:L$13,"MG")</f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1</v>
      </c>
      <c r="F20" s="720">
        <f t="shared" si="6"/>
        <v>1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>COUNTIFS(L$6:L$13,"T")+COUNTIFS(L$6:L$13,"TG")</f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1</v>
      </c>
      <c r="Q20" s="84">
        <f t="shared" si="6"/>
        <v>1</v>
      </c>
      <c r="R20" s="84">
        <f t="shared" si="6"/>
        <v>1</v>
      </c>
      <c r="S20" s="84">
        <f t="shared" si="6"/>
        <v>1</v>
      </c>
      <c r="T20" s="84">
        <f t="shared" si="6"/>
        <v>1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0</v>
      </c>
      <c r="J21" s="87">
        <f t="shared" si="7"/>
        <v>0</v>
      </c>
      <c r="K21" s="87">
        <f t="shared" si="7"/>
        <v>0</v>
      </c>
      <c r="L21" s="87">
        <f>COUNTIFS(L$6:L$13,"N")+COUNTIFS(L$6:L$13,"NG")</f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0</v>
      </c>
      <c r="J22" s="90">
        <f t="shared" si="8"/>
        <v>0</v>
      </c>
      <c r="K22" s="90">
        <f t="shared" si="8"/>
        <v>0</v>
      </c>
      <c r="L22" s="90">
        <f>COUNTIFS(L$6:L$13,"D")+COUNTIFS(L$6:L$13,"DG")</f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4</v>
      </c>
      <c r="F23" s="723">
        <f t="shared" si="9"/>
        <v>4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>COUNTIFS(L$6:L$13,"L")+COUNTIFS(L$6:L$13,"LG")</f>
        <v>1</v>
      </c>
      <c r="M23" s="723">
        <f t="shared" si="9"/>
        <v>1</v>
      </c>
      <c r="N23" s="704">
        <f t="shared" si="9"/>
        <v>3</v>
      </c>
      <c r="O23" s="705">
        <f t="shared" si="9"/>
        <v>3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1</v>
      </c>
      <c r="G24" s="706">
        <f t="shared" ref="G24:H24" si="12">COUNTIFS(G$6:G$13,"MG")+COUNTIFS(G$6:G$13,"TG")+COUNTIFS(G$6:G$13,"LG")+COUNTIFS(G$6:G$13,"DG")</f>
        <v>1</v>
      </c>
      <c r="H24" s="707">
        <f t="shared" si="12"/>
        <v>1</v>
      </c>
      <c r="I24" s="716">
        <f t="shared" si="10"/>
        <v>1</v>
      </c>
      <c r="J24" s="180">
        <f t="shared" ref="J24" si="13">COUNTIFS(K$6:K$13,"MG")+COUNTIFS(K$6:K$13,"TG")+COUNTIFS(K$6:K$13,"LG")+COUNTIFS(K$6:K$13,"DG")</f>
        <v>1</v>
      </c>
      <c r="K24" s="180">
        <f t="shared" ref="K24:AG24" si="14">COUNTIFS(K$6:K$13,"MG")+COUNTIFS(K$6:K$13,"TG")+COUNTIFS(K$6:K$13,"LG")+COUNTIFS(K$6:K$13,"DG")</f>
        <v>1</v>
      </c>
      <c r="L24" s="180">
        <f>COUNTIFS(L$6:L$13,"MG")+COUNTIFS(L$6:L$13,"TG")+COUNTIFS(L$6:L$13,"LG")+COUNTIFS(L$6:L$13,"DG")</f>
        <v>1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ref="W24" si="18">COUNTIFS(X$6:X$13,"MG")+COUNTIFS(X$6:X$13,"TG")+COUNTIFS(X$6:X$13,"LG")+COUNTIFS(X$6:X$13,"DG")</f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>COUNTIFS(L$6:L$13,"V")</f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1</v>
      </c>
      <c r="Q25" s="94">
        <f t="shared" si="19"/>
        <v>1</v>
      </c>
      <c r="R25" s="94">
        <f t="shared" si="19"/>
        <v>1</v>
      </c>
      <c r="S25" s="94">
        <f t="shared" si="19"/>
        <v>1</v>
      </c>
      <c r="T25" s="94">
        <f t="shared" si="19"/>
        <v>1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38" sqref="I3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316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 x14ac:dyDescent="0.35">
      <c r="B5" s="1317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23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7</v>
      </c>
      <c r="E10" s="1137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7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4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1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1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4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6" sqref="AG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316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317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23</v>
      </c>
      <c r="E6" s="1122" t="s">
        <v>23</v>
      </c>
      <c r="F6" s="1122" t="s">
        <v>16</v>
      </c>
      <c r="G6" s="1122" t="s">
        <v>16</v>
      </c>
      <c r="H6" s="1122" t="s">
        <v>16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16</v>
      </c>
      <c r="Q6" s="1122" t="s">
        <v>16</v>
      </c>
      <c r="R6" s="1122" t="s">
        <v>22</v>
      </c>
      <c r="S6" s="1122" t="s">
        <v>22</v>
      </c>
      <c r="T6" s="1122" t="s">
        <v>22</v>
      </c>
      <c r="U6" s="1122" t="s">
        <v>22</v>
      </c>
      <c r="V6" s="1122" t="s">
        <v>53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53</v>
      </c>
      <c r="AE6" s="1121" t="s">
        <v>53</v>
      </c>
      <c r="AF6" s="1122" t="s">
        <v>23</v>
      </c>
      <c r="AG6" s="1122" t="s">
        <v>23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16</v>
      </c>
      <c r="J7" s="1084" t="s">
        <v>16</v>
      </c>
      <c r="K7" s="1084" t="s">
        <v>22</v>
      </c>
      <c r="L7" s="1084" t="s">
        <v>22</v>
      </c>
      <c r="M7" s="1084" t="s">
        <v>22</v>
      </c>
      <c r="N7" s="1084" t="s">
        <v>22</v>
      </c>
      <c r="O7" s="1084" t="s">
        <v>23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8" t="s">
        <v>8</v>
      </c>
      <c r="W7" s="1087" t="s">
        <v>53</v>
      </c>
      <c r="X7" s="1087" t="s">
        <v>53</v>
      </c>
      <c r="Y7" s="1083" t="s">
        <v>23</v>
      </c>
      <c r="Z7" s="1084" t="s">
        <v>23</v>
      </c>
      <c r="AA7" s="1084" t="s">
        <v>16</v>
      </c>
      <c r="AB7" s="1084" t="s">
        <v>16</v>
      </c>
      <c r="AC7" s="1084" t="s">
        <v>16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1</v>
      </c>
      <c r="E24" s="180">
        <f t="shared" ref="E24" si="13">COUNTIFS(F$6:F$13,"MG")+COUNTIFS(F$6:F$13,"TG")+COUNTIFS(F$6:F$13,"LG")+COUNTIFS(F$6:F$13,"DG")</f>
        <v>1</v>
      </c>
      <c r="F24" s="180">
        <f t="shared" ref="F24:AG24" si="14">COUNTIFS(F$6:F$13,"MG")+COUNTIFS(F$6:F$13,"TG")+COUNTIFS(F$6:F$13,"LG")+COUNTIFS(F$6:F$13,"DG")</f>
        <v>1</v>
      </c>
      <c r="G24" s="180">
        <f t="shared" si="14"/>
        <v>1</v>
      </c>
      <c r="H24" s="724">
        <f t="shared" ref="H24" si="15">COUNTIFS(I$6:I$13,"MG")+COUNTIFS(I$6:I$13,"TG")+COUNTIFS(I$6:I$13,"LG")+COUNTIFS(I$6:I$13,"DG")</f>
        <v>1</v>
      </c>
      <c r="I24" s="706">
        <f t="shared" si="14"/>
        <v>1</v>
      </c>
      <c r="J24" s="707">
        <f t="shared" si="14"/>
        <v>1</v>
      </c>
      <c r="K24" s="716">
        <f t="shared" ref="K24" si="16">COUNTIFS(L$6:L$13,"MG")+COUNTIFS(L$6:L$13,"TG")+COUNTIFS(L$6:L$13,"LG")+COUNTIFS(L$6:L$13,"DG")</f>
        <v>1</v>
      </c>
      <c r="L24" s="180">
        <f t="shared" si="14"/>
        <v>1</v>
      </c>
      <c r="M24" s="180">
        <f t="shared" si="14"/>
        <v>1</v>
      </c>
      <c r="N24" s="180">
        <f t="shared" ref="N24" si="17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ref="R24" si="18">COUNTIFS(S$6:S$13,"MG")+COUNTIFS(S$6:S$13,"TG")+COUNTIFS(S$6:S$13,"LG")+COUNTIFS(S$6:S$13,"DG")</f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5BD0-98CE-4459-850E-28A7D4886600}">
  <dimension ref="A1:AH34"/>
  <sheetViews>
    <sheetView workbookViewId="0">
      <selection activeCell="P14" sqref="P14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23" width="4.26953125" customWidth="1"/>
    <col min="24" max="24" width="3.7265625" customWidth="1"/>
    <col min="25" max="25" width="3.453125" customWidth="1"/>
    <col min="26" max="26" width="3.7265625" customWidth="1"/>
    <col min="27" max="27" width="3.54296875" customWidth="1"/>
    <col min="28" max="28" width="3.7265625" customWidth="1"/>
    <col min="29" max="29" width="4" customWidth="1"/>
    <col min="30" max="30" width="3.7265625" customWidth="1"/>
    <col min="31" max="31" width="4.1796875" customWidth="1"/>
    <col min="32" max="32" width="4" customWidth="1"/>
    <col min="33" max="34" width="4.179687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87"/>
      <c r="E2" s="455"/>
      <c r="F2" s="487"/>
      <c r="G2" s="487"/>
      <c r="H2" s="487"/>
      <c r="I2" s="455"/>
      <c r="J2" s="455"/>
      <c r="K2" s="544"/>
      <c r="L2" s="544"/>
      <c r="M2" s="544"/>
      <c r="N2" s="487"/>
      <c r="O2" s="455"/>
      <c r="P2" s="544"/>
      <c r="Q2" s="544"/>
      <c r="R2" s="544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157" t="s">
        <v>3</v>
      </c>
      <c r="C4" s="450" t="s">
        <v>95</v>
      </c>
      <c r="D4" s="590" t="s">
        <v>9</v>
      </c>
      <c r="E4" s="590" t="s">
        <v>10</v>
      </c>
      <c r="F4" s="590" t="s">
        <v>4</v>
      </c>
      <c r="G4" s="630" t="s">
        <v>5</v>
      </c>
      <c r="H4" s="631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546" t="s">
        <v>5</v>
      </c>
      <c r="V4" s="546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452" t="s">
        <v>4</v>
      </c>
      <c r="AB4" s="546" t="s">
        <v>104</v>
      </c>
      <c r="AC4" s="546" t="s">
        <v>6</v>
      </c>
      <c r="AD4" s="452" t="s">
        <v>7</v>
      </c>
      <c r="AE4" s="452" t="s">
        <v>8</v>
      </c>
      <c r="AF4" s="452" t="s">
        <v>9</v>
      </c>
      <c r="AG4" s="452" t="s">
        <v>10</v>
      </c>
      <c r="AH4" s="452" t="s">
        <v>4</v>
      </c>
    </row>
    <row r="5" spans="2:34" ht="13" x14ac:dyDescent="0.3">
      <c r="B5" s="1158"/>
      <c r="C5" s="882" t="s">
        <v>95</v>
      </c>
      <c r="D5" s="1117">
        <v>1</v>
      </c>
      <c r="E5" s="1118">
        <v>2</v>
      </c>
      <c r="F5" s="1076">
        <v>3</v>
      </c>
      <c r="G5" s="1076">
        <v>4</v>
      </c>
      <c r="H5" s="1117">
        <v>5</v>
      </c>
      <c r="I5" s="1118">
        <v>6</v>
      </c>
      <c r="J5" s="1076">
        <v>7</v>
      </c>
      <c r="K5" s="1076">
        <v>8</v>
      </c>
      <c r="L5" s="1117">
        <v>9</v>
      </c>
      <c r="M5" s="1118">
        <v>10</v>
      </c>
      <c r="N5" s="1076">
        <v>11</v>
      </c>
      <c r="O5" s="1076">
        <v>12</v>
      </c>
      <c r="P5" s="1117">
        <v>13</v>
      </c>
      <c r="Q5" s="1118">
        <v>14</v>
      </c>
      <c r="R5" s="1076">
        <v>15</v>
      </c>
      <c r="S5" s="1076">
        <v>16</v>
      </c>
      <c r="T5" s="1117">
        <v>17</v>
      </c>
      <c r="U5" s="1118">
        <v>18</v>
      </c>
      <c r="V5" s="1076">
        <v>19</v>
      </c>
      <c r="W5" s="1076">
        <v>20</v>
      </c>
      <c r="X5" s="1117">
        <v>21</v>
      </c>
      <c r="Y5" s="1118">
        <v>22</v>
      </c>
      <c r="Z5" s="1076">
        <v>23</v>
      </c>
      <c r="AA5" s="1116">
        <v>24</v>
      </c>
      <c r="AB5" s="1076">
        <v>25</v>
      </c>
      <c r="AC5" s="1118">
        <v>26</v>
      </c>
      <c r="AD5" s="1076">
        <v>27</v>
      </c>
      <c r="AE5" s="1076">
        <v>28</v>
      </c>
      <c r="AF5" s="1076">
        <v>29</v>
      </c>
      <c r="AG5" s="1076">
        <v>30</v>
      </c>
      <c r="AH5" s="1076">
        <v>31</v>
      </c>
    </row>
    <row r="6" spans="2:34" x14ac:dyDescent="0.25">
      <c r="B6" s="244" t="s">
        <v>97</v>
      </c>
      <c r="C6" s="375" t="s">
        <v>13</v>
      </c>
      <c r="D6" s="1122" t="s">
        <v>16</v>
      </c>
      <c r="E6" s="1122" t="s">
        <v>16</v>
      </c>
      <c r="F6" s="1122" t="s">
        <v>16</v>
      </c>
      <c r="G6" s="1102" t="s">
        <v>7</v>
      </c>
      <c r="H6" s="1099" t="s">
        <v>7</v>
      </c>
      <c r="I6" s="1123" t="s">
        <v>8</v>
      </c>
      <c r="J6" s="1123" t="s">
        <v>8</v>
      </c>
      <c r="K6" s="1123" t="s">
        <v>7</v>
      </c>
      <c r="L6" s="1123" t="s">
        <v>7</v>
      </c>
      <c r="M6" s="1123" t="s">
        <v>7</v>
      </c>
      <c r="N6" s="1122" t="s">
        <v>16</v>
      </c>
      <c r="O6" s="1122" t="s">
        <v>16</v>
      </c>
      <c r="P6" s="1122" t="s">
        <v>22</v>
      </c>
      <c r="Q6" s="1122" t="s">
        <v>22</v>
      </c>
      <c r="R6" s="1122" t="s">
        <v>22</v>
      </c>
      <c r="S6" s="1122" t="s">
        <v>22</v>
      </c>
      <c r="T6" s="1122" t="s">
        <v>53</v>
      </c>
      <c r="U6" s="1086" t="s">
        <v>7</v>
      </c>
      <c r="V6" s="1086" t="s">
        <v>7</v>
      </c>
      <c r="W6" s="1124" t="s">
        <v>8</v>
      </c>
      <c r="X6" s="1123" t="s">
        <v>8</v>
      </c>
      <c r="Y6" s="1123" t="s">
        <v>8</v>
      </c>
      <c r="Z6" s="1123" t="s">
        <v>8</v>
      </c>
      <c r="AA6" s="1119" t="s">
        <v>8</v>
      </c>
      <c r="AB6" s="1083" t="s">
        <v>53</v>
      </c>
      <c r="AC6" s="1083" t="s">
        <v>53</v>
      </c>
      <c r="AD6" s="1084" t="s">
        <v>23</v>
      </c>
      <c r="AE6" s="1084" t="s">
        <v>23</v>
      </c>
      <c r="AF6" s="1084" t="s">
        <v>16</v>
      </c>
      <c r="AG6" s="1084" t="s">
        <v>16</v>
      </c>
      <c r="AH6" s="1084" t="s">
        <v>16</v>
      </c>
    </row>
    <row r="7" spans="2:34" x14ac:dyDescent="0.25">
      <c r="B7" s="244" t="s">
        <v>73</v>
      </c>
      <c r="C7" s="375" t="s">
        <v>18</v>
      </c>
      <c r="D7" s="103" t="s">
        <v>7</v>
      </c>
      <c r="E7" s="103" t="s">
        <v>7</v>
      </c>
      <c r="F7" s="103" t="s">
        <v>7</v>
      </c>
      <c r="G7" s="77" t="s">
        <v>23</v>
      </c>
      <c r="H7" s="77" t="s">
        <v>23</v>
      </c>
      <c r="I7" s="1084" t="s">
        <v>22</v>
      </c>
      <c r="J7" s="1084" t="s">
        <v>22</v>
      </c>
      <c r="K7" s="1084" t="s">
        <v>22</v>
      </c>
      <c r="L7" s="1084" t="s">
        <v>22</v>
      </c>
      <c r="M7" s="1084" t="s">
        <v>53</v>
      </c>
      <c r="N7" s="1085" t="s">
        <v>7</v>
      </c>
      <c r="O7" s="1086" t="s">
        <v>7</v>
      </c>
      <c r="P7" s="103" t="s">
        <v>8</v>
      </c>
      <c r="Q7" s="103" t="s">
        <v>8</v>
      </c>
      <c r="R7" s="103" t="s">
        <v>8</v>
      </c>
      <c r="S7" s="103" t="s">
        <v>8</v>
      </c>
      <c r="T7" s="1138" t="s">
        <v>8</v>
      </c>
      <c r="U7" s="1087" t="s">
        <v>53</v>
      </c>
      <c r="V7" s="1087" t="s">
        <v>53</v>
      </c>
      <c r="W7" s="1083" t="s">
        <v>23</v>
      </c>
      <c r="X7" s="1084" t="s">
        <v>23</v>
      </c>
      <c r="Y7" s="1084" t="s">
        <v>16</v>
      </c>
      <c r="Z7" s="1084" t="s">
        <v>16</v>
      </c>
      <c r="AA7" s="1125" t="s">
        <v>16</v>
      </c>
      <c r="AB7" s="1271" t="s">
        <v>8</v>
      </c>
      <c r="AC7" s="1271" t="s">
        <v>8</v>
      </c>
      <c r="AD7" s="103" t="s">
        <v>8</v>
      </c>
      <c r="AE7" s="103" t="s">
        <v>8</v>
      </c>
      <c r="AF7" s="103" t="s">
        <v>7</v>
      </c>
      <c r="AG7" s="103" t="s">
        <v>7</v>
      </c>
      <c r="AH7" s="103" t="s">
        <v>7</v>
      </c>
    </row>
    <row r="8" spans="2:34" x14ac:dyDescent="0.25">
      <c r="B8" s="244" t="s">
        <v>103</v>
      </c>
      <c r="C8" s="375" t="s">
        <v>21</v>
      </c>
      <c r="D8" s="103" t="s">
        <v>14</v>
      </c>
      <c r="E8" s="103" t="s">
        <v>14</v>
      </c>
      <c r="F8" s="1095" t="s">
        <v>6</v>
      </c>
      <c r="G8" s="77" t="s">
        <v>8</v>
      </c>
      <c r="H8" s="77" t="s">
        <v>8</v>
      </c>
      <c r="I8" s="103" t="s">
        <v>8</v>
      </c>
      <c r="J8" s="103" t="s">
        <v>8</v>
      </c>
      <c r="K8" s="103" t="s">
        <v>8</v>
      </c>
      <c r="L8" s="103" t="s">
        <v>8</v>
      </c>
      <c r="M8" s="103" t="s">
        <v>8</v>
      </c>
      <c r="N8" s="1091" t="s">
        <v>6</v>
      </c>
      <c r="O8" s="1091" t="s">
        <v>6</v>
      </c>
      <c r="P8" s="103" t="s">
        <v>7</v>
      </c>
      <c r="Q8" s="103" t="s">
        <v>7</v>
      </c>
      <c r="R8" s="103" t="s">
        <v>8</v>
      </c>
      <c r="S8" s="103" t="s">
        <v>8</v>
      </c>
      <c r="T8" s="1138" t="s">
        <v>8</v>
      </c>
      <c r="U8" s="1086" t="s">
        <v>7</v>
      </c>
      <c r="V8" s="1086" t="s">
        <v>7</v>
      </c>
      <c r="W8" s="1088" t="s">
        <v>8</v>
      </c>
      <c r="X8" s="103" t="s">
        <v>8</v>
      </c>
      <c r="Y8" s="103" t="s">
        <v>7</v>
      </c>
      <c r="Z8" s="103" t="s">
        <v>7</v>
      </c>
      <c r="AA8" s="1128" t="s">
        <v>7</v>
      </c>
      <c r="AB8" s="1271" t="s">
        <v>7</v>
      </c>
      <c r="AC8" s="1271" t="s">
        <v>7</v>
      </c>
      <c r="AD8" s="103" t="s">
        <v>14</v>
      </c>
      <c r="AE8" s="103" t="s">
        <v>14</v>
      </c>
      <c r="AF8" s="103" t="s">
        <v>14</v>
      </c>
      <c r="AG8" s="103" t="s">
        <v>14</v>
      </c>
      <c r="AH8" s="103" t="s">
        <v>6</v>
      </c>
    </row>
    <row r="9" spans="2:34" x14ac:dyDescent="0.25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5" t="s">
        <v>6</v>
      </c>
      <c r="H9" s="1095" t="s">
        <v>6</v>
      </c>
      <c r="I9" s="1092" t="s">
        <v>7</v>
      </c>
      <c r="J9" s="1092" t="s">
        <v>7</v>
      </c>
      <c r="K9" s="1092" t="s">
        <v>8</v>
      </c>
      <c r="L9" s="1092" t="s">
        <v>8</v>
      </c>
      <c r="M9" s="1092" t="s">
        <v>8</v>
      </c>
      <c r="N9" s="1089" t="s">
        <v>7</v>
      </c>
      <c r="O9" s="1090" t="s">
        <v>7</v>
      </c>
      <c r="P9" s="1092" t="s">
        <v>8</v>
      </c>
      <c r="Q9" s="1092" t="s">
        <v>8</v>
      </c>
      <c r="R9" s="1092" t="s">
        <v>7</v>
      </c>
      <c r="S9" s="1092" t="s">
        <v>7</v>
      </c>
      <c r="T9" s="1139" t="s">
        <v>7</v>
      </c>
      <c r="U9" s="1086" t="s">
        <v>8</v>
      </c>
      <c r="V9" s="1086" t="s">
        <v>8</v>
      </c>
      <c r="W9" s="1093" t="s">
        <v>14</v>
      </c>
      <c r="X9" s="1092" t="s">
        <v>14</v>
      </c>
      <c r="Y9" s="1092" t="s">
        <v>14</v>
      </c>
      <c r="Z9" s="1092" t="s">
        <v>14</v>
      </c>
      <c r="AA9" s="1160" t="s">
        <v>6</v>
      </c>
      <c r="AB9" s="1161" t="s">
        <v>7</v>
      </c>
      <c r="AC9" s="1161" t="s">
        <v>7</v>
      </c>
      <c r="AD9" s="1092" t="s">
        <v>8</v>
      </c>
      <c r="AE9" s="1092" t="s">
        <v>8</v>
      </c>
      <c r="AF9" s="1092" t="s">
        <v>8</v>
      </c>
      <c r="AG9" s="1092" t="s">
        <v>8</v>
      </c>
      <c r="AH9" s="1092" t="s">
        <v>8</v>
      </c>
    </row>
    <row r="10" spans="2:34" x14ac:dyDescent="0.25">
      <c r="B10" s="242" t="s">
        <v>90</v>
      </c>
      <c r="C10" s="432" t="s">
        <v>28</v>
      </c>
      <c r="D10" s="1097" t="s">
        <v>19</v>
      </c>
      <c r="E10" s="1100" t="s">
        <v>6</v>
      </c>
      <c r="F10" s="1097" t="s">
        <v>7</v>
      </c>
      <c r="G10" s="1098" t="s">
        <v>7</v>
      </c>
      <c r="H10" s="1099" t="s">
        <v>7</v>
      </c>
      <c r="I10" s="1101" t="s">
        <v>14</v>
      </c>
      <c r="J10" s="1097" t="s">
        <v>14</v>
      </c>
      <c r="K10" s="1097" t="s">
        <v>14</v>
      </c>
      <c r="L10" s="1101" t="s">
        <v>19</v>
      </c>
      <c r="M10" s="1101" t="s">
        <v>19</v>
      </c>
      <c r="N10" s="1102" t="s">
        <v>7</v>
      </c>
      <c r="O10" s="1099" t="s">
        <v>7</v>
      </c>
      <c r="P10" s="1091" t="s">
        <v>6</v>
      </c>
      <c r="Q10" s="1091" t="s">
        <v>6</v>
      </c>
      <c r="R10" s="1091" t="s">
        <v>6</v>
      </c>
      <c r="S10" s="1101" t="s">
        <v>14</v>
      </c>
      <c r="T10" s="1140" t="s">
        <v>14</v>
      </c>
      <c r="U10" s="1086" t="s">
        <v>19</v>
      </c>
      <c r="V10" s="1086" t="s">
        <v>19</v>
      </c>
      <c r="W10" s="1096" t="s">
        <v>7</v>
      </c>
      <c r="X10" s="1097" t="s">
        <v>7</v>
      </c>
      <c r="Y10" s="1097" t="s">
        <v>7</v>
      </c>
      <c r="Z10" s="1097" t="s">
        <v>7</v>
      </c>
      <c r="AA10" s="1131" t="s">
        <v>14</v>
      </c>
      <c r="AB10" s="1162" t="s">
        <v>14</v>
      </c>
      <c r="AC10" s="1162" t="s">
        <v>14</v>
      </c>
      <c r="AD10" s="1097" t="s">
        <v>19</v>
      </c>
      <c r="AE10" s="1097" t="s">
        <v>19</v>
      </c>
      <c r="AF10" s="1097" t="s">
        <v>19</v>
      </c>
      <c r="AG10" s="1100" t="s">
        <v>6</v>
      </c>
      <c r="AH10" s="1097" t="s">
        <v>7</v>
      </c>
    </row>
    <row r="11" spans="2:34" x14ac:dyDescent="0.25">
      <c r="B11" s="376" t="s">
        <v>91</v>
      </c>
      <c r="C11" s="375" t="s">
        <v>30</v>
      </c>
      <c r="D11" s="24" t="s">
        <v>14</v>
      </c>
      <c r="E11" s="1104" t="s">
        <v>19</v>
      </c>
      <c r="F11" s="1104" t="s">
        <v>19</v>
      </c>
      <c r="G11" s="1085" t="s">
        <v>7</v>
      </c>
      <c r="H11" s="1086" t="s">
        <v>7</v>
      </c>
      <c r="I11" s="1105" t="s">
        <v>6</v>
      </c>
      <c r="J11" s="1105" t="s">
        <v>6</v>
      </c>
      <c r="K11" s="1105" t="s">
        <v>6</v>
      </c>
      <c r="L11" s="1104" t="s">
        <v>14</v>
      </c>
      <c r="M11" s="1104" t="s">
        <v>14</v>
      </c>
      <c r="N11" s="1085" t="s">
        <v>19</v>
      </c>
      <c r="O11" s="1086" t="s">
        <v>19</v>
      </c>
      <c r="P11" s="24" t="s">
        <v>7</v>
      </c>
      <c r="Q11" s="24" t="s">
        <v>7</v>
      </c>
      <c r="R11" s="24" t="s">
        <v>7</v>
      </c>
      <c r="S11" s="24" t="s">
        <v>7</v>
      </c>
      <c r="T11" s="69" t="s">
        <v>14</v>
      </c>
      <c r="U11" s="1086" t="s">
        <v>14</v>
      </c>
      <c r="V11" s="1086" t="s">
        <v>14</v>
      </c>
      <c r="W11" s="1103" t="s">
        <v>19</v>
      </c>
      <c r="X11" s="24" t="s">
        <v>19</v>
      </c>
      <c r="Y11" s="24" t="s">
        <v>19</v>
      </c>
      <c r="Z11" s="76" t="s">
        <v>6</v>
      </c>
      <c r="AA11" s="1163" t="s">
        <v>7</v>
      </c>
      <c r="AB11" s="1159" t="s">
        <v>7</v>
      </c>
      <c r="AC11" s="1159" t="s">
        <v>7</v>
      </c>
      <c r="AD11" s="1104" t="s">
        <v>14</v>
      </c>
      <c r="AE11" s="24" t="s">
        <v>14</v>
      </c>
      <c r="AF11" s="24" t="s">
        <v>14</v>
      </c>
      <c r="AG11" s="1104" t="s">
        <v>19</v>
      </c>
      <c r="AH11" s="1104" t="s">
        <v>19</v>
      </c>
    </row>
    <row r="12" spans="2:34" x14ac:dyDescent="0.25">
      <c r="B12" s="244" t="s">
        <v>92</v>
      </c>
      <c r="C12" s="375" t="s">
        <v>32</v>
      </c>
      <c r="D12" s="1105" t="s">
        <v>6</v>
      </c>
      <c r="E12" s="1104" t="s">
        <v>14</v>
      </c>
      <c r="F12" s="1104" t="s">
        <v>14</v>
      </c>
      <c r="G12" s="1085" t="s">
        <v>19</v>
      </c>
      <c r="H12" s="1086" t="s">
        <v>19</v>
      </c>
      <c r="I12" s="24" t="s">
        <v>7</v>
      </c>
      <c r="J12" s="24" t="s">
        <v>7</v>
      </c>
      <c r="K12" s="24" t="s">
        <v>7</v>
      </c>
      <c r="L12" s="24" t="s">
        <v>7</v>
      </c>
      <c r="M12" s="24" t="s">
        <v>14</v>
      </c>
      <c r="N12" s="104" t="s">
        <v>14</v>
      </c>
      <c r="O12" s="1086" t="s">
        <v>14</v>
      </c>
      <c r="P12" s="24" t="s">
        <v>19</v>
      </c>
      <c r="Q12" s="24" t="s">
        <v>19</v>
      </c>
      <c r="R12" s="24" t="s">
        <v>19</v>
      </c>
      <c r="S12" s="76" t="s">
        <v>6</v>
      </c>
      <c r="T12" s="69" t="s">
        <v>7</v>
      </c>
      <c r="U12" s="1086" t="s">
        <v>7</v>
      </c>
      <c r="V12" s="1086" t="s">
        <v>7</v>
      </c>
      <c r="W12" s="1106" t="s">
        <v>14</v>
      </c>
      <c r="X12" s="24" t="s">
        <v>14</v>
      </c>
      <c r="Y12" s="24" t="s">
        <v>14</v>
      </c>
      <c r="Z12" s="1104" t="s">
        <v>19</v>
      </c>
      <c r="AA12" s="1164" t="s">
        <v>19</v>
      </c>
      <c r="AB12" s="1159" t="s">
        <v>7</v>
      </c>
      <c r="AC12" s="1159" t="s">
        <v>7</v>
      </c>
      <c r="AD12" s="1105" t="s">
        <v>6</v>
      </c>
      <c r="AE12" s="1105" t="s">
        <v>6</v>
      </c>
      <c r="AF12" s="1105" t="s">
        <v>6</v>
      </c>
      <c r="AG12" s="1104" t="s">
        <v>14</v>
      </c>
      <c r="AH12" s="1104" t="s">
        <v>14</v>
      </c>
    </row>
    <row r="13" spans="2:34" x14ac:dyDescent="0.25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14</v>
      </c>
      <c r="G13" s="1112" t="s">
        <v>14</v>
      </c>
      <c r="H13" s="1110" t="s">
        <v>14</v>
      </c>
      <c r="I13" s="1111" t="s">
        <v>19</v>
      </c>
      <c r="J13" s="1111" t="s">
        <v>19</v>
      </c>
      <c r="K13" s="1111" t="s">
        <v>19</v>
      </c>
      <c r="L13" s="1113" t="s">
        <v>6</v>
      </c>
      <c r="M13" s="1111" t="s">
        <v>7</v>
      </c>
      <c r="N13" s="1109" t="s">
        <v>7</v>
      </c>
      <c r="O13" s="1114" t="s">
        <v>7</v>
      </c>
      <c r="P13" s="1108" t="s">
        <v>14</v>
      </c>
      <c r="Q13" s="1111" t="s">
        <v>14</v>
      </c>
      <c r="R13" s="1111" t="s">
        <v>14</v>
      </c>
      <c r="S13" s="1108" t="s">
        <v>19</v>
      </c>
      <c r="T13" s="1141" t="s">
        <v>19</v>
      </c>
      <c r="U13" s="1086" t="s">
        <v>7</v>
      </c>
      <c r="V13" s="1086" t="s">
        <v>7</v>
      </c>
      <c r="W13" s="1107" t="s">
        <v>6</v>
      </c>
      <c r="X13" s="1107" t="s">
        <v>6</v>
      </c>
      <c r="Y13" s="1107" t="s">
        <v>6</v>
      </c>
      <c r="Z13" s="1108" t="s">
        <v>14</v>
      </c>
      <c r="AA13" s="1165" t="s">
        <v>14</v>
      </c>
      <c r="AB13" s="1166" t="s">
        <v>19</v>
      </c>
      <c r="AC13" s="1166" t="s">
        <v>19</v>
      </c>
      <c r="AD13" s="1111" t="s">
        <v>7</v>
      </c>
      <c r="AE13" s="1111" t="s">
        <v>7</v>
      </c>
      <c r="AF13" s="1111" t="s">
        <v>7</v>
      </c>
      <c r="AG13" s="1111" t="s">
        <v>7</v>
      </c>
      <c r="AH13" s="1111" t="s">
        <v>14</v>
      </c>
    </row>
    <row r="14" spans="2:34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895"/>
      <c r="N14" s="893"/>
      <c r="O14" s="894"/>
      <c r="P14" s="896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 t="shared" ref="D18:M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>SUM(N19:N22)</f>
        <v>4</v>
      </c>
      <c r="O18" s="53">
        <f>SUM(O19:O22)</f>
        <v>4</v>
      </c>
      <c r="P18" s="53">
        <f t="shared" ref="P18:Q18" si="1">SUM(P19:P22)</f>
        <v>6</v>
      </c>
      <c r="Q18" s="53">
        <f t="shared" si="1"/>
        <v>6</v>
      </c>
      <c r="R18" s="53">
        <f>SUM(R19:R22)</f>
        <v>6</v>
      </c>
      <c r="S18" s="53">
        <f t="shared" ref="S18" si="2">SUM(S19:S22)</f>
        <v>6</v>
      </c>
      <c r="T18" s="53">
        <f>SUM(T19:T22)</f>
        <v>6</v>
      </c>
      <c r="U18" s="53">
        <f>SUM(U19:U22)</f>
        <v>4</v>
      </c>
      <c r="V18" s="53">
        <f t="shared" ref="V18" si="3">SUM(V19:V22)</f>
        <v>4</v>
      </c>
      <c r="W18" s="53">
        <f>SUM(W19:W22)</f>
        <v>6</v>
      </c>
      <c r="X18" s="53">
        <f t="shared" ref="X18:Y18" si="4">SUM(X19:X22)</f>
        <v>6</v>
      </c>
      <c r="Y18" s="53">
        <f t="shared" si="4"/>
        <v>6</v>
      </c>
      <c r="Z18" s="53">
        <f>SUM(Z19:Z22)</f>
        <v>6</v>
      </c>
      <c r="AA18" s="53">
        <f>SUM(AA19:AA22)</f>
        <v>6</v>
      </c>
      <c r="AB18" s="53">
        <f t="shared" ref="AB18" si="5">SUM(AB19:AB22)</f>
        <v>4</v>
      </c>
      <c r="AC18" s="53">
        <f>SUM(AC19:AC22)</f>
        <v>4</v>
      </c>
      <c r="AD18" s="53">
        <f>SUM(AD19:AD22)</f>
        <v>6</v>
      </c>
      <c r="AE18" s="53">
        <f t="shared" ref="AE18:AH18" si="6">SUM(AE19:AE22)</f>
        <v>6</v>
      </c>
      <c r="AF18" s="53">
        <f t="shared" si="6"/>
        <v>6</v>
      </c>
      <c r="AG18" s="53">
        <f t="shared" si="6"/>
        <v>6</v>
      </c>
      <c r="AH18" s="718">
        <f t="shared" si="6"/>
        <v>6</v>
      </c>
    </row>
    <row r="19" spans="2:34" x14ac:dyDescent="0.25">
      <c r="B19" s="4"/>
      <c r="C19" s="52" t="s">
        <v>8</v>
      </c>
      <c r="D19" s="81">
        <f t="shared" ref="D19:AH19" si="7">COUNTIFS(D$6:D$13,"M")+COUNTIFS(D$6:D$13,"MG")</f>
        <v>2</v>
      </c>
      <c r="E19" s="81">
        <f t="shared" si="7"/>
        <v>2</v>
      </c>
      <c r="F19" s="719">
        <f t="shared" si="7"/>
        <v>2</v>
      </c>
      <c r="G19" s="696">
        <f t="shared" si="7"/>
        <v>1</v>
      </c>
      <c r="H19" s="697">
        <f t="shared" si="7"/>
        <v>1</v>
      </c>
      <c r="I19" s="711">
        <f t="shared" si="7"/>
        <v>2</v>
      </c>
      <c r="J19" s="81">
        <f t="shared" si="7"/>
        <v>2</v>
      </c>
      <c r="K19" s="8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1</v>
      </c>
      <c r="O19" s="81">
        <f t="shared" si="7"/>
        <v>1</v>
      </c>
      <c r="P19" s="81">
        <f t="shared" si="7"/>
        <v>2</v>
      </c>
      <c r="Q19" s="81">
        <f t="shared" si="7"/>
        <v>2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1</v>
      </c>
      <c r="V19" s="81">
        <f t="shared" si="7"/>
        <v>1</v>
      </c>
      <c r="W19" s="81">
        <f t="shared" si="7"/>
        <v>2</v>
      </c>
      <c r="X19" s="81">
        <f t="shared" si="7"/>
        <v>2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1</v>
      </c>
      <c r="AC19" s="81">
        <f t="shared" si="7"/>
        <v>1</v>
      </c>
      <c r="AD19" s="81">
        <f t="shared" si="7"/>
        <v>2</v>
      </c>
      <c r="AE19" s="81">
        <f t="shared" si="7"/>
        <v>2</v>
      </c>
      <c r="AF19" s="81">
        <f t="shared" si="7"/>
        <v>2</v>
      </c>
      <c r="AG19" s="81">
        <f t="shared" si="7"/>
        <v>2</v>
      </c>
      <c r="AH19" s="719">
        <f t="shared" si="7"/>
        <v>2</v>
      </c>
    </row>
    <row r="20" spans="2:34" x14ac:dyDescent="0.25">
      <c r="B20" s="4"/>
      <c r="C20" s="52" t="s">
        <v>14</v>
      </c>
      <c r="D20" s="84">
        <f t="shared" ref="D20:AH20" si="8">COUNTIFS(D$6:D$13,"T")+COUNTIFS(D$6:D$13,"TG")</f>
        <v>2</v>
      </c>
      <c r="E20" s="84">
        <f t="shared" si="8"/>
        <v>2</v>
      </c>
      <c r="F20" s="720">
        <f t="shared" si="8"/>
        <v>2</v>
      </c>
      <c r="G20" s="698">
        <f t="shared" si="8"/>
        <v>1</v>
      </c>
      <c r="H20" s="699">
        <f t="shared" si="8"/>
        <v>1</v>
      </c>
      <c r="I20" s="712">
        <f t="shared" si="8"/>
        <v>2</v>
      </c>
      <c r="J20" s="84">
        <f t="shared" si="8"/>
        <v>2</v>
      </c>
      <c r="K20" s="84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1</v>
      </c>
      <c r="O20" s="84">
        <f t="shared" si="8"/>
        <v>1</v>
      </c>
      <c r="P20" s="84">
        <f t="shared" si="8"/>
        <v>2</v>
      </c>
      <c r="Q20" s="84">
        <f t="shared" si="8"/>
        <v>2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1</v>
      </c>
      <c r="V20" s="84">
        <f t="shared" si="8"/>
        <v>1</v>
      </c>
      <c r="W20" s="84">
        <f t="shared" si="8"/>
        <v>2</v>
      </c>
      <c r="X20" s="84">
        <f t="shared" si="8"/>
        <v>2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1</v>
      </c>
      <c r="AC20" s="84">
        <f t="shared" si="8"/>
        <v>1</v>
      </c>
      <c r="AD20" s="84">
        <f t="shared" si="8"/>
        <v>2</v>
      </c>
      <c r="AE20" s="84">
        <f t="shared" si="8"/>
        <v>2</v>
      </c>
      <c r="AF20" s="84">
        <f t="shared" si="8"/>
        <v>2</v>
      </c>
      <c r="AG20" s="84">
        <f t="shared" si="8"/>
        <v>2</v>
      </c>
      <c r="AH20" s="720">
        <f t="shared" si="8"/>
        <v>2</v>
      </c>
    </row>
    <row r="21" spans="2:34" x14ac:dyDescent="0.25">
      <c r="C21" s="52" t="s">
        <v>19</v>
      </c>
      <c r="D21" s="87">
        <f t="shared" ref="D21:AH21" si="9">COUNTIFS(D$6:D$13,"N")+COUNTIFS(D$6:D$13,"NG")</f>
        <v>1</v>
      </c>
      <c r="E21" s="87">
        <f t="shared" si="9"/>
        <v>1</v>
      </c>
      <c r="F21" s="721">
        <f t="shared" si="9"/>
        <v>1</v>
      </c>
      <c r="G21" s="700">
        <f t="shared" si="9"/>
        <v>1</v>
      </c>
      <c r="H21" s="701">
        <f t="shared" si="9"/>
        <v>1</v>
      </c>
      <c r="I21" s="713">
        <f t="shared" si="9"/>
        <v>1</v>
      </c>
      <c r="J21" s="87">
        <f t="shared" si="9"/>
        <v>1</v>
      </c>
      <c r="K21" s="87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  <c r="AH21" s="721">
        <f t="shared" si="9"/>
        <v>1</v>
      </c>
    </row>
    <row r="22" spans="2:34" x14ac:dyDescent="0.25">
      <c r="C22" s="52" t="s">
        <v>6</v>
      </c>
      <c r="D22" s="90">
        <f t="shared" ref="D22:AH22" si="10">COUNTIFS(D$6:D$13,"D")+COUNTIFS(D$6:D$13,"DG")</f>
        <v>1</v>
      </c>
      <c r="E22" s="90">
        <f t="shared" si="10"/>
        <v>1</v>
      </c>
      <c r="F22" s="722">
        <f t="shared" si="10"/>
        <v>1</v>
      </c>
      <c r="G22" s="702">
        <f t="shared" si="10"/>
        <v>1</v>
      </c>
      <c r="H22" s="703">
        <f t="shared" si="10"/>
        <v>1</v>
      </c>
      <c r="I22" s="714">
        <f t="shared" si="10"/>
        <v>1</v>
      </c>
      <c r="J22" s="90">
        <f t="shared" si="10"/>
        <v>1</v>
      </c>
      <c r="K22" s="90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  <c r="AH22" s="722">
        <f t="shared" si="10"/>
        <v>1</v>
      </c>
    </row>
    <row r="23" spans="2:34" x14ac:dyDescent="0.25">
      <c r="C23" s="21" t="s">
        <v>7</v>
      </c>
      <c r="D23" s="92">
        <f t="shared" ref="D23:AH23" si="11">COUNTIFS(D$6:D$13,"L")+COUNTIFS(D$6:D$13,"LG")</f>
        <v>2</v>
      </c>
      <c r="E23" s="92">
        <f t="shared" si="11"/>
        <v>2</v>
      </c>
      <c r="F23" s="723">
        <f t="shared" si="11"/>
        <v>2</v>
      </c>
      <c r="G23" s="704">
        <f t="shared" si="11"/>
        <v>4</v>
      </c>
      <c r="H23" s="705">
        <f t="shared" si="11"/>
        <v>4</v>
      </c>
      <c r="I23" s="715">
        <f t="shared" si="11"/>
        <v>2</v>
      </c>
      <c r="J23" s="92">
        <f t="shared" si="11"/>
        <v>2</v>
      </c>
      <c r="K23" s="92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4</v>
      </c>
      <c r="O23" s="92">
        <f t="shared" si="11"/>
        <v>4</v>
      </c>
      <c r="P23" s="92">
        <f t="shared" si="11"/>
        <v>2</v>
      </c>
      <c r="Q23" s="92">
        <f t="shared" si="11"/>
        <v>2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4</v>
      </c>
      <c r="V23" s="92">
        <f t="shared" si="11"/>
        <v>4</v>
      </c>
      <c r="W23" s="92">
        <f t="shared" si="11"/>
        <v>2</v>
      </c>
      <c r="X23" s="92">
        <f t="shared" si="11"/>
        <v>2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4</v>
      </c>
      <c r="AC23" s="92">
        <f t="shared" si="11"/>
        <v>4</v>
      </c>
      <c r="AD23" s="92">
        <f t="shared" si="11"/>
        <v>2</v>
      </c>
      <c r="AE23" s="92">
        <f t="shared" si="11"/>
        <v>2</v>
      </c>
      <c r="AF23" s="92">
        <f t="shared" si="11"/>
        <v>2</v>
      </c>
      <c r="AG23" s="92">
        <f t="shared" si="11"/>
        <v>2</v>
      </c>
      <c r="AH23" s="723">
        <f t="shared" si="11"/>
        <v>2</v>
      </c>
    </row>
    <row r="24" spans="2:34" x14ac:dyDescent="0.25">
      <c r="C24" s="21" t="s">
        <v>94</v>
      </c>
      <c r="D24" s="180">
        <f t="shared" ref="D24:AG24" si="12">COUNTIFS(D$6:D$13,"MG")+COUNTIFS(D$6:D$13,"TG")+COUNTIFS(D$6:D$13,"LG")+COUNTIFS(D$6:D$13,"DG")</f>
        <v>1</v>
      </c>
      <c r="E24" s="180">
        <f t="shared" si="12"/>
        <v>1</v>
      </c>
      <c r="F24" s="724">
        <f t="shared" ref="F24" si="13">COUNTIFS(G$6:G$13,"MG")+COUNTIFS(G$6:G$13,"TG")+COUNTIFS(G$6:G$13,"LG")+COUNTIFS(G$6:G$13,"DG")</f>
        <v>1</v>
      </c>
      <c r="G24" s="706">
        <f t="shared" si="12"/>
        <v>1</v>
      </c>
      <c r="H24" s="707">
        <f t="shared" si="12"/>
        <v>1</v>
      </c>
      <c r="I24" s="716">
        <f t="shared" ref="I24" si="14">COUNTIFS(J$6:J$13,"MG")+COUNTIFS(J$6:J$13,"TG")+COUNTIFS(J$6:J$13,"LG")+COUNTIFS(J$6:J$13,"DG")</f>
        <v>1</v>
      </c>
      <c r="J24" s="180">
        <f t="shared" si="12"/>
        <v>1</v>
      </c>
      <c r="K24" s="180">
        <f t="shared" si="12"/>
        <v>1</v>
      </c>
      <c r="L24" s="180">
        <f t="shared" ref="L24" si="15">COUNTIFS(M$6:M$13,"MG")+COUNTIFS(M$6:M$13,"TG")+COUNTIFS(M$6:M$13,"LG")+COUNTIFS(M$6:M$13,"DG")</f>
        <v>1</v>
      </c>
      <c r="M24" s="180">
        <f t="shared" si="12"/>
        <v>1</v>
      </c>
      <c r="N24" s="180">
        <f t="shared" si="12"/>
        <v>1</v>
      </c>
      <c r="O24" s="180">
        <f t="shared" si="12"/>
        <v>1</v>
      </c>
      <c r="P24" s="180">
        <f t="shared" ref="P24" si="16">COUNTIFS(Q$6:Q$13,"MG")+COUNTIFS(Q$6:Q$13,"TG")+COUNTIFS(Q$6:Q$13,"LG")+COUNTIFS(Q$6:Q$13,"DG")</f>
        <v>1</v>
      </c>
      <c r="Q24" s="180">
        <f t="shared" si="12"/>
        <v>1</v>
      </c>
      <c r="R24" s="180">
        <f t="shared" si="12"/>
        <v>1</v>
      </c>
      <c r="S24" s="180">
        <f t="shared" si="12"/>
        <v>1</v>
      </c>
      <c r="T24" s="180">
        <f t="shared" si="12"/>
        <v>1</v>
      </c>
      <c r="U24" s="180">
        <f t="shared" si="12"/>
        <v>1</v>
      </c>
      <c r="V24" s="180">
        <f t="shared" si="12"/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724">
        <f t="shared" ref="AH24" si="17">COUNTIFS(AI$6:AI$13,"MG")+COUNTIFS(AI$6:AI$13,"TG")+COUNTIFS(AI$6:AI$13,"LG")+COUNTIFS(AI$6:AI$13,"DG")</f>
        <v>0</v>
      </c>
    </row>
    <row r="25" spans="2:34" x14ac:dyDescent="0.25">
      <c r="C25" s="21" t="s">
        <v>4</v>
      </c>
      <c r="D25" s="94">
        <f t="shared" ref="D25:AH25" si="18">COUNTIFS(D$6:D$13,"V")</f>
        <v>0</v>
      </c>
      <c r="E25" s="94">
        <f t="shared" si="18"/>
        <v>0</v>
      </c>
      <c r="F25" s="725">
        <f t="shared" si="18"/>
        <v>0</v>
      </c>
      <c r="G25" s="708">
        <f t="shared" si="18"/>
        <v>0</v>
      </c>
      <c r="H25" s="709">
        <f t="shared" si="18"/>
        <v>0</v>
      </c>
      <c r="I25" s="717">
        <f t="shared" si="18"/>
        <v>0</v>
      </c>
      <c r="J25" s="94">
        <f t="shared" si="18"/>
        <v>0</v>
      </c>
      <c r="K25" s="94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725">
        <f t="shared" si="18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23" x14ac:dyDescent="0.25">
      <c r="C33" s="10"/>
    </row>
    <row r="34" spans="1:23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5ECB-A9E0-44F7-BC60-15B20775C3CA}">
  <dimension ref="A1:AH34"/>
  <sheetViews>
    <sheetView workbookViewId="0">
      <selection activeCell="D7" sqref="D7:E7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20" width="4.26953125" customWidth="1"/>
    <col min="21" max="21" width="3.7265625" customWidth="1"/>
    <col min="22" max="22" width="3.453125" customWidth="1"/>
    <col min="23" max="23" width="3.7265625" customWidth="1"/>
    <col min="24" max="24" width="3.54296875" customWidth="1"/>
    <col min="25" max="25" width="3.7265625" customWidth="1"/>
    <col min="26" max="26" width="4" customWidth="1"/>
    <col min="27" max="27" width="3.7265625" customWidth="1"/>
    <col min="28" max="28" width="4.1796875" customWidth="1"/>
    <col min="29" max="29" width="4" customWidth="1"/>
    <col min="30" max="31" width="4.1796875" customWidth="1"/>
    <col min="32" max="32" width="3.81640625" customWidth="1"/>
    <col min="33" max="33" width="4.1796875" customWidth="1"/>
    <col min="34" max="34" width="3.2695312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87"/>
      <c r="E2" s="487"/>
      <c r="F2" s="455"/>
      <c r="G2" s="455"/>
      <c r="H2" s="544"/>
      <c r="I2" s="544"/>
      <c r="J2" s="544"/>
      <c r="K2" s="487"/>
      <c r="L2" s="455"/>
      <c r="M2" s="544"/>
      <c r="N2" s="544"/>
      <c r="O2" s="544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/>
      <c r="M3" s="611"/>
      <c r="N3" s="611"/>
      <c r="O3" s="611"/>
      <c r="P3" s="611"/>
      <c r="Q3" s="611"/>
      <c r="R3" s="449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6" t="s">
        <v>3</v>
      </c>
      <c r="C4" s="450" t="s">
        <v>95</v>
      </c>
      <c r="D4" s="630" t="s">
        <v>5</v>
      </c>
      <c r="E4" s="631" t="s">
        <v>6</v>
      </c>
      <c r="F4" s="590" t="s">
        <v>7</v>
      </c>
      <c r="G4" s="590" t="s">
        <v>8</v>
      </c>
      <c r="H4" s="590" t="s">
        <v>9</v>
      </c>
      <c r="I4" s="590" t="s">
        <v>10</v>
      </c>
      <c r="J4" s="590" t="s">
        <v>4</v>
      </c>
      <c r="K4" s="630" t="s">
        <v>5</v>
      </c>
      <c r="L4" s="631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1167" t="s">
        <v>5</v>
      </c>
      <c r="S4" s="631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452" t="s">
        <v>4</v>
      </c>
      <c r="Y4" s="546" t="s">
        <v>104</v>
      </c>
      <c r="Z4" s="546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52" t="s">
        <v>4</v>
      </c>
      <c r="AF4" s="546" t="s">
        <v>104</v>
      </c>
      <c r="AG4" s="546" t="s">
        <v>6</v>
      </c>
      <c r="AH4" s="452" t="s">
        <v>7</v>
      </c>
    </row>
    <row r="5" spans="2:34" ht="13" x14ac:dyDescent="0.3">
      <c r="B5" s="1317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68">
        <v>14</v>
      </c>
      <c r="R5" s="1169">
        <v>15</v>
      </c>
      <c r="S5" s="1118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18">
        <v>27</v>
      </c>
      <c r="AE5" s="1076">
        <v>28</v>
      </c>
      <c r="AF5" s="1117">
        <v>29</v>
      </c>
      <c r="AG5" s="1118">
        <v>30</v>
      </c>
      <c r="AH5" s="1076">
        <v>31</v>
      </c>
    </row>
    <row r="6" spans="2:34" x14ac:dyDescent="0.25">
      <c r="B6" s="244" t="s">
        <v>97</v>
      </c>
      <c r="C6" s="375" t="s">
        <v>13</v>
      </c>
      <c r="D6" s="1102" t="s">
        <v>7</v>
      </c>
      <c r="E6" s="1099" t="s">
        <v>7</v>
      </c>
      <c r="F6" s="1123" t="s">
        <v>8</v>
      </c>
      <c r="G6" s="1123" t="s">
        <v>8</v>
      </c>
      <c r="H6" s="1123" t="s">
        <v>7</v>
      </c>
      <c r="I6" s="1123" t="s">
        <v>7</v>
      </c>
      <c r="J6" s="1123" t="s">
        <v>7</v>
      </c>
      <c r="K6" s="1122" t="s">
        <v>16</v>
      </c>
      <c r="L6" s="1122" t="s">
        <v>16</v>
      </c>
      <c r="M6" s="1122" t="s">
        <v>22</v>
      </c>
      <c r="N6" s="1122" t="s">
        <v>22</v>
      </c>
      <c r="O6" s="1122" t="s">
        <v>22</v>
      </c>
      <c r="P6" s="1122" t="s">
        <v>22</v>
      </c>
      <c r="Q6" s="1170" t="s">
        <v>53</v>
      </c>
      <c r="R6" s="1171" t="s">
        <v>7</v>
      </c>
      <c r="S6" s="1159" t="s">
        <v>7</v>
      </c>
      <c r="T6" s="1124" t="s">
        <v>8</v>
      </c>
      <c r="U6" s="1123" t="s">
        <v>8</v>
      </c>
      <c r="V6" s="1123" t="s">
        <v>8</v>
      </c>
      <c r="W6" s="1123" t="s">
        <v>8</v>
      </c>
      <c r="X6" s="1119" t="s">
        <v>8</v>
      </c>
      <c r="Y6" s="1083" t="s">
        <v>53</v>
      </c>
      <c r="Z6" s="1083" t="s">
        <v>53</v>
      </c>
      <c r="AA6" s="1084" t="s">
        <v>23</v>
      </c>
      <c r="AB6" s="1084" t="s">
        <v>23</v>
      </c>
      <c r="AC6" s="1084" t="s">
        <v>16</v>
      </c>
      <c r="AD6" s="1084" t="s">
        <v>16</v>
      </c>
      <c r="AE6" s="1084" t="s">
        <v>16</v>
      </c>
      <c r="AF6" s="1102" t="s">
        <v>7</v>
      </c>
      <c r="AG6" s="1099" t="s">
        <v>7</v>
      </c>
      <c r="AH6" s="1123" t="s">
        <v>8</v>
      </c>
    </row>
    <row r="7" spans="2:34" x14ac:dyDescent="0.25">
      <c r="B7" s="244" t="s">
        <v>73</v>
      </c>
      <c r="C7" s="375" t="s">
        <v>18</v>
      </c>
      <c r="D7" s="1084" t="s">
        <v>16</v>
      </c>
      <c r="E7" s="1084" t="s">
        <v>16</v>
      </c>
      <c r="F7" s="1084" t="s">
        <v>22</v>
      </c>
      <c r="G7" s="1084" t="s">
        <v>22</v>
      </c>
      <c r="H7" s="1084" t="s">
        <v>22</v>
      </c>
      <c r="I7" s="1084" t="s">
        <v>22</v>
      </c>
      <c r="J7" s="1084" t="s">
        <v>53</v>
      </c>
      <c r="K7" s="1085" t="s">
        <v>7</v>
      </c>
      <c r="L7" s="1086" t="s">
        <v>7</v>
      </c>
      <c r="M7" s="103" t="s">
        <v>8</v>
      </c>
      <c r="N7" s="103" t="s">
        <v>8</v>
      </c>
      <c r="O7" s="103" t="s">
        <v>8</v>
      </c>
      <c r="P7" s="103" t="s">
        <v>8</v>
      </c>
      <c r="Q7" s="1172" t="s">
        <v>8</v>
      </c>
      <c r="R7" s="1173" t="s">
        <v>53</v>
      </c>
      <c r="S7" s="1174" t="s">
        <v>53</v>
      </c>
      <c r="T7" s="1083" t="s">
        <v>23</v>
      </c>
      <c r="U7" s="1084" t="s">
        <v>23</v>
      </c>
      <c r="V7" s="1084" t="s">
        <v>16</v>
      </c>
      <c r="W7" s="1084" t="s">
        <v>16</v>
      </c>
      <c r="X7" s="1125" t="s">
        <v>16</v>
      </c>
      <c r="Y7" s="1159" t="s">
        <v>7</v>
      </c>
      <c r="Z7" s="1159" t="s">
        <v>7</v>
      </c>
      <c r="AA7" s="103" t="s">
        <v>8</v>
      </c>
      <c r="AB7" s="103" t="s">
        <v>8</v>
      </c>
      <c r="AC7" s="103" t="s">
        <v>7</v>
      </c>
      <c r="AD7" s="103" t="s">
        <v>7</v>
      </c>
      <c r="AE7" s="103" t="s">
        <v>7</v>
      </c>
      <c r="AF7" s="1084" t="s">
        <v>16</v>
      </c>
      <c r="AG7" s="1084" t="s">
        <v>16</v>
      </c>
      <c r="AH7" s="1084" t="s">
        <v>22</v>
      </c>
    </row>
    <row r="8" spans="2:34" x14ac:dyDescent="0.25">
      <c r="B8" s="244" t="s">
        <v>103</v>
      </c>
      <c r="C8" s="375" t="s">
        <v>21</v>
      </c>
      <c r="D8" s="1085" t="s">
        <v>7</v>
      </c>
      <c r="E8" s="1086" t="s">
        <v>7</v>
      </c>
      <c r="F8" s="103" t="s">
        <v>8</v>
      </c>
      <c r="G8" s="103" t="s">
        <v>8</v>
      </c>
      <c r="H8" s="103" t="s">
        <v>8</v>
      </c>
      <c r="I8" s="103" t="s">
        <v>8</v>
      </c>
      <c r="J8" s="103" t="s">
        <v>8</v>
      </c>
      <c r="K8" s="1091" t="s">
        <v>6</v>
      </c>
      <c r="L8" s="1091" t="s">
        <v>6</v>
      </c>
      <c r="M8" s="103" t="s">
        <v>7</v>
      </c>
      <c r="N8" s="103" t="s">
        <v>7</v>
      </c>
      <c r="O8" s="103" t="s">
        <v>8</v>
      </c>
      <c r="P8" s="103" t="s">
        <v>8</v>
      </c>
      <c r="Q8" s="1172" t="s">
        <v>8</v>
      </c>
      <c r="R8" s="1175" t="s">
        <v>7</v>
      </c>
      <c r="S8" s="1159" t="s">
        <v>7</v>
      </c>
      <c r="T8" s="1088" t="s">
        <v>8</v>
      </c>
      <c r="U8" s="103" t="s">
        <v>8</v>
      </c>
      <c r="V8" s="103" t="s">
        <v>7</v>
      </c>
      <c r="W8" s="103" t="s">
        <v>7</v>
      </c>
      <c r="X8" s="1128" t="s">
        <v>7</v>
      </c>
      <c r="Y8" s="1159" t="s">
        <v>8</v>
      </c>
      <c r="Z8" s="1159" t="s">
        <v>8</v>
      </c>
      <c r="AA8" s="103" t="s">
        <v>14</v>
      </c>
      <c r="AB8" s="103" t="s">
        <v>14</v>
      </c>
      <c r="AC8" s="103" t="s">
        <v>14</v>
      </c>
      <c r="AD8" s="103" t="s">
        <v>14</v>
      </c>
      <c r="AE8" s="103" t="s">
        <v>6</v>
      </c>
      <c r="AF8" s="1085" t="s">
        <v>7</v>
      </c>
      <c r="AG8" s="1086" t="s">
        <v>7</v>
      </c>
      <c r="AH8" s="103" t="s">
        <v>8</v>
      </c>
    </row>
    <row r="9" spans="2:34" x14ac:dyDescent="0.25">
      <c r="B9" s="244" t="s">
        <v>66</v>
      </c>
      <c r="C9" s="375" t="s">
        <v>26</v>
      </c>
      <c r="D9" s="1095" t="s">
        <v>6</v>
      </c>
      <c r="E9" s="1095" t="s">
        <v>6</v>
      </c>
      <c r="F9" s="1092" t="s">
        <v>7</v>
      </c>
      <c r="G9" s="1092" t="s">
        <v>7</v>
      </c>
      <c r="H9" s="1092" t="s">
        <v>8</v>
      </c>
      <c r="I9" s="1092" t="s">
        <v>8</v>
      </c>
      <c r="J9" s="1092" t="s">
        <v>8</v>
      </c>
      <c r="K9" s="1089" t="s">
        <v>7</v>
      </c>
      <c r="L9" s="1090" t="s">
        <v>7</v>
      </c>
      <c r="M9" s="1092" t="s">
        <v>8</v>
      </c>
      <c r="N9" s="1092" t="s">
        <v>8</v>
      </c>
      <c r="O9" s="1092" t="s">
        <v>7</v>
      </c>
      <c r="P9" s="1092" t="s">
        <v>7</v>
      </c>
      <c r="Q9" s="1176" t="s">
        <v>7</v>
      </c>
      <c r="R9" s="1171" t="s">
        <v>8</v>
      </c>
      <c r="S9" s="1159" t="s">
        <v>8</v>
      </c>
      <c r="T9" s="1093" t="s">
        <v>14</v>
      </c>
      <c r="U9" s="1092" t="s">
        <v>14</v>
      </c>
      <c r="V9" s="1092" t="s">
        <v>14</v>
      </c>
      <c r="W9" s="1092" t="s">
        <v>14</v>
      </c>
      <c r="X9" s="1160" t="s">
        <v>6</v>
      </c>
      <c r="Y9" s="1161" t="s">
        <v>7</v>
      </c>
      <c r="Z9" s="1161" t="s">
        <v>7</v>
      </c>
      <c r="AA9" s="1092" t="s">
        <v>8</v>
      </c>
      <c r="AB9" s="1092" t="s">
        <v>8</v>
      </c>
      <c r="AC9" s="1092" t="s">
        <v>8</v>
      </c>
      <c r="AD9" s="1092" t="s">
        <v>8</v>
      </c>
      <c r="AE9" s="1092" t="s">
        <v>8</v>
      </c>
      <c r="AF9" s="1095" t="s">
        <v>6</v>
      </c>
      <c r="AG9" s="1095" t="s">
        <v>6</v>
      </c>
      <c r="AH9" s="1092" t="s">
        <v>7</v>
      </c>
    </row>
    <row r="10" spans="2:34" x14ac:dyDescent="0.25">
      <c r="B10" s="242" t="s">
        <v>90</v>
      </c>
      <c r="C10" s="432" t="s">
        <v>28</v>
      </c>
      <c r="D10" s="1098" t="s">
        <v>7</v>
      </c>
      <c r="E10" s="1099" t="s">
        <v>7</v>
      </c>
      <c r="F10" s="1101" t="s">
        <v>14</v>
      </c>
      <c r="G10" s="1097" t="s">
        <v>14</v>
      </c>
      <c r="H10" s="1097" t="s">
        <v>14</v>
      </c>
      <c r="I10" s="1101" t="s">
        <v>19</v>
      </c>
      <c r="J10" s="1101" t="s">
        <v>19</v>
      </c>
      <c r="K10" s="1102" t="s">
        <v>7</v>
      </c>
      <c r="L10" s="1099" t="s">
        <v>7</v>
      </c>
      <c r="M10" s="1091" t="s">
        <v>6</v>
      </c>
      <c r="N10" s="1091" t="s">
        <v>6</v>
      </c>
      <c r="O10" s="1091" t="s">
        <v>6</v>
      </c>
      <c r="P10" s="1101" t="s">
        <v>14</v>
      </c>
      <c r="Q10" s="1177" t="s">
        <v>14</v>
      </c>
      <c r="R10" s="1178" t="s">
        <v>19</v>
      </c>
      <c r="S10" s="1159" t="s">
        <v>19</v>
      </c>
      <c r="T10" s="1096" t="s">
        <v>7</v>
      </c>
      <c r="U10" s="1097" t="s">
        <v>7</v>
      </c>
      <c r="V10" s="1097" t="s">
        <v>7</v>
      </c>
      <c r="W10" s="1097" t="s">
        <v>7</v>
      </c>
      <c r="X10" s="1131" t="s">
        <v>14</v>
      </c>
      <c r="Y10" s="1162" t="s">
        <v>14</v>
      </c>
      <c r="Z10" s="1162" t="s">
        <v>14</v>
      </c>
      <c r="AA10" s="1097" t="s">
        <v>19</v>
      </c>
      <c r="AB10" s="1097" t="s">
        <v>19</v>
      </c>
      <c r="AC10" s="1097" t="s">
        <v>19</v>
      </c>
      <c r="AD10" s="1100" t="s">
        <v>6</v>
      </c>
      <c r="AE10" s="1097" t="s">
        <v>7</v>
      </c>
      <c r="AF10" s="1098" t="s">
        <v>7</v>
      </c>
      <c r="AG10" s="1099" t="s">
        <v>7</v>
      </c>
      <c r="AH10" s="1101" t="s">
        <v>14</v>
      </c>
    </row>
    <row r="11" spans="2:34" x14ac:dyDescent="0.25">
      <c r="B11" s="376" t="s">
        <v>91</v>
      </c>
      <c r="C11" s="375" t="s">
        <v>30</v>
      </c>
      <c r="D11" s="1085" t="s">
        <v>7</v>
      </c>
      <c r="E11" s="1086" t="s">
        <v>7</v>
      </c>
      <c r="F11" s="1105" t="s">
        <v>6</v>
      </c>
      <c r="G11" s="1105" t="s">
        <v>6</v>
      </c>
      <c r="H11" s="1105" t="s">
        <v>6</v>
      </c>
      <c r="I11" s="1104" t="s">
        <v>14</v>
      </c>
      <c r="J11" s="1104" t="s">
        <v>14</v>
      </c>
      <c r="K11" s="1085" t="s">
        <v>19</v>
      </c>
      <c r="L11" s="1086" t="s">
        <v>19</v>
      </c>
      <c r="M11" s="24" t="s">
        <v>7</v>
      </c>
      <c r="N11" s="24" t="s">
        <v>7</v>
      </c>
      <c r="O11" s="24" t="s">
        <v>7</v>
      </c>
      <c r="P11" s="24" t="s">
        <v>7</v>
      </c>
      <c r="Q11" s="162" t="s">
        <v>14</v>
      </c>
      <c r="R11" s="1175" t="s">
        <v>14</v>
      </c>
      <c r="S11" s="1159" t="s">
        <v>14</v>
      </c>
      <c r="T11" s="1103" t="s">
        <v>19</v>
      </c>
      <c r="U11" s="24" t="s">
        <v>19</v>
      </c>
      <c r="V11" s="24" t="s">
        <v>19</v>
      </c>
      <c r="W11" s="76" t="s">
        <v>6</v>
      </c>
      <c r="X11" s="1163" t="s">
        <v>7</v>
      </c>
      <c r="Y11" s="1159" t="s">
        <v>7</v>
      </c>
      <c r="Z11" s="1159" t="s">
        <v>7</v>
      </c>
      <c r="AA11" s="1104" t="s">
        <v>14</v>
      </c>
      <c r="AB11" s="24" t="s">
        <v>14</v>
      </c>
      <c r="AC11" s="24" t="s">
        <v>14</v>
      </c>
      <c r="AD11" s="1104" t="s">
        <v>19</v>
      </c>
      <c r="AE11" s="1104" t="s">
        <v>19</v>
      </c>
      <c r="AF11" s="1085" t="s">
        <v>7</v>
      </c>
      <c r="AG11" s="1086" t="s">
        <v>7</v>
      </c>
      <c r="AH11" s="1105" t="s">
        <v>6</v>
      </c>
    </row>
    <row r="12" spans="2:34" x14ac:dyDescent="0.25">
      <c r="B12" s="244" t="s">
        <v>92</v>
      </c>
      <c r="C12" s="375" t="s">
        <v>32</v>
      </c>
      <c r="D12" s="1085" t="s">
        <v>19</v>
      </c>
      <c r="E12" s="1086" t="s">
        <v>19</v>
      </c>
      <c r="F12" s="24" t="s">
        <v>7</v>
      </c>
      <c r="G12" s="24" t="s">
        <v>7</v>
      </c>
      <c r="H12" s="24" t="s">
        <v>7</v>
      </c>
      <c r="I12" s="24" t="s">
        <v>7</v>
      </c>
      <c r="J12" s="24" t="s">
        <v>14</v>
      </c>
      <c r="K12" s="104" t="s">
        <v>14</v>
      </c>
      <c r="L12" s="1086" t="s">
        <v>14</v>
      </c>
      <c r="M12" s="24" t="s">
        <v>19</v>
      </c>
      <c r="N12" s="24" t="s">
        <v>19</v>
      </c>
      <c r="O12" s="24" t="s">
        <v>19</v>
      </c>
      <c r="P12" s="76" t="s">
        <v>6</v>
      </c>
      <c r="Q12" s="162" t="s">
        <v>7</v>
      </c>
      <c r="R12" s="1175" t="s">
        <v>7</v>
      </c>
      <c r="S12" s="1159" t="s">
        <v>7</v>
      </c>
      <c r="T12" s="1106" t="s">
        <v>14</v>
      </c>
      <c r="U12" s="24" t="s">
        <v>14</v>
      </c>
      <c r="V12" s="24" t="s">
        <v>14</v>
      </c>
      <c r="W12" s="1104" t="s">
        <v>19</v>
      </c>
      <c r="X12" s="1164" t="s">
        <v>19</v>
      </c>
      <c r="Y12" s="1159" t="s">
        <v>7</v>
      </c>
      <c r="Z12" s="1159" t="s">
        <v>7</v>
      </c>
      <c r="AA12" s="1105" t="s">
        <v>6</v>
      </c>
      <c r="AB12" s="1105" t="s">
        <v>6</v>
      </c>
      <c r="AC12" s="1105" t="s">
        <v>6</v>
      </c>
      <c r="AD12" s="1104" t="s">
        <v>14</v>
      </c>
      <c r="AE12" s="1104" t="s">
        <v>14</v>
      </c>
      <c r="AF12" s="1085" t="s">
        <v>19</v>
      </c>
      <c r="AG12" s="1086" t="s">
        <v>19</v>
      </c>
      <c r="AH12" s="24" t="s">
        <v>7</v>
      </c>
    </row>
    <row r="13" spans="2:34" x14ac:dyDescent="0.25">
      <c r="B13" s="246" t="s">
        <v>93</v>
      </c>
      <c r="C13" s="566" t="s">
        <v>34</v>
      </c>
      <c r="D13" s="1112" t="s">
        <v>14</v>
      </c>
      <c r="E13" s="1110" t="s">
        <v>14</v>
      </c>
      <c r="F13" s="1111" t="s">
        <v>19</v>
      </c>
      <c r="G13" s="1111" t="s">
        <v>19</v>
      </c>
      <c r="H13" s="1111" t="s">
        <v>19</v>
      </c>
      <c r="I13" s="1113" t="s">
        <v>6</v>
      </c>
      <c r="J13" s="1111" t="s">
        <v>7</v>
      </c>
      <c r="K13" s="1109" t="s">
        <v>7</v>
      </c>
      <c r="L13" s="1114" t="s">
        <v>7</v>
      </c>
      <c r="M13" s="1108" t="s">
        <v>14</v>
      </c>
      <c r="N13" s="1111" t="s">
        <v>14</v>
      </c>
      <c r="O13" s="1111" t="s">
        <v>14</v>
      </c>
      <c r="P13" s="1108" t="s">
        <v>19</v>
      </c>
      <c r="Q13" s="1179" t="s">
        <v>19</v>
      </c>
      <c r="R13" s="1180" t="s">
        <v>7</v>
      </c>
      <c r="S13" s="1159" t="s">
        <v>7</v>
      </c>
      <c r="T13" s="1107" t="s">
        <v>6</v>
      </c>
      <c r="U13" s="1107" t="s">
        <v>6</v>
      </c>
      <c r="V13" s="1107" t="s">
        <v>6</v>
      </c>
      <c r="W13" s="1108" t="s">
        <v>14</v>
      </c>
      <c r="X13" s="1165" t="s">
        <v>14</v>
      </c>
      <c r="Y13" s="1166" t="s">
        <v>19</v>
      </c>
      <c r="Z13" s="1166" t="s">
        <v>19</v>
      </c>
      <c r="AA13" s="1111" t="s">
        <v>7</v>
      </c>
      <c r="AB13" s="1111" t="s">
        <v>7</v>
      </c>
      <c r="AC13" s="1111" t="s">
        <v>7</v>
      </c>
      <c r="AD13" s="1111" t="s">
        <v>7</v>
      </c>
      <c r="AE13" s="1111" t="s">
        <v>14</v>
      </c>
      <c r="AF13" s="1112" t="s">
        <v>14</v>
      </c>
      <c r="AG13" s="1110" t="s">
        <v>14</v>
      </c>
      <c r="AH13" s="1111" t="s">
        <v>19</v>
      </c>
    </row>
    <row r="14" spans="2:34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895"/>
      <c r="K14" s="893"/>
      <c r="L14" s="894"/>
      <c r="M14" s="896"/>
      <c r="N14" s="569"/>
      <c r="O14" s="569"/>
      <c r="P14" s="569"/>
      <c r="Q14" s="895"/>
      <c r="R14" s="1181"/>
      <c r="S14" s="896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694">
        <f t="shared" ref="D18:J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>SUM(K19:K22)</f>
        <v>4</v>
      </c>
      <c r="L18" s="53">
        <f>SUM(L19:L22)</f>
        <v>4</v>
      </c>
      <c r="M18" s="53">
        <f t="shared" ref="M18:N18" si="1">SUM(M19:M22)</f>
        <v>6</v>
      </c>
      <c r="N18" s="53">
        <f t="shared" si="1"/>
        <v>6</v>
      </c>
      <c r="O18" s="53">
        <f>SUM(O19:O22)</f>
        <v>6</v>
      </c>
      <c r="P18" s="53">
        <f t="shared" ref="P18" si="2">SUM(P19:P22)</f>
        <v>6</v>
      </c>
      <c r="Q18" s="53">
        <f>SUM(Q19:Q22)</f>
        <v>6</v>
      </c>
      <c r="R18" s="53">
        <f>SUM(R19:R22)</f>
        <v>4</v>
      </c>
      <c r="S18" s="53">
        <f t="shared" ref="S18" si="3">SUM(S19:S22)</f>
        <v>4</v>
      </c>
      <c r="T18" s="53">
        <f>SUM(T19:T22)</f>
        <v>6</v>
      </c>
      <c r="U18" s="53">
        <f t="shared" ref="U18:V18" si="4">SUM(U19:U22)</f>
        <v>6</v>
      </c>
      <c r="V18" s="53">
        <f t="shared" si="4"/>
        <v>6</v>
      </c>
      <c r="W18" s="53">
        <f>SUM(W19:W22)</f>
        <v>6</v>
      </c>
      <c r="X18" s="53">
        <f>SUM(X19:X22)</f>
        <v>6</v>
      </c>
      <c r="Y18" s="53">
        <f t="shared" ref="Y18" si="5">SUM(Y19:Y22)</f>
        <v>4</v>
      </c>
      <c r="Z18" s="53">
        <f>SUM(Z19:Z22)</f>
        <v>4</v>
      </c>
      <c r="AA18" s="53">
        <f>SUM(AA19:AA22)</f>
        <v>6</v>
      </c>
      <c r="AB18" s="53">
        <f t="shared" ref="AB18:AC18" si="6">SUM(AB19:AB22)</f>
        <v>6</v>
      </c>
      <c r="AC18" s="53">
        <f t="shared" si="6"/>
        <v>6</v>
      </c>
      <c r="AD18" s="53">
        <f>SUM(AD19:AD22)</f>
        <v>6</v>
      </c>
      <c r="AE18" s="53">
        <f t="shared" ref="AE18:AF18" si="7">SUM(AE19:AE22)</f>
        <v>6</v>
      </c>
      <c r="AF18" s="53">
        <f t="shared" si="7"/>
        <v>4</v>
      </c>
      <c r="AG18" s="53">
        <f>SUM(AG19:AG22)</f>
        <v>4</v>
      </c>
      <c r="AH18" s="53">
        <f>SUM(AH19:AH22)</f>
        <v>6</v>
      </c>
    </row>
    <row r="19" spans="2:34" x14ac:dyDescent="0.25">
      <c r="B19" s="4"/>
      <c r="C19" s="52" t="s">
        <v>8</v>
      </c>
      <c r="D19" s="696">
        <f t="shared" ref="D19:AH19" si="8">COUNTIFS(D$6:D$13,"M")+COUNTIFS(D$6:D$13,"MG")</f>
        <v>1</v>
      </c>
      <c r="E19" s="697">
        <f t="shared" si="8"/>
        <v>1</v>
      </c>
      <c r="F19" s="711">
        <f t="shared" si="8"/>
        <v>2</v>
      </c>
      <c r="G19" s="81">
        <f t="shared" si="8"/>
        <v>2</v>
      </c>
      <c r="H19" s="81">
        <f t="shared" si="8"/>
        <v>2</v>
      </c>
      <c r="I19" s="81">
        <f t="shared" si="8"/>
        <v>2</v>
      </c>
      <c r="J19" s="81">
        <f t="shared" si="8"/>
        <v>2</v>
      </c>
      <c r="K19" s="81">
        <f t="shared" si="8"/>
        <v>1</v>
      </c>
      <c r="L19" s="81">
        <f t="shared" si="8"/>
        <v>1</v>
      </c>
      <c r="M19" s="81">
        <f t="shared" si="8"/>
        <v>2</v>
      </c>
      <c r="N19" s="81">
        <f t="shared" si="8"/>
        <v>2</v>
      </c>
      <c r="O19" s="81">
        <f t="shared" si="8"/>
        <v>2</v>
      </c>
      <c r="P19" s="81">
        <f t="shared" si="8"/>
        <v>2</v>
      </c>
      <c r="Q19" s="81">
        <f t="shared" si="8"/>
        <v>2</v>
      </c>
      <c r="R19" s="81">
        <f t="shared" si="8"/>
        <v>1</v>
      </c>
      <c r="S19" s="81">
        <f t="shared" si="8"/>
        <v>1</v>
      </c>
      <c r="T19" s="81">
        <f t="shared" si="8"/>
        <v>2</v>
      </c>
      <c r="U19" s="81">
        <f t="shared" si="8"/>
        <v>2</v>
      </c>
      <c r="V19" s="81">
        <f t="shared" si="8"/>
        <v>2</v>
      </c>
      <c r="W19" s="81">
        <f t="shared" si="8"/>
        <v>2</v>
      </c>
      <c r="X19" s="81">
        <f t="shared" si="8"/>
        <v>2</v>
      </c>
      <c r="Y19" s="81">
        <f t="shared" si="8"/>
        <v>1</v>
      </c>
      <c r="Z19" s="81">
        <f t="shared" si="8"/>
        <v>1</v>
      </c>
      <c r="AA19" s="81">
        <f t="shared" si="8"/>
        <v>2</v>
      </c>
      <c r="AB19" s="81">
        <f t="shared" si="8"/>
        <v>2</v>
      </c>
      <c r="AC19" s="81">
        <f t="shared" si="8"/>
        <v>2</v>
      </c>
      <c r="AD19" s="81">
        <f t="shared" si="8"/>
        <v>2</v>
      </c>
      <c r="AE19" s="81">
        <f t="shared" si="8"/>
        <v>2</v>
      </c>
      <c r="AF19" s="81">
        <f t="shared" si="8"/>
        <v>1</v>
      </c>
      <c r="AG19" s="81">
        <f t="shared" si="8"/>
        <v>1</v>
      </c>
      <c r="AH19" s="81">
        <f t="shared" si="8"/>
        <v>2</v>
      </c>
    </row>
    <row r="20" spans="2:34" x14ac:dyDescent="0.25">
      <c r="B20" s="4"/>
      <c r="C20" s="52" t="s">
        <v>14</v>
      </c>
      <c r="D20" s="698">
        <f t="shared" ref="D20:AH20" si="9">COUNTIFS(D$6:D$13,"T")+COUNTIFS(D$6:D$13,"TG")</f>
        <v>1</v>
      </c>
      <c r="E20" s="699">
        <f t="shared" si="9"/>
        <v>1</v>
      </c>
      <c r="F20" s="712">
        <f t="shared" si="9"/>
        <v>2</v>
      </c>
      <c r="G20" s="84">
        <f t="shared" si="9"/>
        <v>2</v>
      </c>
      <c r="H20" s="84">
        <f t="shared" si="9"/>
        <v>2</v>
      </c>
      <c r="I20" s="84">
        <f t="shared" si="9"/>
        <v>2</v>
      </c>
      <c r="J20" s="84">
        <f t="shared" si="9"/>
        <v>2</v>
      </c>
      <c r="K20" s="84">
        <f t="shared" si="9"/>
        <v>1</v>
      </c>
      <c r="L20" s="84">
        <f t="shared" si="9"/>
        <v>1</v>
      </c>
      <c r="M20" s="84">
        <f t="shared" si="9"/>
        <v>2</v>
      </c>
      <c r="N20" s="84">
        <f t="shared" si="9"/>
        <v>2</v>
      </c>
      <c r="O20" s="84">
        <f t="shared" si="9"/>
        <v>2</v>
      </c>
      <c r="P20" s="84">
        <f t="shared" si="9"/>
        <v>2</v>
      </c>
      <c r="Q20" s="84">
        <f t="shared" si="9"/>
        <v>2</v>
      </c>
      <c r="R20" s="84">
        <f t="shared" si="9"/>
        <v>1</v>
      </c>
      <c r="S20" s="84">
        <f t="shared" si="9"/>
        <v>1</v>
      </c>
      <c r="T20" s="84">
        <f t="shared" si="9"/>
        <v>2</v>
      </c>
      <c r="U20" s="84">
        <f t="shared" si="9"/>
        <v>2</v>
      </c>
      <c r="V20" s="84">
        <f t="shared" si="9"/>
        <v>2</v>
      </c>
      <c r="W20" s="84">
        <f t="shared" si="9"/>
        <v>2</v>
      </c>
      <c r="X20" s="84">
        <f t="shared" si="9"/>
        <v>2</v>
      </c>
      <c r="Y20" s="84">
        <f t="shared" si="9"/>
        <v>1</v>
      </c>
      <c r="Z20" s="84">
        <f t="shared" si="9"/>
        <v>1</v>
      </c>
      <c r="AA20" s="84">
        <f t="shared" si="9"/>
        <v>2</v>
      </c>
      <c r="AB20" s="84">
        <f t="shared" si="9"/>
        <v>2</v>
      </c>
      <c r="AC20" s="84">
        <f t="shared" si="9"/>
        <v>2</v>
      </c>
      <c r="AD20" s="84">
        <f t="shared" si="9"/>
        <v>2</v>
      </c>
      <c r="AE20" s="84">
        <f t="shared" si="9"/>
        <v>2</v>
      </c>
      <c r="AF20" s="84">
        <f t="shared" si="9"/>
        <v>1</v>
      </c>
      <c r="AG20" s="84">
        <f t="shared" si="9"/>
        <v>1</v>
      </c>
      <c r="AH20" s="84">
        <f t="shared" si="9"/>
        <v>2</v>
      </c>
    </row>
    <row r="21" spans="2:34" x14ac:dyDescent="0.25">
      <c r="C21" s="52" t="s">
        <v>19</v>
      </c>
      <c r="D21" s="700">
        <f t="shared" ref="D21:AH21" si="10">COUNTIFS(D$6:D$13,"N")+COUNTIFS(D$6:D$13,"NG")</f>
        <v>1</v>
      </c>
      <c r="E21" s="701">
        <f t="shared" si="10"/>
        <v>1</v>
      </c>
      <c r="F21" s="713">
        <f t="shared" si="10"/>
        <v>1</v>
      </c>
      <c r="G21" s="87">
        <f t="shared" si="10"/>
        <v>1</v>
      </c>
      <c r="H21" s="87">
        <f t="shared" si="10"/>
        <v>1</v>
      </c>
      <c r="I21" s="87">
        <f t="shared" si="10"/>
        <v>1</v>
      </c>
      <c r="J21" s="87">
        <f t="shared" si="10"/>
        <v>1</v>
      </c>
      <c r="K21" s="87">
        <f t="shared" si="10"/>
        <v>1</v>
      </c>
      <c r="L21" s="87">
        <f t="shared" si="10"/>
        <v>1</v>
      </c>
      <c r="M21" s="87">
        <f t="shared" si="10"/>
        <v>1</v>
      </c>
      <c r="N21" s="87">
        <f t="shared" si="10"/>
        <v>1</v>
      </c>
      <c r="O21" s="87">
        <f t="shared" si="10"/>
        <v>1</v>
      </c>
      <c r="P21" s="87">
        <f t="shared" si="10"/>
        <v>1</v>
      </c>
      <c r="Q21" s="87">
        <f t="shared" si="10"/>
        <v>1</v>
      </c>
      <c r="R21" s="87">
        <f t="shared" si="10"/>
        <v>1</v>
      </c>
      <c r="S21" s="87">
        <f t="shared" si="10"/>
        <v>1</v>
      </c>
      <c r="T21" s="87">
        <f t="shared" si="10"/>
        <v>1</v>
      </c>
      <c r="U21" s="87">
        <f t="shared" si="10"/>
        <v>1</v>
      </c>
      <c r="V21" s="87">
        <f t="shared" si="10"/>
        <v>1</v>
      </c>
      <c r="W21" s="87">
        <f t="shared" si="10"/>
        <v>1</v>
      </c>
      <c r="X21" s="87">
        <f t="shared" si="10"/>
        <v>1</v>
      </c>
      <c r="Y21" s="87">
        <f t="shared" si="10"/>
        <v>1</v>
      </c>
      <c r="Z21" s="87">
        <f t="shared" si="10"/>
        <v>1</v>
      </c>
      <c r="AA21" s="87">
        <f t="shared" si="10"/>
        <v>1</v>
      </c>
      <c r="AB21" s="87">
        <f t="shared" si="10"/>
        <v>1</v>
      </c>
      <c r="AC21" s="87">
        <f t="shared" si="10"/>
        <v>1</v>
      </c>
      <c r="AD21" s="87">
        <f t="shared" si="10"/>
        <v>1</v>
      </c>
      <c r="AE21" s="87">
        <f t="shared" si="10"/>
        <v>1</v>
      </c>
      <c r="AF21" s="87">
        <f t="shared" si="10"/>
        <v>1</v>
      </c>
      <c r="AG21" s="87">
        <f t="shared" si="10"/>
        <v>1</v>
      </c>
      <c r="AH21" s="87">
        <f t="shared" si="10"/>
        <v>1</v>
      </c>
    </row>
    <row r="22" spans="2:34" x14ac:dyDescent="0.25">
      <c r="C22" s="52" t="s">
        <v>6</v>
      </c>
      <c r="D22" s="702">
        <f t="shared" ref="D22:AH22" si="11">COUNTIFS(D$6:D$13,"D")+COUNTIFS(D$6:D$13,"DG")</f>
        <v>1</v>
      </c>
      <c r="E22" s="703">
        <f t="shared" si="11"/>
        <v>1</v>
      </c>
      <c r="F22" s="714">
        <f t="shared" si="11"/>
        <v>1</v>
      </c>
      <c r="G22" s="90">
        <f t="shared" si="11"/>
        <v>1</v>
      </c>
      <c r="H22" s="90">
        <f t="shared" si="11"/>
        <v>1</v>
      </c>
      <c r="I22" s="90">
        <f t="shared" si="11"/>
        <v>1</v>
      </c>
      <c r="J22" s="90">
        <f t="shared" si="11"/>
        <v>1</v>
      </c>
      <c r="K22" s="90">
        <f t="shared" si="11"/>
        <v>1</v>
      </c>
      <c r="L22" s="90">
        <f t="shared" si="11"/>
        <v>1</v>
      </c>
      <c r="M22" s="90">
        <f t="shared" si="11"/>
        <v>1</v>
      </c>
      <c r="N22" s="90">
        <f t="shared" si="11"/>
        <v>1</v>
      </c>
      <c r="O22" s="90">
        <f t="shared" si="11"/>
        <v>1</v>
      </c>
      <c r="P22" s="90">
        <f t="shared" si="11"/>
        <v>1</v>
      </c>
      <c r="Q22" s="90">
        <f t="shared" si="11"/>
        <v>1</v>
      </c>
      <c r="R22" s="90">
        <f t="shared" si="11"/>
        <v>1</v>
      </c>
      <c r="S22" s="90">
        <f t="shared" si="11"/>
        <v>1</v>
      </c>
      <c r="T22" s="90">
        <f t="shared" si="11"/>
        <v>1</v>
      </c>
      <c r="U22" s="90">
        <f t="shared" si="11"/>
        <v>1</v>
      </c>
      <c r="V22" s="90">
        <f t="shared" si="11"/>
        <v>1</v>
      </c>
      <c r="W22" s="90">
        <f t="shared" si="11"/>
        <v>1</v>
      </c>
      <c r="X22" s="90">
        <f t="shared" si="11"/>
        <v>1</v>
      </c>
      <c r="Y22" s="90">
        <f t="shared" si="11"/>
        <v>1</v>
      </c>
      <c r="Z22" s="90">
        <f t="shared" si="11"/>
        <v>1</v>
      </c>
      <c r="AA22" s="90">
        <f t="shared" si="11"/>
        <v>1</v>
      </c>
      <c r="AB22" s="90">
        <f t="shared" si="11"/>
        <v>1</v>
      </c>
      <c r="AC22" s="90">
        <f t="shared" si="11"/>
        <v>1</v>
      </c>
      <c r="AD22" s="90">
        <f t="shared" si="11"/>
        <v>1</v>
      </c>
      <c r="AE22" s="90">
        <f t="shared" si="11"/>
        <v>1</v>
      </c>
      <c r="AF22" s="90">
        <f t="shared" si="11"/>
        <v>1</v>
      </c>
      <c r="AG22" s="90">
        <f t="shared" si="11"/>
        <v>1</v>
      </c>
      <c r="AH22" s="90">
        <f t="shared" si="11"/>
        <v>1</v>
      </c>
    </row>
    <row r="23" spans="2:34" x14ac:dyDescent="0.25">
      <c r="C23" s="21" t="s">
        <v>7</v>
      </c>
      <c r="D23" s="704">
        <f t="shared" ref="D23:AH23" si="12">COUNTIFS(D$6:D$13,"L")+COUNTIFS(D$6:D$13,"LG")</f>
        <v>4</v>
      </c>
      <c r="E23" s="705">
        <f t="shared" si="12"/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92">
        <f t="shared" si="12"/>
        <v>2</v>
      </c>
      <c r="K23" s="92">
        <f t="shared" si="12"/>
        <v>4</v>
      </c>
      <c r="L23" s="92">
        <f t="shared" si="12"/>
        <v>4</v>
      </c>
      <c r="M23" s="92">
        <f t="shared" si="12"/>
        <v>2</v>
      </c>
      <c r="N23" s="92">
        <f t="shared" si="12"/>
        <v>2</v>
      </c>
      <c r="O23" s="92">
        <f t="shared" si="12"/>
        <v>2</v>
      </c>
      <c r="P23" s="92">
        <f t="shared" si="12"/>
        <v>2</v>
      </c>
      <c r="Q23" s="92">
        <f t="shared" si="12"/>
        <v>2</v>
      </c>
      <c r="R23" s="92">
        <f t="shared" si="12"/>
        <v>4</v>
      </c>
      <c r="S23" s="92">
        <f t="shared" si="12"/>
        <v>4</v>
      </c>
      <c r="T23" s="92">
        <f t="shared" si="12"/>
        <v>2</v>
      </c>
      <c r="U23" s="92">
        <f t="shared" si="12"/>
        <v>2</v>
      </c>
      <c r="V23" s="92">
        <f t="shared" si="12"/>
        <v>2</v>
      </c>
      <c r="W23" s="92">
        <f t="shared" si="12"/>
        <v>2</v>
      </c>
      <c r="X23" s="92">
        <f t="shared" si="12"/>
        <v>2</v>
      </c>
      <c r="Y23" s="92">
        <f t="shared" si="12"/>
        <v>4</v>
      </c>
      <c r="Z23" s="92">
        <f t="shared" si="12"/>
        <v>4</v>
      </c>
      <c r="AA23" s="92">
        <f t="shared" si="12"/>
        <v>2</v>
      </c>
      <c r="AB23" s="92">
        <f t="shared" si="12"/>
        <v>2</v>
      </c>
      <c r="AC23" s="92">
        <f t="shared" si="12"/>
        <v>2</v>
      </c>
      <c r="AD23" s="92">
        <f t="shared" si="12"/>
        <v>2</v>
      </c>
      <c r="AE23" s="92">
        <f t="shared" si="12"/>
        <v>2</v>
      </c>
      <c r="AF23" s="92">
        <f t="shared" si="12"/>
        <v>4</v>
      </c>
      <c r="AG23" s="92">
        <f t="shared" si="12"/>
        <v>4</v>
      </c>
      <c r="AH23" s="92">
        <f t="shared" si="12"/>
        <v>2</v>
      </c>
    </row>
    <row r="24" spans="2:34" x14ac:dyDescent="0.25">
      <c r="C24" s="21" t="s">
        <v>94</v>
      </c>
      <c r="D24" s="706">
        <f t="shared" ref="D24:AH24" si="13">COUNTIFS(D$6:D$13,"MG")+COUNTIFS(D$6:D$13,"TG")+COUNTIFS(D$6:D$13,"LG")+COUNTIFS(D$6:D$13,"DG")</f>
        <v>1</v>
      </c>
      <c r="E24" s="707">
        <f t="shared" si="13"/>
        <v>1</v>
      </c>
      <c r="F24" s="716">
        <f t="shared" ref="F24" si="14">COUNTIFS(G$6:G$13,"MG")+COUNTIFS(G$6:G$13,"TG")+COUNTIFS(G$6:G$13,"LG")+COUNTIFS(G$6:G$13,"DG")</f>
        <v>1</v>
      </c>
      <c r="G24" s="180">
        <f t="shared" si="13"/>
        <v>1</v>
      </c>
      <c r="H24" s="180">
        <f t="shared" si="13"/>
        <v>1</v>
      </c>
      <c r="I24" s="180">
        <f t="shared" ref="I24" si="15">COUNTIFS(J$6:J$13,"MG")+COUNTIFS(J$6:J$13,"TG")+COUNTIFS(J$6:J$13,"LG")+COUNTIFS(J$6:J$13,"DG")</f>
        <v>1</v>
      </c>
      <c r="J24" s="180">
        <f t="shared" si="13"/>
        <v>1</v>
      </c>
      <c r="K24" s="180">
        <f t="shared" si="13"/>
        <v>1</v>
      </c>
      <c r="L24" s="180">
        <f t="shared" si="13"/>
        <v>1</v>
      </c>
      <c r="M24" s="180">
        <f t="shared" ref="M24" si="16">COUNTIFS(N$6:N$13,"MG")+COUNTIFS(N$6:N$13,"TG")+COUNTIFS(N$6:N$13,"LG")+COUNTIFS(N$6:N$13,"DG")</f>
        <v>1</v>
      </c>
      <c r="N24" s="180">
        <f t="shared" si="13"/>
        <v>1</v>
      </c>
      <c r="O24" s="180">
        <f t="shared" si="13"/>
        <v>1</v>
      </c>
      <c r="P24" s="180">
        <f t="shared" si="13"/>
        <v>1</v>
      </c>
      <c r="Q24" s="180">
        <f t="shared" si="13"/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si="13"/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 x14ac:dyDescent="0.25">
      <c r="C25" s="21" t="s">
        <v>4</v>
      </c>
      <c r="D25" s="708">
        <f t="shared" ref="D25:AH25" si="17">COUNTIFS(D$6:D$13,"V")</f>
        <v>0</v>
      </c>
      <c r="E25" s="709">
        <f t="shared" si="17"/>
        <v>0</v>
      </c>
      <c r="F25" s="717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20" x14ac:dyDescent="0.25">
      <c r="C33" s="10"/>
    </row>
    <row r="34" spans="1:20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</sheetData>
  <mergeCells count="1">
    <mergeCell ref="B4:B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BBBB0-9D00-4B46-9DDE-81E29E912B7E}">
  <dimension ref="A1:AG34"/>
  <sheetViews>
    <sheetView workbookViewId="0">
      <selection activeCell="A29" sqref="A29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7" width="4.26953125" customWidth="1"/>
    <col min="18" max="18" width="3.7265625" customWidth="1"/>
    <col min="19" max="19" width="3.453125" customWidth="1"/>
    <col min="20" max="20" width="3.7265625" customWidth="1"/>
    <col min="21" max="21" width="3.54296875" customWidth="1"/>
    <col min="22" max="22" width="3.7265625" customWidth="1"/>
    <col min="23" max="23" width="4" customWidth="1"/>
    <col min="24" max="24" width="3.7265625" customWidth="1"/>
    <col min="25" max="25" width="4.1796875" customWidth="1"/>
    <col min="26" max="26" width="4" customWidth="1"/>
    <col min="27" max="28" width="4.1796875" customWidth="1"/>
    <col min="29" max="29" width="3.81640625" customWidth="1"/>
    <col min="30" max="30" width="4.1796875" customWidth="1"/>
    <col min="31" max="31" width="3.26953125" customWidth="1"/>
    <col min="32" max="32" width="3.7265625" customWidth="1"/>
    <col min="33" max="33" width="4.1796875" customWidth="1"/>
  </cols>
  <sheetData>
    <row r="1" spans="2:33" x14ac:dyDescent="0.25">
      <c r="C1" s="10"/>
    </row>
    <row r="2" spans="2:33" ht="13" x14ac:dyDescent="0.3">
      <c r="B2" s="454" t="s">
        <v>95</v>
      </c>
      <c r="C2" s="487" t="s">
        <v>95</v>
      </c>
      <c r="D2" s="455"/>
      <c r="E2" s="544"/>
      <c r="F2" s="544"/>
      <c r="G2" s="544"/>
      <c r="H2" s="487"/>
      <c r="I2" s="455"/>
      <c r="J2" s="544"/>
      <c r="K2" s="544"/>
      <c r="L2" s="544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3" x14ac:dyDescent="0.3">
      <c r="B3" s="609" t="s">
        <v>95</v>
      </c>
      <c r="C3" s="610" t="s">
        <v>95</v>
      </c>
      <c r="D3" s="611"/>
      <c r="E3" s="611"/>
      <c r="F3" s="611"/>
      <c r="G3" s="611"/>
      <c r="H3" s="449"/>
      <c r="I3" s="449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449"/>
      <c r="AF3" s="449"/>
      <c r="AG3" s="449"/>
    </row>
    <row r="4" spans="2:33" ht="13" x14ac:dyDescent="0.3">
      <c r="B4" s="1316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630" t="s">
        <v>5</v>
      </c>
      <c r="I4" s="631" t="s">
        <v>6</v>
      </c>
      <c r="J4" s="590" t="s">
        <v>7</v>
      </c>
      <c r="K4" s="590" t="s">
        <v>8</v>
      </c>
      <c r="L4" s="590" t="s">
        <v>9</v>
      </c>
      <c r="M4" s="590" t="s">
        <v>10</v>
      </c>
      <c r="N4" s="590" t="s">
        <v>4</v>
      </c>
      <c r="O4" s="546" t="s">
        <v>5</v>
      </c>
      <c r="P4" s="546" t="s">
        <v>6</v>
      </c>
      <c r="Q4" s="590" t="s">
        <v>7</v>
      </c>
      <c r="R4" s="590" t="s">
        <v>8</v>
      </c>
      <c r="S4" s="590" t="s">
        <v>9</v>
      </c>
      <c r="T4" s="590" t="s">
        <v>10</v>
      </c>
      <c r="U4" s="452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52" t="s">
        <v>4</v>
      </c>
      <c r="AC4" s="546" t="s">
        <v>104</v>
      </c>
      <c r="AD4" s="630" t="s">
        <v>6</v>
      </c>
      <c r="AE4" s="1182" t="s">
        <v>7</v>
      </c>
      <c r="AF4" s="1182" t="s">
        <v>8</v>
      </c>
      <c r="AG4" s="1182" t="s">
        <v>9</v>
      </c>
    </row>
    <row r="5" spans="2:33" ht="13" x14ac:dyDescent="0.3">
      <c r="B5" s="1317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17">
        <v>14</v>
      </c>
      <c r="R5" s="1118">
        <v>15</v>
      </c>
      <c r="S5" s="1076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83">
        <v>27</v>
      </c>
      <c r="AE5" s="1076">
        <v>28</v>
      </c>
      <c r="AF5" s="1076">
        <v>29</v>
      </c>
      <c r="AG5" s="1076">
        <v>30</v>
      </c>
    </row>
    <row r="6" spans="2:33" x14ac:dyDescent="0.25">
      <c r="B6" s="244" t="s">
        <v>97</v>
      </c>
      <c r="C6" s="375" t="s">
        <v>13</v>
      </c>
      <c r="D6" s="1123" t="s">
        <v>8</v>
      </c>
      <c r="E6" s="1123" t="s">
        <v>7</v>
      </c>
      <c r="F6" s="1123" t="s">
        <v>7</v>
      </c>
      <c r="G6" s="1123" t="s">
        <v>7</v>
      </c>
      <c r="H6" s="1122" t="s">
        <v>16</v>
      </c>
      <c r="I6" s="1122" t="s">
        <v>16</v>
      </c>
      <c r="J6" s="1122" t="s">
        <v>22</v>
      </c>
      <c r="K6" s="1122" t="s">
        <v>22</v>
      </c>
      <c r="L6" s="1122" t="s">
        <v>22</v>
      </c>
      <c r="M6" s="1122" t="s">
        <v>22</v>
      </c>
      <c r="N6" s="1122" t="s">
        <v>53</v>
      </c>
      <c r="O6" s="1086" t="s">
        <v>7</v>
      </c>
      <c r="P6" s="1086" t="s">
        <v>7</v>
      </c>
      <c r="Q6" s="1124" t="s">
        <v>8</v>
      </c>
      <c r="R6" s="1123" t="s">
        <v>8</v>
      </c>
      <c r="S6" s="1123" t="s">
        <v>8</v>
      </c>
      <c r="T6" s="1123" t="s">
        <v>8</v>
      </c>
      <c r="U6" s="1119" t="s">
        <v>8</v>
      </c>
      <c r="V6" s="1083" t="s">
        <v>53</v>
      </c>
      <c r="W6" s="1083" t="s">
        <v>53</v>
      </c>
      <c r="X6" s="1084" t="s">
        <v>23</v>
      </c>
      <c r="Y6" s="1084" t="s">
        <v>23</v>
      </c>
      <c r="Z6" s="1084" t="s">
        <v>16</v>
      </c>
      <c r="AA6" s="1084" t="s">
        <v>16</v>
      </c>
      <c r="AB6" s="1084" t="s">
        <v>16</v>
      </c>
      <c r="AC6" s="1102" t="s">
        <v>7</v>
      </c>
      <c r="AD6" s="1184" t="s">
        <v>7</v>
      </c>
      <c r="AE6" s="103" t="s">
        <v>8</v>
      </c>
      <c r="AF6" s="103" t="s">
        <v>8</v>
      </c>
      <c r="AG6" s="103" t="s">
        <v>7</v>
      </c>
    </row>
    <row r="7" spans="2:33" x14ac:dyDescent="0.25">
      <c r="B7" s="244" t="s">
        <v>73</v>
      </c>
      <c r="C7" s="375" t="s">
        <v>18</v>
      </c>
      <c r="D7" s="1084" t="s">
        <v>22</v>
      </c>
      <c r="E7" s="1084" t="s">
        <v>22</v>
      </c>
      <c r="F7" s="1084" t="s">
        <v>22</v>
      </c>
      <c r="G7" s="1084" t="s">
        <v>53</v>
      </c>
      <c r="H7" s="1085" t="s">
        <v>7</v>
      </c>
      <c r="I7" s="1086" t="s">
        <v>7</v>
      </c>
      <c r="J7" s="103" t="s">
        <v>8</v>
      </c>
      <c r="K7" s="103" t="s">
        <v>8</v>
      </c>
      <c r="L7" s="103" t="s">
        <v>8</v>
      </c>
      <c r="M7" s="103" t="s">
        <v>8</v>
      </c>
      <c r="N7" s="1138" t="s">
        <v>8</v>
      </c>
      <c r="O7" s="1087" t="s">
        <v>53</v>
      </c>
      <c r="P7" s="1087" t="s">
        <v>53</v>
      </c>
      <c r="Q7" s="1083" t="s">
        <v>23</v>
      </c>
      <c r="R7" s="1084" t="s">
        <v>23</v>
      </c>
      <c r="S7" s="1084" t="s">
        <v>16</v>
      </c>
      <c r="T7" s="1084" t="s">
        <v>16</v>
      </c>
      <c r="U7" s="1125" t="s">
        <v>16</v>
      </c>
      <c r="V7" s="1159" t="s">
        <v>7</v>
      </c>
      <c r="W7" s="1159" t="s">
        <v>7</v>
      </c>
      <c r="X7" s="103" t="s">
        <v>8</v>
      </c>
      <c r="Y7" s="103" t="s">
        <v>8</v>
      </c>
      <c r="Z7" s="103" t="s">
        <v>7</v>
      </c>
      <c r="AA7" s="103" t="s">
        <v>7</v>
      </c>
      <c r="AB7" s="103" t="s">
        <v>7</v>
      </c>
      <c r="AC7" s="1084" t="s">
        <v>16</v>
      </c>
      <c r="AD7" s="1125" t="s">
        <v>16</v>
      </c>
      <c r="AE7" s="1084" t="s">
        <v>22</v>
      </c>
      <c r="AF7" s="1084" t="s">
        <v>22</v>
      </c>
      <c r="AG7" s="1084" t="s">
        <v>22</v>
      </c>
    </row>
    <row r="8" spans="2:33" x14ac:dyDescent="0.25">
      <c r="B8" s="244" t="s">
        <v>103</v>
      </c>
      <c r="C8" s="375" t="s">
        <v>21</v>
      </c>
      <c r="D8" s="103" t="s">
        <v>8</v>
      </c>
      <c r="E8" s="103" t="s">
        <v>8</v>
      </c>
      <c r="F8" s="103" t="s">
        <v>8</v>
      </c>
      <c r="G8" s="103" t="s">
        <v>8</v>
      </c>
      <c r="H8" s="1091" t="s">
        <v>6</v>
      </c>
      <c r="I8" s="1091" t="s">
        <v>6</v>
      </c>
      <c r="J8" s="103" t="s">
        <v>7</v>
      </c>
      <c r="K8" s="103" t="s">
        <v>7</v>
      </c>
      <c r="L8" s="103" t="s">
        <v>8</v>
      </c>
      <c r="M8" s="103" t="s">
        <v>8</v>
      </c>
      <c r="N8" s="1138" t="s">
        <v>8</v>
      </c>
      <c r="O8" s="1086" t="s">
        <v>7</v>
      </c>
      <c r="P8" s="1086" t="s">
        <v>7</v>
      </c>
      <c r="Q8" s="1088" t="s">
        <v>8</v>
      </c>
      <c r="R8" s="103" t="s">
        <v>8</v>
      </c>
      <c r="S8" s="103" t="s">
        <v>7</v>
      </c>
      <c r="T8" s="103" t="s">
        <v>7</v>
      </c>
      <c r="U8" s="1128" t="s">
        <v>7</v>
      </c>
      <c r="V8" s="1159" t="s">
        <v>8</v>
      </c>
      <c r="W8" s="1159" t="s">
        <v>8</v>
      </c>
      <c r="X8" s="103" t="s">
        <v>14</v>
      </c>
      <c r="Y8" s="103" t="s">
        <v>14</v>
      </c>
      <c r="Z8" s="103" t="s">
        <v>14</v>
      </c>
      <c r="AA8" s="103" t="s">
        <v>14</v>
      </c>
      <c r="AB8" s="103" t="s">
        <v>6</v>
      </c>
      <c r="AC8" s="1085" t="s">
        <v>7</v>
      </c>
      <c r="AD8" s="1185" t="s">
        <v>7</v>
      </c>
      <c r="AE8" s="103" t="s">
        <v>8</v>
      </c>
      <c r="AF8" s="103" t="s">
        <v>8</v>
      </c>
      <c r="AG8" s="103" t="s">
        <v>8</v>
      </c>
    </row>
    <row r="9" spans="2:33" x14ac:dyDescent="0.25">
      <c r="B9" s="244" t="s">
        <v>66</v>
      </c>
      <c r="C9" s="375" t="s">
        <v>26</v>
      </c>
      <c r="D9" s="1092" t="s">
        <v>7</v>
      </c>
      <c r="E9" s="1092" t="s">
        <v>8</v>
      </c>
      <c r="F9" s="1092" t="s">
        <v>8</v>
      </c>
      <c r="G9" s="1092" t="s">
        <v>8</v>
      </c>
      <c r="H9" s="1089" t="s">
        <v>7</v>
      </c>
      <c r="I9" s="1090" t="s">
        <v>7</v>
      </c>
      <c r="J9" s="1092" t="s">
        <v>8</v>
      </c>
      <c r="K9" s="1092" t="s">
        <v>8</v>
      </c>
      <c r="L9" s="1092" t="s">
        <v>7</v>
      </c>
      <c r="M9" s="1092" t="s">
        <v>7</v>
      </c>
      <c r="N9" s="1139" t="s">
        <v>7</v>
      </c>
      <c r="O9" s="1086" t="s">
        <v>8</v>
      </c>
      <c r="P9" s="1086" t="s">
        <v>8</v>
      </c>
      <c r="Q9" s="1093" t="s">
        <v>14</v>
      </c>
      <c r="R9" s="1092" t="s">
        <v>14</v>
      </c>
      <c r="S9" s="1092" t="s">
        <v>14</v>
      </c>
      <c r="T9" s="1092" t="s">
        <v>14</v>
      </c>
      <c r="U9" s="1160" t="s">
        <v>6</v>
      </c>
      <c r="V9" s="1161" t="s">
        <v>7</v>
      </c>
      <c r="W9" s="1161" t="s">
        <v>7</v>
      </c>
      <c r="X9" s="1092" t="s">
        <v>8</v>
      </c>
      <c r="Y9" s="1092" t="s">
        <v>8</v>
      </c>
      <c r="Z9" s="1092" t="s">
        <v>8</v>
      </c>
      <c r="AA9" s="1092" t="s">
        <v>8</v>
      </c>
      <c r="AB9" s="1092" t="s">
        <v>8</v>
      </c>
      <c r="AC9" s="1095" t="s">
        <v>6</v>
      </c>
      <c r="AD9" s="1186" t="s">
        <v>6</v>
      </c>
      <c r="AE9" s="103" t="s">
        <v>7</v>
      </c>
      <c r="AF9" s="103" t="s">
        <v>7</v>
      </c>
      <c r="AG9" s="103" t="s">
        <v>8</v>
      </c>
    </row>
    <row r="10" spans="2:33" x14ac:dyDescent="0.25">
      <c r="B10" s="242" t="s">
        <v>90</v>
      </c>
      <c r="C10" s="432" t="s">
        <v>28</v>
      </c>
      <c r="D10" s="1097" t="s">
        <v>14</v>
      </c>
      <c r="E10" s="1097" t="s">
        <v>14</v>
      </c>
      <c r="F10" s="1101" t="s">
        <v>19</v>
      </c>
      <c r="G10" s="1101" t="s">
        <v>19</v>
      </c>
      <c r="H10" s="1102" t="s">
        <v>7</v>
      </c>
      <c r="I10" s="1099" t="s">
        <v>7</v>
      </c>
      <c r="J10" s="1091" t="s">
        <v>6</v>
      </c>
      <c r="K10" s="1091" t="s">
        <v>6</v>
      </c>
      <c r="L10" s="1091" t="s">
        <v>6</v>
      </c>
      <c r="M10" s="1101" t="s">
        <v>14</v>
      </c>
      <c r="N10" s="1140" t="s">
        <v>14</v>
      </c>
      <c r="O10" s="1086" t="s">
        <v>19</v>
      </c>
      <c r="P10" s="1086" t="s">
        <v>19</v>
      </c>
      <c r="Q10" s="1096" t="s">
        <v>7</v>
      </c>
      <c r="R10" s="1097" t="s">
        <v>7</v>
      </c>
      <c r="S10" s="1097" t="s">
        <v>7</v>
      </c>
      <c r="T10" s="1097" t="s">
        <v>7</v>
      </c>
      <c r="U10" s="1131" t="s">
        <v>14</v>
      </c>
      <c r="V10" s="1162" t="s">
        <v>14</v>
      </c>
      <c r="W10" s="1162" t="s">
        <v>14</v>
      </c>
      <c r="X10" s="1097" t="s">
        <v>19</v>
      </c>
      <c r="Y10" s="1097" t="s">
        <v>19</v>
      </c>
      <c r="Z10" s="1097" t="s">
        <v>19</v>
      </c>
      <c r="AA10" s="1100" t="s">
        <v>6</v>
      </c>
      <c r="AB10" s="1097" t="s">
        <v>7</v>
      </c>
      <c r="AC10" s="1098" t="s">
        <v>7</v>
      </c>
      <c r="AD10" s="1184" t="s">
        <v>7</v>
      </c>
      <c r="AE10" s="1104" t="s">
        <v>14</v>
      </c>
      <c r="AF10" s="24" t="s">
        <v>14</v>
      </c>
      <c r="AG10" s="24" t="s">
        <v>14</v>
      </c>
    </row>
    <row r="11" spans="2:33" x14ac:dyDescent="0.25">
      <c r="B11" s="376" t="s">
        <v>91</v>
      </c>
      <c r="C11" s="375" t="s">
        <v>30</v>
      </c>
      <c r="D11" s="1105" t="s">
        <v>6</v>
      </c>
      <c r="E11" s="1105" t="s">
        <v>6</v>
      </c>
      <c r="F11" s="1104" t="s">
        <v>14</v>
      </c>
      <c r="G11" s="1104" t="s">
        <v>14</v>
      </c>
      <c r="H11" s="1085" t="s">
        <v>19</v>
      </c>
      <c r="I11" s="1086" t="s">
        <v>19</v>
      </c>
      <c r="J11" s="24" t="s">
        <v>7</v>
      </c>
      <c r="K11" s="24" t="s">
        <v>7</v>
      </c>
      <c r="L11" s="24" t="s">
        <v>7</v>
      </c>
      <c r="M11" s="24" t="s">
        <v>7</v>
      </c>
      <c r="N11" s="69" t="s">
        <v>14</v>
      </c>
      <c r="O11" s="1086" t="s">
        <v>14</v>
      </c>
      <c r="P11" s="1086" t="s">
        <v>14</v>
      </c>
      <c r="Q11" s="1103" t="s">
        <v>19</v>
      </c>
      <c r="R11" s="24" t="s">
        <v>19</v>
      </c>
      <c r="S11" s="24" t="s">
        <v>19</v>
      </c>
      <c r="T11" s="76" t="s">
        <v>6</v>
      </c>
      <c r="U11" s="1163" t="s">
        <v>7</v>
      </c>
      <c r="V11" s="1159" t="s">
        <v>7</v>
      </c>
      <c r="W11" s="1159" t="s">
        <v>7</v>
      </c>
      <c r="X11" s="1104" t="s">
        <v>14</v>
      </c>
      <c r="Y11" s="24" t="s">
        <v>14</v>
      </c>
      <c r="Z11" s="24" t="s">
        <v>14</v>
      </c>
      <c r="AA11" s="1104" t="s">
        <v>19</v>
      </c>
      <c r="AB11" s="1104" t="s">
        <v>19</v>
      </c>
      <c r="AC11" s="1085" t="s">
        <v>7</v>
      </c>
      <c r="AD11" s="1185" t="s">
        <v>7</v>
      </c>
      <c r="AE11" s="1105" t="s">
        <v>6</v>
      </c>
      <c r="AF11" s="1105" t="s">
        <v>6</v>
      </c>
      <c r="AG11" s="1105" t="s">
        <v>6</v>
      </c>
    </row>
    <row r="12" spans="2:33" x14ac:dyDescent="0.25">
      <c r="B12" s="244" t="s">
        <v>92</v>
      </c>
      <c r="C12" s="375" t="s">
        <v>32</v>
      </c>
      <c r="D12" s="24" t="s">
        <v>7</v>
      </c>
      <c r="E12" s="24" t="s">
        <v>7</v>
      </c>
      <c r="F12" s="24" t="s">
        <v>7</v>
      </c>
      <c r="G12" s="24" t="s">
        <v>14</v>
      </c>
      <c r="H12" s="104" t="s">
        <v>14</v>
      </c>
      <c r="I12" s="1086" t="s">
        <v>14</v>
      </c>
      <c r="J12" s="24" t="s">
        <v>19</v>
      </c>
      <c r="K12" s="24" t="s">
        <v>19</v>
      </c>
      <c r="L12" s="24" t="s">
        <v>19</v>
      </c>
      <c r="M12" s="76" t="s">
        <v>6</v>
      </c>
      <c r="N12" s="69" t="s">
        <v>7</v>
      </c>
      <c r="O12" s="1086" t="s">
        <v>7</v>
      </c>
      <c r="P12" s="1086" t="s">
        <v>7</v>
      </c>
      <c r="Q12" s="1106" t="s">
        <v>14</v>
      </c>
      <c r="R12" s="24" t="s">
        <v>14</v>
      </c>
      <c r="S12" s="24" t="s">
        <v>14</v>
      </c>
      <c r="T12" s="1104" t="s">
        <v>19</v>
      </c>
      <c r="U12" s="1164" t="s">
        <v>19</v>
      </c>
      <c r="V12" s="1159" t="s">
        <v>7</v>
      </c>
      <c r="W12" s="1159" t="s">
        <v>7</v>
      </c>
      <c r="X12" s="1105" t="s">
        <v>6</v>
      </c>
      <c r="Y12" s="1105" t="s">
        <v>6</v>
      </c>
      <c r="Z12" s="1105" t="s">
        <v>6</v>
      </c>
      <c r="AA12" s="1104" t="s">
        <v>14</v>
      </c>
      <c r="AB12" s="1104" t="s">
        <v>14</v>
      </c>
      <c r="AC12" s="1085" t="s">
        <v>19</v>
      </c>
      <c r="AD12" s="1185" t="s">
        <v>19</v>
      </c>
      <c r="AE12" s="24" t="s">
        <v>7</v>
      </c>
      <c r="AF12" s="24" t="s">
        <v>7</v>
      </c>
      <c r="AG12" s="24" t="s">
        <v>7</v>
      </c>
    </row>
    <row r="13" spans="2:33" x14ac:dyDescent="0.25">
      <c r="B13" s="246" t="s">
        <v>93</v>
      </c>
      <c r="C13" s="566" t="s">
        <v>34</v>
      </c>
      <c r="D13" s="1111" t="s">
        <v>19</v>
      </c>
      <c r="E13" s="1111" t="s">
        <v>19</v>
      </c>
      <c r="F13" s="1113" t="s">
        <v>6</v>
      </c>
      <c r="G13" s="1111" t="s">
        <v>7</v>
      </c>
      <c r="H13" s="1109" t="s">
        <v>7</v>
      </c>
      <c r="I13" s="1114" t="s">
        <v>7</v>
      </c>
      <c r="J13" s="1108" t="s">
        <v>14</v>
      </c>
      <c r="K13" s="1111" t="s">
        <v>14</v>
      </c>
      <c r="L13" s="1111" t="s">
        <v>14</v>
      </c>
      <c r="M13" s="1108" t="s">
        <v>19</v>
      </c>
      <c r="N13" s="1141" t="s">
        <v>19</v>
      </c>
      <c r="O13" s="1086" t="s">
        <v>7</v>
      </c>
      <c r="P13" s="1086" t="s">
        <v>7</v>
      </c>
      <c r="Q13" s="1107" t="s">
        <v>6</v>
      </c>
      <c r="R13" s="1107" t="s">
        <v>6</v>
      </c>
      <c r="S13" s="1107" t="s">
        <v>6</v>
      </c>
      <c r="T13" s="1108" t="s">
        <v>14</v>
      </c>
      <c r="U13" s="1165" t="s">
        <v>14</v>
      </c>
      <c r="V13" s="1166" t="s">
        <v>19</v>
      </c>
      <c r="W13" s="1166" t="s">
        <v>19</v>
      </c>
      <c r="X13" s="1111" t="s">
        <v>7</v>
      </c>
      <c r="Y13" s="1111" t="s">
        <v>7</v>
      </c>
      <c r="Z13" s="1111" t="s">
        <v>7</v>
      </c>
      <c r="AA13" s="1111" t="s">
        <v>7</v>
      </c>
      <c r="AB13" s="1111" t="s">
        <v>14</v>
      </c>
      <c r="AC13" s="1112" t="s">
        <v>14</v>
      </c>
      <c r="AD13" s="1187" t="s">
        <v>14</v>
      </c>
      <c r="AE13" s="24" t="s">
        <v>19</v>
      </c>
      <c r="AF13" s="24" t="s">
        <v>19</v>
      </c>
      <c r="AG13" s="24" t="s">
        <v>19</v>
      </c>
    </row>
    <row r="14" spans="2:33" x14ac:dyDescent="0.25">
      <c r="B14" s="246" t="s">
        <v>55</v>
      </c>
      <c r="C14" s="207"/>
      <c r="D14" s="569"/>
      <c r="E14" s="569"/>
      <c r="F14" s="569"/>
      <c r="G14" s="895"/>
      <c r="H14" s="893"/>
      <c r="I14" s="894"/>
      <c r="J14" s="896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</row>
    <row r="15" spans="2:33" x14ac:dyDescent="0.25">
      <c r="B15" s="4"/>
      <c r="C15" s="10"/>
    </row>
    <row r="16" spans="2:33" x14ac:dyDescent="0.25">
      <c r="B16" s="4"/>
      <c r="C16" s="10"/>
    </row>
    <row r="17" spans="2:33" x14ac:dyDescent="0.25">
      <c r="B17" s="4"/>
      <c r="C17" s="10"/>
    </row>
    <row r="18" spans="2:33" x14ac:dyDescent="0.25">
      <c r="B18" s="4"/>
      <c r="C18" s="21" t="s">
        <v>38</v>
      </c>
      <c r="D18" s="53">
        <f t="shared" ref="D18:G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>SUM(H19:H22)</f>
        <v>4</v>
      </c>
      <c r="I18" s="53">
        <f>SUM(I19:I22)</f>
        <v>4</v>
      </c>
      <c r="J18" s="53">
        <f t="shared" ref="J18:K18" si="1">SUM(J19:J22)</f>
        <v>6</v>
      </c>
      <c r="K18" s="53">
        <f t="shared" si="1"/>
        <v>6</v>
      </c>
      <c r="L18" s="53">
        <f>SUM(L19:L22)</f>
        <v>6</v>
      </c>
      <c r="M18" s="53">
        <f t="shared" ref="M18" si="2">SUM(M19:M22)</f>
        <v>6</v>
      </c>
      <c r="N18" s="53">
        <f>SUM(N19:N22)</f>
        <v>6</v>
      </c>
      <c r="O18" s="53">
        <f>SUM(O19:O22)</f>
        <v>4</v>
      </c>
      <c r="P18" s="53">
        <f t="shared" ref="P18" si="3">SUM(P19:P22)</f>
        <v>4</v>
      </c>
      <c r="Q18" s="53">
        <f>SUM(Q19:Q22)</f>
        <v>6</v>
      </c>
      <c r="R18" s="53">
        <f t="shared" ref="R18:S18" si="4">SUM(R19:R22)</f>
        <v>6</v>
      </c>
      <c r="S18" s="53">
        <f t="shared" si="4"/>
        <v>6</v>
      </c>
      <c r="T18" s="53">
        <f>SUM(T19:T22)</f>
        <v>6</v>
      </c>
      <c r="U18" s="53">
        <f>SUM(U19:U22)</f>
        <v>6</v>
      </c>
      <c r="V18" s="53">
        <f t="shared" ref="V18" si="5">SUM(V19:V22)</f>
        <v>4</v>
      </c>
      <c r="W18" s="53">
        <f>SUM(W19:W22)</f>
        <v>4</v>
      </c>
      <c r="X18" s="53">
        <f>SUM(X19:X22)</f>
        <v>6</v>
      </c>
      <c r="Y18" s="53">
        <f t="shared" ref="Y18" si="6">SUM(Y19:Y22)</f>
        <v>6</v>
      </c>
      <c r="Z18" s="53">
        <f>SUM(Z19:Z22)</f>
        <v>6</v>
      </c>
      <c r="AA18" s="53">
        <f>SUM(AA19:AA22)</f>
        <v>6</v>
      </c>
      <c r="AB18" s="53">
        <f t="shared" ref="AB18" si="7">SUM(AB19:AB22)</f>
        <v>6</v>
      </c>
      <c r="AC18" s="53">
        <f>SUM(AC19:AC22)</f>
        <v>4</v>
      </c>
      <c r="AD18" s="53">
        <f t="shared" ref="AD18:AE18" si="8">SUM(AD19:AD22)</f>
        <v>4</v>
      </c>
      <c r="AE18" s="53">
        <f t="shared" si="8"/>
        <v>6</v>
      </c>
      <c r="AF18" s="53">
        <f>SUM(AF19:AF22)</f>
        <v>6</v>
      </c>
      <c r="AG18" s="53">
        <f>SUM(AG19:AG22)</f>
        <v>6</v>
      </c>
    </row>
    <row r="19" spans="2:33" x14ac:dyDescent="0.25">
      <c r="B19" s="4"/>
      <c r="C19" s="52" t="s">
        <v>8</v>
      </c>
      <c r="D19" s="81">
        <f t="shared" ref="D19:AG19" si="9">COUNTIFS(D$6:D$13,"M")+COUNTIFS(D$6:D$13,"MG")</f>
        <v>2</v>
      </c>
      <c r="E19" s="81">
        <f t="shared" si="9"/>
        <v>2</v>
      </c>
      <c r="F19" s="81">
        <f t="shared" si="9"/>
        <v>2</v>
      </c>
      <c r="G19" s="81">
        <f t="shared" si="9"/>
        <v>2</v>
      </c>
      <c r="H19" s="81">
        <f t="shared" si="9"/>
        <v>1</v>
      </c>
      <c r="I19" s="81">
        <f t="shared" si="9"/>
        <v>1</v>
      </c>
      <c r="J19" s="81">
        <f t="shared" si="9"/>
        <v>2</v>
      </c>
      <c r="K19" s="81">
        <f t="shared" si="9"/>
        <v>2</v>
      </c>
      <c r="L19" s="81">
        <f t="shared" si="9"/>
        <v>2</v>
      </c>
      <c r="M19" s="81">
        <f t="shared" si="9"/>
        <v>2</v>
      </c>
      <c r="N19" s="81">
        <f t="shared" si="9"/>
        <v>2</v>
      </c>
      <c r="O19" s="81">
        <f t="shared" si="9"/>
        <v>1</v>
      </c>
      <c r="P19" s="81">
        <f t="shared" si="9"/>
        <v>1</v>
      </c>
      <c r="Q19" s="81">
        <f t="shared" si="9"/>
        <v>2</v>
      </c>
      <c r="R19" s="81">
        <f t="shared" si="9"/>
        <v>2</v>
      </c>
      <c r="S19" s="81">
        <f t="shared" si="9"/>
        <v>2</v>
      </c>
      <c r="T19" s="81">
        <f t="shared" si="9"/>
        <v>2</v>
      </c>
      <c r="U19" s="81">
        <f t="shared" si="9"/>
        <v>2</v>
      </c>
      <c r="V19" s="81">
        <f t="shared" si="9"/>
        <v>1</v>
      </c>
      <c r="W19" s="81">
        <f t="shared" si="9"/>
        <v>1</v>
      </c>
      <c r="X19" s="81">
        <f t="shared" si="9"/>
        <v>2</v>
      </c>
      <c r="Y19" s="81">
        <f t="shared" si="9"/>
        <v>2</v>
      </c>
      <c r="Z19" s="81">
        <f t="shared" si="9"/>
        <v>2</v>
      </c>
      <c r="AA19" s="81">
        <f t="shared" si="9"/>
        <v>2</v>
      </c>
      <c r="AB19" s="81">
        <f t="shared" si="9"/>
        <v>2</v>
      </c>
      <c r="AC19" s="81">
        <f t="shared" si="9"/>
        <v>1</v>
      </c>
      <c r="AD19" s="81">
        <f t="shared" si="9"/>
        <v>1</v>
      </c>
      <c r="AE19" s="81">
        <f t="shared" si="9"/>
        <v>2</v>
      </c>
      <c r="AF19" s="81">
        <f t="shared" si="9"/>
        <v>2</v>
      </c>
      <c r="AG19" s="81">
        <f t="shared" si="9"/>
        <v>2</v>
      </c>
    </row>
    <row r="20" spans="2:33" x14ac:dyDescent="0.25">
      <c r="B20" s="4"/>
      <c r="C20" s="52" t="s">
        <v>14</v>
      </c>
      <c r="D20" s="84">
        <f t="shared" ref="D20:AG20" si="10">COUNTIFS(D$6:D$13,"T")+COUNTIFS(D$6:D$13,"TG")</f>
        <v>2</v>
      </c>
      <c r="E20" s="84">
        <f t="shared" si="10"/>
        <v>2</v>
      </c>
      <c r="F20" s="84">
        <f t="shared" si="10"/>
        <v>2</v>
      </c>
      <c r="G20" s="84">
        <f t="shared" si="10"/>
        <v>2</v>
      </c>
      <c r="H20" s="84">
        <f t="shared" si="10"/>
        <v>1</v>
      </c>
      <c r="I20" s="84">
        <f t="shared" si="10"/>
        <v>1</v>
      </c>
      <c r="J20" s="84">
        <f t="shared" si="10"/>
        <v>2</v>
      </c>
      <c r="K20" s="84">
        <f t="shared" si="10"/>
        <v>2</v>
      </c>
      <c r="L20" s="84">
        <f t="shared" si="10"/>
        <v>2</v>
      </c>
      <c r="M20" s="84">
        <f t="shared" si="10"/>
        <v>2</v>
      </c>
      <c r="N20" s="84">
        <f t="shared" si="10"/>
        <v>2</v>
      </c>
      <c r="O20" s="84">
        <f t="shared" si="10"/>
        <v>1</v>
      </c>
      <c r="P20" s="84">
        <f t="shared" si="10"/>
        <v>1</v>
      </c>
      <c r="Q20" s="84">
        <f t="shared" si="10"/>
        <v>2</v>
      </c>
      <c r="R20" s="84">
        <f t="shared" si="10"/>
        <v>2</v>
      </c>
      <c r="S20" s="84">
        <f t="shared" si="10"/>
        <v>2</v>
      </c>
      <c r="T20" s="84">
        <f t="shared" si="10"/>
        <v>2</v>
      </c>
      <c r="U20" s="84">
        <f t="shared" si="10"/>
        <v>2</v>
      </c>
      <c r="V20" s="84">
        <f t="shared" si="10"/>
        <v>1</v>
      </c>
      <c r="W20" s="84">
        <f t="shared" si="10"/>
        <v>1</v>
      </c>
      <c r="X20" s="84">
        <f t="shared" si="10"/>
        <v>2</v>
      </c>
      <c r="Y20" s="84">
        <f t="shared" si="10"/>
        <v>2</v>
      </c>
      <c r="Z20" s="84">
        <f t="shared" si="10"/>
        <v>2</v>
      </c>
      <c r="AA20" s="84">
        <f t="shared" si="10"/>
        <v>2</v>
      </c>
      <c r="AB20" s="84">
        <f t="shared" si="10"/>
        <v>2</v>
      </c>
      <c r="AC20" s="84">
        <f t="shared" si="10"/>
        <v>1</v>
      </c>
      <c r="AD20" s="84">
        <f t="shared" si="10"/>
        <v>1</v>
      </c>
      <c r="AE20" s="84">
        <f t="shared" si="10"/>
        <v>2</v>
      </c>
      <c r="AF20" s="84">
        <f t="shared" si="10"/>
        <v>2</v>
      </c>
      <c r="AG20" s="84">
        <f t="shared" si="10"/>
        <v>2</v>
      </c>
    </row>
    <row r="21" spans="2:33" x14ac:dyDescent="0.25">
      <c r="C21" s="52" t="s">
        <v>19</v>
      </c>
      <c r="D21" s="87">
        <f t="shared" ref="D21:AG21" si="11">COUNTIFS(D$6:D$13,"N")+COUNTIFS(D$6:D$13,"NG")</f>
        <v>1</v>
      </c>
      <c r="E21" s="87">
        <f t="shared" si="11"/>
        <v>1</v>
      </c>
      <c r="F21" s="87">
        <f t="shared" si="11"/>
        <v>1</v>
      </c>
      <c r="G21" s="87">
        <f t="shared" si="11"/>
        <v>1</v>
      </c>
      <c r="H21" s="87">
        <f t="shared" si="11"/>
        <v>1</v>
      </c>
      <c r="I21" s="87">
        <f t="shared" si="11"/>
        <v>1</v>
      </c>
      <c r="J21" s="87">
        <f t="shared" si="11"/>
        <v>1</v>
      </c>
      <c r="K21" s="87">
        <f t="shared" si="11"/>
        <v>1</v>
      </c>
      <c r="L21" s="87">
        <f t="shared" si="11"/>
        <v>1</v>
      </c>
      <c r="M21" s="87">
        <f t="shared" si="11"/>
        <v>1</v>
      </c>
      <c r="N21" s="87">
        <f t="shared" si="11"/>
        <v>1</v>
      </c>
      <c r="O21" s="87">
        <f t="shared" si="11"/>
        <v>1</v>
      </c>
      <c r="P21" s="87">
        <f t="shared" si="11"/>
        <v>1</v>
      </c>
      <c r="Q21" s="87">
        <f t="shared" si="11"/>
        <v>1</v>
      </c>
      <c r="R21" s="87">
        <f t="shared" si="11"/>
        <v>1</v>
      </c>
      <c r="S21" s="87">
        <f t="shared" si="11"/>
        <v>1</v>
      </c>
      <c r="T21" s="87">
        <f t="shared" si="11"/>
        <v>1</v>
      </c>
      <c r="U21" s="87">
        <f t="shared" si="11"/>
        <v>1</v>
      </c>
      <c r="V21" s="87">
        <f t="shared" si="11"/>
        <v>1</v>
      </c>
      <c r="W21" s="87">
        <f t="shared" si="11"/>
        <v>1</v>
      </c>
      <c r="X21" s="87">
        <f t="shared" si="11"/>
        <v>1</v>
      </c>
      <c r="Y21" s="87">
        <f t="shared" si="11"/>
        <v>1</v>
      </c>
      <c r="Z21" s="87">
        <f t="shared" si="11"/>
        <v>1</v>
      </c>
      <c r="AA21" s="87">
        <f t="shared" si="11"/>
        <v>1</v>
      </c>
      <c r="AB21" s="87">
        <f t="shared" si="11"/>
        <v>1</v>
      </c>
      <c r="AC21" s="87">
        <f t="shared" si="11"/>
        <v>1</v>
      </c>
      <c r="AD21" s="87">
        <f t="shared" si="11"/>
        <v>1</v>
      </c>
      <c r="AE21" s="87">
        <f t="shared" si="11"/>
        <v>1</v>
      </c>
      <c r="AF21" s="87">
        <f t="shared" si="11"/>
        <v>1</v>
      </c>
      <c r="AG21" s="87">
        <f t="shared" si="11"/>
        <v>1</v>
      </c>
    </row>
    <row r="22" spans="2:33" x14ac:dyDescent="0.25">
      <c r="C22" s="52" t="s">
        <v>6</v>
      </c>
      <c r="D22" s="90">
        <f t="shared" ref="D22:AG22" si="12">COUNTIFS(D$6:D$13,"D")+COUNTIFS(D$6:D$13,"DG")</f>
        <v>1</v>
      </c>
      <c r="E22" s="90">
        <f t="shared" si="12"/>
        <v>1</v>
      </c>
      <c r="F22" s="90">
        <f t="shared" si="12"/>
        <v>1</v>
      </c>
      <c r="G22" s="90">
        <f t="shared" si="12"/>
        <v>1</v>
      </c>
      <c r="H22" s="90">
        <f t="shared" si="12"/>
        <v>1</v>
      </c>
      <c r="I22" s="90">
        <f t="shared" si="12"/>
        <v>1</v>
      </c>
      <c r="J22" s="90">
        <f t="shared" si="12"/>
        <v>1</v>
      </c>
      <c r="K22" s="90">
        <f t="shared" si="12"/>
        <v>1</v>
      </c>
      <c r="L22" s="90">
        <f t="shared" si="12"/>
        <v>1</v>
      </c>
      <c r="M22" s="90">
        <f t="shared" si="12"/>
        <v>1</v>
      </c>
      <c r="N22" s="90">
        <f t="shared" si="12"/>
        <v>1</v>
      </c>
      <c r="O22" s="90">
        <f t="shared" si="12"/>
        <v>1</v>
      </c>
      <c r="P22" s="90">
        <f t="shared" si="12"/>
        <v>1</v>
      </c>
      <c r="Q22" s="90">
        <f t="shared" si="12"/>
        <v>1</v>
      </c>
      <c r="R22" s="90">
        <f t="shared" si="12"/>
        <v>1</v>
      </c>
      <c r="S22" s="90">
        <f t="shared" si="12"/>
        <v>1</v>
      </c>
      <c r="T22" s="90">
        <f t="shared" si="12"/>
        <v>1</v>
      </c>
      <c r="U22" s="90">
        <f t="shared" si="12"/>
        <v>1</v>
      </c>
      <c r="V22" s="90">
        <f t="shared" si="12"/>
        <v>1</v>
      </c>
      <c r="W22" s="90">
        <f t="shared" si="12"/>
        <v>1</v>
      </c>
      <c r="X22" s="90">
        <f t="shared" si="12"/>
        <v>1</v>
      </c>
      <c r="Y22" s="90">
        <f t="shared" si="12"/>
        <v>1</v>
      </c>
      <c r="Z22" s="90">
        <f t="shared" si="12"/>
        <v>1</v>
      </c>
      <c r="AA22" s="90">
        <f t="shared" si="12"/>
        <v>1</v>
      </c>
      <c r="AB22" s="90">
        <f t="shared" si="12"/>
        <v>1</v>
      </c>
      <c r="AC22" s="90">
        <f t="shared" si="12"/>
        <v>1</v>
      </c>
      <c r="AD22" s="90">
        <f t="shared" si="12"/>
        <v>1</v>
      </c>
      <c r="AE22" s="90">
        <f t="shared" si="12"/>
        <v>1</v>
      </c>
      <c r="AF22" s="90">
        <f t="shared" si="12"/>
        <v>1</v>
      </c>
      <c r="AG22" s="90">
        <f t="shared" si="12"/>
        <v>1</v>
      </c>
    </row>
    <row r="23" spans="2:33" x14ac:dyDescent="0.25">
      <c r="C23" s="21" t="s">
        <v>7</v>
      </c>
      <c r="D23" s="92">
        <f t="shared" ref="D23:AG23" si="13">COUNTIFS(D$6:D$13,"L")+COUNTIFS(D$6:D$13,"LG")</f>
        <v>2</v>
      </c>
      <c r="E23" s="92">
        <f t="shared" si="13"/>
        <v>2</v>
      </c>
      <c r="F23" s="92">
        <f t="shared" si="13"/>
        <v>2</v>
      </c>
      <c r="G23" s="92">
        <f t="shared" si="13"/>
        <v>2</v>
      </c>
      <c r="H23" s="92">
        <f t="shared" si="13"/>
        <v>4</v>
      </c>
      <c r="I23" s="92">
        <f t="shared" si="13"/>
        <v>4</v>
      </c>
      <c r="J23" s="92">
        <f t="shared" si="13"/>
        <v>2</v>
      </c>
      <c r="K23" s="92">
        <f t="shared" si="13"/>
        <v>2</v>
      </c>
      <c r="L23" s="92">
        <f t="shared" si="13"/>
        <v>2</v>
      </c>
      <c r="M23" s="92">
        <f t="shared" si="13"/>
        <v>2</v>
      </c>
      <c r="N23" s="92">
        <f t="shared" si="13"/>
        <v>2</v>
      </c>
      <c r="O23" s="92">
        <f t="shared" si="13"/>
        <v>4</v>
      </c>
      <c r="P23" s="92">
        <f t="shared" si="13"/>
        <v>4</v>
      </c>
      <c r="Q23" s="92">
        <f t="shared" si="13"/>
        <v>2</v>
      </c>
      <c r="R23" s="92">
        <f t="shared" si="13"/>
        <v>2</v>
      </c>
      <c r="S23" s="92">
        <f t="shared" si="13"/>
        <v>2</v>
      </c>
      <c r="T23" s="92">
        <f t="shared" si="13"/>
        <v>2</v>
      </c>
      <c r="U23" s="92">
        <f t="shared" si="13"/>
        <v>2</v>
      </c>
      <c r="V23" s="92">
        <f t="shared" si="13"/>
        <v>4</v>
      </c>
      <c r="W23" s="92">
        <f t="shared" si="13"/>
        <v>4</v>
      </c>
      <c r="X23" s="92">
        <f t="shared" si="13"/>
        <v>2</v>
      </c>
      <c r="Y23" s="92">
        <f t="shared" si="13"/>
        <v>2</v>
      </c>
      <c r="Z23" s="92">
        <f t="shared" si="13"/>
        <v>2</v>
      </c>
      <c r="AA23" s="92">
        <f t="shared" si="13"/>
        <v>2</v>
      </c>
      <c r="AB23" s="92">
        <f t="shared" si="13"/>
        <v>2</v>
      </c>
      <c r="AC23" s="92">
        <f t="shared" si="13"/>
        <v>4</v>
      </c>
      <c r="AD23" s="92">
        <f t="shared" si="13"/>
        <v>4</v>
      </c>
      <c r="AE23" s="92">
        <f t="shared" si="13"/>
        <v>2</v>
      </c>
      <c r="AF23" s="92">
        <f t="shared" si="13"/>
        <v>2</v>
      </c>
      <c r="AG23" s="92">
        <f t="shared" si="13"/>
        <v>2</v>
      </c>
    </row>
    <row r="24" spans="2:33" x14ac:dyDescent="0.25">
      <c r="C24" s="21" t="s">
        <v>94</v>
      </c>
      <c r="D24" s="180">
        <f t="shared" ref="D24:AG24" si="14">COUNTIFS(D$6:D$13,"MG")+COUNTIFS(D$6:D$13,"TG")+COUNTIFS(D$6:D$13,"LG")+COUNTIFS(D$6:D$13,"DG")</f>
        <v>1</v>
      </c>
      <c r="E24" s="180">
        <f t="shared" si="14"/>
        <v>1</v>
      </c>
      <c r="F24" s="180">
        <f t="shared" ref="F24" si="15">COUNTIFS(G$6:G$13,"MG")+COUNTIFS(G$6:G$13,"TG")+COUNTIFS(G$6:G$13,"LG")+COUNTIFS(G$6:G$13,"DG")</f>
        <v>1</v>
      </c>
      <c r="G24" s="180">
        <f t="shared" si="14"/>
        <v>1</v>
      </c>
      <c r="H24" s="180">
        <f t="shared" si="14"/>
        <v>1</v>
      </c>
      <c r="I24" s="180">
        <f t="shared" si="14"/>
        <v>1</v>
      </c>
      <c r="J24" s="180">
        <f t="shared" ref="J24" si="16">COUNTIFS(K$6:K$13,"MG")+COUNTIFS(K$6:K$13,"TG")+COUNTIFS(K$6:K$13,"LG")+COUNTIFS(K$6:K$13,"DG")</f>
        <v>1</v>
      </c>
      <c r="K24" s="180">
        <f t="shared" si="14"/>
        <v>1</v>
      </c>
      <c r="L24" s="180">
        <f t="shared" si="14"/>
        <v>1</v>
      </c>
      <c r="M24" s="180">
        <f t="shared" si="14"/>
        <v>1</v>
      </c>
      <c r="N24" s="180">
        <f t="shared" si="14"/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x14ac:dyDescent="0.25">
      <c r="C25" s="21" t="s">
        <v>4</v>
      </c>
      <c r="D25" s="94">
        <f t="shared" ref="D25:AG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</row>
    <row r="26" spans="2:33" x14ac:dyDescent="0.25">
      <c r="C26" s="10"/>
    </row>
    <row r="27" spans="2:33" x14ac:dyDescent="0.25">
      <c r="C27" s="10"/>
    </row>
    <row r="28" spans="2:33" x14ac:dyDescent="0.25">
      <c r="C28" s="10"/>
    </row>
    <row r="29" spans="2:33" x14ac:dyDescent="0.25">
      <c r="C29" s="10"/>
    </row>
    <row r="30" spans="2:33" x14ac:dyDescent="0.25">
      <c r="C30" s="10"/>
    </row>
    <row r="31" spans="2:33" x14ac:dyDescent="0.25">
      <c r="C31" s="10"/>
    </row>
    <row r="32" spans="2:33" x14ac:dyDescent="0.25">
      <c r="C32" s="10"/>
    </row>
    <row r="33" spans="1:17" x14ac:dyDescent="0.25">
      <c r="C33" s="10"/>
    </row>
    <row r="34" spans="1:17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</sheetData>
  <mergeCells count="1">
    <mergeCell ref="B4:B5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116B-BD1D-42A0-8C58-E1C347EA77F0}">
  <dimension ref="A1:AH34"/>
  <sheetViews>
    <sheetView workbookViewId="0">
      <selection activeCell="A29" sqref="A29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5" width="4.26953125" customWidth="1"/>
    <col min="16" max="16" width="3.7265625" customWidth="1"/>
    <col min="17" max="17" width="3.453125" customWidth="1"/>
    <col min="18" max="18" width="3.7265625" customWidth="1"/>
    <col min="19" max="19" width="3.54296875" customWidth="1"/>
    <col min="20" max="20" width="3.7265625" customWidth="1"/>
    <col min="21" max="21" width="4" customWidth="1"/>
    <col min="22" max="22" width="3.7265625" customWidth="1"/>
    <col min="23" max="23" width="4.1796875" customWidth="1"/>
    <col min="24" max="24" width="4" customWidth="1"/>
    <col min="25" max="26" width="4.1796875" customWidth="1"/>
    <col min="27" max="27" width="3.81640625" customWidth="1"/>
    <col min="28" max="28" width="4.1796875" customWidth="1"/>
    <col min="29" max="29" width="3.26953125" customWidth="1"/>
    <col min="30" max="30" width="4.453125" customWidth="1"/>
    <col min="31" max="31" width="3.7265625" customWidth="1"/>
    <col min="32" max="32" width="3.81640625" customWidth="1"/>
    <col min="33" max="33" width="3.7265625" customWidth="1"/>
    <col min="34" max="34" width="4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544"/>
      <c r="E2" s="544"/>
      <c r="F2" s="487"/>
      <c r="G2" s="455"/>
      <c r="H2" s="544"/>
      <c r="I2" s="544"/>
      <c r="J2" s="544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611"/>
      <c r="E3" s="611"/>
      <c r="F3" s="449"/>
      <c r="G3" s="449"/>
      <c r="H3" s="611"/>
      <c r="I3" s="611"/>
      <c r="J3" s="611"/>
      <c r="K3" s="611"/>
      <c r="L3" s="611"/>
      <c r="M3" s="611"/>
      <c r="N3" s="611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6" t="s">
        <v>3</v>
      </c>
      <c r="C4" s="450" t="s">
        <v>95</v>
      </c>
      <c r="D4" s="590" t="s">
        <v>10</v>
      </c>
      <c r="E4" s="590" t="s">
        <v>4</v>
      </c>
      <c r="F4" s="630" t="s">
        <v>5</v>
      </c>
      <c r="G4" s="631" t="s">
        <v>6</v>
      </c>
      <c r="H4" s="590" t="s">
        <v>7</v>
      </c>
      <c r="I4" s="590" t="s">
        <v>8</v>
      </c>
      <c r="J4" s="590" t="s">
        <v>9</v>
      </c>
      <c r="K4" s="590" t="s">
        <v>10</v>
      </c>
      <c r="L4" s="590" t="s">
        <v>4</v>
      </c>
      <c r="M4" s="546" t="s">
        <v>5</v>
      </c>
      <c r="N4" s="630" t="s">
        <v>6</v>
      </c>
      <c r="O4" s="1188" t="s">
        <v>7</v>
      </c>
      <c r="P4" s="590" t="s">
        <v>8</v>
      </c>
      <c r="Q4" s="590" t="s">
        <v>9</v>
      </c>
      <c r="R4" s="590" t="s">
        <v>10</v>
      </c>
      <c r="S4" s="452" t="s">
        <v>4</v>
      </c>
      <c r="T4" s="546" t="s">
        <v>104</v>
      </c>
      <c r="U4" s="546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46" t="s">
        <v>104</v>
      </c>
      <c r="AB4" s="546" t="s">
        <v>6</v>
      </c>
      <c r="AC4" s="452" t="s">
        <v>7</v>
      </c>
      <c r="AD4" s="452" t="s">
        <v>8</v>
      </c>
      <c r="AE4" s="452" t="s">
        <v>9</v>
      </c>
      <c r="AF4" s="452" t="s">
        <v>10</v>
      </c>
      <c r="AG4" s="452" t="s">
        <v>4</v>
      </c>
      <c r="AH4" s="546" t="s">
        <v>104</v>
      </c>
    </row>
    <row r="5" spans="2:34" ht="13" x14ac:dyDescent="0.3">
      <c r="B5" s="1317"/>
      <c r="C5" s="882" t="s">
        <v>95</v>
      </c>
      <c r="D5" s="1118">
        <v>1</v>
      </c>
      <c r="E5" s="1076">
        <v>2</v>
      </c>
      <c r="F5" s="1117">
        <v>3</v>
      </c>
      <c r="G5" s="1118">
        <v>4</v>
      </c>
      <c r="H5" s="1118">
        <v>5</v>
      </c>
      <c r="I5" s="1076">
        <v>6</v>
      </c>
      <c r="J5" s="1117">
        <v>7</v>
      </c>
      <c r="K5" s="1118">
        <v>8</v>
      </c>
      <c r="L5" s="1118">
        <v>9</v>
      </c>
      <c r="M5" s="1076">
        <v>10</v>
      </c>
      <c r="N5" s="1168">
        <v>11</v>
      </c>
      <c r="O5" s="1189">
        <v>12</v>
      </c>
      <c r="P5" s="1118">
        <v>13</v>
      </c>
      <c r="Q5" s="1076">
        <v>14</v>
      </c>
      <c r="R5" s="1117">
        <v>15</v>
      </c>
      <c r="S5" s="1118">
        <v>16</v>
      </c>
      <c r="T5" s="1118">
        <v>17</v>
      </c>
      <c r="U5" s="1076">
        <v>18</v>
      </c>
      <c r="V5" s="1117">
        <v>19</v>
      </c>
      <c r="W5" s="1118">
        <v>20</v>
      </c>
      <c r="X5" s="1118">
        <v>21</v>
      </c>
      <c r="Y5" s="1076">
        <v>22</v>
      </c>
      <c r="Z5" s="1117">
        <v>23</v>
      </c>
      <c r="AA5" s="1118">
        <v>24</v>
      </c>
      <c r="AB5" s="1118">
        <v>25</v>
      </c>
      <c r="AC5" s="1076">
        <v>26</v>
      </c>
      <c r="AD5" s="1118">
        <v>27</v>
      </c>
      <c r="AE5" s="1076">
        <v>28</v>
      </c>
      <c r="AF5" s="1117">
        <v>29</v>
      </c>
      <c r="AG5" s="1118">
        <v>30</v>
      </c>
      <c r="AH5" s="1118">
        <v>31</v>
      </c>
    </row>
    <row r="6" spans="2:34" x14ac:dyDescent="0.25">
      <c r="B6" s="244" t="s">
        <v>97</v>
      </c>
      <c r="C6" s="375" t="s">
        <v>13</v>
      </c>
      <c r="D6" s="1123" t="s">
        <v>7</v>
      </c>
      <c r="E6" s="1123" t="s">
        <v>7</v>
      </c>
      <c r="F6" s="1122" t="s">
        <v>16</v>
      </c>
      <c r="G6" s="1122" t="s">
        <v>16</v>
      </c>
      <c r="H6" s="1122" t="s">
        <v>22</v>
      </c>
      <c r="I6" s="1122" t="s">
        <v>22</v>
      </c>
      <c r="J6" s="1122" t="s">
        <v>22</v>
      </c>
      <c r="K6" s="1122" t="s">
        <v>22</v>
      </c>
      <c r="L6" s="1122" t="s">
        <v>53</v>
      </c>
      <c r="M6" s="1086" t="s">
        <v>7</v>
      </c>
      <c r="N6" s="1185" t="s">
        <v>7</v>
      </c>
      <c r="O6" s="1190" t="s">
        <v>8</v>
      </c>
      <c r="P6" s="1124" t="s">
        <v>8</v>
      </c>
      <c r="Q6" s="1123" t="s">
        <v>8</v>
      </c>
      <c r="R6" s="1123" t="s">
        <v>8</v>
      </c>
      <c r="S6" s="1119" t="s">
        <v>8</v>
      </c>
      <c r="T6" s="1083" t="s">
        <v>53</v>
      </c>
      <c r="U6" s="1083" t="s">
        <v>53</v>
      </c>
      <c r="V6" s="1084" t="s">
        <v>23</v>
      </c>
      <c r="W6" s="1084" t="s">
        <v>23</v>
      </c>
      <c r="X6" s="1084" t="s">
        <v>16</v>
      </c>
      <c r="Y6" s="1084" t="s">
        <v>16</v>
      </c>
      <c r="Z6" s="1084" t="s">
        <v>16</v>
      </c>
      <c r="AA6" s="1102" t="s">
        <v>7</v>
      </c>
      <c r="AB6" s="1184" t="s">
        <v>7</v>
      </c>
      <c r="AC6" s="1123" t="s">
        <v>8</v>
      </c>
      <c r="AD6" s="1123" t="s">
        <v>8</v>
      </c>
      <c r="AE6" s="1123" t="s">
        <v>7</v>
      </c>
      <c r="AF6" s="1123" t="s">
        <v>7</v>
      </c>
      <c r="AG6" s="1123" t="s">
        <v>7</v>
      </c>
      <c r="AH6" s="1122" t="s">
        <v>16</v>
      </c>
    </row>
    <row r="7" spans="2:34" x14ac:dyDescent="0.25">
      <c r="B7" s="244" t="s">
        <v>73</v>
      </c>
      <c r="C7" s="375" t="s">
        <v>18</v>
      </c>
      <c r="D7" s="1084" t="s">
        <v>22</v>
      </c>
      <c r="E7" s="1084" t="s">
        <v>53</v>
      </c>
      <c r="F7" s="1085" t="s">
        <v>7</v>
      </c>
      <c r="G7" s="1086" t="s">
        <v>7</v>
      </c>
      <c r="H7" s="103" t="s">
        <v>8</v>
      </c>
      <c r="I7" s="103" t="s">
        <v>8</v>
      </c>
      <c r="J7" s="103" t="s">
        <v>8</v>
      </c>
      <c r="K7" s="103" t="s">
        <v>8</v>
      </c>
      <c r="L7" s="1138" t="s">
        <v>8</v>
      </c>
      <c r="M7" s="1087" t="s">
        <v>53</v>
      </c>
      <c r="N7" s="1191" t="s">
        <v>53</v>
      </c>
      <c r="O7" s="1192" t="s">
        <v>23</v>
      </c>
      <c r="P7" s="1083" t="s">
        <v>23</v>
      </c>
      <c r="Q7" s="1084" t="s">
        <v>16</v>
      </c>
      <c r="R7" s="1084" t="s">
        <v>16</v>
      </c>
      <c r="S7" s="1125" t="s">
        <v>16</v>
      </c>
      <c r="T7" s="1159" t="s">
        <v>7</v>
      </c>
      <c r="U7" s="1159" t="s">
        <v>7</v>
      </c>
      <c r="V7" s="103" t="s">
        <v>8</v>
      </c>
      <c r="W7" s="103" t="s">
        <v>8</v>
      </c>
      <c r="X7" s="103" t="s">
        <v>7</v>
      </c>
      <c r="Y7" s="103" t="s">
        <v>7</v>
      </c>
      <c r="Z7" s="103" t="s">
        <v>7</v>
      </c>
      <c r="AA7" s="1084" t="s">
        <v>16</v>
      </c>
      <c r="AB7" s="1125" t="s">
        <v>16</v>
      </c>
      <c r="AC7" s="1084" t="s">
        <v>22</v>
      </c>
      <c r="AD7" s="1084" t="s">
        <v>22</v>
      </c>
      <c r="AE7" s="1084" t="s">
        <v>22</v>
      </c>
      <c r="AF7" s="1084" t="s">
        <v>22</v>
      </c>
      <c r="AG7" s="1084" t="s">
        <v>53</v>
      </c>
      <c r="AH7" s="1085" t="s">
        <v>7</v>
      </c>
    </row>
    <row r="8" spans="2:34" x14ac:dyDescent="0.25">
      <c r="B8" s="244" t="s">
        <v>103</v>
      </c>
      <c r="C8" s="375" t="s">
        <v>21</v>
      </c>
      <c r="D8" s="103" t="s">
        <v>8</v>
      </c>
      <c r="E8" s="103" t="s">
        <v>8</v>
      </c>
      <c r="F8" s="1091" t="s">
        <v>6</v>
      </c>
      <c r="G8" s="1091" t="s">
        <v>6</v>
      </c>
      <c r="H8" s="103" t="s">
        <v>7</v>
      </c>
      <c r="I8" s="103" t="s">
        <v>7</v>
      </c>
      <c r="J8" s="103" t="s">
        <v>8</v>
      </c>
      <c r="K8" s="103" t="s">
        <v>8</v>
      </c>
      <c r="L8" s="1138" t="s">
        <v>8</v>
      </c>
      <c r="M8" s="1086" t="s">
        <v>7</v>
      </c>
      <c r="N8" s="1185" t="s">
        <v>7</v>
      </c>
      <c r="O8" s="1193" t="s">
        <v>7</v>
      </c>
      <c r="P8" s="1088" t="s">
        <v>8</v>
      </c>
      <c r="Q8" s="103" t="s">
        <v>7</v>
      </c>
      <c r="R8" s="103" t="s">
        <v>7</v>
      </c>
      <c r="S8" s="1128" t="s">
        <v>7</v>
      </c>
      <c r="T8" s="1159" t="s">
        <v>8</v>
      </c>
      <c r="U8" s="1159" t="s">
        <v>8</v>
      </c>
      <c r="V8" s="103" t="s">
        <v>14</v>
      </c>
      <c r="W8" s="103" t="s">
        <v>14</v>
      </c>
      <c r="X8" s="103" t="s">
        <v>14</v>
      </c>
      <c r="Y8" s="103" t="s">
        <v>14</v>
      </c>
      <c r="Z8" s="103" t="s">
        <v>6</v>
      </c>
      <c r="AA8" s="1085" t="s">
        <v>7</v>
      </c>
      <c r="AB8" s="1185" t="s">
        <v>7</v>
      </c>
      <c r="AC8" s="103" t="s">
        <v>8</v>
      </c>
      <c r="AD8" s="103" t="s">
        <v>8</v>
      </c>
      <c r="AE8" s="103" t="s">
        <v>8</v>
      </c>
      <c r="AF8" s="103" t="s">
        <v>8</v>
      </c>
      <c r="AG8" s="103" t="s">
        <v>8</v>
      </c>
      <c r="AH8" s="1091" t="s">
        <v>6</v>
      </c>
    </row>
    <row r="9" spans="2:34" x14ac:dyDescent="0.25">
      <c r="B9" s="244" t="s">
        <v>66</v>
      </c>
      <c r="C9" s="375" t="s">
        <v>26</v>
      </c>
      <c r="D9" s="1092" t="s">
        <v>8</v>
      </c>
      <c r="E9" s="1092" t="s">
        <v>8</v>
      </c>
      <c r="F9" s="1089" t="s">
        <v>7</v>
      </c>
      <c r="G9" s="1090" t="s">
        <v>7</v>
      </c>
      <c r="H9" s="1092" t="s">
        <v>8</v>
      </c>
      <c r="I9" s="1092" t="s">
        <v>8</v>
      </c>
      <c r="J9" s="1092" t="s">
        <v>7</v>
      </c>
      <c r="K9" s="1092" t="s">
        <v>7</v>
      </c>
      <c r="L9" s="1139" t="s">
        <v>7</v>
      </c>
      <c r="M9" s="1086" t="s">
        <v>8</v>
      </c>
      <c r="N9" s="1185" t="s">
        <v>8</v>
      </c>
      <c r="O9" s="1190" t="s">
        <v>14</v>
      </c>
      <c r="P9" s="1093" t="s">
        <v>14</v>
      </c>
      <c r="Q9" s="1092" t="s">
        <v>14</v>
      </c>
      <c r="R9" s="1092" t="s">
        <v>14</v>
      </c>
      <c r="S9" s="1160" t="s">
        <v>6</v>
      </c>
      <c r="T9" s="1161" t="s">
        <v>7</v>
      </c>
      <c r="U9" s="1161" t="s">
        <v>7</v>
      </c>
      <c r="V9" s="1092" t="s">
        <v>8</v>
      </c>
      <c r="W9" s="1092" t="s">
        <v>8</v>
      </c>
      <c r="X9" s="1092" t="s">
        <v>8</v>
      </c>
      <c r="Y9" s="1092" t="s">
        <v>8</v>
      </c>
      <c r="Z9" s="1092" t="s">
        <v>8</v>
      </c>
      <c r="AA9" s="1095" t="s">
        <v>6</v>
      </c>
      <c r="AB9" s="1186" t="s">
        <v>6</v>
      </c>
      <c r="AC9" s="1092" t="s">
        <v>7</v>
      </c>
      <c r="AD9" s="1092" t="s">
        <v>7</v>
      </c>
      <c r="AE9" s="1092" t="s">
        <v>8</v>
      </c>
      <c r="AF9" s="1092" t="s">
        <v>8</v>
      </c>
      <c r="AG9" s="1092" t="s">
        <v>8</v>
      </c>
      <c r="AH9" s="1089" t="s">
        <v>7</v>
      </c>
    </row>
    <row r="10" spans="2:34" x14ac:dyDescent="0.25">
      <c r="B10" s="242" t="s">
        <v>90</v>
      </c>
      <c r="C10" s="432" t="s">
        <v>28</v>
      </c>
      <c r="D10" s="1101" t="s">
        <v>19</v>
      </c>
      <c r="E10" s="1101" t="s">
        <v>19</v>
      </c>
      <c r="F10" s="1102" t="s">
        <v>7</v>
      </c>
      <c r="G10" s="1099" t="s">
        <v>7</v>
      </c>
      <c r="H10" s="1091" t="s">
        <v>6</v>
      </c>
      <c r="I10" s="1091" t="s">
        <v>6</v>
      </c>
      <c r="J10" s="1091" t="s">
        <v>6</v>
      </c>
      <c r="K10" s="1101" t="s">
        <v>14</v>
      </c>
      <c r="L10" s="1140" t="s">
        <v>14</v>
      </c>
      <c r="M10" s="1086" t="s">
        <v>19</v>
      </c>
      <c r="N10" s="1185" t="s">
        <v>19</v>
      </c>
      <c r="O10" s="1194" t="s">
        <v>7</v>
      </c>
      <c r="P10" s="1096" t="s">
        <v>7</v>
      </c>
      <c r="Q10" s="1097" t="s">
        <v>7</v>
      </c>
      <c r="R10" s="1097" t="s">
        <v>7</v>
      </c>
      <c r="S10" s="1131" t="s">
        <v>14</v>
      </c>
      <c r="T10" s="1162" t="s">
        <v>14</v>
      </c>
      <c r="U10" s="1162" t="s">
        <v>14</v>
      </c>
      <c r="V10" s="1097" t="s">
        <v>19</v>
      </c>
      <c r="W10" s="1097" t="s">
        <v>19</v>
      </c>
      <c r="X10" s="1097" t="s">
        <v>19</v>
      </c>
      <c r="Y10" s="1100" t="s">
        <v>6</v>
      </c>
      <c r="Z10" s="1097" t="s">
        <v>7</v>
      </c>
      <c r="AA10" s="1098" t="s">
        <v>7</v>
      </c>
      <c r="AB10" s="1184" t="s">
        <v>7</v>
      </c>
      <c r="AC10" s="1101" t="s">
        <v>14</v>
      </c>
      <c r="AD10" s="1097" t="s">
        <v>14</v>
      </c>
      <c r="AE10" s="1097" t="s">
        <v>14</v>
      </c>
      <c r="AF10" s="1101" t="s">
        <v>19</v>
      </c>
      <c r="AG10" s="1101" t="s">
        <v>19</v>
      </c>
      <c r="AH10" s="1102" t="s">
        <v>7</v>
      </c>
    </row>
    <row r="11" spans="2:34" x14ac:dyDescent="0.25">
      <c r="B11" s="376" t="s">
        <v>91</v>
      </c>
      <c r="C11" s="375" t="s">
        <v>30</v>
      </c>
      <c r="D11" s="1104" t="s">
        <v>14</v>
      </c>
      <c r="E11" s="1104" t="s">
        <v>14</v>
      </c>
      <c r="F11" s="1085" t="s">
        <v>19</v>
      </c>
      <c r="G11" s="1086" t="s">
        <v>19</v>
      </c>
      <c r="H11" s="24" t="s">
        <v>7</v>
      </c>
      <c r="I11" s="24" t="s">
        <v>7</v>
      </c>
      <c r="J11" s="24" t="s">
        <v>7</v>
      </c>
      <c r="K11" s="24" t="s">
        <v>7</v>
      </c>
      <c r="L11" s="69" t="s">
        <v>14</v>
      </c>
      <c r="M11" s="1086" t="s">
        <v>14</v>
      </c>
      <c r="N11" s="1185" t="s">
        <v>14</v>
      </c>
      <c r="O11" s="1194" t="s">
        <v>19</v>
      </c>
      <c r="P11" s="1103" t="s">
        <v>19</v>
      </c>
      <c r="Q11" s="24" t="s">
        <v>19</v>
      </c>
      <c r="R11" s="76" t="s">
        <v>6</v>
      </c>
      <c r="S11" s="1163" t="s">
        <v>7</v>
      </c>
      <c r="T11" s="1159" t="s">
        <v>7</v>
      </c>
      <c r="U11" s="1159" t="s">
        <v>7</v>
      </c>
      <c r="V11" s="1104" t="s">
        <v>14</v>
      </c>
      <c r="W11" s="24" t="s">
        <v>14</v>
      </c>
      <c r="X11" s="24" t="s">
        <v>14</v>
      </c>
      <c r="Y11" s="1104" t="s">
        <v>19</v>
      </c>
      <c r="Z11" s="1104" t="s">
        <v>19</v>
      </c>
      <c r="AA11" s="1085" t="s">
        <v>7</v>
      </c>
      <c r="AB11" s="1185" t="s">
        <v>7</v>
      </c>
      <c r="AC11" s="1105" t="s">
        <v>6</v>
      </c>
      <c r="AD11" s="1105" t="s">
        <v>6</v>
      </c>
      <c r="AE11" s="1105" t="s">
        <v>6</v>
      </c>
      <c r="AF11" s="1104" t="s">
        <v>14</v>
      </c>
      <c r="AG11" s="1104" t="s">
        <v>14</v>
      </c>
      <c r="AH11" s="1085" t="s">
        <v>19</v>
      </c>
    </row>
    <row r="12" spans="2:34" x14ac:dyDescent="0.25">
      <c r="B12" s="244" t="s">
        <v>92</v>
      </c>
      <c r="C12" s="375" t="s">
        <v>32</v>
      </c>
      <c r="D12" s="24" t="s">
        <v>7</v>
      </c>
      <c r="E12" s="24" t="s">
        <v>14</v>
      </c>
      <c r="F12" s="104" t="s">
        <v>14</v>
      </c>
      <c r="G12" s="1086" t="s">
        <v>14</v>
      </c>
      <c r="H12" s="24" t="s">
        <v>19</v>
      </c>
      <c r="I12" s="24" t="s">
        <v>19</v>
      </c>
      <c r="J12" s="24" t="s">
        <v>19</v>
      </c>
      <c r="K12" s="76" t="s">
        <v>6</v>
      </c>
      <c r="L12" s="69" t="s">
        <v>7</v>
      </c>
      <c r="M12" s="1086" t="s">
        <v>7</v>
      </c>
      <c r="N12" s="1185" t="s">
        <v>7</v>
      </c>
      <c r="O12" s="1195" t="s">
        <v>7</v>
      </c>
      <c r="P12" s="1103" t="s">
        <v>14</v>
      </c>
      <c r="Q12" s="24" t="s">
        <v>14</v>
      </c>
      <c r="R12" s="1104" t="s">
        <v>19</v>
      </c>
      <c r="S12" s="1164" t="s">
        <v>19</v>
      </c>
      <c r="T12" s="1159" t="s">
        <v>7</v>
      </c>
      <c r="U12" s="1159" t="s">
        <v>7</v>
      </c>
      <c r="V12" s="1105" t="s">
        <v>6</v>
      </c>
      <c r="W12" s="1105" t="s">
        <v>6</v>
      </c>
      <c r="X12" s="1105" t="s">
        <v>6</v>
      </c>
      <c r="Y12" s="1104" t="s">
        <v>14</v>
      </c>
      <c r="Z12" s="1104" t="s">
        <v>14</v>
      </c>
      <c r="AA12" s="1085" t="s">
        <v>19</v>
      </c>
      <c r="AB12" s="1185" t="s">
        <v>19</v>
      </c>
      <c r="AC12" s="24" t="s">
        <v>7</v>
      </c>
      <c r="AD12" s="24" t="s">
        <v>7</v>
      </c>
      <c r="AE12" s="24" t="s">
        <v>7</v>
      </c>
      <c r="AF12" s="24" t="s">
        <v>7</v>
      </c>
      <c r="AG12" s="24" t="s">
        <v>14</v>
      </c>
      <c r="AH12" s="104" t="s">
        <v>14</v>
      </c>
    </row>
    <row r="13" spans="2:34" x14ac:dyDescent="0.25">
      <c r="B13" s="246" t="s">
        <v>93</v>
      </c>
      <c r="C13" s="566" t="s">
        <v>34</v>
      </c>
      <c r="D13" s="1113" t="s">
        <v>6</v>
      </c>
      <c r="E13" s="1111" t="s">
        <v>7</v>
      </c>
      <c r="F13" s="1109" t="s">
        <v>7</v>
      </c>
      <c r="G13" s="1114" t="s">
        <v>7</v>
      </c>
      <c r="H13" s="1108" t="s">
        <v>14</v>
      </c>
      <c r="I13" s="1111" t="s">
        <v>14</v>
      </c>
      <c r="J13" s="1111" t="s">
        <v>14</v>
      </c>
      <c r="K13" s="1108" t="s">
        <v>19</v>
      </c>
      <c r="L13" s="1141" t="s">
        <v>19</v>
      </c>
      <c r="M13" s="1086" t="s">
        <v>7</v>
      </c>
      <c r="N13" s="1185" t="s">
        <v>7</v>
      </c>
      <c r="O13" s="1196" t="s">
        <v>6</v>
      </c>
      <c r="P13" s="1197" t="s">
        <v>6</v>
      </c>
      <c r="Q13" s="1107" t="s">
        <v>6</v>
      </c>
      <c r="R13" s="1108" t="s">
        <v>14</v>
      </c>
      <c r="S13" s="1165" t="s">
        <v>14</v>
      </c>
      <c r="T13" s="1166" t="s">
        <v>19</v>
      </c>
      <c r="U13" s="1166" t="s">
        <v>19</v>
      </c>
      <c r="V13" s="1111" t="s">
        <v>7</v>
      </c>
      <c r="W13" s="1111" t="s">
        <v>7</v>
      </c>
      <c r="X13" s="1111" t="s">
        <v>7</v>
      </c>
      <c r="Y13" s="1111" t="s">
        <v>7</v>
      </c>
      <c r="Z13" s="1111" t="s">
        <v>14</v>
      </c>
      <c r="AA13" s="1112" t="s">
        <v>14</v>
      </c>
      <c r="AB13" s="1187" t="s">
        <v>14</v>
      </c>
      <c r="AC13" s="1111" t="s">
        <v>19</v>
      </c>
      <c r="AD13" s="1111" t="s">
        <v>19</v>
      </c>
      <c r="AE13" s="1111" t="s">
        <v>19</v>
      </c>
      <c r="AF13" s="1113" t="s">
        <v>6</v>
      </c>
      <c r="AG13" s="1111" t="s">
        <v>7</v>
      </c>
      <c r="AH13" s="1109" t="s">
        <v>7</v>
      </c>
    </row>
    <row r="14" spans="2:34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 t="shared" ref="D18:E18" si="0">SUM(D19:D22)</f>
        <v>6</v>
      </c>
      <c r="E18" s="53">
        <f t="shared" si="0"/>
        <v>6</v>
      </c>
      <c r="F18" s="53">
        <f>SUM(F19:F22)</f>
        <v>4</v>
      </c>
      <c r="G18" s="53">
        <f>SUM(G19:G22)</f>
        <v>4</v>
      </c>
      <c r="H18" s="53">
        <f t="shared" ref="H18:I18" si="1">SUM(H19:H22)</f>
        <v>6</v>
      </c>
      <c r="I18" s="53">
        <f t="shared" si="1"/>
        <v>6</v>
      </c>
      <c r="J18" s="53">
        <f>SUM(J19:J22)</f>
        <v>6</v>
      </c>
      <c r="K18" s="53">
        <f t="shared" ref="K18" si="2">SUM(K19:K22)</f>
        <v>6</v>
      </c>
      <c r="L18" s="53">
        <f>SUM(L19:L22)</f>
        <v>6</v>
      </c>
      <c r="M18" s="53">
        <f>SUM(M19:M22)</f>
        <v>4</v>
      </c>
      <c r="N18" s="53">
        <f t="shared" ref="N18" si="3">SUM(N19:N22)</f>
        <v>4</v>
      </c>
      <c r="O18" s="53">
        <f>SUM(O19:O22)</f>
        <v>4</v>
      </c>
      <c r="P18" s="53">
        <f t="shared" ref="P18:Q18" si="4">SUM(P19:P22)</f>
        <v>6</v>
      </c>
      <c r="Q18" s="53">
        <f t="shared" si="4"/>
        <v>6</v>
      </c>
      <c r="R18" s="53">
        <f>SUM(R19:R22)</f>
        <v>6</v>
      </c>
      <c r="S18" s="53">
        <f>SUM(S19:S22)</f>
        <v>6</v>
      </c>
      <c r="T18" s="53">
        <f t="shared" ref="T18" si="5">SUM(T19:T22)</f>
        <v>4</v>
      </c>
      <c r="U18" s="53">
        <f>SUM(U19:U22)</f>
        <v>4</v>
      </c>
      <c r="V18" s="53">
        <f>SUM(V19:V22)</f>
        <v>6</v>
      </c>
      <c r="W18" s="53">
        <f t="shared" ref="W18:Y18" si="6">SUM(W19:W22)</f>
        <v>6</v>
      </c>
      <c r="X18" s="53">
        <f t="shared" si="6"/>
        <v>6</v>
      </c>
      <c r="Y18" s="53">
        <f t="shared" si="6"/>
        <v>6</v>
      </c>
      <c r="Z18" s="53">
        <f>SUM(Z19:Z22)</f>
        <v>6</v>
      </c>
      <c r="AA18" s="53">
        <f>SUM(AA19:AA22)</f>
        <v>4</v>
      </c>
      <c r="AB18" s="53">
        <f t="shared" ref="AB18:AC18" si="7">SUM(AB19:AB22)</f>
        <v>4</v>
      </c>
      <c r="AC18" s="53">
        <f t="shared" si="7"/>
        <v>6</v>
      </c>
      <c r="AD18" s="53">
        <f>SUM(AD19:AD22)</f>
        <v>6</v>
      </c>
      <c r="AE18" s="53">
        <f t="shared" ref="AE18" si="8">SUM(AE19:AE22)</f>
        <v>6</v>
      </c>
      <c r="AF18" s="53">
        <f>SUM(AF19:AF22)</f>
        <v>6</v>
      </c>
      <c r="AG18" s="53">
        <f>SUM(AG19:AG22)</f>
        <v>6</v>
      </c>
      <c r="AH18" s="53">
        <f t="shared" ref="AH18" si="9">SUM(AH19:AH22)</f>
        <v>4</v>
      </c>
    </row>
    <row r="19" spans="2:34" x14ac:dyDescent="0.25">
      <c r="B19" s="4"/>
      <c r="C19" s="52" t="s">
        <v>8</v>
      </c>
      <c r="D19" s="81">
        <f t="shared" ref="D19:AH19" si="10">COUNTIFS(D$6:D$13,"M")+COUNTIFS(D$6:D$13,"MG")</f>
        <v>2</v>
      </c>
      <c r="E19" s="81">
        <f t="shared" si="10"/>
        <v>2</v>
      </c>
      <c r="F19" s="81">
        <f t="shared" si="10"/>
        <v>1</v>
      </c>
      <c r="G19" s="81">
        <f t="shared" si="10"/>
        <v>1</v>
      </c>
      <c r="H19" s="81">
        <f t="shared" si="10"/>
        <v>2</v>
      </c>
      <c r="I19" s="81">
        <f t="shared" si="10"/>
        <v>2</v>
      </c>
      <c r="J19" s="81">
        <f t="shared" si="10"/>
        <v>2</v>
      </c>
      <c r="K19" s="81">
        <f t="shared" si="10"/>
        <v>2</v>
      </c>
      <c r="L19" s="81">
        <f t="shared" si="10"/>
        <v>2</v>
      </c>
      <c r="M19" s="81">
        <f t="shared" si="10"/>
        <v>1</v>
      </c>
      <c r="N19" s="81">
        <f t="shared" si="10"/>
        <v>1</v>
      </c>
      <c r="O19" s="81">
        <f t="shared" si="10"/>
        <v>1</v>
      </c>
      <c r="P19" s="81">
        <f t="shared" si="10"/>
        <v>2</v>
      </c>
      <c r="Q19" s="81">
        <f t="shared" si="10"/>
        <v>2</v>
      </c>
      <c r="R19" s="81">
        <f t="shared" si="10"/>
        <v>2</v>
      </c>
      <c r="S19" s="81">
        <f t="shared" si="10"/>
        <v>2</v>
      </c>
      <c r="T19" s="81">
        <f t="shared" si="10"/>
        <v>1</v>
      </c>
      <c r="U19" s="81">
        <f t="shared" si="10"/>
        <v>1</v>
      </c>
      <c r="V19" s="81">
        <f t="shared" si="10"/>
        <v>2</v>
      </c>
      <c r="W19" s="81">
        <f t="shared" si="10"/>
        <v>2</v>
      </c>
      <c r="X19" s="81">
        <f t="shared" si="10"/>
        <v>2</v>
      </c>
      <c r="Y19" s="81">
        <f t="shared" si="10"/>
        <v>2</v>
      </c>
      <c r="Z19" s="81">
        <f t="shared" si="10"/>
        <v>2</v>
      </c>
      <c r="AA19" s="81">
        <f t="shared" si="10"/>
        <v>1</v>
      </c>
      <c r="AB19" s="81">
        <f t="shared" si="10"/>
        <v>1</v>
      </c>
      <c r="AC19" s="81">
        <f t="shared" si="10"/>
        <v>2</v>
      </c>
      <c r="AD19" s="81">
        <f t="shared" si="10"/>
        <v>2</v>
      </c>
      <c r="AE19" s="81">
        <f t="shared" si="10"/>
        <v>2</v>
      </c>
      <c r="AF19" s="81">
        <f t="shared" si="10"/>
        <v>2</v>
      </c>
      <c r="AG19" s="81">
        <f t="shared" si="10"/>
        <v>2</v>
      </c>
      <c r="AH19" s="81">
        <f t="shared" si="10"/>
        <v>1</v>
      </c>
    </row>
    <row r="20" spans="2:34" x14ac:dyDescent="0.25">
      <c r="B20" s="4"/>
      <c r="C20" s="52" t="s">
        <v>14</v>
      </c>
      <c r="D20" s="84">
        <f t="shared" ref="D20:AH20" si="11">COUNTIFS(D$6:D$13,"T")+COUNTIFS(D$6:D$13,"TG")</f>
        <v>2</v>
      </c>
      <c r="E20" s="84">
        <f t="shared" si="11"/>
        <v>2</v>
      </c>
      <c r="F20" s="84">
        <f t="shared" si="11"/>
        <v>1</v>
      </c>
      <c r="G20" s="84">
        <f t="shared" si="11"/>
        <v>1</v>
      </c>
      <c r="H20" s="84">
        <f t="shared" si="11"/>
        <v>2</v>
      </c>
      <c r="I20" s="84">
        <f t="shared" si="11"/>
        <v>2</v>
      </c>
      <c r="J20" s="84">
        <f t="shared" si="11"/>
        <v>2</v>
      </c>
      <c r="K20" s="84">
        <f t="shared" si="11"/>
        <v>2</v>
      </c>
      <c r="L20" s="84">
        <f t="shared" si="11"/>
        <v>2</v>
      </c>
      <c r="M20" s="84">
        <f t="shared" si="11"/>
        <v>1</v>
      </c>
      <c r="N20" s="84">
        <f t="shared" si="11"/>
        <v>1</v>
      </c>
      <c r="O20" s="84">
        <f t="shared" si="11"/>
        <v>1</v>
      </c>
      <c r="P20" s="84">
        <f t="shared" si="11"/>
        <v>2</v>
      </c>
      <c r="Q20" s="84">
        <f t="shared" si="11"/>
        <v>2</v>
      </c>
      <c r="R20" s="84">
        <f t="shared" si="11"/>
        <v>2</v>
      </c>
      <c r="S20" s="84">
        <f t="shared" si="11"/>
        <v>2</v>
      </c>
      <c r="T20" s="84">
        <f t="shared" si="11"/>
        <v>1</v>
      </c>
      <c r="U20" s="84">
        <f t="shared" si="11"/>
        <v>1</v>
      </c>
      <c r="V20" s="84">
        <f t="shared" si="11"/>
        <v>2</v>
      </c>
      <c r="W20" s="84">
        <f t="shared" si="11"/>
        <v>2</v>
      </c>
      <c r="X20" s="84">
        <f t="shared" si="11"/>
        <v>2</v>
      </c>
      <c r="Y20" s="84">
        <f t="shared" si="11"/>
        <v>2</v>
      </c>
      <c r="Z20" s="84">
        <f t="shared" si="11"/>
        <v>2</v>
      </c>
      <c r="AA20" s="84">
        <f t="shared" si="11"/>
        <v>1</v>
      </c>
      <c r="AB20" s="84">
        <f t="shared" si="11"/>
        <v>1</v>
      </c>
      <c r="AC20" s="84">
        <f t="shared" si="11"/>
        <v>2</v>
      </c>
      <c r="AD20" s="84">
        <f t="shared" si="11"/>
        <v>2</v>
      </c>
      <c r="AE20" s="84">
        <f t="shared" si="11"/>
        <v>2</v>
      </c>
      <c r="AF20" s="84">
        <f t="shared" si="11"/>
        <v>2</v>
      </c>
      <c r="AG20" s="84">
        <f t="shared" si="11"/>
        <v>2</v>
      </c>
      <c r="AH20" s="84">
        <f t="shared" si="11"/>
        <v>1</v>
      </c>
    </row>
    <row r="21" spans="2:34" x14ac:dyDescent="0.25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1</v>
      </c>
      <c r="AG21" s="87">
        <f t="shared" si="12"/>
        <v>1</v>
      </c>
      <c r="AH21" s="87">
        <f t="shared" si="12"/>
        <v>1</v>
      </c>
    </row>
    <row r="22" spans="2:34" x14ac:dyDescent="0.25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1</v>
      </c>
      <c r="AG22" s="90">
        <f t="shared" si="13"/>
        <v>1</v>
      </c>
      <c r="AH22" s="90">
        <f t="shared" si="13"/>
        <v>1</v>
      </c>
    </row>
    <row r="23" spans="2:34" x14ac:dyDescent="0.25">
      <c r="C23" s="21" t="s">
        <v>7</v>
      </c>
      <c r="D23" s="92">
        <f t="shared" ref="D23:AH23" si="14">COUNTIFS(D$6:D$13,"L")+COUNTIFS(D$6:D$13,"LG")</f>
        <v>2</v>
      </c>
      <c r="E23" s="92">
        <f t="shared" si="14"/>
        <v>2</v>
      </c>
      <c r="F23" s="92">
        <f t="shared" si="14"/>
        <v>4</v>
      </c>
      <c r="G23" s="92">
        <f t="shared" si="14"/>
        <v>4</v>
      </c>
      <c r="H23" s="92">
        <f t="shared" si="14"/>
        <v>2</v>
      </c>
      <c r="I23" s="92">
        <f t="shared" si="14"/>
        <v>2</v>
      </c>
      <c r="J23" s="92">
        <f t="shared" si="14"/>
        <v>2</v>
      </c>
      <c r="K23" s="92">
        <f t="shared" si="14"/>
        <v>2</v>
      </c>
      <c r="L23" s="92">
        <f t="shared" si="14"/>
        <v>2</v>
      </c>
      <c r="M23" s="92">
        <f t="shared" si="14"/>
        <v>4</v>
      </c>
      <c r="N23" s="92">
        <f t="shared" si="14"/>
        <v>4</v>
      </c>
      <c r="O23" s="92">
        <f t="shared" si="14"/>
        <v>4</v>
      </c>
      <c r="P23" s="92">
        <f t="shared" si="14"/>
        <v>2</v>
      </c>
      <c r="Q23" s="92">
        <f t="shared" si="14"/>
        <v>2</v>
      </c>
      <c r="R23" s="92">
        <f t="shared" si="14"/>
        <v>2</v>
      </c>
      <c r="S23" s="92">
        <f t="shared" si="14"/>
        <v>2</v>
      </c>
      <c r="T23" s="92">
        <f t="shared" si="14"/>
        <v>4</v>
      </c>
      <c r="U23" s="92">
        <f t="shared" si="14"/>
        <v>4</v>
      </c>
      <c r="V23" s="92">
        <f t="shared" si="14"/>
        <v>2</v>
      </c>
      <c r="W23" s="92">
        <f t="shared" si="14"/>
        <v>2</v>
      </c>
      <c r="X23" s="92">
        <f t="shared" si="14"/>
        <v>2</v>
      </c>
      <c r="Y23" s="92">
        <f t="shared" si="14"/>
        <v>2</v>
      </c>
      <c r="Z23" s="92">
        <f t="shared" si="14"/>
        <v>2</v>
      </c>
      <c r="AA23" s="92">
        <f t="shared" si="14"/>
        <v>4</v>
      </c>
      <c r="AB23" s="92">
        <f t="shared" si="14"/>
        <v>4</v>
      </c>
      <c r="AC23" s="92">
        <f t="shared" si="14"/>
        <v>2</v>
      </c>
      <c r="AD23" s="92">
        <f t="shared" si="14"/>
        <v>2</v>
      </c>
      <c r="AE23" s="92">
        <f t="shared" si="14"/>
        <v>2</v>
      </c>
      <c r="AF23" s="92">
        <f t="shared" si="14"/>
        <v>2</v>
      </c>
      <c r="AG23" s="92">
        <f t="shared" si="14"/>
        <v>2</v>
      </c>
      <c r="AH23" s="92">
        <f t="shared" si="14"/>
        <v>4</v>
      </c>
    </row>
    <row r="24" spans="2:34" x14ac:dyDescent="0.25">
      <c r="C24" s="21" t="s">
        <v>94</v>
      </c>
      <c r="D24" s="180">
        <f>COUNTIFS(E$6:E$13,"MG")+COUNTIFS(E$6:E$13,"TG")+COUNTIFS(E$6:E$13,"LG")+COUNTIFS(E$6:E$13,"DG")</f>
        <v>1</v>
      </c>
      <c r="E24" s="180">
        <f>COUNTIFS(E$6:E$13,"MG")+COUNTIFS(E$6:E$13,"TG")+COUNTIFS(E$6:E$13,"LG")+COUNTIFS(E$6:E$13,"DG")</f>
        <v>1</v>
      </c>
      <c r="F24" s="180">
        <f>COUNTIFS(F$6:F$13,"MG")+COUNTIFS(F$6:F$13,"TG")+COUNTIFS(F$6:F$13,"LG")+COUNTIFS(F$6:F$13,"DG")</f>
        <v>1</v>
      </c>
      <c r="G24" s="180">
        <f>COUNTIFS(G$6:G$13,"MG")+COUNTIFS(G$6:G$13,"TG")+COUNTIFS(G$6:G$13,"LG")+COUNTIFS(G$6:G$13,"DG")</f>
        <v>1</v>
      </c>
      <c r="H24" s="180">
        <f>COUNTIFS(I$6:I$13,"MG")+COUNTIFS(I$6:I$13,"TG")+COUNTIFS(I$6:I$13,"LG")+COUNTIFS(I$6:I$13,"DG")</f>
        <v>1</v>
      </c>
      <c r="I24" s="180">
        <f t="shared" ref="I24:W24" si="15">COUNTIFS(I$6:I$13,"MG")+COUNTIFS(I$6:I$13,"TG")+COUNTIFS(I$6:I$13,"LG")+COUNTIFS(I$6:I$13,"DG")</f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 t="shared" si="15"/>
        <v>1</v>
      </c>
      <c r="W24" s="180">
        <f t="shared" si="15"/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180">
        <f>COUNTIFS(AA$6:AA$13,"MG")+COUNTIFS(AA$6:AA$13,"TG")+COUNTIFS(AA$6:AA$13,"LG")+COUNTIFS(AA$6:AA$13,"DG")</f>
        <v>1</v>
      </c>
      <c r="AB24" s="180">
        <f>COUNTIFS(AC$6:AC$13,"MG")+COUNTIFS(AC$6:AC$13,"TG")+COUNTIFS(AC$6:AC$13,"LG")+COUNTIFS(AC$6:AC$13,"DG")</f>
        <v>1</v>
      </c>
      <c r="AC24" s="180">
        <f t="shared" ref="AC24:AH24" si="16">COUNTIFS(AC$6:AC$13,"MG")+COUNTIFS(AC$6:AC$13,"TG")+COUNTIFS(AC$6:AC$13,"LG")+COUNTIFS(AC$6:AC$13,"DG")</f>
        <v>1</v>
      </c>
      <c r="AD24" s="180">
        <f t="shared" si="16"/>
        <v>1</v>
      </c>
      <c r="AE24" s="180">
        <f t="shared" si="16"/>
        <v>1</v>
      </c>
      <c r="AF24" s="180">
        <f t="shared" si="16"/>
        <v>1</v>
      </c>
      <c r="AG24" s="180">
        <f t="shared" si="16"/>
        <v>1</v>
      </c>
      <c r="AH24" s="180">
        <f t="shared" si="16"/>
        <v>1</v>
      </c>
    </row>
    <row r="25" spans="2:34" x14ac:dyDescent="0.25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15" x14ac:dyDescent="0.25">
      <c r="C33" s="10"/>
    </row>
    <row r="34" spans="1:15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</sheetData>
  <mergeCells count="1">
    <mergeCell ref="B4:B5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A30-9CC4-4D37-8234-EFBEF65DC88D}">
  <dimension ref="A1:AH34"/>
  <sheetViews>
    <sheetView workbookViewId="0">
      <selection activeCell="A28" sqref="A28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2" width="4.26953125" customWidth="1"/>
    <col min="13" max="13" width="3.7265625" customWidth="1"/>
    <col min="14" max="14" width="3.453125" customWidth="1"/>
    <col min="15" max="15" width="3.7265625" customWidth="1"/>
    <col min="16" max="16" width="3.54296875" customWidth="1"/>
    <col min="17" max="17" width="3.7265625" customWidth="1"/>
    <col min="18" max="18" width="4" customWidth="1"/>
    <col min="19" max="19" width="3.7265625" customWidth="1"/>
    <col min="20" max="20" width="4.1796875" customWidth="1"/>
    <col min="21" max="21" width="4" customWidth="1"/>
    <col min="22" max="23" width="4.1796875" customWidth="1"/>
    <col min="24" max="24" width="3.81640625" customWidth="1"/>
    <col min="25" max="25" width="4.1796875" customWidth="1"/>
    <col min="26" max="26" width="3.26953125" customWidth="1"/>
    <col min="27" max="27" width="4.453125" customWidth="1"/>
    <col min="28" max="28" width="3.7265625" customWidth="1"/>
    <col min="29" max="29" width="3.81640625" customWidth="1"/>
    <col min="30" max="30" width="3.7265625" customWidth="1"/>
    <col min="31" max="31" width="4" customWidth="1"/>
    <col min="32" max="32" width="0" hidden="1" customWidth="1"/>
    <col min="33" max="33" width="4.453125" customWidth="1"/>
    <col min="34" max="34" width="4.26953125" customWidth="1"/>
  </cols>
  <sheetData>
    <row r="1" spans="2:34" x14ac:dyDescent="0.25">
      <c r="C1" s="10"/>
    </row>
    <row r="2" spans="2:34" ht="13" x14ac:dyDescent="0.3">
      <c r="B2" s="454" t="s">
        <v>95</v>
      </c>
      <c r="C2" s="487" t="s">
        <v>95</v>
      </c>
      <c r="D2" s="455"/>
      <c r="E2" s="544"/>
      <c r="F2" s="544"/>
      <c r="G2" s="544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3" x14ac:dyDescent="0.3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611"/>
      <c r="L3" s="449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3" x14ac:dyDescent="0.3">
      <c r="B4" s="1316" t="s">
        <v>3</v>
      </c>
      <c r="C4" s="450" t="s">
        <v>95</v>
      </c>
      <c r="D4" s="1198" t="s">
        <v>6</v>
      </c>
      <c r="E4" s="1199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546" t="s">
        <v>5</v>
      </c>
      <c r="K4" s="630" t="s">
        <v>6</v>
      </c>
      <c r="L4" s="1200" t="s">
        <v>7</v>
      </c>
      <c r="M4" s="590" t="s">
        <v>8</v>
      </c>
      <c r="N4" s="590" t="s">
        <v>9</v>
      </c>
      <c r="O4" s="590" t="s">
        <v>10</v>
      </c>
      <c r="P4" s="452" t="s">
        <v>4</v>
      </c>
      <c r="Q4" s="546" t="s">
        <v>104</v>
      </c>
      <c r="R4" s="546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46" t="s">
        <v>104</v>
      </c>
      <c r="Y4" s="546" t="s">
        <v>6</v>
      </c>
      <c r="Z4" s="452" t="s">
        <v>7</v>
      </c>
      <c r="AA4" s="452" t="s">
        <v>8</v>
      </c>
      <c r="AB4" s="452" t="s">
        <v>9</v>
      </c>
      <c r="AC4" s="452" t="s">
        <v>10</v>
      </c>
      <c r="AD4" s="452" t="s">
        <v>4</v>
      </c>
      <c r="AE4" s="546" t="s">
        <v>104</v>
      </c>
      <c r="AF4" s="546" t="s">
        <v>6</v>
      </c>
      <c r="AG4" s="546" t="s">
        <v>6</v>
      </c>
      <c r="AH4" s="452" t="s">
        <v>7</v>
      </c>
    </row>
    <row r="5" spans="2:34" ht="13" x14ac:dyDescent="0.3">
      <c r="B5" s="1317"/>
      <c r="C5" s="882" t="s">
        <v>95</v>
      </c>
      <c r="D5" s="1183">
        <v>1</v>
      </c>
      <c r="E5" s="1201">
        <v>2</v>
      </c>
      <c r="F5" s="1118">
        <v>3</v>
      </c>
      <c r="G5" s="1117">
        <v>4</v>
      </c>
      <c r="H5" s="1118">
        <v>5</v>
      </c>
      <c r="I5" s="1118">
        <v>6</v>
      </c>
      <c r="J5" s="1076">
        <v>7</v>
      </c>
      <c r="K5" s="1168">
        <v>8</v>
      </c>
      <c r="L5" s="1201">
        <v>9</v>
      </c>
      <c r="M5" s="1118">
        <v>10</v>
      </c>
      <c r="N5" s="1076">
        <v>11</v>
      </c>
      <c r="O5" s="1168">
        <v>12</v>
      </c>
      <c r="P5" s="1076">
        <v>13</v>
      </c>
      <c r="Q5" s="1118">
        <v>14</v>
      </c>
      <c r="R5" s="1076">
        <v>15</v>
      </c>
      <c r="S5" s="1076">
        <v>16</v>
      </c>
      <c r="T5" s="1118">
        <v>17</v>
      </c>
      <c r="U5" s="1118">
        <v>18</v>
      </c>
      <c r="V5" s="1076">
        <v>19</v>
      </c>
      <c r="W5" s="1076">
        <v>20</v>
      </c>
      <c r="X5" s="1118">
        <v>21</v>
      </c>
      <c r="Y5" s="1118">
        <v>22</v>
      </c>
      <c r="Z5" s="1076">
        <v>23</v>
      </c>
      <c r="AA5" s="1076">
        <v>24</v>
      </c>
      <c r="AB5" s="1118">
        <v>25</v>
      </c>
      <c r="AC5" s="1118">
        <v>26</v>
      </c>
      <c r="AD5" s="1076">
        <v>27</v>
      </c>
      <c r="AE5" s="1117">
        <v>28</v>
      </c>
      <c r="AF5" s="1118">
        <v>29</v>
      </c>
      <c r="AG5" s="1076">
        <v>29</v>
      </c>
      <c r="AH5" s="451">
        <v>30</v>
      </c>
    </row>
    <row r="6" spans="2:34" x14ac:dyDescent="0.25">
      <c r="B6" s="244" t="s">
        <v>97</v>
      </c>
      <c r="C6" s="375" t="s">
        <v>13</v>
      </c>
      <c r="D6" s="1170" t="s">
        <v>16</v>
      </c>
      <c r="E6" s="1202" t="s">
        <v>22</v>
      </c>
      <c r="F6" s="1203" t="s">
        <v>22</v>
      </c>
      <c r="G6" s="1122" t="s">
        <v>22</v>
      </c>
      <c r="H6" s="1122" t="s">
        <v>22</v>
      </c>
      <c r="I6" s="1122" t="s">
        <v>53</v>
      </c>
      <c r="J6" s="1086" t="s">
        <v>7</v>
      </c>
      <c r="K6" s="1185" t="s">
        <v>7</v>
      </c>
      <c r="L6" s="1204" t="s">
        <v>7</v>
      </c>
      <c r="M6" s="1124" t="s">
        <v>8</v>
      </c>
      <c r="N6" s="1123" t="s">
        <v>8</v>
      </c>
      <c r="O6" s="1123" t="s">
        <v>8</v>
      </c>
      <c r="P6" s="1205" t="s">
        <v>8</v>
      </c>
      <c r="Q6" s="1083" t="s">
        <v>53</v>
      </c>
      <c r="R6" s="1083" t="s">
        <v>53</v>
      </c>
      <c r="S6" s="1084" t="s">
        <v>23</v>
      </c>
      <c r="T6" s="1084" t="s">
        <v>23</v>
      </c>
      <c r="U6" s="1084" t="s">
        <v>16</v>
      </c>
      <c r="V6" s="1084" t="s">
        <v>16</v>
      </c>
      <c r="W6" s="1084" t="s">
        <v>16</v>
      </c>
      <c r="X6" s="1102" t="s">
        <v>7</v>
      </c>
      <c r="Y6" s="1184" t="s">
        <v>7</v>
      </c>
      <c r="Z6" s="1123" t="s">
        <v>8</v>
      </c>
      <c r="AA6" s="1078" t="s">
        <v>8</v>
      </c>
      <c r="AB6" s="1123" t="s">
        <v>7</v>
      </c>
      <c r="AC6" s="1123" t="s">
        <v>7</v>
      </c>
      <c r="AD6" s="1123" t="s">
        <v>7</v>
      </c>
      <c r="AE6" s="1122" t="s">
        <v>16</v>
      </c>
      <c r="AG6" s="1122" t="s">
        <v>16</v>
      </c>
      <c r="AH6" s="1202" t="s">
        <v>22</v>
      </c>
    </row>
    <row r="7" spans="2:34" x14ac:dyDescent="0.25">
      <c r="B7" s="244" t="s">
        <v>73</v>
      </c>
      <c r="C7" s="375" t="s">
        <v>18</v>
      </c>
      <c r="D7" s="1185" t="s">
        <v>7</v>
      </c>
      <c r="E7" s="1206" t="s">
        <v>8</v>
      </c>
      <c r="F7" s="1088" t="s">
        <v>8</v>
      </c>
      <c r="G7" s="103" t="s">
        <v>8</v>
      </c>
      <c r="H7" s="103" t="s">
        <v>8</v>
      </c>
      <c r="I7" s="1138" t="s">
        <v>8</v>
      </c>
      <c r="J7" s="1087" t="s">
        <v>53</v>
      </c>
      <c r="K7" s="1191" t="s">
        <v>53</v>
      </c>
      <c r="L7" s="1207" t="s">
        <v>23</v>
      </c>
      <c r="M7" s="1083" t="s">
        <v>23</v>
      </c>
      <c r="N7" s="1084" t="s">
        <v>16</v>
      </c>
      <c r="O7" s="1084" t="s">
        <v>16</v>
      </c>
      <c r="P7" s="1125" t="s">
        <v>16</v>
      </c>
      <c r="Q7" s="1159" t="s">
        <v>7</v>
      </c>
      <c r="R7" s="1159" t="s">
        <v>7</v>
      </c>
      <c r="S7" s="103" t="s">
        <v>8</v>
      </c>
      <c r="T7" s="103" t="s">
        <v>8</v>
      </c>
      <c r="U7" s="103" t="s">
        <v>7</v>
      </c>
      <c r="V7" s="103" t="s">
        <v>7</v>
      </c>
      <c r="W7" s="103" t="s">
        <v>7</v>
      </c>
      <c r="X7" s="1084" t="s">
        <v>16</v>
      </c>
      <c r="Y7" s="1125" t="s">
        <v>16</v>
      </c>
      <c r="Z7" s="1084" t="s">
        <v>22</v>
      </c>
      <c r="AA7" s="1084" t="s">
        <v>22</v>
      </c>
      <c r="AB7" s="1084" t="s">
        <v>22</v>
      </c>
      <c r="AC7" s="1084" t="s">
        <v>22</v>
      </c>
      <c r="AD7" s="1084" t="s">
        <v>53</v>
      </c>
      <c r="AE7" s="1085" t="s">
        <v>7</v>
      </c>
      <c r="AG7" s="1086" t="s">
        <v>7</v>
      </c>
      <c r="AH7" s="1206" t="s">
        <v>8</v>
      </c>
    </row>
    <row r="8" spans="2:34" x14ac:dyDescent="0.25">
      <c r="B8" s="244" t="s">
        <v>103</v>
      </c>
      <c r="C8" s="375" t="s">
        <v>21</v>
      </c>
      <c r="D8" s="1208" t="s">
        <v>6</v>
      </c>
      <c r="E8" s="1206" t="s">
        <v>7</v>
      </c>
      <c r="F8" s="1088" t="s">
        <v>7</v>
      </c>
      <c r="G8" s="103" t="s">
        <v>8</v>
      </c>
      <c r="H8" s="103" t="s">
        <v>8</v>
      </c>
      <c r="I8" s="1138" t="s">
        <v>8</v>
      </c>
      <c r="J8" s="1086" t="s">
        <v>7</v>
      </c>
      <c r="K8" s="1185" t="s">
        <v>7</v>
      </c>
      <c r="L8" s="1206" t="s">
        <v>8</v>
      </c>
      <c r="M8" s="1088" t="s">
        <v>8</v>
      </c>
      <c r="N8" s="103" t="s">
        <v>7</v>
      </c>
      <c r="O8" s="103" t="s">
        <v>7</v>
      </c>
      <c r="P8" s="1128" t="s">
        <v>7</v>
      </c>
      <c r="Q8" s="1159" t="s">
        <v>8</v>
      </c>
      <c r="R8" s="1159" t="s">
        <v>8</v>
      </c>
      <c r="S8" s="103" t="s">
        <v>14</v>
      </c>
      <c r="T8" s="103" t="s">
        <v>14</v>
      </c>
      <c r="U8" s="103" t="s">
        <v>14</v>
      </c>
      <c r="V8" s="103" t="s">
        <v>14</v>
      </c>
      <c r="W8" s="103" t="s">
        <v>6</v>
      </c>
      <c r="X8" s="1085" t="s">
        <v>7</v>
      </c>
      <c r="Y8" s="1185" t="s">
        <v>7</v>
      </c>
      <c r="Z8" s="103" t="s">
        <v>8</v>
      </c>
      <c r="AA8" s="103" t="s">
        <v>8</v>
      </c>
      <c r="AB8" s="103" t="s">
        <v>8</v>
      </c>
      <c r="AC8" s="103" t="s">
        <v>8</v>
      </c>
      <c r="AD8" s="103" t="s">
        <v>8</v>
      </c>
      <c r="AE8" s="1091" t="s">
        <v>6</v>
      </c>
      <c r="AG8" s="1091" t="s">
        <v>6</v>
      </c>
      <c r="AH8" s="1206" t="s">
        <v>7</v>
      </c>
    </row>
    <row r="9" spans="2:34" x14ac:dyDescent="0.25">
      <c r="B9" s="244" t="s">
        <v>66</v>
      </c>
      <c r="C9" s="375" t="s">
        <v>26</v>
      </c>
      <c r="D9" s="1209" t="s">
        <v>7</v>
      </c>
      <c r="E9" s="1210" t="s">
        <v>7</v>
      </c>
      <c r="F9" s="1093" t="s">
        <v>8</v>
      </c>
      <c r="G9" s="1092" t="s">
        <v>7</v>
      </c>
      <c r="H9" s="1092" t="s">
        <v>7</v>
      </c>
      <c r="I9" s="1139" t="s">
        <v>7</v>
      </c>
      <c r="J9" s="1086" t="s">
        <v>8</v>
      </c>
      <c r="K9" s="1185" t="s">
        <v>8</v>
      </c>
      <c r="L9" s="1210" t="s">
        <v>7</v>
      </c>
      <c r="M9" s="1093" t="s">
        <v>14</v>
      </c>
      <c r="N9" s="1092" t="s">
        <v>14</v>
      </c>
      <c r="O9" s="1092" t="s">
        <v>14</v>
      </c>
      <c r="P9" s="1160" t="s">
        <v>6</v>
      </c>
      <c r="Q9" s="1161" t="s">
        <v>7</v>
      </c>
      <c r="R9" s="1161" t="s">
        <v>7</v>
      </c>
      <c r="S9" s="1092" t="s">
        <v>8</v>
      </c>
      <c r="T9" s="1092" t="s">
        <v>8</v>
      </c>
      <c r="U9" s="1092" t="s">
        <v>8</v>
      </c>
      <c r="V9" s="1092" t="s">
        <v>8</v>
      </c>
      <c r="W9" s="1092" t="s">
        <v>8</v>
      </c>
      <c r="X9" s="1095" t="s">
        <v>6</v>
      </c>
      <c r="Y9" s="1186" t="s">
        <v>6</v>
      </c>
      <c r="Z9" s="1092" t="s">
        <v>7</v>
      </c>
      <c r="AA9" s="1092" t="s">
        <v>7</v>
      </c>
      <c r="AB9" s="1092" t="s">
        <v>8</v>
      </c>
      <c r="AC9" s="1092" t="s">
        <v>8</v>
      </c>
      <c r="AD9" s="1092" t="s">
        <v>8</v>
      </c>
      <c r="AE9" s="1089" t="s">
        <v>7</v>
      </c>
      <c r="AG9" s="1090" t="s">
        <v>7</v>
      </c>
      <c r="AH9" s="1211" t="s">
        <v>8</v>
      </c>
    </row>
    <row r="10" spans="2:34" x14ac:dyDescent="0.25">
      <c r="B10" s="242" t="s">
        <v>90</v>
      </c>
      <c r="C10" s="432" t="s">
        <v>28</v>
      </c>
      <c r="D10" s="1184" t="s">
        <v>7</v>
      </c>
      <c r="E10" s="1212" t="s">
        <v>6</v>
      </c>
      <c r="F10" s="1213" t="s">
        <v>6</v>
      </c>
      <c r="G10" s="1091" t="s">
        <v>6</v>
      </c>
      <c r="H10" s="1101" t="s">
        <v>14</v>
      </c>
      <c r="I10" s="1140" t="s">
        <v>14</v>
      </c>
      <c r="J10" s="1086" t="s">
        <v>19</v>
      </c>
      <c r="K10" s="1185" t="s">
        <v>19</v>
      </c>
      <c r="L10" s="1214" t="s">
        <v>7</v>
      </c>
      <c r="M10" s="1096" t="s">
        <v>7</v>
      </c>
      <c r="N10" s="1097" t="s">
        <v>7</v>
      </c>
      <c r="O10" s="1097" t="s">
        <v>7</v>
      </c>
      <c r="P10" s="1131" t="s">
        <v>14</v>
      </c>
      <c r="Q10" s="1162" t="s">
        <v>14</v>
      </c>
      <c r="R10" s="1162" t="s">
        <v>14</v>
      </c>
      <c r="S10" s="1097" t="s">
        <v>19</v>
      </c>
      <c r="T10" s="1097" t="s">
        <v>19</v>
      </c>
      <c r="U10" s="1097" t="s">
        <v>19</v>
      </c>
      <c r="V10" s="1100" t="s">
        <v>6</v>
      </c>
      <c r="W10" s="1097" t="s">
        <v>7</v>
      </c>
      <c r="X10" s="1098" t="s">
        <v>7</v>
      </c>
      <c r="Y10" s="1184" t="s">
        <v>7</v>
      </c>
      <c r="Z10" s="1101" t="s">
        <v>14</v>
      </c>
      <c r="AA10" s="1097" t="s">
        <v>14</v>
      </c>
      <c r="AB10" s="1097" t="s">
        <v>14</v>
      </c>
      <c r="AC10" s="1101" t="s">
        <v>19</v>
      </c>
      <c r="AD10" s="1101" t="s">
        <v>19</v>
      </c>
      <c r="AE10" s="1102" t="s">
        <v>7</v>
      </c>
      <c r="AG10" s="1099" t="s">
        <v>7</v>
      </c>
      <c r="AH10" s="1212" t="s">
        <v>6</v>
      </c>
    </row>
    <row r="11" spans="2:34" x14ac:dyDescent="0.25">
      <c r="B11" s="376" t="s">
        <v>91</v>
      </c>
      <c r="C11" s="375" t="s">
        <v>30</v>
      </c>
      <c r="D11" s="1185" t="s">
        <v>19</v>
      </c>
      <c r="E11" s="1215" t="s">
        <v>7</v>
      </c>
      <c r="F11" s="1103" t="s">
        <v>7</v>
      </c>
      <c r="G11" s="24" t="s">
        <v>7</v>
      </c>
      <c r="H11" s="24" t="s">
        <v>7</v>
      </c>
      <c r="I11" s="69" t="s">
        <v>14</v>
      </c>
      <c r="J11" s="1086" t="s">
        <v>14</v>
      </c>
      <c r="K11" s="1185" t="s">
        <v>14</v>
      </c>
      <c r="L11" s="1215" t="s">
        <v>19</v>
      </c>
      <c r="M11" s="1103" t="s">
        <v>19</v>
      </c>
      <c r="N11" s="24" t="s">
        <v>19</v>
      </c>
      <c r="O11" s="76" t="s">
        <v>6</v>
      </c>
      <c r="P11" s="1163" t="s">
        <v>7</v>
      </c>
      <c r="Q11" s="1159" t="s">
        <v>7</v>
      </c>
      <c r="R11" s="1159" t="s">
        <v>7</v>
      </c>
      <c r="S11" s="1104" t="s">
        <v>14</v>
      </c>
      <c r="T11" s="24" t="s">
        <v>14</v>
      </c>
      <c r="U11" s="24" t="s">
        <v>14</v>
      </c>
      <c r="V11" s="1104" t="s">
        <v>19</v>
      </c>
      <c r="W11" s="1104" t="s">
        <v>19</v>
      </c>
      <c r="X11" s="1085" t="s">
        <v>7</v>
      </c>
      <c r="Y11" s="1185" t="s">
        <v>7</v>
      </c>
      <c r="Z11" s="1105" t="s">
        <v>6</v>
      </c>
      <c r="AA11" s="1105" t="s">
        <v>6</v>
      </c>
      <c r="AB11" s="1105" t="s">
        <v>6</v>
      </c>
      <c r="AC11" s="1104" t="s">
        <v>14</v>
      </c>
      <c r="AD11" s="1104" t="s">
        <v>14</v>
      </c>
      <c r="AE11" s="1085" t="s">
        <v>19</v>
      </c>
      <c r="AG11" s="1086" t="s">
        <v>19</v>
      </c>
      <c r="AH11" s="1215" t="s">
        <v>7</v>
      </c>
    </row>
    <row r="12" spans="2:34" x14ac:dyDescent="0.25">
      <c r="B12" s="244" t="s">
        <v>92</v>
      </c>
      <c r="C12" s="375" t="s">
        <v>32</v>
      </c>
      <c r="D12" s="1185" t="s">
        <v>14</v>
      </c>
      <c r="E12" s="1215" t="s">
        <v>19</v>
      </c>
      <c r="F12" s="1103" t="s">
        <v>19</v>
      </c>
      <c r="G12" s="24" t="s">
        <v>19</v>
      </c>
      <c r="H12" s="76" t="s">
        <v>6</v>
      </c>
      <c r="I12" s="69" t="s">
        <v>7</v>
      </c>
      <c r="J12" s="1086" t="s">
        <v>7</v>
      </c>
      <c r="K12" s="1185" t="s">
        <v>7</v>
      </c>
      <c r="L12" s="1216" t="s">
        <v>14</v>
      </c>
      <c r="M12" s="1103" t="s">
        <v>14</v>
      </c>
      <c r="N12" s="24" t="s">
        <v>14</v>
      </c>
      <c r="O12" s="1104" t="s">
        <v>19</v>
      </c>
      <c r="P12" s="1164" t="s">
        <v>19</v>
      </c>
      <c r="Q12" s="1159" t="s">
        <v>7</v>
      </c>
      <c r="R12" s="1159" t="s">
        <v>7</v>
      </c>
      <c r="S12" s="1105" t="s">
        <v>6</v>
      </c>
      <c r="T12" s="1105" t="s">
        <v>6</v>
      </c>
      <c r="U12" s="1105" t="s">
        <v>6</v>
      </c>
      <c r="V12" s="1104" t="s">
        <v>14</v>
      </c>
      <c r="W12" s="1104" t="s">
        <v>14</v>
      </c>
      <c r="X12" s="1085" t="s">
        <v>19</v>
      </c>
      <c r="Y12" s="1185" t="s">
        <v>19</v>
      </c>
      <c r="Z12" s="24" t="s">
        <v>7</v>
      </c>
      <c r="AA12" s="24" t="s">
        <v>7</v>
      </c>
      <c r="AB12" s="24" t="s">
        <v>7</v>
      </c>
      <c r="AC12" s="24" t="s">
        <v>7</v>
      </c>
      <c r="AD12" s="24" t="s">
        <v>14</v>
      </c>
      <c r="AE12" s="104" t="s">
        <v>14</v>
      </c>
      <c r="AG12" s="1086" t="s">
        <v>14</v>
      </c>
      <c r="AH12" s="1215" t="s">
        <v>19</v>
      </c>
    </row>
    <row r="13" spans="2:34" x14ac:dyDescent="0.25">
      <c r="B13" s="246" t="s">
        <v>93</v>
      </c>
      <c r="C13" s="566" t="s">
        <v>34</v>
      </c>
      <c r="D13" s="1187" t="s">
        <v>7</v>
      </c>
      <c r="E13" s="1217" t="s">
        <v>7</v>
      </c>
      <c r="F13" s="1218" t="s">
        <v>14</v>
      </c>
      <c r="G13" s="1111" t="s">
        <v>14</v>
      </c>
      <c r="H13" s="1108" t="s">
        <v>19</v>
      </c>
      <c r="I13" s="1141" t="s">
        <v>19</v>
      </c>
      <c r="J13" s="1086" t="s">
        <v>7</v>
      </c>
      <c r="K13" s="1185" t="s">
        <v>7</v>
      </c>
      <c r="L13" s="1219" t="s">
        <v>6</v>
      </c>
      <c r="M13" s="1197" t="s">
        <v>6</v>
      </c>
      <c r="N13" s="1107" t="s">
        <v>6</v>
      </c>
      <c r="O13" s="1108" t="s">
        <v>14</v>
      </c>
      <c r="P13" s="1165" t="s">
        <v>14</v>
      </c>
      <c r="Q13" s="1166" t="s">
        <v>19</v>
      </c>
      <c r="R13" s="1166" t="s">
        <v>19</v>
      </c>
      <c r="S13" s="1111" t="s">
        <v>7</v>
      </c>
      <c r="T13" s="1111" t="s">
        <v>7</v>
      </c>
      <c r="U13" s="1111" t="s">
        <v>7</v>
      </c>
      <c r="V13" s="1111" t="s">
        <v>7</v>
      </c>
      <c r="W13" s="1111" t="s">
        <v>14</v>
      </c>
      <c r="X13" s="1112" t="s">
        <v>14</v>
      </c>
      <c r="Y13" s="1187" t="s">
        <v>14</v>
      </c>
      <c r="Z13" s="1111" t="s">
        <v>19</v>
      </c>
      <c r="AA13" s="1111" t="s">
        <v>19</v>
      </c>
      <c r="AB13" s="1111" t="s">
        <v>19</v>
      </c>
      <c r="AC13" s="1113" t="s">
        <v>6</v>
      </c>
      <c r="AD13" s="1111" t="s">
        <v>7</v>
      </c>
      <c r="AE13" s="1109" t="s">
        <v>7</v>
      </c>
      <c r="AG13" s="1114" t="s">
        <v>7</v>
      </c>
      <c r="AH13" s="1220" t="s">
        <v>14</v>
      </c>
    </row>
    <row r="14" spans="2:34" x14ac:dyDescent="0.25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x14ac:dyDescent="0.25">
      <c r="B15" s="4"/>
      <c r="C15" s="10"/>
    </row>
    <row r="16" spans="2:34" x14ac:dyDescent="0.25">
      <c r="B16" s="4"/>
      <c r="C16" s="10"/>
    </row>
    <row r="17" spans="2:34" x14ac:dyDescent="0.25">
      <c r="B17" s="4"/>
      <c r="C17" s="10"/>
    </row>
    <row r="18" spans="2:34" x14ac:dyDescent="0.25">
      <c r="B18" s="4"/>
      <c r="C18" s="21" t="s">
        <v>38</v>
      </c>
      <c r="D18" s="53">
        <f>SUM(D19:D22)</f>
        <v>4</v>
      </c>
      <c r="E18" s="53">
        <f t="shared" ref="E18:F18" si="0">SUM(E19:E22)</f>
        <v>4</v>
      </c>
      <c r="F18" s="53">
        <f t="shared" si="0"/>
        <v>6</v>
      </c>
      <c r="G18" s="53">
        <f>SUM(G19:G22)</f>
        <v>6</v>
      </c>
      <c r="H18" s="53">
        <f t="shared" ref="H18" si="1">SUM(H19:H22)</f>
        <v>6</v>
      </c>
      <c r="I18" s="53">
        <f>SUM(I19:I22)</f>
        <v>6</v>
      </c>
      <c r="J18" s="53">
        <f>SUM(J19:J22)</f>
        <v>4</v>
      </c>
      <c r="K18" s="53">
        <f t="shared" ref="K18" si="2">SUM(K19:K22)</f>
        <v>4</v>
      </c>
      <c r="L18" s="53">
        <f>SUM(L19:L22)</f>
        <v>4</v>
      </c>
      <c r="M18" s="53">
        <f t="shared" ref="M18:N18" si="3">SUM(M19:M22)</f>
        <v>6</v>
      </c>
      <c r="N18" s="53">
        <f t="shared" si="3"/>
        <v>6</v>
      </c>
      <c r="O18" s="53">
        <f>SUM(O19:O22)</f>
        <v>6</v>
      </c>
      <c r="P18" s="53">
        <f>SUM(P19:P22)</f>
        <v>6</v>
      </c>
      <c r="Q18" s="53">
        <f t="shared" ref="Q18" si="4">SUM(Q19:Q22)</f>
        <v>4</v>
      </c>
      <c r="R18" s="53">
        <f>SUM(R19:R22)</f>
        <v>4</v>
      </c>
      <c r="S18" s="53">
        <f>SUM(S19:S22)</f>
        <v>6</v>
      </c>
      <c r="T18" s="53">
        <f t="shared" ref="T18" si="5">SUM(T19:T22)</f>
        <v>6</v>
      </c>
      <c r="U18" s="53">
        <f>SUM(U19:U22)</f>
        <v>6</v>
      </c>
      <c r="V18" s="53">
        <f t="shared" ref="V18:W18" si="6">SUM(V19:V22)</f>
        <v>6</v>
      </c>
      <c r="W18" s="53">
        <f t="shared" si="6"/>
        <v>6</v>
      </c>
      <c r="X18" s="53">
        <f>SUM(X19:X22)</f>
        <v>4</v>
      </c>
      <c r="Y18" s="53">
        <f t="shared" ref="Y18" si="7">SUM(Y19:Y22)</f>
        <v>4</v>
      </c>
      <c r="Z18" s="53">
        <f>SUM(Z19:Z22)</f>
        <v>6</v>
      </c>
      <c r="AA18" s="53">
        <f>SUM(AA19:AA22)</f>
        <v>6</v>
      </c>
      <c r="AB18" s="53">
        <f t="shared" ref="AB18" si="8">SUM(AB19:AB22)</f>
        <v>6</v>
      </c>
      <c r="AC18" s="53">
        <f>SUM(AC19:AC22)</f>
        <v>6</v>
      </c>
      <c r="AD18" s="53">
        <f t="shared" ref="AD18:AE18" si="9">SUM(AD19:AD22)</f>
        <v>6</v>
      </c>
      <c r="AE18" s="53">
        <f t="shared" si="9"/>
        <v>4</v>
      </c>
      <c r="AF18" s="53">
        <f>SUM(AF19:AF22)</f>
        <v>0</v>
      </c>
      <c r="AG18" s="53">
        <f>SUM(AG19:AG22)</f>
        <v>4</v>
      </c>
      <c r="AH18" s="53">
        <f>SUM(AH19:AH22)</f>
        <v>6</v>
      </c>
    </row>
    <row r="19" spans="2:34" x14ac:dyDescent="0.25">
      <c r="B19" s="4"/>
      <c r="C19" s="52" t="s">
        <v>8</v>
      </c>
      <c r="D19" s="81">
        <f t="shared" ref="D19:AH19" si="10">COUNTIFS(D$6:D$13,"M")+COUNTIFS(D$6:D$13,"MG")</f>
        <v>1</v>
      </c>
      <c r="E19" s="81">
        <f t="shared" si="10"/>
        <v>1</v>
      </c>
      <c r="F19" s="81">
        <f t="shared" si="10"/>
        <v>2</v>
      </c>
      <c r="G19" s="81">
        <f t="shared" si="10"/>
        <v>2</v>
      </c>
      <c r="H19" s="81">
        <f t="shared" si="10"/>
        <v>2</v>
      </c>
      <c r="I19" s="81">
        <f t="shared" si="10"/>
        <v>2</v>
      </c>
      <c r="J19" s="81">
        <f t="shared" si="10"/>
        <v>1</v>
      </c>
      <c r="K19" s="81">
        <f t="shared" si="10"/>
        <v>1</v>
      </c>
      <c r="L19" s="81">
        <f t="shared" si="10"/>
        <v>1</v>
      </c>
      <c r="M19" s="81">
        <f t="shared" si="10"/>
        <v>2</v>
      </c>
      <c r="N19" s="81">
        <f t="shared" si="10"/>
        <v>2</v>
      </c>
      <c r="O19" s="81">
        <f t="shared" si="10"/>
        <v>2</v>
      </c>
      <c r="P19" s="81">
        <f t="shared" si="10"/>
        <v>2</v>
      </c>
      <c r="Q19" s="81">
        <f t="shared" si="10"/>
        <v>1</v>
      </c>
      <c r="R19" s="81">
        <f t="shared" si="10"/>
        <v>1</v>
      </c>
      <c r="S19" s="81">
        <f t="shared" si="10"/>
        <v>2</v>
      </c>
      <c r="T19" s="81">
        <f t="shared" si="10"/>
        <v>2</v>
      </c>
      <c r="U19" s="81">
        <f t="shared" si="10"/>
        <v>2</v>
      </c>
      <c r="V19" s="81">
        <f t="shared" si="10"/>
        <v>2</v>
      </c>
      <c r="W19" s="81">
        <f t="shared" si="10"/>
        <v>2</v>
      </c>
      <c r="X19" s="81">
        <f t="shared" si="10"/>
        <v>1</v>
      </c>
      <c r="Y19" s="81">
        <f t="shared" si="10"/>
        <v>1</v>
      </c>
      <c r="Z19" s="81">
        <f t="shared" si="10"/>
        <v>2</v>
      </c>
      <c r="AA19" s="81">
        <f t="shared" si="10"/>
        <v>2</v>
      </c>
      <c r="AB19" s="81">
        <f t="shared" si="10"/>
        <v>2</v>
      </c>
      <c r="AC19" s="81">
        <f t="shared" si="10"/>
        <v>2</v>
      </c>
      <c r="AD19" s="81">
        <f t="shared" si="10"/>
        <v>2</v>
      </c>
      <c r="AE19" s="81">
        <f t="shared" si="10"/>
        <v>1</v>
      </c>
      <c r="AF19" s="81">
        <f t="shared" si="10"/>
        <v>0</v>
      </c>
      <c r="AG19" s="81">
        <f t="shared" si="10"/>
        <v>1</v>
      </c>
      <c r="AH19" s="81">
        <f t="shared" si="10"/>
        <v>2</v>
      </c>
    </row>
    <row r="20" spans="2:34" x14ac:dyDescent="0.25">
      <c r="B20" s="4"/>
      <c r="C20" s="52" t="s">
        <v>14</v>
      </c>
      <c r="D20" s="84">
        <f t="shared" ref="D20:AH20" si="11">COUNTIFS(D$6:D$13,"T")+COUNTIFS(D$6:D$13,"TG")</f>
        <v>1</v>
      </c>
      <c r="E20" s="84">
        <f t="shared" si="11"/>
        <v>1</v>
      </c>
      <c r="F20" s="84">
        <f t="shared" si="11"/>
        <v>2</v>
      </c>
      <c r="G20" s="84">
        <f t="shared" si="11"/>
        <v>2</v>
      </c>
      <c r="H20" s="84">
        <f t="shared" si="11"/>
        <v>2</v>
      </c>
      <c r="I20" s="84">
        <f t="shared" si="11"/>
        <v>2</v>
      </c>
      <c r="J20" s="84">
        <f t="shared" si="11"/>
        <v>1</v>
      </c>
      <c r="K20" s="84">
        <f t="shared" si="11"/>
        <v>1</v>
      </c>
      <c r="L20" s="84">
        <f t="shared" si="11"/>
        <v>1</v>
      </c>
      <c r="M20" s="84">
        <f t="shared" si="11"/>
        <v>2</v>
      </c>
      <c r="N20" s="84">
        <f t="shared" si="11"/>
        <v>2</v>
      </c>
      <c r="O20" s="84">
        <f t="shared" si="11"/>
        <v>2</v>
      </c>
      <c r="P20" s="84">
        <f t="shared" si="11"/>
        <v>2</v>
      </c>
      <c r="Q20" s="84">
        <f t="shared" si="11"/>
        <v>1</v>
      </c>
      <c r="R20" s="84">
        <f t="shared" si="11"/>
        <v>1</v>
      </c>
      <c r="S20" s="84">
        <f t="shared" si="11"/>
        <v>2</v>
      </c>
      <c r="T20" s="84">
        <f t="shared" si="11"/>
        <v>2</v>
      </c>
      <c r="U20" s="84">
        <f t="shared" si="11"/>
        <v>2</v>
      </c>
      <c r="V20" s="84">
        <f t="shared" si="11"/>
        <v>2</v>
      </c>
      <c r="W20" s="84">
        <f t="shared" si="11"/>
        <v>2</v>
      </c>
      <c r="X20" s="84">
        <f t="shared" si="11"/>
        <v>1</v>
      </c>
      <c r="Y20" s="84">
        <f t="shared" si="11"/>
        <v>1</v>
      </c>
      <c r="Z20" s="84">
        <f t="shared" si="11"/>
        <v>2</v>
      </c>
      <c r="AA20" s="84">
        <f t="shared" si="11"/>
        <v>2</v>
      </c>
      <c r="AB20" s="84">
        <f t="shared" si="11"/>
        <v>2</v>
      </c>
      <c r="AC20" s="84">
        <f t="shared" si="11"/>
        <v>2</v>
      </c>
      <c r="AD20" s="84">
        <f t="shared" si="11"/>
        <v>2</v>
      </c>
      <c r="AE20" s="84">
        <f t="shared" si="11"/>
        <v>1</v>
      </c>
      <c r="AF20" s="84">
        <f t="shared" si="11"/>
        <v>0</v>
      </c>
      <c r="AG20" s="84">
        <f t="shared" si="11"/>
        <v>1</v>
      </c>
      <c r="AH20" s="84">
        <f t="shared" si="11"/>
        <v>2</v>
      </c>
    </row>
    <row r="21" spans="2:34" x14ac:dyDescent="0.25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0</v>
      </c>
      <c r="AG21" s="87">
        <f t="shared" si="12"/>
        <v>1</v>
      </c>
      <c r="AH21" s="87">
        <f t="shared" si="12"/>
        <v>1</v>
      </c>
    </row>
    <row r="22" spans="2:34" x14ac:dyDescent="0.25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0</v>
      </c>
      <c r="AG22" s="90">
        <f t="shared" si="13"/>
        <v>1</v>
      </c>
      <c r="AH22" s="90">
        <f t="shared" si="13"/>
        <v>1</v>
      </c>
    </row>
    <row r="23" spans="2:34" x14ac:dyDescent="0.25">
      <c r="C23" s="21" t="s">
        <v>7</v>
      </c>
      <c r="D23" s="92">
        <f t="shared" ref="D23:AH23" si="14">COUNTIFS(D$6:D$13,"L")+COUNTIFS(D$6:D$13,"LG")</f>
        <v>4</v>
      </c>
      <c r="E23" s="92">
        <f t="shared" si="14"/>
        <v>4</v>
      </c>
      <c r="F23" s="92">
        <f t="shared" si="14"/>
        <v>2</v>
      </c>
      <c r="G23" s="92">
        <f t="shared" si="14"/>
        <v>2</v>
      </c>
      <c r="H23" s="92">
        <f t="shared" si="14"/>
        <v>2</v>
      </c>
      <c r="I23" s="92">
        <f t="shared" si="14"/>
        <v>2</v>
      </c>
      <c r="J23" s="92">
        <f t="shared" si="14"/>
        <v>4</v>
      </c>
      <c r="K23" s="92">
        <f t="shared" si="14"/>
        <v>4</v>
      </c>
      <c r="L23" s="92">
        <f t="shared" si="14"/>
        <v>4</v>
      </c>
      <c r="M23" s="92">
        <f t="shared" si="14"/>
        <v>2</v>
      </c>
      <c r="N23" s="92">
        <f t="shared" si="14"/>
        <v>2</v>
      </c>
      <c r="O23" s="92">
        <f t="shared" si="14"/>
        <v>2</v>
      </c>
      <c r="P23" s="92">
        <f t="shared" si="14"/>
        <v>2</v>
      </c>
      <c r="Q23" s="92">
        <f t="shared" si="14"/>
        <v>4</v>
      </c>
      <c r="R23" s="92">
        <f t="shared" si="14"/>
        <v>4</v>
      </c>
      <c r="S23" s="92">
        <f t="shared" si="14"/>
        <v>2</v>
      </c>
      <c r="T23" s="92">
        <f t="shared" si="14"/>
        <v>2</v>
      </c>
      <c r="U23" s="92">
        <f t="shared" si="14"/>
        <v>2</v>
      </c>
      <c r="V23" s="92">
        <f t="shared" si="14"/>
        <v>2</v>
      </c>
      <c r="W23" s="92">
        <f t="shared" si="14"/>
        <v>2</v>
      </c>
      <c r="X23" s="92">
        <f t="shared" si="14"/>
        <v>4</v>
      </c>
      <c r="Y23" s="92">
        <f t="shared" si="14"/>
        <v>4</v>
      </c>
      <c r="Z23" s="92">
        <f t="shared" si="14"/>
        <v>2</v>
      </c>
      <c r="AA23" s="92">
        <f t="shared" si="14"/>
        <v>2</v>
      </c>
      <c r="AB23" s="92">
        <f t="shared" si="14"/>
        <v>2</v>
      </c>
      <c r="AC23" s="92">
        <f t="shared" si="14"/>
        <v>2</v>
      </c>
      <c r="AD23" s="92">
        <f t="shared" si="14"/>
        <v>2</v>
      </c>
      <c r="AE23" s="92">
        <f t="shared" si="14"/>
        <v>4</v>
      </c>
      <c r="AF23" s="92">
        <f t="shared" si="14"/>
        <v>0</v>
      </c>
      <c r="AG23" s="92">
        <f t="shared" si="14"/>
        <v>4</v>
      </c>
      <c r="AH23" s="92">
        <f t="shared" si="14"/>
        <v>2</v>
      </c>
    </row>
    <row r="24" spans="2:34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 t="shared" ref="F24:U24" si="15">COUNTIFS(F$6:F$13,"MG")+COUNTIFS(F$6:F$13,"TG")+COUNTIFS(F$6:F$13,"LG")+COUNTIFS(F$6:F$13,"DG")</f>
        <v>1</v>
      </c>
      <c r="G24" s="180">
        <f t="shared" si="15"/>
        <v>1</v>
      </c>
      <c r="H24" s="180">
        <f t="shared" si="15"/>
        <v>1</v>
      </c>
      <c r="I24" s="180">
        <f t="shared" si="15"/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>COUNTIFS(W$6:W$13,"MG")+COUNTIFS(W$6:W$13,"TG")+COUNTIFS(W$6:W$13,"LG")+COUNTIFS(W$6:W$13,"DG")</f>
        <v>1</v>
      </c>
      <c r="W24" s="180">
        <f t="shared" ref="W24:AH24" si="16">COUNTIFS(W$6:W$13,"MG")+COUNTIFS(W$6:W$13,"TG")+COUNTIFS(W$6:W$13,"LG")+COUNTIFS(W$6:W$13,"DG")</f>
        <v>1</v>
      </c>
      <c r="X24" s="180">
        <f t="shared" si="16"/>
        <v>1</v>
      </c>
      <c r="Y24" s="180">
        <f t="shared" si="16"/>
        <v>1</v>
      </c>
      <c r="Z24" s="180">
        <f t="shared" si="16"/>
        <v>1</v>
      </c>
      <c r="AA24" s="180">
        <f t="shared" si="16"/>
        <v>1</v>
      </c>
      <c r="AB24" s="180">
        <f t="shared" si="16"/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si="16"/>
        <v>0</v>
      </c>
      <c r="AG24" s="180">
        <f t="shared" si="16"/>
        <v>1</v>
      </c>
      <c r="AH24" s="180">
        <f t="shared" si="16"/>
        <v>1</v>
      </c>
    </row>
    <row r="25" spans="2:34" x14ac:dyDescent="0.25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x14ac:dyDescent="0.25">
      <c r="C26" s="10"/>
    </row>
    <row r="27" spans="2:34" x14ac:dyDescent="0.25">
      <c r="C27" s="10"/>
    </row>
    <row r="28" spans="2:34" x14ac:dyDescent="0.25">
      <c r="C28" s="10"/>
    </row>
    <row r="29" spans="2:34" x14ac:dyDescent="0.25">
      <c r="C29" s="10"/>
    </row>
    <row r="30" spans="2:34" x14ac:dyDescent="0.25">
      <c r="C30" s="10"/>
    </row>
    <row r="31" spans="2:34" x14ac:dyDescent="0.25">
      <c r="C31" s="10"/>
    </row>
    <row r="32" spans="2:34" x14ac:dyDescent="0.25">
      <c r="C32" s="10"/>
    </row>
    <row r="33" spans="1:12" x14ac:dyDescent="0.25">
      <c r="C33" s="10"/>
    </row>
    <row r="34" spans="1:12" x14ac:dyDescent="0.2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</sheetData>
  <mergeCells count="1">
    <mergeCell ref="B4:B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5E4E-C32B-46C9-A373-A003BDA356F6}">
  <dimension ref="B1:AI33"/>
  <sheetViews>
    <sheetView workbookViewId="0">
      <selection activeCell="J34" sqref="J34"/>
    </sheetView>
  </sheetViews>
  <sheetFormatPr baseColWidth="10" defaultColWidth="8.7265625" defaultRowHeight="12.5" x14ac:dyDescent="0.25"/>
  <cols>
    <col min="1" max="1" width="16.7265625" customWidth="1"/>
    <col min="2" max="2" width="27.54296875" customWidth="1"/>
    <col min="3" max="10" width="4.26953125" customWidth="1"/>
    <col min="11" max="11" width="3.7265625" customWidth="1"/>
    <col min="12" max="12" width="3.453125" customWidth="1"/>
    <col min="13" max="13" width="3.7265625" customWidth="1"/>
    <col min="14" max="14" width="3.54296875" customWidth="1"/>
    <col min="15" max="15" width="3.7265625" customWidth="1"/>
    <col min="16" max="16" width="4" customWidth="1"/>
    <col min="17" max="17" width="3.7265625" customWidth="1"/>
    <col min="18" max="18" width="4.1796875" customWidth="1"/>
    <col min="19" max="19" width="4" customWidth="1"/>
    <col min="20" max="21" width="4.1796875" customWidth="1"/>
    <col min="22" max="22" width="3.81640625" customWidth="1"/>
    <col min="23" max="23" width="4.1796875" customWidth="1"/>
    <col min="24" max="24" width="3.26953125" customWidth="1"/>
    <col min="25" max="25" width="4.453125" customWidth="1"/>
    <col min="26" max="26" width="3.7265625" customWidth="1"/>
    <col min="27" max="27" width="3.81640625" customWidth="1"/>
    <col min="28" max="28" width="3.7265625" customWidth="1"/>
    <col min="29" max="29" width="4" customWidth="1"/>
    <col min="30" max="30" width="0" hidden="1" customWidth="1"/>
    <col min="31" max="31" width="4.453125" customWidth="1"/>
    <col min="32" max="32" width="4" customWidth="1"/>
    <col min="33" max="33" width="3.26953125" customWidth="1"/>
    <col min="34" max="34" width="4.26953125" customWidth="1"/>
    <col min="35" max="35" width="3.1796875" customWidth="1"/>
  </cols>
  <sheetData>
    <row r="1" spans="2:35" x14ac:dyDescent="0.25">
      <c r="C1" s="10"/>
    </row>
    <row r="2" spans="2:35" ht="13" x14ac:dyDescent="0.3">
      <c r="B2" s="454" t="s">
        <v>95</v>
      </c>
      <c r="C2" s="487" t="s">
        <v>95</v>
      </c>
      <c r="D2" s="544"/>
      <c r="E2" s="544"/>
      <c r="F2" s="487"/>
      <c r="G2" s="487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  <c r="AI2" s="487"/>
    </row>
    <row r="3" spans="2:35" ht="13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449"/>
      <c r="AC3" s="611"/>
      <c r="AD3" s="611"/>
      <c r="AE3" s="611"/>
      <c r="AF3" s="611"/>
      <c r="AG3" s="611"/>
      <c r="AH3" s="611"/>
      <c r="AI3" s="611"/>
    </row>
    <row r="4" spans="2:35" ht="13" x14ac:dyDescent="0.3">
      <c r="B4" s="1316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546" t="s">
        <v>5</v>
      </c>
      <c r="I4" s="630" t="s">
        <v>6</v>
      </c>
      <c r="J4" s="1221" t="s">
        <v>7</v>
      </c>
      <c r="K4" s="1222" t="s">
        <v>8</v>
      </c>
      <c r="L4" s="590" t="s">
        <v>9</v>
      </c>
      <c r="M4" s="590" t="s">
        <v>10</v>
      </c>
      <c r="N4" s="452" t="s">
        <v>4</v>
      </c>
      <c r="O4" s="546" t="s">
        <v>104</v>
      </c>
      <c r="P4" s="546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1223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1200" t="s">
        <v>4</v>
      </c>
      <c r="AC4" s="631" t="s">
        <v>104</v>
      </c>
      <c r="AD4" s="546" t="s">
        <v>6</v>
      </c>
      <c r="AE4" s="546" t="s">
        <v>6</v>
      </c>
      <c r="AF4" s="452" t="s">
        <v>7</v>
      </c>
      <c r="AG4" s="452" t="s">
        <v>8</v>
      </c>
      <c r="AH4" s="452" t="s">
        <v>9</v>
      </c>
      <c r="AI4" s="452" t="s">
        <v>10</v>
      </c>
    </row>
    <row r="5" spans="2:35" ht="13" x14ac:dyDescent="0.3">
      <c r="B5" s="1317"/>
      <c r="C5" s="882" t="s">
        <v>95</v>
      </c>
      <c r="D5" s="1076">
        <v>1</v>
      </c>
      <c r="E5" s="1168">
        <v>2</v>
      </c>
      <c r="F5" s="1224">
        <v>3</v>
      </c>
      <c r="G5" s="1118">
        <v>4</v>
      </c>
      <c r="H5" s="1076">
        <v>5</v>
      </c>
      <c r="I5" s="1168">
        <v>6</v>
      </c>
      <c r="J5" s="1225">
        <v>7</v>
      </c>
      <c r="K5" s="1226">
        <v>8</v>
      </c>
      <c r="L5" s="1118">
        <v>9</v>
      </c>
      <c r="M5" s="1117">
        <v>10</v>
      </c>
      <c r="N5" s="1118">
        <v>11</v>
      </c>
      <c r="O5" s="1118">
        <v>12</v>
      </c>
      <c r="P5" s="1076">
        <v>13</v>
      </c>
      <c r="Q5" s="1227">
        <v>14</v>
      </c>
      <c r="R5" s="1228">
        <v>15</v>
      </c>
      <c r="S5" s="1118">
        <v>16</v>
      </c>
      <c r="T5" s="1076">
        <v>17</v>
      </c>
      <c r="U5" s="1229">
        <v>18</v>
      </c>
      <c r="V5" s="1224">
        <v>19</v>
      </c>
      <c r="W5" s="1118">
        <v>20</v>
      </c>
      <c r="X5" s="1076">
        <v>21</v>
      </c>
      <c r="Y5" s="1230">
        <v>22</v>
      </c>
      <c r="Z5" s="1118">
        <v>23</v>
      </c>
      <c r="AA5" s="1183">
        <v>24</v>
      </c>
      <c r="AB5" s="1201">
        <v>25</v>
      </c>
      <c r="AC5" s="1231">
        <v>26</v>
      </c>
      <c r="AD5" s="1230">
        <v>27</v>
      </c>
      <c r="AE5" s="1118">
        <v>27</v>
      </c>
      <c r="AF5" s="1118">
        <v>28</v>
      </c>
      <c r="AG5" s="1076">
        <v>29</v>
      </c>
      <c r="AH5" s="1232">
        <v>30</v>
      </c>
      <c r="AI5" s="451">
        <v>31</v>
      </c>
    </row>
    <row r="6" spans="2:35" x14ac:dyDescent="0.25">
      <c r="B6" s="244" t="s">
        <v>97</v>
      </c>
      <c r="C6" s="375" t="s">
        <v>13</v>
      </c>
      <c r="D6" s="1203" t="s">
        <v>22</v>
      </c>
      <c r="E6" s="1122" t="s">
        <v>22</v>
      </c>
      <c r="F6" s="1122" t="s">
        <v>22</v>
      </c>
      <c r="G6" s="1122" t="s">
        <v>53</v>
      </c>
      <c r="H6" s="1086" t="s">
        <v>7</v>
      </c>
      <c r="I6" s="1185" t="s">
        <v>7</v>
      </c>
      <c r="J6" s="1233" t="s">
        <v>8</v>
      </c>
      <c r="K6" s="1234" t="s">
        <v>8</v>
      </c>
      <c r="L6" s="1124" t="s">
        <v>8</v>
      </c>
      <c r="M6" s="1123" t="s">
        <v>8</v>
      </c>
      <c r="N6" s="1205" t="s">
        <v>8</v>
      </c>
      <c r="O6" s="1083" t="s">
        <v>53</v>
      </c>
      <c r="P6" s="1083" t="s">
        <v>53</v>
      </c>
      <c r="Q6" s="1084" t="s">
        <v>23</v>
      </c>
      <c r="R6" s="1084" t="s">
        <v>23</v>
      </c>
      <c r="S6" s="1084" t="s">
        <v>16</v>
      </c>
      <c r="T6" s="1084" t="s">
        <v>16</v>
      </c>
      <c r="U6" s="1084" t="s">
        <v>16</v>
      </c>
      <c r="V6" s="1102" t="s">
        <v>7</v>
      </c>
      <c r="W6" s="1184" t="s">
        <v>7</v>
      </c>
      <c r="X6" s="1123" t="s">
        <v>8</v>
      </c>
      <c r="Y6" s="1235" t="s">
        <v>8</v>
      </c>
      <c r="Z6" s="1124" t="s">
        <v>7</v>
      </c>
      <c r="AA6" s="1119" t="s">
        <v>7</v>
      </c>
      <c r="AB6" s="1236" t="s">
        <v>7</v>
      </c>
      <c r="AC6" s="1203" t="s">
        <v>16</v>
      </c>
      <c r="AE6" s="1170" t="s">
        <v>16</v>
      </c>
      <c r="AF6" s="1237" t="s">
        <v>22</v>
      </c>
      <c r="AG6" s="1238" t="s">
        <v>22</v>
      </c>
      <c r="AH6" s="1239" t="s">
        <v>22</v>
      </c>
      <c r="AI6" s="1122" t="s">
        <v>22</v>
      </c>
    </row>
    <row r="7" spans="2:35" x14ac:dyDescent="0.25">
      <c r="B7" s="244" t="s">
        <v>73</v>
      </c>
      <c r="C7" s="375" t="s">
        <v>18</v>
      </c>
      <c r="D7" s="1088" t="s">
        <v>8</v>
      </c>
      <c r="E7" s="103" t="s">
        <v>8</v>
      </c>
      <c r="F7" s="103" t="s">
        <v>8</v>
      </c>
      <c r="G7" s="1138" t="s">
        <v>8</v>
      </c>
      <c r="H7" s="1087" t="s">
        <v>53</v>
      </c>
      <c r="I7" s="1191" t="s">
        <v>53</v>
      </c>
      <c r="J7" s="1240" t="s">
        <v>23</v>
      </c>
      <c r="K7" s="1241" t="s">
        <v>23</v>
      </c>
      <c r="L7" s="1083" t="s">
        <v>16</v>
      </c>
      <c r="M7" s="1084" t="s">
        <v>16</v>
      </c>
      <c r="N7" s="1125" t="s">
        <v>16</v>
      </c>
      <c r="O7" s="1159" t="s">
        <v>7</v>
      </c>
      <c r="P7" s="1159" t="s">
        <v>7</v>
      </c>
      <c r="Q7" s="103" t="s">
        <v>8</v>
      </c>
      <c r="R7" s="103" t="s">
        <v>8</v>
      </c>
      <c r="S7" s="103" t="s">
        <v>7</v>
      </c>
      <c r="T7" s="103" t="s">
        <v>7</v>
      </c>
      <c r="U7" s="103" t="s">
        <v>7</v>
      </c>
      <c r="V7" s="1084" t="s">
        <v>16</v>
      </c>
      <c r="W7" s="1125" t="s">
        <v>16</v>
      </c>
      <c r="X7" s="1084" t="s">
        <v>22</v>
      </c>
      <c r="Y7" s="1084" t="s">
        <v>22</v>
      </c>
      <c r="Z7" s="1084" t="s">
        <v>22</v>
      </c>
      <c r="AA7" s="1125" t="s">
        <v>22</v>
      </c>
      <c r="AB7" s="1207" t="s">
        <v>53</v>
      </c>
      <c r="AC7" s="1127" t="s">
        <v>7</v>
      </c>
      <c r="AE7" s="1185" t="s">
        <v>7</v>
      </c>
      <c r="AF7" s="1242" t="s">
        <v>8</v>
      </c>
      <c r="AG7" s="1243" t="s">
        <v>8</v>
      </c>
      <c r="AH7" s="1242" t="s">
        <v>8</v>
      </c>
      <c r="AI7" s="103" t="s">
        <v>8</v>
      </c>
    </row>
    <row r="8" spans="2:35" x14ac:dyDescent="0.25">
      <c r="B8" s="244" t="s">
        <v>103</v>
      </c>
      <c r="C8" s="375" t="s">
        <v>21</v>
      </c>
      <c r="D8" s="1088" t="s">
        <v>7</v>
      </c>
      <c r="E8" s="103" t="s">
        <v>8</v>
      </c>
      <c r="F8" s="103" t="s">
        <v>8</v>
      </c>
      <c r="G8" s="1138" t="s">
        <v>8</v>
      </c>
      <c r="H8" s="1086" t="s">
        <v>7</v>
      </c>
      <c r="I8" s="1185" t="s">
        <v>7</v>
      </c>
      <c r="J8" s="1244" t="s">
        <v>7</v>
      </c>
      <c r="K8" s="1245" t="s">
        <v>7</v>
      </c>
      <c r="L8" s="1088" t="s">
        <v>7</v>
      </c>
      <c r="M8" s="103" t="s">
        <v>7</v>
      </c>
      <c r="N8" s="1128" t="s">
        <v>7</v>
      </c>
      <c r="O8" s="1159" t="s">
        <v>8</v>
      </c>
      <c r="P8" s="1159" t="s">
        <v>8</v>
      </c>
      <c r="Q8" s="103" t="s">
        <v>14</v>
      </c>
      <c r="R8" s="103" t="s">
        <v>14</v>
      </c>
      <c r="S8" s="103" t="s">
        <v>14</v>
      </c>
      <c r="T8" s="103" t="s">
        <v>14</v>
      </c>
      <c r="U8" s="103" t="s">
        <v>6</v>
      </c>
      <c r="V8" s="1085" t="s">
        <v>7</v>
      </c>
      <c r="W8" s="1185" t="s">
        <v>7</v>
      </c>
      <c r="X8" s="103" t="s">
        <v>8</v>
      </c>
      <c r="Y8" s="103" t="s">
        <v>8</v>
      </c>
      <c r="Z8" s="103" t="s">
        <v>8</v>
      </c>
      <c r="AA8" s="1128" t="s">
        <v>8</v>
      </c>
      <c r="AB8" s="1206" t="s">
        <v>8</v>
      </c>
      <c r="AC8" s="1213" t="s">
        <v>6</v>
      </c>
      <c r="AE8" s="1208" t="s">
        <v>6</v>
      </c>
      <c r="AF8" s="1242" t="s">
        <v>7</v>
      </c>
      <c r="AG8" s="1243" t="s">
        <v>7</v>
      </c>
      <c r="AH8" s="1242" t="s">
        <v>8</v>
      </c>
      <c r="AI8" s="103" t="s">
        <v>8</v>
      </c>
    </row>
    <row r="9" spans="2:35" x14ac:dyDescent="0.25">
      <c r="B9" s="244" t="s">
        <v>66</v>
      </c>
      <c r="C9" s="375" t="s">
        <v>26</v>
      </c>
      <c r="D9" s="1093" t="s">
        <v>8</v>
      </c>
      <c r="E9" s="1092" t="s">
        <v>7</v>
      </c>
      <c r="F9" s="1092" t="s">
        <v>7</v>
      </c>
      <c r="G9" s="1139" t="s">
        <v>7</v>
      </c>
      <c r="H9" s="1086" t="s">
        <v>8</v>
      </c>
      <c r="I9" s="1185" t="s">
        <v>8</v>
      </c>
      <c r="J9" s="1246" t="s">
        <v>14</v>
      </c>
      <c r="K9" s="1247" t="s">
        <v>14</v>
      </c>
      <c r="L9" s="1093" t="s">
        <v>14</v>
      </c>
      <c r="M9" s="1092" t="s">
        <v>14</v>
      </c>
      <c r="N9" s="1160" t="s">
        <v>6</v>
      </c>
      <c r="O9" s="1161" t="s">
        <v>7</v>
      </c>
      <c r="P9" s="1161" t="s">
        <v>7</v>
      </c>
      <c r="Q9" s="1092" t="s">
        <v>8</v>
      </c>
      <c r="R9" s="1092" t="s">
        <v>8</v>
      </c>
      <c r="S9" s="1092" t="s">
        <v>8</v>
      </c>
      <c r="T9" s="1092" t="s">
        <v>8</v>
      </c>
      <c r="U9" s="1092" t="s">
        <v>8</v>
      </c>
      <c r="V9" s="1095" t="s">
        <v>6</v>
      </c>
      <c r="W9" s="1186" t="s">
        <v>6</v>
      </c>
      <c r="X9" s="1092" t="s">
        <v>7</v>
      </c>
      <c r="Y9" s="1092" t="s">
        <v>7</v>
      </c>
      <c r="Z9" s="1092" t="s">
        <v>8</v>
      </c>
      <c r="AA9" s="1130" t="s">
        <v>8</v>
      </c>
      <c r="AB9" s="1210" t="s">
        <v>7</v>
      </c>
      <c r="AC9" s="1129" t="s">
        <v>7</v>
      </c>
      <c r="AE9" s="1209" t="s">
        <v>7</v>
      </c>
      <c r="AF9" s="1248" t="s">
        <v>8</v>
      </c>
      <c r="AG9" s="1249" t="s">
        <v>8</v>
      </c>
      <c r="AH9" s="1248" t="s">
        <v>7</v>
      </c>
      <c r="AI9" s="1092" t="s">
        <v>7</v>
      </c>
    </row>
    <row r="10" spans="2:35" x14ac:dyDescent="0.25">
      <c r="B10" s="242" t="s">
        <v>90</v>
      </c>
      <c r="C10" s="432" t="s">
        <v>28</v>
      </c>
      <c r="D10" s="1213" t="s">
        <v>6</v>
      </c>
      <c r="E10" s="1091" t="s">
        <v>6</v>
      </c>
      <c r="F10" s="1101" t="s">
        <v>14</v>
      </c>
      <c r="G10" s="1140" t="s">
        <v>14</v>
      </c>
      <c r="H10" s="1086" t="s">
        <v>19</v>
      </c>
      <c r="I10" s="1185" t="s">
        <v>19</v>
      </c>
      <c r="J10" s="1250" t="s">
        <v>7</v>
      </c>
      <c r="K10" s="1251" t="s">
        <v>7</v>
      </c>
      <c r="L10" s="1096" t="s">
        <v>7</v>
      </c>
      <c r="M10" s="1097" t="s">
        <v>7</v>
      </c>
      <c r="N10" s="1131" t="s">
        <v>14</v>
      </c>
      <c r="O10" s="1162" t="s">
        <v>14</v>
      </c>
      <c r="P10" s="1162" t="s">
        <v>14</v>
      </c>
      <c r="Q10" s="1097" t="s">
        <v>19</v>
      </c>
      <c r="R10" s="1097" t="s">
        <v>19</v>
      </c>
      <c r="S10" s="1097" t="s">
        <v>19</v>
      </c>
      <c r="T10" s="1100" t="s">
        <v>6</v>
      </c>
      <c r="U10" s="1097" t="s">
        <v>7</v>
      </c>
      <c r="V10" s="1098" t="s">
        <v>7</v>
      </c>
      <c r="W10" s="1184" t="s">
        <v>7</v>
      </c>
      <c r="X10" s="1101" t="s">
        <v>14</v>
      </c>
      <c r="Y10" s="1097" t="s">
        <v>14</v>
      </c>
      <c r="Z10" s="1097" t="s">
        <v>14</v>
      </c>
      <c r="AA10" s="1252" t="s">
        <v>19</v>
      </c>
      <c r="AB10" s="1253" t="s">
        <v>19</v>
      </c>
      <c r="AC10" s="1254" t="s">
        <v>7</v>
      </c>
      <c r="AE10" s="1184" t="s">
        <v>7</v>
      </c>
      <c r="AF10" s="1255" t="s">
        <v>6</v>
      </c>
      <c r="AG10" s="1256" t="s">
        <v>6</v>
      </c>
      <c r="AH10" s="1255" t="s">
        <v>6</v>
      </c>
      <c r="AI10" s="1101" t="s">
        <v>14</v>
      </c>
    </row>
    <row r="11" spans="2:35" x14ac:dyDescent="0.25">
      <c r="B11" s="376" t="s">
        <v>91</v>
      </c>
      <c r="C11" s="375" t="s">
        <v>30</v>
      </c>
      <c r="D11" s="1103" t="s">
        <v>7</v>
      </c>
      <c r="E11" s="24" t="s">
        <v>7</v>
      </c>
      <c r="F11" s="24" t="s">
        <v>7</v>
      </c>
      <c r="G11" s="69" t="s">
        <v>14</v>
      </c>
      <c r="H11" s="1086" t="s">
        <v>14</v>
      </c>
      <c r="I11" s="1185" t="s">
        <v>14</v>
      </c>
      <c r="J11" s="1257" t="s">
        <v>19</v>
      </c>
      <c r="K11" s="1258" t="s">
        <v>19</v>
      </c>
      <c r="L11" s="1103" t="s">
        <v>19</v>
      </c>
      <c r="M11" s="76" t="s">
        <v>6</v>
      </c>
      <c r="N11" s="1163" t="s">
        <v>7</v>
      </c>
      <c r="O11" s="1159" t="s">
        <v>7</v>
      </c>
      <c r="P11" s="1159" t="s">
        <v>7</v>
      </c>
      <c r="Q11" s="1104" t="s">
        <v>14</v>
      </c>
      <c r="R11" s="24" t="s">
        <v>14</v>
      </c>
      <c r="S11" s="24" t="s">
        <v>14</v>
      </c>
      <c r="T11" s="1104" t="s">
        <v>19</v>
      </c>
      <c r="U11" s="1104" t="s">
        <v>19</v>
      </c>
      <c r="V11" s="1085" t="s">
        <v>7</v>
      </c>
      <c r="W11" s="1185" t="s">
        <v>7</v>
      </c>
      <c r="X11" s="1105" t="s">
        <v>6</v>
      </c>
      <c r="Y11" s="1105" t="s">
        <v>6</v>
      </c>
      <c r="Z11" s="1105" t="s">
        <v>6</v>
      </c>
      <c r="AA11" s="1164" t="s">
        <v>14</v>
      </c>
      <c r="AB11" s="1259" t="s">
        <v>7</v>
      </c>
      <c r="AC11" s="1127" t="s">
        <v>19</v>
      </c>
      <c r="AE11" s="1185" t="s">
        <v>19</v>
      </c>
      <c r="AF11" s="1260" t="s">
        <v>7</v>
      </c>
      <c r="AG11" s="1261" t="s">
        <v>7</v>
      </c>
      <c r="AH11" s="1260" t="s">
        <v>7</v>
      </c>
      <c r="AI11" s="24" t="s">
        <v>7</v>
      </c>
    </row>
    <row r="12" spans="2:35" x14ac:dyDescent="0.25">
      <c r="B12" s="244" t="s">
        <v>92</v>
      </c>
      <c r="C12" s="375" t="s">
        <v>32</v>
      </c>
      <c r="D12" s="1103" t="s">
        <v>19</v>
      </c>
      <c r="E12" s="24" t="s">
        <v>19</v>
      </c>
      <c r="F12" s="76" t="s">
        <v>6</v>
      </c>
      <c r="G12" s="69" t="s">
        <v>7</v>
      </c>
      <c r="H12" s="1086" t="s">
        <v>7</v>
      </c>
      <c r="I12" s="1185" t="s">
        <v>7</v>
      </c>
      <c r="J12" s="1262" t="s">
        <v>7</v>
      </c>
      <c r="K12" s="1263" t="s">
        <v>7</v>
      </c>
      <c r="L12" s="1103" t="s">
        <v>14</v>
      </c>
      <c r="M12" s="1104" t="s">
        <v>19</v>
      </c>
      <c r="N12" s="1164" t="s">
        <v>19</v>
      </c>
      <c r="O12" s="1159" t="s">
        <v>7</v>
      </c>
      <c r="P12" s="1159" t="s">
        <v>7</v>
      </c>
      <c r="Q12" s="1105" t="s">
        <v>6</v>
      </c>
      <c r="R12" s="1105" t="s">
        <v>6</v>
      </c>
      <c r="S12" s="1105" t="s">
        <v>6</v>
      </c>
      <c r="T12" s="1104" t="s">
        <v>14</v>
      </c>
      <c r="U12" s="1104" t="s">
        <v>14</v>
      </c>
      <c r="V12" s="1085" t="s">
        <v>19</v>
      </c>
      <c r="W12" s="1185" t="s">
        <v>19</v>
      </c>
      <c r="X12" s="24" t="s">
        <v>7</v>
      </c>
      <c r="Y12" s="24" t="s">
        <v>7</v>
      </c>
      <c r="Z12" s="24" t="s">
        <v>7</v>
      </c>
      <c r="AA12" s="1163" t="s">
        <v>7</v>
      </c>
      <c r="AB12" s="1215" t="s">
        <v>14</v>
      </c>
      <c r="AC12" s="1133" t="s">
        <v>14</v>
      </c>
      <c r="AE12" s="1185" t="s">
        <v>14</v>
      </c>
      <c r="AF12" s="1260" t="s">
        <v>19</v>
      </c>
      <c r="AG12" s="1261" t="s">
        <v>19</v>
      </c>
      <c r="AH12" s="1260" t="s">
        <v>19</v>
      </c>
      <c r="AI12" s="76" t="s">
        <v>6</v>
      </c>
    </row>
    <row r="13" spans="2:35" x14ac:dyDescent="0.25">
      <c r="B13" s="246" t="s">
        <v>93</v>
      </c>
      <c r="C13" s="566" t="s">
        <v>34</v>
      </c>
      <c r="D13" s="1218" t="s">
        <v>14</v>
      </c>
      <c r="E13" s="1111" t="s">
        <v>14</v>
      </c>
      <c r="F13" s="1108" t="s">
        <v>19</v>
      </c>
      <c r="G13" s="1141" t="s">
        <v>19</v>
      </c>
      <c r="H13" s="1086" t="s">
        <v>7</v>
      </c>
      <c r="I13" s="1185" t="s">
        <v>7</v>
      </c>
      <c r="J13" s="1264" t="s">
        <v>6</v>
      </c>
      <c r="K13" s="1265" t="s">
        <v>6</v>
      </c>
      <c r="L13" s="1197" t="s">
        <v>6</v>
      </c>
      <c r="M13" s="1108" t="s">
        <v>14</v>
      </c>
      <c r="N13" s="1165" t="s">
        <v>14</v>
      </c>
      <c r="O13" s="1166" t="s">
        <v>19</v>
      </c>
      <c r="P13" s="1166" t="s">
        <v>19</v>
      </c>
      <c r="Q13" s="1111" t="s">
        <v>7</v>
      </c>
      <c r="R13" s="1111" t="s">
        <v>7</v>
      </c>
      <c r="S13" s="1111" t="s">
        <v>7</v>
      </c>
      <c r="T13" s="1111" t="s">
        <v>7</v>
      </c>
      <c r="U13" s="1111" t="s">
        <v>14</v>
      </c>
      <c r="V13" s="1112" t="s">
        <v>14</v>
      </c>
      <c r="W13" s="1187" t="s">
        <v>14</v>
      </c>
      <c r="X13" s="1111" t="s">
        <v>19</v>
      </c>
      <c r="Y13" s="1111" t="s">
        <v>19</v>
      </c>
      <c r="Z13" s="1111" t="s">
        <v>19</v>
      </c>
      <c r="AA13" s="1266" t="s">
        <v>6</v>
      </c>
      <c r="AB13" s="1219" t="s">
        <v>7</v>
      </c>
      <c r="AC13" s="1135" t="s">
        <v>7</v>
      </c>
      <c r="AE13" s="1187" t="s">
        <v>7</v>
      </c>
      <c r="AF13" s="1267" t="s">
        <v>14</v>
      </c>
      <c r="AG13" s="1268" t="s">
        <v>14</v>
      </c>
      <c r="AH13" s="1269" t="s">
        <v>14</v>
      </c>
      <c r="AI13" s="1108" t="s">
        <v>19</v>
      </c>
    </row>
    <row r="14" spans="2:35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  <c r="AI14" s="569"/>
    </row>
    <row r="15" spans="2:35" x14ac:dyDescent="0.25">
      <c r="B15" s="4"/>
      <c r="C15" s="10"/>
    </row>
    <row r="16" spans="2:35" x14ac:dyDescent="0.25">
      <c r="B16" s="4"/>
      <c r="C16" s="10"/>
    </row>
    <row r="17" spans="2:35" x14ac:dyDescent="0.25">
      <c r="B17" s="4"/>
      <c r="C17" s="10"/>
    </row>
    <row r="18" spans="2:35" x14ac:dyDescent="0.25">
      <c r="B18" s="4"/>
      <c r="C18" s="21" t="s">
        <v>38</v>
      </c>
      <c r="D18" s="53">
        <f t="shared" ref="D18" si="0">SUM(D19:D22)</f>
        <v>6</v>
      </c>
      <c r="E18" s="53">
        <f>SUM(E19:E22)</f>
        <v>6</v>
      </c>
      <c r="F18" s="53">
        <f t="shared" ref="F18" si="1">SUM(F19:F22)</f>
        <v>6</v>
      </c>
      <c r="G18" s="53">
        <f>SUM(G19:G22)</f>
        <v>6</v>
      </c>
      <c r="H18" s="53">
        <f>SUM(H19:H22)</f>
        <v>4</v>
      </c>
      <c r="I18" s="53">
        <f t="shared" ref="I18" si="2">SUM(I19:I22)</f>
        <v>4</v>
      </c>
      <c r="J18" s="53">
        <f>SUM(J19:J22)</f>
        <v>4</v>
      </c>
      <c r="K18" s="53">
        <f t="shared" ref="K18:L18" si="3">SUM(K19:K22)</f>
        <v>4</v>
      </c>
      <c r="L18" s="53">
        <f t="shared" si="3"/>
        <v>6</v>
      </c>
      <c r="M18" s="53">
        <f>SUM(M19:M22)</f>
        <v>6</v>
      </c>
      <c r="N18" s="53">
        <f>SUM(N19:N22)</f>
        <v>6</v>
      </c>
      <c r="O18" s="53">
        <f t="shared" ref="O18" si="4">SUM(O19:O22)</f>
        <v>4</v>
      </c>
      <c r="P18" s="53">
        <f>SUM(P19:P22)</f>
        <v>4</v>
      </c>
      <c r="Q18" s="53">
        <f>SUM(Q19:Q22)</f>
        <v>6</v>
      </c>
      <c r="R18" s="53">
        <f t="shared" ref="R18:AI18" si="5">SUM(R19:R22)</f>
        <v>6</v>
      </c>
      <c r="S18" s="53">
        <f t="shared" si="5"/>
        <v>6</v>
      </c>
      <c r="T18" s="53">
        <f t="shared" si="5"/>
        <v>6</v>
      </c>
      <c r="U18" s="53">
        <f t="shared" si="5"/>
        <v>6</v>
      </c>
      <c r="V18" s="53">
        <f t="shared" si="5"/>
        <v>4</v>
      </c>
      <c r="W18" s="53">
        <f t="shared" si="5"/>
        <v>4</v>
      </c>
      <c r="X18" s="53">
        <f t="shared" si="5"/>
        <v>6</v>
      </c>
      <c r="Y18" s="53">
        <f t="shared" si="5"/>
        <v>6</v>
      </c>
      <c r="Z18" s="53">
        <f t="shared" si="5"/>
        <v>6</v>
      </c>
      <c r="AA18" s="53">
        <f t="shared" si="5"/>
        <v>6</v>
      </c>
      <c r="AB18" s="53">
        <f t="shared" si="5"/>
        <v>4</v>
      </c>
      <c r="AC18" s="53">
        <f t="shared" si="5"/>
        <v>4</v>
      </c>
      <c r="AD18" s="53">
        <f t="shared" si="5"/>
        <v>0</v>
      </c>
      <c r="AE18" s="53">
        <f t="shared" si="5"/>
        <v>4</v>
      </c>
      <c r="AF18" s="53">
        <f t="shared" si="5"/>
        <v>6</v>
      </c>
      <c r="AG18" s="53">
        <f t="shared" si="5"/>
        <v>6</v>
      </c>
      <c r="AH18" s="53">
        <f t="shared" si="5"/>
        <v>6</v>
      </c>
      <c r="AI18" s="53">
        <f t="shared" si="5"/>
        <v>6</v>
      </c>
    </row>
    <row r="19" spans="2:35" x14ac:dyDescent="0.25">
      <c r="B19" s="4"/>
      <c r="C19" s="52" t="s">
        <v>8</v>
      </c>
      <c r="D19" s="81">
        <f t="shared" ref="D19:AI19" si="6">COUNTIFS(D$6:D$13,"M")+COUNTIFS(D$6:D$13,"MG")</f>
        <v>2</v>
      </c>
      <c r="E19" s="81">
        <f t="shared" si="6"/>
        <v>2</v>
      </c>
      <c r="F19" s="81">
        <f t="shared" si="6"/>
        <v>2</v>
      </c>
      <c r="G19" s="81">
        <f t="shared" si="6"/>
        <v>2</v>
      </c>
      <c r="H19" s="81">
        <f t="shared" si="6"/>
        <v>1</v>
      </c>
      <c r="I19" s="81">
        <f t="shared" si="6"/>
        <v>1</v>
      </c>
      <c r="J19" s="81">
        <f t="shared" si="6"/>
        <v>1</v>
      </c>
      <c r="K19" s="81">
        <f t="shared" si="6"/>
        <v>1</v>
      </c>
      <c r="L19" s="81">
        <f t="shared" si="6"/>
        <v>2</v>
      </c>
      <c r="M19" s="81">
        <f t="shared" si="6"/>
        <v>2</v>
      </c>
      <c r="N19" s="81">
        <f t="shared" si="6"/>
        <v>2</v>
      </c>
      <c r="O19" s="81">
        <f t="shared" si="6"/>
        <v>1</v>
      </c>
      <c r="P19" s="81">
        <f t="shared" si="6"/>
        <v>1</v>
      </c>
      <c r="Q19" s="81">
        <f t="shared" si="6"/>
        <v>2</v>
      </c>
      <c r="R19" s="81">
        <f t="shared" si="6"/>
        <v>2</v>
      </c>
      <c r="S19" s="81">
        <f t="shared" si="6"/>
        <v>2</v>
      </c>
      <c r="T19" s="81">
        <f t="shared" si="6"/>
        <v>2</v>
      </c>
      <c r="U19" s="81">
        <f t="shared" si="6"/>
        <v>2</v>
      </c>
      <c r="V19" s="81">
        <f t="shared" si="6"/>
        <v>1</v>
      </c>
      <c r="W19" s="81">
        <f t="shared" si="6"/>
        <v>1</v>
      </c>
      <c r="X19" s="81">
        <f t="shared" si="6"/>
        <v>2</v>
      </c>
      <c r="Y19" s="81">
        <f t="shared" si="6"/>
        <v>2</v>
      </c>
      <c r="Z19" s="81">
        <f t="shared" si="6"/>
        <v>2</v>
      </c>
      <c r="AA19" s="81">
        <f t="shared" si="6"/>
        <v>2</v>
      </c>
      <c r="AB19" s="81">
        <f t="shared" si="6"/>
        <v>1</v>
      </c>
      <c r="AC19" s="81">
        <f t="shared" si="6"/>
        <v>1</v>
      </c>
      <c r="AD19" s="81">
        <f t="shared" si="6"/>
        <v>0</v>
      </c>
      <c r="AE19" s="81">
        <f t="shared" si="6"/>
        <v>1</v>
      </c>
      <c r="AF19" s="81">
        <f t="shared" si="6"/>
        <v>2</v>
      </c>
      <c r="AG19" s="81">
        <f t="shared" si="6"/>
        <v>2</v>
      </c>
      <c r="AH19" s="81">
        <f t="shared" si="6"/>
        <v>2</v>
      </c>
      <c r="AI19" s="81">
        <f t="shared" si="6"/>
        <v>2</v>
      </c>
    </row>
    <row r="20" spans="2:35" x14ac:dyDescent="0.25">
      <c r="B20" s="4"/>
      <c r="C20" s="52" t="s">
        <v>14</v>
      </c>
      <c r="D20" s="84">
        <f t="shared" ref="D20:AI20" si="7">COUNTIFS(D$6:D$13,"T")+COUNTIFS(D$6:D$13,"TG")</f>
        <v>2</v>
      </c>
      <c r="E20" s="84">
        <f t="shared" si="7"/>
        <v>2</v>
      </c>
      <c r="F20" s="84">
        <f t="shared" si="7"/>
        <v>2</v>
      </c>
      <c r="G20" s="84">
        <f t="shared" si="7"/>
        <v>2</v>
      </c>
      <c r="H20" s="84">
        <f t="shared" si="7"/>
        <v>1</v>
      </c>
      <c r="I20" s="84">
        <f t="shared" si="7"/>
        <v>1</v>
      </c>
      <c r="J20" s="84">
        <f t="shared" si="7"/>
        <v>1</v>
      </c>
      <c r="K20" s="84">
        <f t="shared" si="7"/>
        <v>1</v>
      </c>
      <c r="L20" s="84">
        <f t="shared" si="7"/>
        <v>2</v>
      </c>
      <c r="M20" s="84">
        <f t="shared" si="7"/>
        <v>2</v>
      </c>
      <c r="N20" s="84">
        <f t="shared" si="7"/>
        <v>2</v>
      </c>
      <c r="O20" s="84">
        <f t="shared" si="7"/>
        <v>1</v>
      </c>
      <c r="P20" s="84">
        <f t="shared" si="7"/>
        <v>1</v>
      </c>
      <c r="Q20" s="84">
        <f t="shared" si="7"/>
        <v>2</v>
      </c>
      <c r="R20" s="84">
        <f t="shared" si="7"/>
        <v>2</v>
      </c>
      <c r="S20" s="84">
        <f t="shared" si="7"/>
        <v>2</v>
      </c>
      <c r="T20" s="84">
        <f t="shared" si="7"/>
        <v>2</v>
      </c>
      <c r="U20" s="84">
        <f t="shared" si="7"/>
        <v>2</v>
      </c>
      <c r="V20" s="84">
        <f t="shared" si="7"/>
        <v>1</v>
      </c>
      <c r="W20" s="84">
        <f t="shared" si="7"/>
        <v>1</v>
      </c>
      <c r="X20" s="84">
        <f t="shared" si="7"/>
        <v>2</v>
      </c>
      <c r="Y20" s="84">
        <f t="shared" si="7"/>
        <v>2</v>
      </c>
      <c r="Z20" s="84">
        <f t="shared" si="7"/>
        <v>2</v>
      </c>
      <c r="AA20" s="84">
        <f t="shared" si="7"/>
        <v>2</v>
      </c>
      <c r="AB20" s="84">
        <f t="shared" si="7"/>
        <v>1</v>
      </c>
      <c r="AC20" s="84">
        <f t="shared" si="7"/>
        <v>1</v>
      </c>
      <c r="AD20" s="84">
        <f t="shared" si="7"/>
        <v>0</v>
      </c>
      <c r="AE20" s="84">
        <f t="shared" si="7"/>
        <v>1</v>
      </c>
      <c r="AF20" s="84">
        <f t="shared" si="7"/>
        <v>2</v>
      </c>
      <c r="AG20" s="84">
        <f t="shared" si="7"/>
        <v>2</v>
      </c>
      <c r="AH20" s="84">
        <f t="shared" si="7"/>
        <v>2</v>
      </c>
      <c r="AI20" s="84">
        <f t="shared" si="7"/>
        <v>2</v>
      </c>
    </row>
    <row r="21" spans="2:35" x14ac:dyDescent="0.25">
      <c r="C21" s="52" t="s">
        <v>19</v>
      </c>
      <c r="D21" s="87">
        <f t="shared" ref="D21:AI21" si="8">COUNTIFS(D$6:D$13,"N")+COUNTIFS(D$6:D$13,"NG")</f>
        <v>1</v>
      </c>
      <c r="E21" s="87">
        <f t="shared" si="8"/>
        <v>1</v>
      </c>
      <c r="F21" s="87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87">
        <f t="shared" si="8"/>
        <v>1</v>
      </c>
      <c r="L21" s="87">
        <f t="shared" si="8"/>
        <v>1</v>
      </c>
      <c r="M21" s="87">
        <f t="shared" si="8"/>
        <v>1</v>
      </c>
      <c r="N21" s="87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0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  <c r="AI21" s="87">
        <f t="shared" si="8"/>
        <v>1</v>
      </c>
    </row>
    <row r="22" spans="2:35" x14ac:dyDescent="0.25">
      <c r="C22" s="52" t="s">
        <v>6</v>
      </c>
      <c r="D22" s="90">
        <f t="shared" ref="D22:AI22" si="9">COUNTIFS(D$6:D$13,"D")+COUNTIFS(D$6:D$13,"DG")</f>
        <v>1</v>
      </c>
      <c r="E22" s="90">
        <f t="shared" si="9"/>
        <v>1</v>
      </c>
      <c r="F22" s="90">
        <f t="shared" si="9"/>
        <v>1</v>
      </c>
      <c r="G22" s="90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90">
        <f t="shared" si="9"/>
        <v>1</v>
      </c>
      <c r="L22" s="90">
        <f t="shared" si="9"/>
        <v>1</v>
      </c>
      <c r="M22" s="90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0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  <c r="AI22" s="90">
        <f t="shared" si="9"/>
        <v>1</v>
      </c>
    </row>
    <row r="23" spans="2:35" x14ac:dyDescent="0.25">
      <c r="C23" s="21" t="s">
        <v>7</v>
      </c>
      <c r="D23" s="92">
        <f t="shared" ref="D23:AI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92">
        <f t="shared" si="10"/>
        <v>4</v>
      </c>
      <c r="I23" s="92">
        <f t="shared" si="10"/>
        <v>4</v>
      </c>
      <c r="J23" s="92">
        <f t="shared" si="10"/>
        <v>4</v>
      </c>
      <c r="K23" s="92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92">
        <f t="shared" si="10"/>
        <v>4</v>
      </c>
      <c r="P23" s="92">
        <f t="shared" si="10"/>
        <v>4</v>
      </c>
      <c r="Q23" s="92">
        <f t="shared" si="10"/>
        <v>2</v>
      </c>
      <c r="R23" s="92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92">
        <f t="shared" si="10"/>
        <v>4</v>
      </c>
      <c r="W23" s="92">
        <f t="shared" si="10"/>
        <v>4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0</v>
      </c>
      <c r="AE23" s="92">
        <f t="shared" si="10"/>
        <v>4</v>
      </c>
      <c r="AF23" s="92">
        <f t="shared" si="10"/>
        <v>2</v>
      </c>
      <c r="AG23" s="92">
        <f t="shared" si="10"/>
        <v>2</v>
      </c>
      <c r="AH23" s="92">
        <f t="shared" si="10"/>
        <v>2</v>
      </c>
      <c r="AI23" s="92">
        <f t="shared" si="10"/>
        <v>2</v>
      </c>
    </row>
    <row r="24" spans="2:35" x14ac:dyDescent="0.25">
      <c r="C24" s="21" t="s">
        <v>94</v>
      </c>
      <c r="D24" s="180">
        <f t="shared" ref="D24:AI24" si="11">COUNTIFS(D$6:D$13,"MG")+COUNTIFS(D$6:D$13,"TG")+COUNTIFS(D$6:D$13,"LG")+COUNTIFS(D$6:D$13,"DG")</f>
        <v>1</v>
      </c>
      <c r="E24" s="180">
        <f t="shared" si="11"/>
        <v>1</v>
      </c>
      <c r="F24" s="180">
        <f t="shared" si="11"/>
        <v>1</v>
      </c>
      <c r="G24" s="180">
        <f t="shared" si="11"/>
        <v>1</v>
      </c>
      <c r="H24" s="180">
        <f t="shared" si="11"/>
        <v>1</v>
      </c>
      <c r="I24" s="180">
        <f t="shared" si="11"/>
        <v>1</v>
      </c>
      <c r="J24" s="180">
        <f t="shared" si="11"/>
        <v>1</v>
      </c>
      <c r="K24" s="180">
        <f t="shared" si="11"/>
        <v>1</v>
      </c>
      <c r="L24" s="180">
        <f t="shared" si="11"/>
        <v>1</v>
      </c>
      <c r="M24" s="180">
        <f t="shared" si="11"/>
        <v>1</v>
      </c>
      <c r="N24" s="180">
        <f t="shared" si="11"/>
        <v>1</v>
      </c>
      <c r="O24" s="180">
        <f t="shared" si="11"/>
        <v>1</v>
      </c>
      <c r="P24" s="180">
        <f t="shared" si="11"/>
        <v>1</v>
      </c>
      <c r="Q24" s="180">
        <f t="shared" si="11"/>
        <v>1</v>
      </c>
      <c r="R24" s="180">
        <f t="shared" si="11"/>
        <v>1</v>
      </c>
      <c r="S24" s="180">
        <f t="shared" si="11"/>
        <v>1</v>
      </c>
      <c r="T24" s="180">
        <f t="shared" si="11"/>
        <v>1</v>
      </c>
      <c r="U24" s="180">
        <f t="shared" si="11"/>
        <v>1</v>
      </c>
      <c r="V24" s="180">
        <f t="shared" si="11"/>
        <v>1</v>
      </c>
      <c r="W24" s="180">
        <f t="shared" si="11"/>
        <v>1</v>
      </c>
      <c r="X24" s="180">
        <f t="shared" si="11"/>
        <v>1</v>
      </c>
      <c r="Y24" s="180">
        <f t="shared" si="11"/>
        <v>1</v>
      </c>
      <c r="Z24" s="180">
        <f t="shared" si="11"/>
        <v>1</v>
      </c>
      <c r="AA24" s="180">
        <f t="shared" si="11"/>
        <v>1</v>
      </c>
      <c r="AB24" s="180">
        <f t="shared" si="11"/>
        <v>1</v>
      </c>
      <c r="AC24" s="180">
        <f t="shared" si="11"/>
        <v>1</v>
      </c>
      <c r="AD24" s="180">
        <f t="shared" si="11"/>
        <v>0</v>
      </c>
      <c r="AE24" s="180">
        <f t="shared" si="11"/>
        <v>1</v>
      </c>
      <c r="AF24" s="180">
        <f t="shared" si="11"/>
        <v>1</v>
      </c>
      <c r="AG24" s="180">
        <f t="shared" si="11"/>
        <v>1</v>
      </c>
      <c r="AH24" s="180">
        <f t="shared" si="11"/>
        <v>1</v>
      </c>
      <c r="AI24" s="180">
        <f t="shared" si="11"/>
        <v>1</v>
      </c>
    </row>
    <row r="25" spans="2:35" x14ac:dyDescent="0.25">
      <c r="C25" s="21" t="s">
        <v>4</v>
      </c>
      <c r="D25" s="94">
        <f t="shared" ref="D25:AI25" si="12">COUNTIFS(D$6:D$13,"V")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94">
        <f t="shared" si="12"/>
        <v>0</v>
      </c>
      <c r="O25" s="94">
        <f t="shared" si="12"/>
        <v>0</v>
      </c>
      <c r="P25" s="94">
        <f t="shared" si="12"/>
        <v>0</v>
      </c>
      <c r="Q25" s="94">
        <f t="shared" si="12"/>
        <v>0</v>
      </c>
      <c r="R25" s="94">
        <f t="shared" si="12"/>
        <v>0</v>
      </c>
      <c r="S25" s="94">
        <f t="shared" si="12"/>
        <v>0</v>
      </c>
      <c r="T25" s="94">
        <f t="shared" si="12"/>
        <v>0</v>
      </c>
      <c r="U25" s="94">
        <f t="shared" si="12"/>
        <v>0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0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0</v>
      </c>
      <c r="AF25" s="94">
        <f t="shared" si="12"/>
        <v>0</v>
      </c>
      <c r="AG25" s="94">
        <f t="shared" si="12"/>
        <v>0</v>
      </c>
      <c r="AH25" s="94">
        <f t="shared" si="12"/>
        <v>0</v>
      </c>
      <c r="AI25" s="94">
        <f t="shared" si="12"/>
        <v>0</v>
      </c>
    </row>
    <row r="26" spans="2:35" x14ac:dyDescent="0.25">
      <c r="C26" s="10"/>
    </row>
    <row r="27" spans="2:35" x14ac:dyDescent="0.25">
      <c r="C27" s="10"/>
    </row>
    <row r="28" spans="2:35" x14ac:dyDescent="0.25">
      <c r="C28" s="10"/>
    </row>
    <row r="29" spans="2:35" x14ac:dyDescent="0.25">
      <c r="C29" s="10"/>
    </row>
    <row r="30" spans="2:35" x14ac:dyDescent="0.25">
      <c r="C30" s="10"/>
    </row>
    <row r="31" spans="2:35" x14ac:dyDescent="0.25">
      <c r="C31" s="10"/>
    </row>
    <row r="32" spans="2:35" x14ac:dyDescent="0.25">
      <c r="C32" s="10"/>
    </row>
    <row r="33" spans="3:3" x14ac:dyDescent="0.25">
      <c r="C33" s="10"/>
    </row>
  </sheetData>
  <mergeCells count="1">
    <mergeCell ref="B4:B5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2EBC-F230-404A-BAD0-1C9D31258E25}">
  <dimension ref="A1"/>
  <sheetViews>
    <sheetView workbookViewId="0"/>
  </sheetViews>
  <sheetFormatPr baseColWidth="10" defaultColWidth="8.7265625" defaultRowHeight="12.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764b1260-a5f7-4b3a-b068-64bf4e1da49b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989080BCE01048B1A54D8A5E8955CE" ma:contentTypeVersion="6" ma:contentTypeDescription="Create a new document." ma:contentTypeScope="" ma:versionID="fb4a6469d1b409b4e6f14717bd4b59ef">
  <xsd:schema xmlns:xsd="http://www.w3.org/2001/XMLSchema" xmlns:xs="http://www.w3.org/2001/XMLSchema" xmlns:p="http://schemas.microsoft.com/office/2006/metadata/properties" xmlns:ns2="af57c0b2-1552-4766-8cc5-eadde08a9878" xmlns:ns3="764b1260-a5f7-4b3a-b068-64bf4e1da49b" targetNamespace="http://schemas.microsoft.com/office/2006/metadata/properties" ma:root="true" ma:fieldsID="55882090314ae325f2651e247a226a5b" ns2:_="" ns3:_="">
    <xsd:import namespace="af57c0b2-1552-4766-8cc5-eadde08a9878"/>
    <xsd:import namespace="764b1260-a5f7-4b3a-b068-64bf4e1da4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57c0b2-1552-4766-8cc5-eadde08a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4b1260-a5f7-4b3a-b068-64bf4e1da49b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4AEC4E9-D5BB-40A4-AB55-3FD90BB5AFFA}">
  <ds:schemaRefs>
    <ds:schemaRef ds:uri="764b1260-a5f7-4b3a-b068-64bf4e1da49b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af57c0b2-1552-4766-8cc5-eadde08a9878"/>
    <ds:schemaRef ds:uri="http://www.w3.org/XML/1998/namespace"/>
    <ds:schemaRef ds:uri="http://purl.org/dc/terms/"/>
    <ds:schemaRef ds:uri="http://schemas.microsoft.com/office/infopath/2007/PartnerControl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391C5-8C6A-4C72-A343-E963095732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57c0b2-1552-4766-8cc5-eadde08a9878"/>
    <ds:schemaRef ds:uri="764b1260-a5f7-4b3a-b068-64bf4e1da4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39</vt:i4>
      </vt:variant>
    </vt:vector>
  </HeadingPairs>
  <TitlesOfParts>
    <vt:vector size="39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Junio</vt:lpstr>
      <vt:lpstr>Julio</vt:lpstr>
      <vt:lpstr>Abril</vt:lpstr>
      <vt:lpstr>Mayo 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  <vt:lpstr>Julio 2026</vt:lpstr>
      <vt:lpstr>Agosto 2026</vt:lpstr>
      <vt:lpstr>Septiembre 2026</vt:lpstr>
      <vt:lpstr>Octubre 2026</vt:lpstr>
      <vt:lpstr>Noviembre 2026</vt:lpstr>
      <vt:lpstr>Diciembre 2026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2026-04-09T06:45:43Z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0x0101002E989080BCE01048B1A54D8A5E8955CE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