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LOTE 1 CNCC/"/>
    </mc:Choice>
  </mc:AlternateContent>
  <xr:revisionPtr revIDLastSave="26" documentId="8_{359D85F8-BF8C-4E1D-AA24-B987F03A3534}" xr6:coauthVersionLast="47" xr6:coauthVersionMax="47" xr10:uidLastSave="{7F6C4890-70AB-4800-BD40-923FAD578BE7}"/>
  <bookViews>
    <workbookView xWindow="-110" yWindow="-110" windowWidth="19420" windowHeight="10300" firstSheet="28" activeTab="28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Abril" sheetId="27" r:id="rId19"/>
    <sheet name="Mayo " sheetId="29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M18" i="44" l="1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<sst xmlns="http://schemas.openxmlformats.org/spreadsheetml/2006/main" count="11126" uniqueCount="105">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</sst>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9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</cellXfs>
  <cellStyles count="3">
    <cellStyle name="Accent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78"/>
      <c r="G1" s="1178"/>
      <c r="H1" s="1178"/>
      <c r="I1" s="1178"/>
      <c r="J1" s="1178"/>
      <c r="K1" s="117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76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76"/>
      <c r="C3" s="2"/>
      <c r="D3" s="7"/>
      <c r="E3" s="7"/>
      <c r="F3" s="1169" t="s">
        <v>1</v>
      </c>
      <c r="G3" s="1169"/>
      <c r="H3" s="1169"/>
      <c r="I3" s="1169"/>
      <c r="J3" s="1169"/>
      <c r="K3" s="1169"/>
      <c r="L3" s="1169"/>
      <c r="M3" s="1169"/>
      <c r="N3" s="1169"/>
      <c r="O3" s="1169"/>
      <c r="P3" s="1169"/>
      <c r="Q3" s="1169"/>
      <c r="R3" s="1169"/>
      <c r="S3" s="1169"/>
      <c r="T3" s="1169"/>
      <c r="U3" s="1169"/>
      <c r="V3" s="1169"/>
      <c r="W3" s="1169"/>
      <c r="X3" s="1169"/>
      <c r="Y3" s="1169"/>
      <c r="Z3" s="1169"/>
      <c r="AA3" s="1169"/>
      <c r="AB3" s="1169"/>
      <c r="AC3" s="1169"/>
      <c r="AD3" s="1169"/>
      <c r="AE3" s="1169"/>
      <c r="AF3" s="1169"/>
      <c r="AG3" s="1169"/>
      <c r="AH3" s="1169"/>
      <c r="AI3" s="1169"/>
      <c r="AJ3" s="1169"/>
      <c r="AK3" s="1169"/>
      <c r="AL3" s="1181" t="s">
        <v>2</v>
      </c>
      <c r="AM3" s="1181"/>
      <c r="AN3" s="1181"/>
      <c r="AO3" s="1181"/>
      <c r="AP3" s="1181"/>
      <c r="AQ3" s="1181"/>
    </row>
    <row r="4" spans="2:45" ht="11.25" customHeight="1" x14ac:dyDescent="0.25">
      <c r="B4" s="41"/>
      <c r="C4" s="1179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80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77" t="str">
        <f>"Plantilla de Turnos CCNC  "&amp;D29</f>
        <v>Plantilla de Turnos CCNC  Raquel</v>
      </c>
      <c r="G28" s="1177"/>
      <c r="H28" s="1177"/>
      <c r="I28" s="1177"/>
      <c r="J28" s="1177"/>
      <c r="K28" s="1177"/>
      <c r="L28" s="1177"/>
      <c r="M28" s="27"/>
      <c r="N28" s="27"/>
      <c r="O28" s="27"/>
      <c r="P28" s="11"/>
      <c r="Q28" s="10"/>
      <c r="R28" s="10"/>
      <c r="S28" s="10"/>
      <c r="T28" s="10"/>
      <c r="U28" s="10"/>
      <c r="V28" s="1177" t="str">
        <f>"Plantilla de Turnos CCNC  "&amp;V29</f>
        <v>Plantilla de Turnos CCNC  To Be</v>
      </c>
      <c r="W28" s="1177"/>
      <c r="X28" s="1177"/>
      <c r="Y28" s="1177"/>
      <c r="Z28" s="1177"/>
      <c r="AA28" s="1177"/>
      <c r="AB28" s="1177"/>
      <c r="AC28" s="1177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2">
        <f>8.33*(COUNTIFS(F30:L30,"&lt;&gt;"&amp;"L"))</f>
        <v>41.65</v>
      </c>
      <c r="P30" s="1173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0">
        <f>8.33*(COUNTIFS(W30:AC30,"&lt;&gt;"&amp;"L"))</f>
        <v>58.31</v>
      </c>
      <c r="AG30" s="1171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74">
        <f t="shared" ref="O31:O38" si="12">8.33*(COUNTIFS(F31:L31,"&lt;&gt;"&amp;"L"))</f>
        <v>33.32</v>
      </c>
      <c r="P31" s="1175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5">
        <f t="shared" ref="AF31:AF37" si="13">8.33*(COUNTIFS(W31:AC31,"&lt;&gt;"&amp;"L"))</f>
        <v>24.990000000000002</v>
      </c>
      <c r="AG31" s="1166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74">
        <f t="shared" si="12"/>
        <v>58.31</v>
      </c>
      <c r="P32" s="1175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5">
        <f t="shared" si="13"/>
        <v>33.32</v>
      </c>
      <c r="AG32" s="1166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74">
        <f>8.33*(COUNTIFS(F33:L33,"&lt;&gt;"&amp;"LG"))</f>
        <v>41.65</v>
      </c>
      <c r="P33" s="1175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5">
        <f t="shared" si="13"/>
        <v>41.65</v>
      </c>
      <c r="AG33" s="1166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5">
        <f t="shared" si="13"/>
        <v>24.990000000000002</v>
      </c>
      <c r="AG34" s="1166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74">
        <f t="shared" si="12"/>
        <v>58.31</v>
      </c>
      <c r="P35" s="1175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5">
        <f t="shared" si="13"/>
        <v>33.32</v>
      </c>
      <c r="AG35" s="1166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74">
        <f t="shared" si="12"/>
        <v>33.32</v>
      </c>
      <c r="P36" s="1175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5">
        <f t="shared" si="13"/>
        <v>41.65</v>
      </c>
      <c r="AG36" s="1166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74">
        <f t="shared" si="12"/>
        <v>24.990000000000002</v>
      </c>
      <c r="P37" s="1175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7">
        <f t="shared" si="13"/>
        <v>58.31</v>
      </c>
      <c r="AG37" s="1168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86">
        <f t="shared" si="12"/>
        <v>41.65</v>
      </c>
      <c r="P38" s="1187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59">
        <f>SUM(W40:AC40)</f>
        <v>12</v>
      </c>
      <c r="AG40" s="1160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88">
        <f>SUM(F41:L41)</f>
        <v>10</v>
      </c>
      <c r="P41" s="1189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61">
        <f t="shared" ref="AF41:AF44" si="17">SUM(W41:AC41)</f>
        <v>12</v>
      </c>
      <c r="AG41" s="1162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82">
        <f t="shared" ref="O42:O45" si="19">SUM(F42:L42)</f>
        <v>11</v>
      </c>
      <c r="P42" s="1183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61">
        <f t="shared" si="17"/>
        <v>7</v>
      </c>
      <c r="AG42" s="1162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82">
        <f t="shared" si="19"/>
        <v>7</v>
      </c>
      <c r="P43" s="1183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61">
        <f t="shared" si="17"/>
        <v>7</v>
      </c>
      <c r="AG43" s="1162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82">
        <f t="shared" si="19"/>
        <v>7</v>
      </c>
      <c r="P44" s="1183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63">
        <f t="shared" si="17"/>
        <v>18</v>
      </c>
      <c r="AG44" s="1164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84">
        <f t="shared" si="19"/>
        <v>14</v>
      </c>
      <c r="P45" s="1185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90" t="s">
        <v>51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81" t="s">
        <v>52</v>
      </c>
      <c r="AC3" s="1181"/>
      <c r="AD3" s="1181"/>
      <c r="AE3" s="1181"/>
    </row>
    <row r="4" spans="2:31" ht="11.25" customHeight="1" x14ac:dyDescent="0.25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80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77" t="str">
        <f>"Plantilla de Turnos CCNC  "&amp;H31</f>
        <v>Plantilla de Turnos CCNC  To Be</v>
      </c>
      <c r="I30" s="1177"/>
      <c r="J30" s="1177"/>
      <c r="K30" s="1177"/>
      <c r="L30" s="1177"/>
      <c r="M30" s="1177"/>
      <c r="N30" s="1177"/>
      <c r="O30" s="1177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0">
        <f>8.33*(COUNTIFS(I32:O32,"&lt;&gt;"&amp;"L",I32:O32,"&lt;&gt;"&amp;"D"))+8*(COUNTIFS(I32:O32,"="&amp;"D"))</f>
        <v>57.65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0">
        <f t="shared" ref="R33:R39" si="7">8.33*(COUNTIFS(I33:O33,"&lt;&gt;"&amp;"L",I33:O33,"&lt;&gt;"&amp;"D"))+8*(COUNTIFS(I33:O33,"="&amp;"D"))</f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0">
        <f t="shared" si="7"/>
        <v>33.32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0">
        <f t="shared" si="7"/>
        <v>41.32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0">
        <f t="shared" si="7"/>
        <v>24.990000000000002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0">
        <f t="shared" si="7"/>
        <v>32.99</v>
      </c>
      <c r="S37" s="117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0">
        <f t="shared" si="7"/>
        <v>41.65</v>
      </c>
      <c r="S38" s="117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91">
        <f t="shared" si="7"/>
        <v>57.32</v>
      </c>
      <c r="S39" s="119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59">
        <f>SUM(I42:O42)</f>
        <v>12</v>
      </c>
      <c r="S42" s="116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61">
        <f t="shared" ref="R43:R46" si="10">SUM(I43:O43)</f>
        <v>12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61">
        <f t="shared" si="10"/>
        <v>7</v>
      </c>
      <c r="S44" s="116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61">
        <f t="shared" si="10"/>
        <v>7</v>
      </c>
      <c r="S45" s="116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63">
        <f t="shared" si="10"/>
        <v>18</v>
      </c>
      <c r="S46" s="1164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90" t="s">
        <v>59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81" t="s">
        <v>51</v>
      </c>
      <c r="AC3" s="1181"/>
      <c r="AD3" s="1181"/>
      <c r="AE3" s="1181"/>
    </row>
    <row r="4" spans="2:33" ht="11.25" customHeight="1" x14ac:dyDescent="0.25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80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77" t="str">
        <f>"Plantilla de Turnos CCNC  "&amp;H29</f>
        <v>Plantilla de Turnos CCNC  To Be</v>
      </c>
      <c r="I28" s="1177"/>
      <c r="J28" s="1177"/>
      <c r="K28" s="1177"/>
      <c r="L28" s="1177"/>
      <c r="M28" s="1177"/>
      <c r="N28" s="1177"/>
      <c r="O28" s="1177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0">
        <f t="shared" ref="R31:R37" si="7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0">
        <f t="shared" si="7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0">
        <f t="shared" si="7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0">
        <f t="shared" si="7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0">
        <f t="shared" si="7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0">
        <f t="shared" si="7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91">
        <f t="shared" si="7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61">
        <f t="shared" ref="R41:R44" si="10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61">
        <f t="shared" si="10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61">
        <f t="shared" si="10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63">
        <f t="shared" si="10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90" t="str">
        <f>TEXT(D5,"mmm")</f>
        <v>mar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</row>
    <row r="4" spans="2:31" ht="11.25" customHeight="1" x14ac:dyDescent="0.25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80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0">
        <f>8.33*(COUNTIFS(I31:O31,"&lt;&gt;"&amp;"L",I31:O31,"&lt;&gt;"&amp;"D"))+8*(COUNTIFS(I31:O31,"="&amp;"D"))</f>
        <v>57.65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0">
        <f t="shared" ref="R32:R38" si="7">8.33*(COUNTIFS(I32:O32,"&lt;&gt;"&amp;"L",I32:O32,"&lt;&gt;"&amp;"D"))+8*(COUNTIFS(I32:O32,"="&amp;"D"))</f>
        <v>24.990000000000002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0">
        <f t="shared" si="7"/>
        <v>33.32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0">
        <f t="shared" si="7"/>
        <v>41.32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0">
        <f t="shared" si="7"/>
        <v>24.990000000000002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0">
        <f t="shared" si="7"/>
        <v>32.99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0">
        <f t="shared" si="7"/>
        <v>41.65</v>
      </c>
      <c r="S37" s="117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91">
        <f t="shared" si="7"/>
        <v>57.32</v>
      </c>
      <c r="S38" s="1192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59">
        <f>SUM(I41:O41)</f>
        <v>12</v>
      </c>
      <c r="S41" s="116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61">
        <f t="shared" ref="R42:R45" si="10">SUM(I42:O42)</f>
        <v>12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61">
        <f t="shared" si="10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61">
        <f t="shared" si="10"/>
        <v>7</v>
      </c>
      <c r="S44" s="116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63">
        <f t="shared" si="10"/>
        <v>18</v>
      </c>
      <c r="S45" s="1164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90" t="s">
        <v>65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3" ht="11.25" customHeight="1" x14ac:dyDescent="0.25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80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0">
        <f t="shared" ref="R31:R37" si="14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0">
        <f t="shared" si="14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0">
        <f t="shared" si="14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0">
        <f t="shared" si="14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0">
        <f t="shared" si="14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0">
        <f t="shared" si="14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91">
        <f t="shared" si="14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61">
        <f t="shared" ref="R41:R44" si="17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61">
        <f t="shared" si="17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63">
        <f t="shared" si="17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90" t="s">
        <v>67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4" ht="11.25" customHeight="1" x14ac:dyDescent="0.25">
      <c r="B4" s="1179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8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0">
        <f>8.33*(COUNTIFS(I29:O29,"&lt;&gt;"&amp;"L",I29:O29,"&lt;&gt;"&amp;"D"))+8*(COUNTIFS(I29:O29,"="&amp;"D"))</f>
        <v>57.65</v>
      </c>
      <c r="S29" s="117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0">
        <f t="shared" ref="R30:R36" si="14">8.33*(COUNTIFS(I30:O30,"&lt;&gt;"&amp;"L",I30:O30,"&lt;&gt;"&amp;"D"))+8*(COUNTIFS(I30:O30,"="&amp;"D"))</f>
        <v>24.990000000000002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0">
        <f t="shared" si="14"/>
        <v>33.32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0">
        <f t="shared" si="14"/>
        <v>41.32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0">
        <f t="shared" si="14"/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0">
        <f t="shared" si="14"/>
        <v>32.99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0">
        <f t="shared" si="14"/>
        <v>41.65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91">
        <f t="shared" si="14"/>
        <v>57.32</v>
      </c>
      <c r="S36" s="119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59">
        <f>SUM(I39:O39)</f>
        <v>12</v>
      </c>
      <c r="S39" s="116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61">
        <f t="shared" ref="R40:R43" si="17">SUM(I40:O40)</f>
        <v>12</v>
      </c>
      <c r="S40" s="116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61">
        <f t="shared" si="17"/>
        <v>7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63">
        <f t="shared" si="17"/>
        <v>18</v>
      </c>
      <c r="S43" s="116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90" t="s">
        <v>72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3" ht="11.25" customHeight="1" x14ac:dyDescent="0.25">
      <c r="B4" s="1179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80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0">
        <f t="shared" ref="R31:R37" si="14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0">
        <f t="shared" si="14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0">
        <f t="shared" si="14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0">
        <f t="shared" si="14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0">
        <f t="shared" si="14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0">
        <f t="shared" si="14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91">
        <f t="shared" si="14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61">
        <f t="shared" ref="R41:R44" si="17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61">
        <f t="shared" si="17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63">
        <f t="shared" si="17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90" t="s">
        <v>76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  <c r="AH3" s="179"/>
    </row>
    <row r="4" spans="2:34" ht="11.25" customHeight="1" x14ac:dyDescent="0.25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8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0">
        <f t="shared" ref="R31:R37" si="8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0">
        <f t="shared" si="8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0">
        <f t="shared" si="8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0">
        <f t="shared" si="8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0">
        <f t="shared" si="8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0">
        <f t="shared" si="8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91">
        <f t="shared" si="8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61">
        <f t="shared" ref="R41:R44" si="11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61">
        <f t="shared" si="11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61">
        <f t="shared" si="11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63">
        <f t="shared" si="11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90" t="s">
        <v>80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4" ht="11.25" customHeight="1" x14ac:dyDescent="0.25">
      <c r="B4" s="1179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80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0">
        <f>8.33*(COUNTIFS(I29:O29,"&lt;&gt;"&amp;"L",I29:O29,"&lt;&gt;"&amp;"D"))+8*(COUNTIFS(I29:O29,"="&amp;"D"))</f>
        <v>57.65</v>
      </c>
      <c r="S29" s="117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0">
        <f t="shared" ref="R30:R36" si="8">8.33*(COUNTIFS(I30:O30,"&lt;&gt;"&amp;"L",I30:O30,"&lt;&gt;"&amp;"D"))+8*(COUNTIFS(I30:O30,"="&amp;"D"))</f>
        <v>24.990000000000002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0">
        <f t="shared" si="8"/>
        <v>33.32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0">
        <f t="shared" si="8"/>
        <v>41.32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0">
        <f t="shared" si="8"/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0">
        <f t="shared" si="8"/>
        <v>32.99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0">
        <f t="shared" si="8"/>
        <v>41.65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91">
        <f t="shared" si="8"/>
        <v>57.32</v>
      </c>
      <c r="S36" s="119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59">
        <f>SUM(I39:O39)</f>
        <v>12</v>
      </c>
      <c r="S39" s="116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61">
        <f t="shared" ref="R40:R43" si="11">SUM(I40:O40)</f>
        <v>12</v>
      </c>
      <c r="S40" s="116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61">
        <f t="shared" si="11"/>
        <v>7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61">
        <f t="shared" si="11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63">
        <f t="shared" si="11"/>
        <v>18</v>
      </c>
      <c r="S43" s="116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78"/>
      <c r="E1" s="1178"/>
      <c r="F1" s="117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</row>
    <row r="4" spans="2:33" ht="11.25" customHeight="1" x14ac:dyDescent="0.25">
      <c r="B4" s="1179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80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0">
        <f>8.33*(COUNTIFS(F29:L29,"&lt;&gt;"&amp;"L",F29:L29,"&lt;&gt;"&amp;"D"))+8*(COUNTIFS(F29:L29,"="&amp;"D"))</f>
        <v>57.65</v>
      </c>
      <c r="P29" s="1171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0">
        <f t="shared" ref="O30:O36" si="8">8.33*(COUNTIFS(F30:L30,"&lt;&gt;"&amp;"L",F30:L30,"&lt;&gt;"&amp;"D"))+8*(COUNTIFS(F30:L30,"="&amp;"D"))</f>
        <v>24.990000000000002</v>
      </c>
      <c r="P30" s="1171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0">
        <f t="shared" si="8"/>
        <v>33.32</v>
      </c>
      <c r="P31" s="1171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0">
        <f t="shared" si="8"/>
        <v>41.32</v>
      </c>
      <c r="P32" s="1171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0">
        <f t="shared" si="8"/>
        <v>24.990000000000002</v>
      </c>
      <c r="P33" s="1171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0">
        <f t="shared" si="8"/>
        <v>32.99</v>
      </c>
      <c r="P34" s="1171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0">
        <f t="shared" si="8"/>
        <v>41.65</v>
      </c>
      <c r="P35" s="1171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91">
        <f t="shared" si="8"/>
        <v>57.32</v>
      </c>
      <c r="P36" s="119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59">
        <f>SUM(F39:L39)</f>
        <v>12</v>
      </c>
      <c r="P39" s="116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61">
        <f t="shared" ref="O40:O43" si="11">SUM(F40:L40)</f>
        <v>12</v>
      </c>
      <c r="P40" s="1162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61">
        <f t="shared" si="11"/>
        <v>7</v>
      </c>
      <c r="P41" s="116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61">
        <f t="shared" si="11"/>
        <v>7</v>
      </c>
      <c r="P42" s="116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63">
        <f t="shared" si="11"/>
        <v>18</v>
      </c>
      <c r="P43" s="1164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3"/>
      <c r="AF3" s="1190"/>
      <c r="AG3" s="1193"/>
    </row>
    <row r="4" spans="2:33" ht="11.25" customHeight="1" x14ac:dyDescent="0.25">
      <c r="B4" s="1194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94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91">
        <f t="shared" ref="N30:N37" si="8">8.33*(COUNTIFS(E30:K30,"&lt;&gt;"&amp;"L",E30:K30,"&lt;&gt;"&amp;"D"))+8*(COUNTIFS(E30:K30,"="&amp;"D"))</f>
        <v>57.65</v>
      </c>
      <c r="O30" s="1192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91">
        <f t="shared" si="8"/>
        <v>24.990000000000002</v>
      </c>
      <c r="O31" s="1192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91">
        <f t="shared" si="8"/>
        <v>33.32</v>
      </c>
      <c r="O32" s="1192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91">
        <f t="shared" si="8"/>
        <v>41.32</v>
      </c>
      <c r="O33" s="1192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91">
        <f t="shared" si="8"/>
        <v>24.990000000000002</v>
      </c>
      <c r="O34" s="1192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91">
        <f t="shared" si="8"/>
        <v>32.99</v>
      </c>
      <c r="O35" s="1192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91">
        <f t="shared" si="8"/>
        <v>41.65</v>
      </c>
      <c r="O36" s="1192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91">
        <f t="shared" si="8"/>
        <v>57.32</v>
      </c>
      <c r="O37" s="1192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59">
        <f>SUM(E40:K40)</f>
        <v>12</v>
      </c>
      <c r="O40" s="116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61">
        <f>SUM(E41:K41)</f>
        <v>12</v>
      </c>
      <c r="O41" s="116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61">
        <f>SUM(E42:K42)</f>
        <v>7</v>
      </c>
      <c r="O42" s="116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61">
        <f>SUM(E43:K43)</f>
        <v>7</v>
      </c>
      <c r="O43" s="116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63">
        <f>SUM(E44:K44)</f>
        <v>18</v>
      </c>
      <c r="O44" s="116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95" t="s">
        <v>95</v>
      </c>
      <c r="D2" s="1195"/>
      <c r="E2" s="1195"/>
      <c r="F2" s="1195"/>
      <c r="G2" s="1195" t="s">
        <v>95</v>
      </c>
      <c r="H2" s="1195"/>
      <c r="I2" s="1195" t="s">
        <v>95</v>
      </c>
      <c r="J2" s="1195"/>
      <c r="K2" s="1195" t="s">
        <v>95</v>
      </c>
      <c r="L2" s="1195"/>
      <c r="M2" s="1195" t="s">
        <v>95</v>
      </c>
      <c r="N2" s="1195"/>
      <c r="O2" s="1195" t="s">
        <v>95</v>
      </c>
      <c r="P2" s="1195"/>
      <c r="Q2" s="1195" t="s">
        <v>95</v>
      </c>
      <c r="R2" s="1195"/>
      <c r="S2" s="1195" t="s">
        <v>95</v>
      </c>
      <c r="T2" s="1195"/>
      <c r="U2" s="1195" t="s">
        <v>95</v>
      </c>
      <c r="V2" s="1195"/>
      <c r="W2" s="1195" t="s">
        <v>95</v>
      </c>
      <c r="X2" s="1195"/>
      <c r="Y2" s="1195" t="s">
        <v>95</v>
      </c>
      <c r="Z2" s="1195"/>
      <c r="AA2" s="1195" t="s">
        <v>95</v>
      </c>
      <c r="AB2" s="1195"/>
      <c r="AC2" s="1195" t="s">
        <v>95</v>
      </c>
      <c r="AD2" s="1195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96" t="s">
        <v>95</v>
      </c>
      <c r="G3" s="1196"/>
      <c r="H3" s="1196"/>
      <c r="I3" s="1196"/>
      <c r="J3" s="1196"/>
      <c r="K3" s="1196"/>
      <c r="L3" s="1196"/>
      <c r="M3" s="1196"/>
      <c r="N3" s="1196"/>
      <c r="O3" s="1196"/>
      <c r="P3" s="1196"/>
      <c r="Q3" s="1196"/>
      <c r="R3" s="1196"/>
      <c r="S3" s="1196"/>
      <c r="T3" s="1196"/>
      <c r="U3" s="1196"/>
      <c r="V3" s="1196"/>
      <c r="W3" s="1196"/>
      <c r="X3" s="1196"/>
      <c r="Y3" s="1196"/>
      <c r="Z3" s="1196"/>
      <c r="AA3" s="1196"/>
      <c r="AB3" s="1196"/>
      <c r="AC3" s="1196"/>
      <c r="AD3" s="1196" t="s">
        <v>95</v>
      </c>
      <c r="AE3" s="1197"/>
      <c r="AF3" s="448"/>
      <c r="AG3" s="448"/>
      <c r="AH3" s="449"/>
    </row>
    <row r="4" spans="2:34" ht="15" customHeight="1" x14ac:dyDescent="0.3">
      <c r="B4" s="1198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78"/>
      <c r="E1" s="1178"/>
      <c r="F1" s="117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  <c r="AH3" s="1193"/>
    </row>
    <row r="4" spans="2:34" ht="11.25" customHeight="1" x14ac:dyDescent="0.25">
      <c r="B4" s="1194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9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91">
        <f>8.33*(COUNTIFS(F30:L30,"&lt;&gt;"&amp;"L",F30:L30,"&lt;&gt;"&amp;"D"))+8*(COUNTIFS(F30:L30,"="&amp;"D"))</f>
        <v>57.65</v>
      </c>
      <c r="P30" s="1192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91">
        <f t="shared" ref="O31:O37" si="10">8.33*(COUNTIFS(F31:L31,"&lt;&gt;"&amp;"L",F31:L31,"&lt;&gt;"&amp;"D"))+8*(COUNTIFS(F31:L31,"="&amp;"D"))</f>
        <v>24.990000000000002</v>
      </c>
      <c r="P31" s="1192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91">
        <f t="shared" si="10"/>
        <v>33.32</v>
      </c>
      <c r="P32" s="1192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91">
        <f t="shared" si="10"/>
        <v>41.32</v>
      </c>
      <c r="P33" s="1192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91">
        <f t="shared" si="10"/>
        <v>24.990000000000002</v>
      </c>
      <c r="P34" s="119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91">
        <f t="shared" si="10"/>
        <v>32.99</v>
      </c>
      <c r="P35" s="1192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91">
        <f t="shared" si="10"/>
        <v>41.65</v>
      </c>
      <c r="P36" s="119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91">
        <f t="shared" si="10"/>
        <v>57.32</v>
      </c>
      <c r="P37" s="1192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59">
        <f>SUM(F40:L40)</f>
        <v>12</v>
      </c>
      <c r="P40" s="116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61">
        <f t="shared" ref="O41:O44" si="13">SUM(F41:L41)</f>
        <v>12</v>
      </c>
      <c r="P41" s="116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61">
        <f t="shared" si="13"/>
        <v>7</v>
      </c>
      <c r="P42" s="116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61">
        <f t="shared" si="13"/>
        <v>7</v>
      </c>
      <c r="P43" s="1162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63">
        <f t="shared" si="13"/>
        <v>18</v>
      </c>
      <c r="P44" s="1164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90"/>
      <c r="AC3" s="1190"/>
      <c r="AD3" s="1190"/>
      <c r="AE3" s="1193"/>
      <c r="AF3" s="1190"/>
      <c r="AG3" s="1190"/>
      <c r="AH3" s="1193"/>
    </row>
    <row r="4" spans="2:34" ht="11.25" customHeight="1" x14ac:dyDescent="0.25">
      <c r="B4" s="1194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9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90"/>
      <c r="Z3" s="1190"/>
      <c r="AA3" s="1190"/>
      <c r="AB3" s="1190"/>
      <c r="AC3" s="1190"/>
      <c r="AD3" s="1190"/>
      <c r="AE3" s="1190"/>
      <c r="AF3" s="195"/>
      <c r="AG3" s="195"/>
      <c r="AH3" s="337"/>
    </row>
    <row r="4" spans="2:34" ht="11.25" customHeight="1" x14ac:dyDescent="0.25">
      <c r="B4" s="1194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94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95" t="s">
        <v>95</v>
      </c>
      <c r="D2" s="1195"/>
      <c r="E2" s="1195"/>
      <c r="F2" s="1195"/>
      <c r="G2" s="1195" t="s">
        <v>95</v>
      </c>
      <c r="H2" s="1195"/>
      <c r="I2" s="1195" t="s">
        <v>95</v>
      </c>
      <c r="J2" s="1195"/>
      <c r="K2" s="1195" t="s">
        <v>95</v>
      </c>
      <c r="L2" s="1195"/>
      <c r="M2" s="1195" t="s">
        <v>95</v>
      </c>
      <c r="N2" s="1195"/>
      <c r="O2" s="1195" t="s">
        <v>95</v>
      </c>
      <c r="P2" s="1195"/>
      <c r="Q2" s="1195" t="s">
        <v>95</v>
      </c>
      <c r="R2" s="1195"/>
      <c r="S2" s="1195" t="s">
        <v>95</v>
      </c>
      <c r="T2" s="1195"/>
      <c r="U2" s="1195" t="s">
        <v>95</v>
      </c>
      <c r="V2" s="1195"/>
      <c r="W2" s="1195" t="s">
        <v>95</v>
      </c>
      <c r="X2" s="1195"/>
      <c r="Y2" s="1195" t="s">
        <v>95</v>
      </c>
      <c r="Z2" s="1195"/>
      <c r="AA2" s="1195" t="s">
        <v>95</v>
      </c>
      <c r="AB2" s="1195"/>
      <c r="AC2" s="1195" t="s">
        <v>95</v>
      </c>
      <c r="AD2" s="1195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96" t="s">
        <v>95</v>
      </c>
      <c r="G3" s="1196"/>
      <c r="H3" s="1196"/>
      <c r="I3" s="1196"/>
      <c r="J3" s="1196"/>
      <c r="K3" s="1196"/>
      <c r="L3" s="1196"/>
      <c r="M3" s="1196"/>
      <c r="N3" s="1196"/>
      <c r="O3" s="1196"/>
      <c r="P3" s="1196"/>
      <c r="Q3" s="1196"/>
      <c r="R3" s="1196"/>
      <c r="S3" s="1196"/>
      <c r="T3" s="1196"/>
      <c r="U3" s="1196"/>
      <c r="V3" s="1196"/>
      <c r="W3" s="1196"/>
      <c r="X3" s="1196"/>
      <c r="Y3" s="1196"/>
      <c r="Z3" s="1196"/>
      <c r="AA3" s="1196"/>
      <c r="AB3" s="1196"/>
      <c r="AC3" s="1196"/>
      <c r="AD3" s="1196" t="s">
        <v>95</v>
      </c>
      <c r="AE3" s="1197"/>
    </row>
    <row r="4" spans="2:31" ht="15" customHeight="1" x14ac:dyDescent="0.3">
      <c r="B4" s="1198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98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98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95" t="s">
        <v>95</v>
      </c>
      <c r="D2" s="1195"/>
      <c r="E2" s="1195"/>
      <c r="F2" s="1195"/>
      <c r="G2" s="1195" t="s">
        <v>95</v>
      </c>
      <c r="H2" s="1195"/>
      <c r="I2" s="1195" t="s">
        <v>95</v>
      </c>
      <c r="J2" s="1195"/>
      <c r="K2" s="1195" t="s">
        <v>95</v>
      </c>
      <c r="L2" s="1195"/>
      <c r="M2" s="1195" t="s">
        <v>95</v>
      </c>
      <c r="N2" s="1195"/>
      <c r="O2" s="1195" t="s">
        <v>95</v>
      </c>
      <c r="P2" s="1195"/>
      <c r="Q2" s="1195" t="s">
        <v>95</v>
      </c>
      <c r="R2" s="1195"/>
      <c r="S2" s="1195" t="s">
        <v>95</v>
      </c>
      <c r="T2" s="1195"/>
      <c r="U2" s="1195" t="s">
        <v>95</v>
      </c>
      <c r="V2" s="1195"/>
      <c r="W2" s="1195" t="s">
        <v>95</v>
      </c>
      <c r="X2" s="1195"/>
      <c r="Y2" s="1195" t="s">
        <v>95</v>
      </c>
      <c r="Z2" s="1195"/>
      <c r="AA2" s="1195" t="s">
        <v>95</v>
      </c>
      <c r="AB2" s="1195"/>
      <c r="AC2" s="1195" t="s">
        <v>95</v>
      </c>
      <c r="AD2" s="1195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96"/>
      <c r="E3" s="1196"/>
      <c r="F3" s="1196" t="s">
        <v>95</v>
      </c>
      <c r="G3" s="1196"/>
      <c r="H3" s="1196"/>
      <c r="I3" s="1196"/>
      <c r="J3" s="1196"/>
      <c r="K3" s="1196"/>
      <c r="L3" s="1196"/>
      <c r="M3" s="1196"/>
      <c r="N3" s="1196"/>
      <c r="O3" s="1196"/>
      <c r="P3" s="1196"/>
      <c r="Q3" s="1196"/>
      <c r="R3" s="1196"/>
      <c r="S3" s="1196"/>
      <c r="T3" s="1196"/>
      <c r="U3" s="1196"/>
      <c r="V3" s="1196"/>
      <c r="W3" s="1196"/>
      <c r="X3" s="1196"/>
      <c r="Y3" s="1196"/>
      <c r="Z3" s="1196"/>
      <c r="AA3" s="1196"/>
      <c r="AB3" s="1196"/>
      <c r="AC3" s="1196"/>
      <c r="AD3" s="1196" t="s">
        <v>95</v>
      </c>
      <c r="AE3" s="1196"/>
      <c r="AF3" s="1196"/>
      <c r="AG3" s="1197"/>
    </row>
    <row r="4" spans="2:33" ht="15" customHeight="1" thickBot="1" x14ac:dyDescent="0.35">
      <c r="B4" s="1198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98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98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98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98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98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98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98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98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57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58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7" activePane="bottomRight" state="frozen"/>
      <selection pane="topRight" activeCell="D1" sqref="D1"/>
      <selection pane="bottomLeft" activeCell="A6" sqref="A6"/>
      <selection pane="bottomRight" activeCell="AE7" sqref="AE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57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58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 x14ac:dyDescent="0.25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tabSelected="1" zoomScale="115" zoomScaleNormal="115" workbookViewId="0">
      <pane xSplit="2" ySplit="5" topLeftCell="H6" activePane="bottomRight" state="frozen"/>
      <selection pane="topRight" activeCell="C1" sqref="C1"/>
      <selection pane="bottomLeft" activeCell="A6" sqref="A6"/>
      <selection pane="bottomRight" activeCell="AF12" sqref="AF12:AG12"/>
    </sheetView>
  </sheetViews>
  <sheetFormatPr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57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58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3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0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M13" sqref="M13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7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58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54" t="s">
        <v>19</v>
      </c>
      <c r="M12" s="1149" t="s">
        <v>19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4" t="s">
        <v>6</v>
      </c>
      <c r="E13" s="732" t="s">
        <v>14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57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15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7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7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7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5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9346060-42a8-4e71-a884-66c74e310596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lcf76f155ced4ddcb4097134ff3c332f xmlns="341ddf62-fc1b-4dec-9a40-da059184f445">
      <Terms xmlns="http://schemas.microsoft.com/office/infopath/2007/PartnerControls"/>
    </lcf76f155ced4ddcb4097134ff3c332f>
    <TaxCatchAll xmlns="49346060-42a8-4e71-a884-66c74e31059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14" ma:contentTypeDescription="Crear nuevo documento." ma:contentTypeScope="" ma:versionID="ac626b0c91a9797b14e7426e0a6f10bf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b8cefd15ae0c155823e9482943c987c1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3cf0cb4a-ca56-4c0c-ae08-78cd448b0a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83508c8-b520-460a-8834-c57d3b8a332d}" ma:internalName="TaxCatchAll" ma:showField="CatchAllData" ma:web="49346060-42a8-4e71-a884-66c74e3105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AEC4E9-D5BB-40A4-AB55-3FD90BB5AFFA}">
  <ds:schemaRefs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41ddf62-fc1b-4dec-9a40-da059184f445"/>
    <ds:schemaRef ds:uri="http://schemas.microsoft.com/office/2006/documentManagement/types"/>
    <ds:schemaRef ds:uri="http://purl.org/dc/terms/"/>
    <ds:schemaRef ds:uri="http://schemas.microsoft.com/office/2006/metadata/properties"/>
    <ds:schemaRef ds:uri="49346060-42a8-4e71-a884-66c74e31059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50F48F-906A-456B-9DC4-52BCD25291A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Junio</vt:lpstr>
      <vt:lpstr>Abril</vt:lpstr>
      <vt:lpstr>Mayo 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2023-03-28T15:04:58Z</dcterms:created>
  <dcterms:modified xsi:type="dcterms:W3CDTF">2026-03-10T07:45:47Z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