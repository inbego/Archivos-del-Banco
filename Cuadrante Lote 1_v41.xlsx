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Lote1/Shared Documents/General/Turnos/"/>
    </mc:Choice>
  </mc:AlternateContent>
  <xr:revisionPtr revIDLastSave="15" documentId="8_{359D85F8-BF8C-4E1D-AA24-B987F03A3534}" xr6:coauthVersionLast="47" xr6:coauthVersionMax="47" xr10:uidLastSave="{D790E4C9-4DA4-44AF-B7FB-EC9318195173}"/>
  <bookViews>
    <workbookView xWindow="-110" yWindow="-110" windowWidth="19200" windowHeight="9020" firstSheet="28" activeTab="29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Abril" sheetId="27" r:id="rId19"/>
    <sheet name="Mayo " sheetId="29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C18" i="39" l="1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<sst xmlns="http://schemas.openxmlformats.org/spreadsheetml/2006/main" count="11126" uniqueCount="105">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</sst>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7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  <xf numFmtId="0" fontId="5" fillId="7" borderId="8" xfId="0" applyFont="1" applyFill="1" applyBorder="1" applyAlignment="1">
      <alignment horizontal="center" vertical="center"/>
    </xf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73"/>
      <c r="G1" s="1173"/>
      <c r="H1" s="1173"/>
      <c r="I1" s="1173"/>
      <c r="J1" s="1173"/>
      <c r="K1" s="1173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71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71"/>
      <c r="C3" s="2"/>
      <c r="D3" s="7"/>
      <c r="E3" s="7"/>
      <c r="F3" s="1164" t="s">
        <v>1</v>
      </c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4"/>
      <c r="V3" s="1164"/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4"/>
      <c r="AH3" s="1164"/>
      <c r="AI3" s="1164"/>
      <c r="AJ3" s="1164"/>
      <c r="AK3" s="1164"/>
      <c r="AL3" s="1176" t="s">
        <v>2</v>
      </c>
      <c r="AM3" s="1176"/>
      <c r="AN3" s="1176"/>
      <c r="AO3" s="1176"/>
      <c r="AP3" s="1176"/>
      <c r="AQ3" s="1176"/>
    </row>
    <row r="4" spans="2:45" ht="11.25" customHeight="1" x14ac:dyDescent="0.25">
      <c r="B4" s="41"/>
      <c r="C4" s="1174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75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72" t="str">
        <f>"Plantilla de Turnos CCNC  "&amp;D29</f>
        <v>Plantilla de Turnos CCNC  Raquel</v>
      </c>
      <c r="G28" s="1172"/>
      <c r="H28" s="1172"/>
      <c r="I28" s="1172"/>
      <c r="J28" s="1172"/>
      <c r="K28" s="1172"/>
      <c r="L28" s="1172"/>
      <c r="M28" s="27"/>
      <c r="N28" s="27"/>
      <c r="O28" s="27"/>
      <c r="P28" s="11"/>
      <c r="Q28" s="10"/>
      <c r="R28" s="10"/>
      <c r="S28" s="10"/>
      <c r="T28" s="10"/>
      <c r="U28" s="10"/>
      <c r="V28" s="1172" t="str">
        <f>"Plantilla de Turnos CCNC  "&amp;V29</f>
        <v>Plantilla de Turnos CCNC  To Be</v>
      </c>
      <c r="W28" s="1172"/>
      <c r="X28" s="1172"/>
      <c r="Y28" s="1172"/>
      <c r="Z28" s="1172"/>
      <c r="AA28" s="1172"/>
      <c r="AB28" s="1172"/>
      <c r="AC28" s="1172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67">
        <f>8.33*(COUNTIFS(F30:L30,"&lt;&gt;"&amp;"L"))</f>
        <v>41.65</v>
      </c>
      <c r="P30" s="1168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65">
        <f>8.33*(COUNTIFS(W30:AC30,"&lt;&gt;"&amp;"L"))</f>
        <v>58.31</v>
      </c>
      <c r="AG30" s="1166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69">
        <f t="shared" ref="O31:O38" si="12">8.33*(COUNTIFS(F31:L31,"&lt;&gt;"&amp;"L"))</f>
        <v>33.32</v>
      </c>
      <c r="P31" s="1170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0">
        <f t="shared" ref="AF31:AF37" si="13">8.33*(COUNTIFS(W31:AC31,"&lt;&gt;"&amp;"L"))</f>
        <v>24.990000000000002</v>
      </c>
      <c r="AG31" s="1161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69">
        <f t="shared" si="12"/>
        <v>58.31</v>
      </c>
      <c r="P32" s="1170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0">
        <f t="shared" si="13"/>
        <v>33.32</v>
      </c>
      <c r="AG32" s="1161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69">
        <f>8.33*(COUNTIFS(F33:L33,"&lt;&gt;"&amp;"LG"))</f>
        <v>41.65</v>
      </c>
      <c r="P33" s="1170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0">
        <f t="shared" si="13"/>
        <v>41.65</v>
      </c>
      <c r="AG33" s="1161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0">
        <f t="shared" si="13"/>
        <v>24.990000000000002</v>
      </c>
      <c r="AG34" s="1161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69">
        <f t="shared" si="12"/>
        <v>58.31</v>
      </c>
      <c r="P35" s="1170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0">
        <f t="shared" si="13"/>
        <v>33.32</v>
      </c>
      <c r="AG35" s="1161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69">
        <f t="shared" si="12"/>
        <v>33.32</v>
      </c>
      <c r="P36" s="1170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0">
        <f t="shared" si="13"/>
        <v>41.65</v>
      </c>
      <c r="AG36" s="1161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69">
        <f t="shared" si="12"/>
        <v>24.990000000000002</v>
      </c>
      <c r="P37" s="1170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62">
        <f t="shared" si="13"/>
        <v>58.31</v>
      </c>
      <c r="AG37" s="1163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81">
        <f t="shared" si="12"/>
        <v>41.65</v>
      </c>
      <c r="P38" s="1182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54">
        <f>SUM(W40:AC40)</f>
        <v>12</v>
      </c>
      <c r="AG40" s="1155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83">
        <f>SUM(F41:L41)</f>
        <v>10</v>
      </c>
      <c r="P41" s="1184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56">
        <f t="shared" ref="AF41:AF44" si="17">SUM(W41:AC41)</f>
        <v>12</v>
      </c>
      <c r="AG41" s="1157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77">
        <f t="shared" ref="O42:O45" si="19">SUM(F42:L42)</f>
        <v>11</v>
      </c>
      <c r="P42" s="1178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56">
        <f t="shared" si="17"/>
        <v>7</v>
      </c>
      <c r="AG42" s="1157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77">
        <f t="shared" si="19"/>
        <v>7</v>
      </c>
      <c r="P43" s="1178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56">
        <f t="shared" si="17"/>
        <v>7</v>
      </c>
      <c r="AG43" s="1157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77">
        <f t="shared" si="19"/>
        <v>7</v>
      </c>
      <c r="P44" s="1178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58">
        <f t="shared" si="17"/>
        <v>18</v>
      </c>
      <c r="AG44" s="1159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79">
        <f t="shared" si="19"/>
        <v>14</v>
      </c>
      <c r="P45" s="118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5" t="s">
        <v>51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76" t="s">
        <v>52</v>
      </c>
      <c r="AC3" s="1176"/>
      <c r="AD3" s="1176"/>
      <c r="AE3" s="1176"/>
    </row>
    <row r="4" spans="2:31" ht="11.25" customHeight="1" x14ac:dyDescent="0.25">
      <c r="B4" s="117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75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72" t="str">
        <f>"Plantilla de Turnos CCNC  "&amp;H31</f>
        <v>Plantilla de Turnos CCNC  To Be</v>
      </c>
      <c r="I30" s="1172"/>
      <c r="J30" s="1172"/>
      <c r="K30" s="1172"/>
      <c r="L30" s="1172"/>
      <c r="M30" s="1172"/>
      <c r="N30" s="1172"/>
      <c r="O30" s="1172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65">
        <f>8.33*(COUNTIFS(I32:O32,"&lt;&gt;"&amp;"L",I32:O32,"&lt;&gt;"&amp;"D"))+8*(COUNTIFS(I32:O32,"="&amp;"D"))</f>
        <v>57.65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65">
        <f t="shared" ref="R33:R39" si="7">8.33*(COUNTIFS(I33:O33,"&lt;&gt;"&amp;"L",I33:O33,"&lt;&gt;"&amp;"D"))+8*(COUNTIFS(I33:O33,"="&amp;"D"))</f>
        <v>24.990000000000002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65">
        <f t="shared" si="7"/>
        <v>33.32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65">
        <f t="shared" si="7"/>
        <v>41.32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65">
        <f t="shared" si="7"/>
        <v>24.990000000000002</v>
      </c>
      <c r="S36" s="116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65">
        <f t="shared" si="7"/>
        <v>32.99</v>
      </c>
      <c r="S37" s="116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65">
        <f t="shared" si="7"/>
        <v>41.65</v>
      </c>
      <c r="S38" s="1166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6">
        <f t="shared" si="7"/>
        <v>57.32</v>
      </c>
      <c r="S39" s="118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54">
        <f>SUM(I42:O42)</f>
        <v>12</v>
      </c>
      <c r="S42" s="115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56">
        <f t="shared" ref="R43:R46" si="10">SUM(I43:O43)</f>
        <v>12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56">
        <f t="shared" si="10"/>
        <v>7</v>
      </c>
      <c r="S44" s="115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56">
        <f t="shared" si="10"/>
        <v>7</v>
      </c>
      <c r="S45" s="1157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58">
        <f t="shared" si="10"/>
        <v>18</v>
      </c>
      <c r="S46" s="1159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85" t="s">
        <v>59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76" t="s">
        <v>51</v>
      </c>
      <c r="AC3" s="1176"/>
      <c r="AD3" s="1176"/>
      <c r="AE3" s="1176"/>
    </row>
    <row r="4" spans="2:33" ht="11.25" customHeight="1" x14ac:dyDescent="0.25">
      <c r="B4" s="117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75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72" t="str">
        <f>"Plantilla de Turnos CCNC  "&amp;H29</f>
        <v>Plantilla de Turnos CCNC  To Be</v>
      </c>
      <c r="I28" s="1172"/>
      <c r="J28" s="1172"/>
      <c r="K28" s="1172"/>
      <c r="L28" s="1172"/>
      <c r="M28" s="1172"/>
      <c r="N28" s="1172"/>
      <c r="O28" s="1172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5">
        <f>8.33*(COUNTIFS(I30:O30,"&lt;&gt;"&amp;"L",I30:O30,"&lt;&gt;"&amp;"D"))+8*(COUNTIFS(I30:O30,"="&amp;"D"))</f>
        <v>57.65</v>
      </c>
      <c r="S30" s="116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5">
        <f t="shared" ref="R31:R37" si="7">8.33*(COUNTIFS(I31:O31,"&lt;&gt;"&amp;"L",I31:O31,"&lt;&gt;"&amp;"D"))+8*(COUNTIFS(I31:O31,"="&amp;"D"))</f>
        <v>24.990000000000002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5">
        <f t="shared" si="7"/>
        <v>33.32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5">
        <f t="shared" si="7"/>
        <v>41.32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5">
        <f t="shared" si="7"/>
        <v>24.990000000000002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5">
        <f t="shared" si="7"/>
        <v>32.99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5">
        <f t="shared" si="7"/>
        <v>41.65</v>
      </c>
      <c r="S36" s="116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6">
        <f t="shared" si="7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54">
        <f>SUM(I40:O40)</f>
        <v>12</v>
      </c>
      <c r="S40" s="115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56">
        <f t="shared" ref="R41:R44" si="10">SUM(I41:O41)</f>
        <v>12</v>
      </c>
      <c r="S41" s="115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56">
        <f t="shared" si="10"/>
        <v>7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56">
        <f t="shared" si="10"/>
        <v>7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58">
        <f t="shared" si="10"/>
        <v>18</v>
      </c>
      <c r="S44" s="115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5" t="str">
        <f>TEXT(D5,"mmm")</f>
        <v>mar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</row>
    <row r="4" spans="2:31" ht="11.25" customHeight="1" x14ac:dyDescent="0.25">
      <c r="B4" s="117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75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65">
        <f>8.33*(COUNTIFS(I31:O31,"&lt;&gt;"&amp;"L",I31:O31,"&lt;&gt;"&amp;"D"))+8*(COUNTIFS(I31:O31,"="&amp;"D"))</f>
        <v>57.65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65">
        <f t="shared" ref="R32:R38" si="7">8.33*(COUNTIFS(I32:O32,"&lt;&gt;"&amp;"L",I32:O32,"&lt;&gt;"&amp;"D"))+8*(COUNTIFS(I32:O32,"="&amp;"D"))</f>
        <v>24.990000000000002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65">
        <f t="shared" si="7"/>
        <v>33.32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65">
        <f t="shared" si="7"/>
        <v>41.32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65">
        <f t="shared" si="7"/>
        <v>24.990000000000002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65">
        <f t="shared" si="7"/>
        <v>32.99</v>
      </c>
      <c r="S36" s="116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65">
        <f t="shared" si="7"/>
        <v>41.65</v>
      </c>
      <c r="S37" s="116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6">
        <f t="shared" si="7"/>
        <v>57.32</v>
      </c>
      <c r="S38" s="1187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54">
        <f>SUM(I41:O41)</f>
        <v>12</v>
      </c>
      <c r="S41" s="115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56">
        <f t="shared" ref="R42:R45" si="10">SUM(I42:O42)</f>
        <v>12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56">
        <f t="shared" si="10"/>
        <v>7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56">
        <f t="shared" si="10"/>
        <v>7</v>
      </c>
      <c r="S44" s="115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58">
        <f t="shared" si="10"/>
        <v>18</v>
      </c>
      <c r="S45" s="1159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5" t="s">
        <v>65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3" ht="11.25" customHeight="1" x14ac:dyDescent="0.25">
      <c r="B4" s="117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75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5">
        <f>8.33*(COUNTIFS(I30:O30,"&lt;&gt;"&amp;"L",I30:O30,"&lt;&gt;"&amp;"D"))+8*(COUNTIFS(I30:O30,"="&amp;"D"))</f>
        <v>57.65</v>
      </c>
      <c r="S30" s="116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5">
        <f t="shared" ref="R31:R37" si="14">8.33*(COUNTIFS(I31:O31,"&lt;&gt;"&amp;"L",I31:O31,"&lt;&gt;"&amp;"D"))+8*(COUNTIFS(I31:O31,"="&amp;"D"))</f>
        <v>24.990000000000002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5">
        <f t="shared" si="14"/>
        <v>33.32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5">
        <f t="shared" si="14"/>
        <v>41.32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5">
        <f t="shared" si="14"/>
        <v>24.990000000000002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5">
        <f t="shared" si="14"/>
        <v>32.99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5">
        <f t="shared" si="14"/>
        <v>41.65</v>
      </c>
      <c r="S36" s="116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6">
        <f t="shared" si="14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4">
        <f>SUM(I40:O40)</f>
        <v>12</v>
      </c>
      <c r="S40" s="115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56">
        <f t="shared" ref="R41:R44" si="17">SUM(I41:O41)</f>
        <v>12</v>
      </c>
      <c r="S41" s="115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56">
        <f t="shared" si="17"/>
        <v>7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56">
        <f t="shared" si="17"/>
        <v>7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8">
        <f t="shared" si="17"/>
        <v>18</v>
      </c>
      <c r="S44" s="115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5" t="s">
        <v>67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4" ht="11.25" customHeight="1" x14ac:dyDescent="0.25">
      <c r="B4" s="1174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75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5">
        <f>8.33*(COUNTIFS(I29:O29,"&lt;&gt;"&amp;"L",I29:O29,"&lt;&gt;"&amp;"D"))+8*(COUNTIFS(I29:O29,"="&amp;"D"))</f>
        <v>57.65</v>
      </c>
      <c r="S29" s="1166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5">
        <f t="shared" ref="R30:R36" si="14">8.33*(COUNTIFS(I30:O30,"&lt;&gt;"&amp;"L",I30:O30,"&lt;&gt;"&amp;"D"))+8*(COUNTIFS(I30:O30,"="&amp;"D"))</f>
        <v>24.990000000000002</v>
      </c>
      <c r="S30" s="116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5">
        <f t="shared" si="14"/>
        <v>33.32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5">
        <f t="shared" si="14"/>
        <v>41.32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5">
        <f t="shared" si="14"/>
        <v>24.990000000000002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5">
        <f t="shared" si="14"/>
        <v>32.99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5">
        <f t="shared" si="14"/>
        <v>41.65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6">
        <f t="shared" si="14"/>
        <v>57.32</v>
      </c>
      <c r="S36" s="11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54">
        <f>SUM(I39:O39)</f>
        <v>12</v>
      </c>
      <c r="S39" s="115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56">
        <f t="shared" ref="R40:R43" si="17">SUM(I40:O40)</f>
        <v>12</v>
      </c>
      <c r="S40" s="115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56">
        <f t="shared" si="17"/>
        <v>7</v>
      </c>
      <c r="S41" s="115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56">
        <f t="shared" si="17"/>
        <v>7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58">
        <f t="shared" si="17"/>
        <v>18</v>
      </c>
      <c r="S43" s="115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5" t="s">
        <v>72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3" ht="11.25" customHeight="1" x14ac:dyDescent="0.25">
      <c r="B4" s="1174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75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5">
        <f>8.33*(COUNTIFS(I30:O30,"&lt;&gt;"&amp;"L",I30:O30,"&lt;&gt;"&amp;"D"))+8*(COUNTIFS(I30:O30,"="&amp;"D"))</f>
        <v>57.65</v>
      </c>
      <c r="S30" s="116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5">
        <f t="shared" ref="R31:R37" si="14">8.33*(COUNTIFS(I31:O31,"&lt;&gt;"&amp;"L",I31:O31,"&lt;&gt;"&amp;"D"))+8*(COUNTIFS(I31:O31,"="&amp;"D"))</f>
        <v>24.990000000000002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5">
        <f t="shared" si="14"/>
        <v>33.32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5">
        <f t="shared" si="14"/>
        <v>41.32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5">
        <f t="shared" si="14"/>
        <v>24.990000000000002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5">
        <f t="shared" si="14"/>
        <v>32.99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5">
        <f t="shared" si="14"/>
        <v>41.65</v>
      </c>
      <c r="S36" s="116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6">
        <f t="shared" si="14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4">
        <f>SUM(I40:O40)</f>
        <v>12</v>
      </c>
      <c r="S40" s="115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56">
        <f t="shared" ref="R41:R44" si="17">SUM(I41:O41)</f>
        <v>12</v>
      </c>
      <c r="S41" s="115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56">
        <f t="shared" si="17"/>
        <v>7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56">
        <f t="shared" si="17"/>
        <v>7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8">
        <f t="shared" si="17"/>
        <v>18</v>
      </c>
      <c r="S44" s="115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5" t="s">
        <v>76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  <c r="AH3" s="179"/>
    </row>
    <row r="4" spans="2:34" ht="11.25" customHeight="1" x14ac:dyDescent="0.25">
      <c r="B4" s="117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75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5">
        <f>8.33*(COUNTIFS(I30:O30,"&lt;&gt;"&amp;"L",I30:O30,"&lt;&gt;"&amp;"D"))+8*(COUNTIFS(I30:O30,"="&amp;"D"))</f>
        <v>57.65</v>
      </c>
      <c r="S30" s="116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5">
        <f t="shared" ref="R31:R37" si="8">8.33*(COUNTIFS(I31:O31,"&lt;&gt;"&amp;"L",I31:O31,"&lt;&gt;"&amp;"D"))+8*(COUNTIFS(I31:O31,"="&amp;"D"))</f>
        <v>24.990000000000002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5">
        <f t="shared" si="8"/>
        <v>33.32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5">
        <f t="shared" si="8"/>
        <v>41.32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5">
        <f t="shared" si="8"/>
        <v>24.990000000000002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5">
        <f t="shared" si="8"/>
        <v>32.99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5">
        <f t="shared" si="8"/>
        <v>41.65</v>
      </c>
      <c r="S36" s="116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6">
        <f t="shared" si="8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54">
        <f>SUM(I40:O40)</f>
        <v>12</v>
      </c>
      <c r="S40" s="115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56">
        <f t="shared" ref="R41:R44" si="11">SUM(I41:O41)</f>
        <v>12</v>
      </c>
      <c r="S41" s="115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56">
        <f t="shared" si="11"/>
        <v>7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56">
        <f t="shared" si="11"/>
        <v>7</v>
      </c>
      <c r="S43" s="115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58">
        <f t="shared" si="11"/>
        <v>18</v>
      </c>
      <c r="S44" s="115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3"/>
      <c r="E1" s="1173"/>
      <c r="F1" s="1173"/>
      <c r="G1" s="1173"/>
      <c r="H1" s="1173"/>
      <c r="I1" s="117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5" t="s">
        <v>80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4" ht="11.25" customHeight="1" x14ac:dyDescent="0.25">
      <c r="B4" s="1174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75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5">
        <f>8.33*(COUNTIFS(I29:O29,"&lt;&gt;"&amp;"L",I29:O29,"&lt;&gt;"&amp;"D"))+8*(COUNTIFS(I29:O29,"="&amp;"D"))</f>
        <v>57.65</v>
      </c>
      <c r="S29" s="1166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5">
        <f t="shared" ref="R30:R36" si="8">8.33*(COUNTIFS(I30:O30,"&lt;&gt;"&amp;"L",I30:O30,"&lt;&gt;"&amp;"D"))+8*(COUNTIFS(I30:O30,"="&amp;"D"))</f>
        <v>24.990000000000002</v>
      </c>
      <c r="S30" s="116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5">
        <f t="shared" si="8"/>
        <v>33.32</v>
      </c>
      <c r="S31" s="116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5">
        <f t="shared" si="8"/>
        <v>41.32</v>
      </c>
      <c r="S32" s="116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5">
        <f t="shared" si="8"/>
        <v>24.990000000000002</v>
      </c>
      <c r="S33" s="116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5">
        <f t="shared" si="8"/>
        <v>32.99</v>
      </c>
      <c r="S34" s="116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5">
        <f t="shared" si="8"/>
        <v>41.65</v>
      </c>
      <c r="S35" s="116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6">
        <f t="shared" si="8"/>
        <v>57.32</v>
      </c>
      <c r="S36" s="11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54">
        <f>SUM(I39:O39)</f>
        <v>12</v>
      </c>
      <c r="S39" s="115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56">
        <f t="shared" ref="R40:R43" si="11">SUM(I40:O40)</f>
        <v>12</v>
      </c>
      <c r="S40" s="115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56">
        <f t="shared" si="11"/>
        <v>7</v>
      </c>
      <c r="S41" s="115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56">
        <f t="shared" si="11"/>
        <v>7</v>
      </c>
      <c r="S42" s="115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58">
        <f t="shared" si="11"/>
        <v>18</v>
      </c>
      <c r="S43" s="115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73"/>
      <c r="E1" s="1173"/>
      <c r="F1" s="117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5"/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</row>
    <row r="4" spans="2:33" ht="11.25" customHeight="1" x14ac:dyDescent="0.25">
      <c r="B4" s="1174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75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65">
        <f>8.33*(COUNTIFS(F29:L29,"&lt;&gt;"&amp;"L",F29:L29,"&lt;&gt;"&amp;"D"))+8*(COUNTIFS(F29:L29,"="&amp;"D"))</f>
        <v>57.65</v>
      </c>
      <c r="P29" s="1166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65">
        <f t="shared" ref="O30:O36" si="8">8.33*(COUNTIFS(F30:L30,"&lt;&gt;"&amp;"L",F30:L30,"&lt;&gt;"&amp;"D"))+8*(COUNTIFS(F30:L30,"="&amp;"D"))</f>
        <v>24.990000000000002</v>
      </c>
      <c r="P30" s="1166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65">
        <f t="shared" si="8"/>
        <v>33.32</v>
      </c>
      <c r="P31" s="1166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65">
        <f t="shared" si="8"/>
        <v>41.32</v>
      </c>
      <c r="P32" s="1166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65">
        <f t="shared" si="8"/>
        <v>24.990000000000002</v>
      </c>
      <c r="P33" s="1166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65">
        <f t="shared" si="8"/>
        <v>32.99</v>
      </c>
      <c r="P34" s="1166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65">
        <f t="shared" si="8"/>
        <v>41.65</v>
      </c>
      <c r="P35" s="1166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6">
        <f t="shared" si="8"/>
        <v>57.32</v>
      </c>
      <c r="P36" s="118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54">
        <f>SUM(F39:L39)</f>
        <v>12</v>
      </c>
      <c r="P39" s="1155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56">
        <f t="shared" ref="O40:O43" si="11">SUM(F40:L40)</f>
        <v>12</v>
      </c>
      <c r="P40" s="1157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56">
        <f t="shared" si="11"/>
        <v>7</v>
      </c>
      <c r="P41" s="1157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56">
        <f t="shared" si="11"/>
        <v>7</v>
      </c>
      <c r="P42" s="1157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58">
        <f t="shared" si="11"/>
        <v>18</v>
      </c>
      <c r="P43" s="1159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85"/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8"/>
      <c r="AF3" s="1185"/>
      <c r="AG3" s="1188"/>
    </row>
    <row r="4" spans="2:33" ht="11.25" customHeight="1" x14ac:dyDescent="0.25">
      <c r="B4" s="1189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89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6">
        <f t="shared" ref="N30:N37" si="8">8.33*(COUNTIFS(E30:K30,"&lt;&gt;"&amp;"L",E30:K30,"&lt;&gt;"&amp;"D"))+8*(COUNTIFS(E30:K30,"="&amp;"D"))</f>
        <v>57.65</v>
      </c>
      <c r="O30" s="118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6">
        <f t="shared" si="8"/>
        <v>24.990000000000002</v>
      </c>
      <c r="O31" s="118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6">
        <f t="shared" si="8"/>
        <v>33.32</v>
      </c>
      <c r="O32" s="118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6">
        <f t="shared" si="8"/>
        <v>41.32</v>
      </c>
      <c r="O33" s="118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6">
        <f t="shared" si="8"/>
        <v>24.990000000000002</v>
      </c>
      <c r="O34" s="118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6">
        <f t="shared" si="8"/>
        <v>32.99</v>
      </c>
      <c r="O35" s="118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6">
        <f t="shared" si="8"/>
        <v>41.65</v>
      </c>
      <c r="O36" s="118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6">
        <f t="shared" si="8"/>
        <v>57.32</v>
      </c>
      <c r="O37" s="118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54">
        <f>SUM(E40:K40)</f>
        <v>12</v>
      </c>
      <c r="O40" s="1155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56">
        <f>SUM(E41:K41)</f>
        <v>12</v>
      </c>
      <c r="O41" s="1157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56">
        <f>SUM(E42:K42)</f>
        <v>7</v>
      </c>
      <c r="O42" s="1157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56">
        <f>SUM(E43:K43)</f>
        <v>7</v>
      </c>
      <c r="O43" s="1157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58">
        <f>SUM(E44:K44)</f>
        <v>18</v>
      </c>
      <c r="O44" s="1159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90" t="s">
        <v>95</v>
      </c>
      <c r="D2" s="1190"/>
      <c r="E2" s="1190"/>
      <c r="F2" s="1190"/>
      <c r="G2" s="1190" t="s">
        <v>95</v>
      </c>
      <c r="H2" s="1190"/>
      <c r="I2" s="1190" t="s">
        <v>95</v>
      </c>
      <c r="J2" s="1190"/>
      <c r="K2" s="1190" t="s">
        <v>95</v>
      </c>
      <c r="L2" s="1190"/>
      <c r="M2" s="1190" t="s">
        <v>95</v>
      </c>
      <c r="N2" s="1190"/>
      <c r="O2" s="1190" t="s">
        <v>95</v>
      </c>
      <c r="P2" s="1190"/>
      <c r="Q2" s="1190" t="s">
        <v>95</v>
      </c>
      <c r="R2" s="1190"/>
      <c r="S2" s="1190" t="s">
        <v>95</v>
      </c>
      <c r="T2" s="1190"/>
      <c r="U2" s="1190" t="s">
        <v>95</v>
      </c>
      <c r="V2" s="1190"/>
      <c r="W2" s="1190" t="s">
        <v>95</v>
      </c>
      <c r="X2" s="1190"/>
      <c r="Y2" s="1190" t="s">
        <v>95</v>
      </c>
      <c r="Z2" s="1190"/>
      <c r="AA2" s="1190" t="s">
        <v>95</v>
      </c>
      <c r="AB2" s="1190"/>
      <c r="AC2" s="1190" t="s">
        <v>95</v>
      </c>
      <c r="AD2" s="1190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91" t="s">
        <v>95</v>
      </c>
      <c r="G3" s="1191"/>
      <c r="H3" s="1191"/>
      <c r="I3" s="1191"/>
      <c r="J3" s="1191"/>
      <c r="K3" s="1191"/>
      <c r="L3" s="1191"/>
      <c r="M3" s="1191"/>
      <c r="N3" s="1191"/>
      <c r="O3" s="1191"/>
      <c r="P3" s="1191"/>
      <c r="Q3" s="1191"/>
      <c r="R3" s="1191"/>
      <c r="S3" s="1191"/>
      <c r="T3" s="1191"/>
      <c r="U3" s="1191"/>
      <c r="V3" s="1191"/>
      <c r="W3" s="1191"/>
      <c r="X3" s="1191"/>
      <c r="Y3" s="1191"/>
      <c r="Z3" s="1191"/>
      <c r="AA3" s="1191"/>
      <c r="AB3" s="1191"/>
      <c r="AC3" s="1191"/>
      <c r="AD3" s="1191" t="s">
        <v>95</v>
      </c>
      <c r="AE3" s="1192"/>
      <c r="AF3" s="448"/>
      <c r="AG3" s="448"/>
      <c r="AH3" s="449"/>
    </row>
    <row r="4" spans="2:34" ht="15" customHeight="1" x14ac:dyDescent="0.3">
      <c r="B4" s="1193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73"/>
      <c r="E1" s="1173"/>
      <c r="F1" s="117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85"/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  <c r="AH3" s="1188"/>
    </row>
    <row r="4" spans="2:34" ht="11.25" customHeight="1" x14ac:dyDescent="0.25">
      <c r="B4" s="1189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89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6">
        <f>8.33*(COUNTIFS(F30:L30,"&lt;&gt;"&amp;"L",F30:L30,"&lt;&gt;"&amp;"D"))+8*(COUNTIFS(F30:L30,"="&amp;"D"))</f>
        <v>57.65</v>
      </c>
      <c r="P30" s="1187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6">
        <f t="shared" ref="O31:O37" si="10">8.33*(COUNTIFS(F31:L31,"&lt;&gt;"&amp;"L",F31:L31,"&lt;&gt;"&amp;"D"))+8*(COUNTIFS(F31:L31,"="&amp;"D"))</f>
        <v>24.990000000000002</v>
      </c>
      <c r="P31" s="1187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6">
        <f t="shared" si="10"/>
        <v>33.32</v>
      </c>
      <c r="P32" s="1187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6">
        <f t="shared" si="10"/>
        <v>41.32</v>
      </c>
      <c r="P33" s="1187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6">
        <f t="shared" si="10"/>
        <v>24.990000000000002</v>
      </c>
      <c r="P34" s="1187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6">
        <f t="shared" si="10"/>
        <v>32.99</v>
      </c>
      <c r="P35" s="1187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6">
        <f t="shared" si="10"/>
        <v>41.65</v>
      </c>
      <c r="P36" s="118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6">
        <f t="shared" si="10"/>
        <v>57.32</v>
      </c>
      <c r="P37" s="118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54">
        <f>SUM(F40:L40)</f>
        <v>12</v>
      </c>
      <c r="P40" s="1155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56">
        <f t="shared" ref="O41:O44" si="13">SUM(F41:L41)</f>
        <v>12</v>
      </c>
      <c r="P41" s="1157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56">
        <f t="shared" si="13"/>
        <v>7</v>
      </c>
      <c r="P42" s="1157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56">
        <f t="shared" si="13"/>
        <v>7</v>
      </c>
      <c r="P43" s="1157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58">
        <f t="shared" si="13"/>
        <v>18</v>
      </c>
      <c r="P44" s="1159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5"/>
      <c r="AC3" s="1185"/>
      <c r="AD3" s="1185"/>
      <c r="AE3" s="1188"/>
      <c r="AF3" s="1185"/>
      <c r="AG3" s="1185"/>
      <c r="AH3" s="1188"/>
    </row>
    <row r="4" spans="2:34" ht="11.25" customHeight="1" x14ac:dyDescent="0.25">
      <c r="B4" s="1189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89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5"/>
      <c r="Z3" s="1185"/>
      <c r="AA3" s="1185"/>
      <c r="AB3" s="1185"/>
      <c r="AC3" s="1185"/>
      <c r="AD3" s="1185"/>
      <c r="AE3" s="1185"/>
      <c r="AF3" s="195"/>
      <c r="AG3" s="195"/>
      <c r="AH3" s="337"/>
    </row>
    <row r="4" spans="2:34" ht="11.25" customHeight="1" x14ac:dyDescent="0.25">
      <c r="B4" s="1189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89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90" t="s">
        <v>95</v>
      </c>
      <c r="D2" s="1190"/>
      <c r="E2" s="1190"/>
      <c r="F2" s="1190"/>
      <c r="G2" s="1190" t="s">
        <v>95</v>
      </c>
      <c r="H2" s="1190"/>
      <c r="I2" s="1190" t="s">
        <v>95</v>
      </c>
      <c r="J2" s="1190"/>
      <c r="K2" s="1190" t="s">
        <v>95</v>
      </c>
      <c r="L2" s="1190"/>
      <c r="M2" s="1190" t="s">
        <v>95</v>
      </c>
      <c r="N2" s="1190"/>
      <c r="O2" s="1190" t="s">
        <v>95</v>
      </c>
      <c r="P2" s="1190"/>
      <c r="Q2" s="1190" t="s">
        <v>95</v>
      </c>
      <c r="R2" s="1190"/>
      <c r="S2" s="1190" t="s">
        <v>95</v>
      </c>
      <c r="T2" s="1190"/>
      <c r="U2" s="1190" t="s">
        <v>95</v>
      </c>
      <c r="V2" s="1190"/>
      <c r="W2" s="1190" t="s">
        <v>95</v>
      </c>
      <c r="X2" s="1190"/>
      <c r="Y2" s="1190" t="s">
        <v>95</v>
      </c>
      <c r="Z2" s="1190"/>
      <c r="AA2" s="1190" t="s">
        <v>95</v>
      </c>
      <c r="AB2" s="1190"/>
      <c r="AC2" s="1190" t="s">
        <v>95</v>
      </c>
      <c r="AD2" s="1190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91" t="s">
        <v>95</v>
      </c>
      <c r="G3" s="1191"/>
      <c r="H3" s="1191"/>
      <c r="I3" s="1191"/>
      <c r="J3" s="1191"/>
      <c r="K3" s="1191"/>
      <c r="L3" s="1191"/>
      <c r="M3" s="1191"/>
      <c r="N3" s="1191"/>
      <c r="O3" s="1191"/>
      <c r="P3" s="1191"/>
      <c r="Q3" s="1191"/>
      <c r="R3" s="1191"/>
      <c r="S3" s="1191"/>
      <c r="T3" s="1191"/>
      <c r="U3" s="1191"/>
      <c r="V3" s="1191"/>
      <c r="W3" s="1191"/>
      <c r="X3" s="1191"/>
      <c r="Y3" s="1191"/>
      <c r="Z3" s="1191"/>
      <c r="AA3" s="1191"/>
      <c r="AB3" s="1191"/>
      <c r="AC3" s="1191"/>
      <c r="AD3" s="1191" t="s">
        <v>95</v>
      </c>
      <c r="AE3" s="1192"/>
    </row>
    <row r="4" spans="2:31" ht="15" customHeight="1" x14ac:dyDescent="0.3">
      <c r="B4" s="1193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93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93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90" t="s">
        <v>95</v>
      </c>
      <c r="D2" s="1190"/>
      <c r="E2" s="1190"/>
      <c r="F2" s="1190"/>
      <c r="G2" s="1190" t="s">
        <v>95</v>
      </c>
      <c r="H2" s="1190"/>
      <c r="I2" s="1190" t="s">
        <v>95</v>
      </c>
      <c r="J2" s="1190"/>
      <c r="K2" s="1190" t="s">
        <v>95</v>
      </c>
      <c r="L2" s="1190"/>
      <c r="M2" s="1190" t="s">
        <v>95</v>
      </c>
      <c r="N2" s="1190"/>
      <c r="O2" s="1190" t="s">
        <v>95</v>
      </c>
      <c r="P2" s="1190"/>
      <c r="Q2" s="1190" t="s">
        <v>95</v>
      </c>
      <c r="R2" s="1190"/>
      <c r="S2" s="1190" t="s">
        <v>95</v>
      </c>
      <c r="T2" s="1190"/>
      <c r="U2" s="1190" t="s">
        <v>95</v>
      </c>
      <c r="V2" s="1190"/>
      <c r="W2" s="1190" t="s">
        <v>95</v>
      </c>
      <c r="X2" s="1190"/>
      <c r="Y2" s="1190" t="s">
        <v>95</v>
      </c>
      <c r="Z2" s="1190"/>
      <c r="AA2" s="1190" t="s">
        <v>95</v>
      </c>
      <c r="AB2" s="1190"/>
      <c r="AC2" s="1190" t="s">
        <v>95</v>
      </c>
      <c r="AD2" s="1190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91"/>
      <c r="E3" s="1191"/>
      <c r="F3" s="1191" t="s">
        <v>95</v>
      </c>
      <c r="G3" s="1191"/>
      <c r="H3" s="1191"/>
      <c r="I3" s="1191"/>
      <c r="J3" s="1191"/>
      <c r="K3" s="1191"/>
      <c r="L3" s="1191"/>
      <c r="M3" s="1191"/>
      <c r="N3" s="1191"/>
      <c r="O3" s="1191"/>
      <c r="P3" s="1191"/>
      <c r="Q3" s="1191"/>
      <c r="R3" s="1191"/>
      <c r="S3" s="1191"/>
      <c r="T3" s="1191"/>
      <c r="U3" s="1191"/>
      <c r="V3" s="1191"/>
      <c r="W3" s="1191"/>
      <c r="X3" s="1191"/>
      <c r="Y3" s="1191"/>
      <c r="Z3" s="1191"/>
      <c r="AA3" s="1191"/>
      <c r="AB3" s="1191"/>
      <c r="AC3" s="1191"/>
      <c r="AD3" s="1191" t="s">
        <v>95</v>
      </c>
      <c r="AE3" s="1191"/>
      <c r="AF3" s="1191"/>
      <c r="AG3" s="1192"/>
    </row>
    <row r="4" spans="2:33" ht="15" customHeight="1" thickBot="1" x14ac:dyDescent="0.35">
      <c r="B4" s="1193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93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93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93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93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93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93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93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9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94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95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7" activePane="bottomRight" state="frozen"/>
      <selection pane="topRight" activeCell="D1" sqref="D1"/>
      <selection pane="bottomLeft" activeCell="A6" sqref="A6"/>
      <selection pane="bottomRight" activeCell="AE7" sqref="AE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94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95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 x14ac:dyDescent="0.25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13" sqref="G13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94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95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0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N15" sqref="N1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94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95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96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96" t="s">
        <v>14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96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96" t="s">
        <v>19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4" t="s">
        <v>6</v>
      </c>
      <c r="E13" s="732" t="s">
        <v>14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94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195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7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7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94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95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8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64b1260-a5f7-4b3a-b068-64bf4e1da49b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989080BCE01048B1A54D8A5E8955CE" ma:contentTypeVersion="6" ma:contentTypeDescription="Create a new document." ma:contentTypeScope="" ma:versionID="fb4a6469d1b409b4e6f14717bd4b59ef">
  <xsd:schema xmlns:xsd="http://www.w3.org/2001/XMLSchema" xmlns:xs="http://www.w3.org/2001/XMLSchema" xmlns:p="http://schemas.microsoft.com/office/2006/metadata/properties" xmlns:ns2="af57c0b2-1552-4766-8cc5-eadde08a9878" xmlns:ns3="764b1260-a5f7-4b3a-b068-64bf4e1da49b" targetNamespace="http://schemas.microsoft.com/office/2006/metadata/properties" ma:root="true" ma:fieldsID="55882090314ae325f2651e247a226a5b" ns2:_="" ns3:_="">
    <xsd:import namespace="af57c0b2-1552-4766-8cc5-eadde08a9878"/>
    <xsd:import namespace="764b1260-a5f7-4b3a-b068-64bf4e1da4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7c0b2-1552-4766-8cc5-eadde08a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4b1260-a5f7-4b3a-b068-64bf4e1da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AEC4E9-D5BB-40A4-AB55-3FD90BB5AFFA}">
  <ds:schemaRefs>
    <ds:schemaRef ds:uri="http://www.w3.org/XML/1998/namespace"/>
    <ds:schemaRef ds:uri="af57c0b2-1552-4766-8cc5-eadde08a9878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764b1260-a5f7-4b3a-b068-64bf4e1da49b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78F04EA3-16CB-4CBE-B6A7-9D482919107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Junio</vt:lpstr>
      <vt:lpstr>Abril</vt:lpstr>
      <vt:lpstr>Mayo 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2026-03-03T07:13:07Z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0x0101002E989080BCE01048B1A54D8A5E8955CE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