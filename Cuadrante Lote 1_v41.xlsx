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ivirsl-my.sharepoint.com/personal/inmaculada_benitez_civir_es/Documents/Escritorio/"/>
    </mc:Choice>
  </mc:AlternateContent>
  <xr:revisionPtr revIDLastSave="0" documentId="8_{359D85F8-BF8C-4E1D-AA24-B987F03A3534}" xr6:coauthVersionLast="47" xr6:coauthVersionMax="47" xr10:uidLastSave="{00000000-0000-0000-0000-000000000000}"/>
  <bookViews>
    <workbookView xWindow="-110" yWindow="-110" windowWidth="19420" windowHeight="10300" firstSheet="27" activeTab="29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Abril" sheetId="27" r:id="rId18"/>
    <sheet name="Mayo " sheetId="29" r:id="rId19"/>
    <sheet name="Junio" sheetId="30" r:id="rId20"/>
    <sheet name="Julio" sheetId="31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5" i="43" l="1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U18" i="43" s="1"/>
  <c r="T20" i="43"/>
  <c r="T18" i="43" s="1"/>
  <c r="S20" i="43"/>
  <c r="S18" i="43" s="1"/>
  <c r="R20" i="43"/>
  <c r="Q20" i="43"/>
  <c r="Q18" i="43" s="1"/>
  <c r="P20" i="43"/>
  <c r="O20" i="43"/>
  <c r="N20" i="43"/>
  <c r="M20" i="43"/>
  <c r="L20" i="43"/>
  <c r="K20" i="43"/>
  <c r="J20" i="43"/>
  <c r="I20" i="43"/>
  <c r="I18" i="43" s="1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D18" i="45" s="1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F18" i="45" s="1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B20" i="44"/>
  <c r="AA20" i="44"/>
  <c r="Z20" i="44"/>
  <c r="Y20" i="44"/>
  <c r="X20" i="44"/>
  <c r="W20" i="44"/>
  <c r="V20" i="44"/>
  <c r="U20" i="44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H18" i="44" s="1"/>
  <c r="G20" i="44"/>
  <c r="G18" i="44" s="1"/>
  <c r="F20" i="44"/>
  <c r="F18" i="44" s="1"/>
  <c r="E20" i="44"/>
  <c r="E18" i="44" s="1"/>
  <c r="D20" i="44"/>
  <c r="AG19" i="44"/>
  <c r="AF19" i="44"/>
  <c r="AE19" i="44"/>
  <c r="AD19" i="44"/>
  <c r="AC19" i="44"/>
  <c r="AB19" i="44"/>
  <c r="AA19" i="44"/>
  <c r="AA18" i="44" s="1"/>
  <c r="Z19" i="44"/>
  <c r="Z18" i="44" s="1"/>
  <c r="Y19" i="44"/>
  <c r="Y18" i="44" s="1"/>
  <c r="X19" i="44"/>
  <c r="X18" i="44" s="1"/>
  <c r="W19" i="44"/>
  <c r="W18" i="44" s="1"/>
  <c r="V19" i="44"/>
  <c r="V18" i="44" s="1"/>
  <c r="U19" i="44"/>
  <c r="T19" i="44"/>
  <c r="S19" i="44"/>
  <c r="R19" i="44"/>
  <c r="Q19" i="44"/>
  <c r="P19" i="44"/>
  <c r="O19" i="44"/>
  <c r="O18" i="44" s="1"/>
  <c r="N19" i="44"/>
  <c r="N18" i="44" s="1"/>
  <c r="M19" i="44"/>
  <c r="M18" i="44" s="1"/>
  <c r="L19" i="44"/>
  <c r="L18" i="44" s="1"/>
  <c r="K19" i="44"/>
  <c r="K18" i="44" s="1"/>
  <c r="J19" i="44"/>
  <c r="J18" i="44" s="1"/>
  <c r="I19" i="44"/>
  <c r="H19" i="44"/>
  <c r="G19" i="44"/>
  <c r="F19" i="44"/>
  <c r="E19" i="44"/>
  <c r="D19" i="44"/>
  <c r="AG18" i="44"/>
  <c r="AF18" i="44"/>
  <c r="AE18" i="44"/>
  <c r="AD18" i="44"/>
  <c r="AC18" i="44"/>
  <c r="AB18" i="44"/>
  <c r="U18" i="44"/>
  <c r="T18" i="44"/>
  <c r="S18" i="44"/>
  <c r="R18" i="44"/>
  <c r="Q18" i="44"/>
  <c r="P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C18" i="39" s="1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G18" i="39" s="1"/>
  <c r="AF19" i="39"/>
  <c r="AF18" i="39" s="1"/>
  <c r="AE19" i="39"/>
  <c r="AE18" i="39" s="1"/>
  <c r="AD19" i="39"/>
  <c r="AD18" i="39" s="1"/>
  <c r="AC19" i="39"/>
  <c r="AB19" i="39"/>
  <c r="AA19" i="39"/>
  <c r="Z19" i="39"/>
  <c r="Y19" i="39"/>
  <c r="Y18" i="39" s="1"/>
  <c r="X19" i="39"/>
  <c r="X18" i="39" s="1"/>
  <c r="W19" i="39"/>
  <c r="W18" i="39" s="1"/>
  <c r="V19" i="39"/>
  <c r="U19" i="39"/>
  <c r="T19" i="39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E18" i="41" s="1"/>
  <c r="AD20" i="41"/>
  <c r="AC20" i="4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Q20" i="41"/>
  <c r="P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N18" i="41" s="1"/>
  <c r="M19" i="41"/>
  <c r="L19" i="41"/>
  <c r="L18" i="41" s="1"/>
  <c r="K19" i="41"/>
  <c r="K18" i="41" s="1"/>
  <c r="J19" i="41"/>
  <c r="J18" i="41" s="1"/>
  <c r="I19" i="41"/>
  <c r="I18" i="41" s="1"/>
  <c r="H19" i="41"/>
  <c r="G19" i="41"/>
  <c r="F19" i="41"/>
  <c r="E19" i="41"/>
  <c r="D19" i="41"/>
  <c r="AA18" i="41"/>
  <c r="Z18" i="41"/>
  <c r="Y18" i="41"/>
  <c r="X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I18" i="44" l="1"/>
  <c r="AD18" i="41"/>
  <c r="AC18" i="41"/>
  <c r="AC18" i="39"/>
  <c r="AB18" i="39"/>
  <c r="R18" i="41"/>
  <c r="Q18" i="41"/>
  <c r="N18" i="39"/>
  <c r="O18" i="39"/>
  <c r="G18" i="41"/>
  <c r="T18" i="39"/>
  <c r="U18" i="39"/>
  <c r="V18" i="39"/>
  <c r="H18" i="41"/>
  <c r="G18" i="43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<sst xmlns="http://schemas.openxmlformats.org/spreadsheetml/2006/main" count="11126" uniqueCount="105">
  <si>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</si>
  <si>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</si>
  <si>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</si>
  <si>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</si>
  <si>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</si>
  <si>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</si>
  <si>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</si>
  <si>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</si>
  <si>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</si>
  <si>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</si>
  <si>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</si>
  <si>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</si>
  <si>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</si>
  <si>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</si>
  <si>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</si>
  <si>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</si>
  <si>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</si>
  <si>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</si>
  <si>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</si>
  <si>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</si>
  <si>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</si>
  <si>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</si>
  <si>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</si>
  <si>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</si>
  <si>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</si>
  <si>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</si>
  <si>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</si>
  <si>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</si>
  <si>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</si>
  <si>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</si>
  <si>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</si>
  <si>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</si>
  <si>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</si>
  <si>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</si>
  <si>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</si>
  <si>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</si>
  <si>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</si>
  <si>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</si>
  <si>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</si>
  <si>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</si>
  <si>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</si>
  <si>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</si>
  <si>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</si>
  <si>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</si>
  <si>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</si>
  <si>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</si>
  <si>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</si>
  <si>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</si>
  <si>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</si>
  <si>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</si>
  <si>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</si>
  <si>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</si>
  <si>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</si>
  <si>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</si>
  <si>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</si>
  <si>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</si>
  <si>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</si>
  <si>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</si>
  <si>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</si>
  <si>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</si>
  <si>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</si>
  <si>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</si>
  <si>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</si>
  <si>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</si>
  <si>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</si>
  <si>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</si>
  <si>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</si>
  <si>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</si>
  <si>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</si>
  <si>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</si>
  <si>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</si>
  <si>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</si>
  <si>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</si>
  <si>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</si>
  <si>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</si>
  <si>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</si>
  <si>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</si>
  <si>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</si>
  <si>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</si>
  <si>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</si>
  <si>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</si>
  <si>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</si>
  <si>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</si>
  <si>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</si>
  <si>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</si>
  <si>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</si>
  <si>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</si>
  <si>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</si>
  <si>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</si>
  <si>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</si>
  <si>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</si>
  <si>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</si>
  <si>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</si>
  <si>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</si>
  <si>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</si>
  <si>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</si>
  <si>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</si>
  <si>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</si>
  <si>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</si>
  <si>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</si>
  <si>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</si>
  <si>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</si>
  <si>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MD</t>
  </si>
  <si>
    <t>ALEXANDRE DIZ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</si>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</sst>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1" x14ac:knownFonts="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</fills>
  <borders count="22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195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0" fontId="5" fillId="47" borderId="87" xfId="0" applyFont="1" applyFill="1" applyBorder="1" applyAlignment="1">
      <alignment horizontal="center"/>
    </xf>
    <xf numFmtId="0" fontId="23" fillId="7" borderId="141" xfId="0" applyFont="1" applyFill="1" applyBorder="1" applyAlignment="1">
      <alignment horizontal="center"/>
    </xf>
    <xf numFmtId="0" fontId="5" fillId="47" borderId="45" xfId="0" applyFont="1" applyFill="1" applyBorder="1" applyAlignment="1">
      <alignment horizontal="center"/>
    </xf>
    <xf numFmtId="0" fontId="28" fillId="7" borderId="7" xfId="0" applyFont="1" applyFill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47" borderId="63" xfId="0" applyFont="1" applyFill="1" applyBorder="1" applyAlignment="1">
      <alignment horizontal="center"/>
    </xf>
    <xf numFmtId="0" fontId="3" fillId="4" borderId="50" xfId="0" applyFont="1" applyFill="1" applyBorder="1"/>
    <xf numFmtId="0" fontId="3" fillId="4" borderId="57" xfId="0" applyFont="1" applyFill="1" applyBorder="1"/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1" fillId="43" borderId="51" xfId="0" applyFont="1" applyFill="1" applyBorder="1"/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" fillId="4" borderId="55" xfId="0" applyFont="1" applyFill="1" applyBorder="1"/>
  </cellXfs>
  <cellStyles count="3">
    <cellStyle name="Accent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38700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topRight" activeCell="D1" sqref="D1"/>
      <selection pane="bottomLeft" activeCell="A6" sqref="A6"/>
      <selection pane="bottomRight" activeCell="A32" sqref="A32"/>
    </sheetView>
  </sheetViews>
  <sheetFormatPr defaultColWidth="11.453125" defaultRowHeight="12.5" x14ac:dyDescent="0.25"/>
  <cols>
    <col min="1" max="1" width="12.453125" customWidth="1"/>
    <col min="2" max="2" width="3.26953125" customWidth="1"/>
    <col min="3" max="3" width="30.26953125" customWidth="1"/>
    <col min="4" max="43" width="4.26953125" style="5" customWidth="1"/>
    <col min="44" max="44" width="2.7265625" customWidth="1"/>
    <col min="45" max="45" width="5.26953125" customWidth="1"/>
    <col min="46" max="46" width="2.7265625" customWidth="1"/>
    <col min="47" max="47" width="15.7265625" bestFit="1" customWidth="1"/>
    <col min="48" max="48" width="14.7265625" bestFit="1" customWidth="1"/>
  </cols>
  <sheetData>
    <row r="1" spans="2:45" ht="21" customHeight="1" x14ac:dyDescent="0.25">
      <c r="D1" s="10"/>
      <c r="E1" s="10"/>
      <c r="F1" s="1167"/>
      <c r="G1" s="1167"/>
      <c r="H1" s="1167"/>
      <c r="I1" s="1167"/>
      <c r="J1" s="1167"/>
      <c r="K1" s="1167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 x14ac:dyDescent="0.3">
      <c r="B2" s="1165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 x14ac:dyDescent="0.35">
      <c r="B3" s="1165"/>
      <c r="C3" s="2"/>
      <c r="D3" s="7"/>
      <c r="E3" s="7"/>
      <c r="F3" s="1175" t="s">
        <v>1</v>
      </c>
      <c r="G3" s="1175"/>
      <c r="H3" s="1175"/>
      <c r="I3" s="1175"/>
      <c r="J3" s="1175"/>
      <c r="K3" s="1175"/>
      <c r="L3" s="1175"/>
      <c r="M3" s="1175"/>
      <c r="N3" s="1175"/>
      <c r="O3" s="1175"/>
      <c r="P3" s="1175"/>
      <c r="Q3" s="1175"/>
      <c r="R3" s="1175"/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  <c r="AH3" s="1175"/>
      <c r="AI3" s="1175"/>
      <c r="AJ3" s="1175"/>
      <c r="AK3" s="1175"/>
      <c r="AL3" s="1170" t="s">
        <v>2</v>
      </c>
      <c r="AM3" s="1170"/>
      <c r="AN3" s="1170"/>
      <c r="AO3" s="1170"/>
      <c r="AP3" s="1170"/>
      <c r="AQ3" s="1170"/>
    </row>
    <row r="4" spans="2:45" ht="11.25" customHeight="1" x14ac:dyDescent="0.25">
      <c r="B4" s="41"/>
      <c r="C4" s="1168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3" thickBot="1" x14ac:dyDescent="0.3">
      <c r="B5" s="42"/>
      <c r="C5" s="1169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 x14ac:dyDescent="0.25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 x14ac:dyDescent="0.25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 x14ac:dyDescent="0.25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 x14ac:dyDescent="0.25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 x14ac:dyDescent="0.25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 x14ac:dyDescent="0.25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 x14ac:dyDescent="0.25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 x14ac:dyDescent="0.25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 x14ac:dyDescent="0.25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 x14ac:dyDescent="0.25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 x14ac:dyDescent="0.3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5" customHeight="1" x14ac:dyDescent="0.25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5" customHeight="1" x14ac:dyDescent="0.25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5" customHeight="1" x14ac:dyDescent="0.25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5" customHeight="1" x14ac:dyDescent="0.25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5" customHeight="1" x14ac:dyDescent="0.25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5" customHeight="1" x14ac:dyDescent="0.25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 x14ac:dyDescent="0.25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 x14ac:dyDescent="0.25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 x14ac:dyDescent="0.25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 x14ac:dyDescent="0.25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 x14ac:dyDescent="0.25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5" x14ac:dyDescent="0.25">
      <c r="D28" s="33"/>
      <c r="E28" s="32"/>
      <c r="F28" s="1166" t="str">
        <f>"Plantilla de Turnos CCNC  "&amp;D29</f>
        <v>Plantilla de Turnos CCNC  Raquel</v>
      </c>
      <c r="G28" s="1166"/>
      <c r="H28" s="1166"/>
      <c r="I28" s="1166"/>
      <c r="J28" s="1166"/>
      <c r="K28" s="1166"/>
      <c r="L28" s="1166"/>
      <c r="M28" s="27"/>
      <c r="N28" s="27"/>
      <c r="O28" s="27"/>
      <c r="P28" s="11"/>
      <c r="Q28" s="10"/>
      <c r="R28" s="10"/>
      <c r="S28" s="10"/>
      <c r="T28" s="10"/>
      <c r="U28" s="10"/>
      <c r="V28" s="1166" t="str">
        <f>"Plantilla de Turnos CCNC  "&amp;V29</f>
        <v>Plantilla de Turnos CCNC  To Be</v>
      </c>
      <c r="W28" s="1166"/>
      <c r="X28" s="1166"/>
      <c r="Y28" s="1166"/>
      <c r="Z28" s="1166"/>
      <c r="AA28" s="1166"/>
      <c r="AB28" s="1166"/>
      <c r="AC28" s="1166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 x14ac:dyDescent="0.25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5" x14ac:dyDescent="0.3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178">
        <f>8.33*(COUNTIFS(F30:L30,"&lt;&gt;"&amp;"L"))</f>
        <v>41.65</v>
      </c>
      <c r="P30" s="1179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176">
        <f>8.33*(COUNTIFS(W30:AC30,"&lt;&gt;"&amp;"L"))</f>
        <v>58.31</v>
      </c>
      <c r="AG30" s="1177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5" x14ac:dyDescent="0.3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159">
        <f t="shared" ref="O31:O38" si="12">8.33*(COUNTIFS(F31:L31,"&lt;&gt;"&amp;"L"))</f>
        <v>33.32</v>
      </c>
      <c r="P31" s="1160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171">
        <f t="shared" ref="AF31:AF37" si="13">8.33*(COUNTIFS(W31:AC31,"&lt;&gt;"&amp;"L"))</f>
        <v>24.990000000000002</v>
      </c>
      <c r="AG31" s="1172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5" x14ac:dyDescent="0.3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159">
        <f t="shared" si="12"/>
        <v>58.31</v>
      </c>
      <c r="P32" s="1160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171">
        <f t="shared" si="13"/>
        <v>33.32</v>
      </c>
      <c r="AG32" s="1172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5" x14ac:dyDescent="0.3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159">
        <f>8.33*(COUNTIFS(F33:L33,"&lt;&gt;"&amp;"LG"))</f>
        <v>41.65</v>
      </c>
      <c r="P33" s="1160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171">
        <f t="shared" si="13"/>
        <v>41.65</v>
      </c>
      <c r="AG33" s="1172"/>
    </row>
    <row r="34" spans="3:33" ht="14.5" x14ac:dyDescent="0.3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171">
        <f t="shared" si="13"/>
        <v>24.990000000000002</v>
      </c>
      <c r="AG34" s="1172"/>
    </row>
    <row r="35" spans="3:33" ht="14.5" x14ac:dyDescent="0.3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159">
        <f t="shared" si="12"/>
        <v>58.31</v>
      </c>
      <c r="P35" s="1160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171">
        <f t="shared" si="13"/>
        <v>33.32</v>
      </c>
      <c r="AG35" s="1172"/>
    </row>
    <row r="36" spans="3:33" ht="14.5" x14ac:dyDescent="0.3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159">
        <f t="shared" si="12"/>
        <v>33.32</v>
      </c>
      <c r="P36" s="1160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171">
        <f t="shared" si="13"/>
        <v>41.65</v>
      </c>
      <c r="AG36" s="1172"/>
    </row>
    <row r="37" spans="3:33" ht="14.5" x14ac:dyDescent="0.3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159">
        <f t="shared" si="12"/>
        <v>24.990000000000002</v>
      </c>
      <c r="P37" s="1160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173">
        <f t="shared" si="13"/>
        <v>58.31</v>
      </c>
      <c r="AG37" s="1174"/>
    </row>
    <row r="38" spans="3:33" ht="14.5" x14ac:dyDescent="0.3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161">
        <f t="shared" si="12"/>
        <v>41.65</v>
      </c>
      <c r="P38" s="1162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 x14ac:dyDescent="0.25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 x14ac:dyDescent="0.25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180">
        <f>SUM(W40:AC40)</f>
        <v>12</v>
      </c>
      <c r="AG40" s="1181"/>
    </row>
    <row r="41" spans="3:33" x14ac:dyDescent="0.25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163">
        <f>SUM(F41:L41)</f>
        <v>10</v>
      </c>
      <c r="P41" s="1164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182">
        <f t="shared" ref="AF41:AF44" si="17">SUM(W41:AC41)</f>
        <v>12</v>
      </c>
      <c r="AG41" s="1183"/>
    </row>
    <row r="42" spans="3:33" x14ac:dyDescent="0.25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155">
        <f t="shared" ref="O42:O45" si="19">SUM(F42:L42)</f>
        <v>11</v>
      </c>
      <c r="P42" s="1156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182">
        <f t="shared" si="17"/>
        <v>7</v>
      </c>
      <c r="AG42" s="1183"/>
    </row>
    <row r="43" spans="3:33" x14ac:dyDescent="0.25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155">
        <f t="shared" si="19"/>
        <v>7</v>
      </c>
      <c r="P43" s="1156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182">
        <f t="shared" si="17"/>
        <v>7</v>
      </c>
      <c r="AG43" s="1183"/>
    </row>
    <row r="44" spans="3:33" x14ac:dyDescent="0.25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155">
        <f t="shared" si="19"/>
        <v>7</v>
      </c>
      <c r="P44" s="1156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184">
        <f t="shared" si="17"/>
        <v>18</v>
      </c>
      <c r="AG44" s="1185"/>
    </row>
    <row r="45" spans="3:33" x14ac:dyDescent="0.25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157">
        <f t="shared" si="19"/>
        <v>14</v>
      </c>
      <c r="P45" s="1158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AF40:AG40"/>
    <mergeCell ref="AF41:AG41"/>
    <mergeCell ref="AF42:AG42"/>
    <mergeCell ref="AF43:AG43"/>
    <mergeCell ref="AF44:AG44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B2:B3"/>
    <mergeCell ref="V28:AC28"/>
    <mergeCell ref="F1:K1"/>
    <mergeCell ref="C4:C5"/>
    <mergeCell ref="AL3:AQ3"/>
    <mergeCell ref="F28:L28"/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9" sqref="A9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67"/>
      <c r="E1" s="1167"/>
      <c r="F1" s="1167"/>
      <c r="G1" s="1167"/>
      <c r="H1" s="1167"/>
      <c r="I1" s="116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88" t="s">
        <v>51</v>
      </c>
      <c r="E3" s="1188"/>
      <c r="F3" s="1188"/>
      <c r="G3" s="1188"/>
      <c r="H3" s="1188"/>
      <c r="I3" s="1188"/>
      <c r="J3" s="1188"/>
      <c r="K3" s="1188"/>
      <c r="L3" s="1188"/>
      <c r="M3" s="1188"/>
      <c r="N3" s="1188"/>
      <c r="O3" s="1188"/>
      <c r="P3" s="1188"/>
      <c r="Q3" s="1188"/>
      <c r="R3" s="1188"/>
      <c r="S3" s="1188"/>
      <c r="T3" s="1188"/>
      <c r="U3" s="1188"/>
      <c r="V3" s="1188"/>
      <c r="W3" s="1188"/>
      <c r="X3" s="1188"/>
      <c r="Y3" s="1188"/>
      <c r="Z3" s="1188"/>
      <c r="AA3" s="1188"/>
      <c r="AB3" s="1170" t="s">
        <v>52</v>
      </c>
      <c r="AC3" s="1170"/>
      <c r="AD3" s="1170"/>
      <c r="AE3" s="1170"/>
    </row>
    <row r="4" spans="2:31" ht="11.25" customHeight="1" x14ac:dyDescent="0.25">
      <c r="B4" s="1168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69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 x14ac:dyDescent="0.25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 x14ac:dyDescent="0.25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 x14ac:dyDescent="0.25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 x14ac:dyDescent="0.25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 x14ac:dyDescent="0.25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 x14ac:dyDescent="0.25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 x14ac:dyDescent="0.25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 x14ac:dyDescent="0.25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 x14ac:dyDescent="0.25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 x14ac:dyDescent="0.25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 x14ac:dyDescent="0.25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 x14ac:dyDescent="0.25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 x14ac:dyDescent="0.3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5" customHeight="1" x14ac:dyDescent="0.25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5" customHeight="1" x14ac:dyDescent="0.25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5" customHeight="1" x14ac:dyDescent="0.25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5" customHeight="1" thickBot="1" x14ac:dyDescent="0.3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5" customHeight="1" x14ac:dyDescent="0.25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5" customHeight="1" x14ac:dyDescent="0.25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 x14ac:dyDescent="0.25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 x14ac:dyDescent="0.25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 x14ac:dyDescent="0.25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x14ac:dyDescent="0.25">
      <c r="C30" s="10"/>
      <c r="D30" s="10"/>
      <c r="E30" s="10"/>
      <c r="F30" s="10"/>
      <c r="G30" s="10"/>
      <c r="H30" s="1166" t="str">
        <f>"Plantilla de Turnos CCNC  "&amp;H31</f>
        <v>Plantilla de Turnos CCNC  To Be</v>
      </c>
      <c r="I30" s="1166"/>
      <c r="J30" s="1166"/>
      <c r="K30" s="1166"/>
      <c r="L30" s="1166"/>
      <c r="M30" s="1166"/>
      <c r="N30" s="1166"/>
      <c r="O30" s="1166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176">
        <f>8.33*(COUNTIFS(I32:O32,"&lt;&gt;"&amp;"L",I32:O32,"&lt;&gt;"&amp;"D"))+8*(COUNTIFS(I32:O32,"="&amp;"D"))</f>
        <v>57.65</v>
      </c>
      <c r="S32" s="117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176">
        <f t="shared" ref="R33:R39" si="7">8.33*(COUNTIFS(I33:O33,"&lt;&gt;"&amp;"L",I33:O33,"&lt;&gt;"&amp;"D"))+8*(COUNTIFS(I33:O33,"="&amp;"D"))</f>
        <v>24.990000000000002</v>
      </c>
      <c r="S33" s="117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176">
        <f t="shared" si="7"/>
        <v>33.32</v>
      </c>
      <c r="S34" s="117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3" thickBot="1" x14ac:dyDescent="0.3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176">
        <f t="shared" si="7"/>
        <v>41.32</v>
      </c>
      <c r="S35" s="117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176">
        <f t="shared" si="7"/>
        <v>24.990000000000002</v>
      </c>
      <c r="S36" s="117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176">
        <f t="shared" si="7"/>
        <v>32.99</v>
      </c>
      <c r="S37" s="117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176">
        <f t="shared" si="7"/>
        <v>41.65</v>
      </c>
      <c r="S38" s="1177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186">
        <f t="shared" si="7"/>
        <v>57.32</v>
      </c>
      <c r="S39" s="1187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3" thickBot="1" x14ac:dyDescent="0.3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180">
        <f>SUM(I42:O42)</f>
        <v>12</v>
      </c>
      <c r="S42" s="1181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182">
        <f t="shared" ref="R43:R46" si="10">SUM(I43:O43)</f>
        <v>12</v>
      </c>
      <c r="S43" s="1183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182">
        <f t="shared" si="10"/>
        <v>7</v>
      </c>
      <c r="S44" s="1183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x14ac:dyDescent="0.25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182">
        <f t="shared" si="10"/>
        <v>7</v>
      </c>
      <c r="S45" s="1183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3" thickBot="1" x14ac:dyDescent="0.3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184">
        <f t="shared" si="10"/>
        <v>18</v>
      </c>
      <c r="S46" s="1185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 x14ac:dyDescent="0.25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32:S32"/>
    <mergeCell ref="D1:I1"/>
    <mergeCell ref="D3:AA3"/>
    <mergeCell ref="AB3:AE3"/>
    <mergeCell ref="B4:B5"/>
    <mergeCell ref="H30:O30"/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L9" sqref="L9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67"/>
      <c r="E1" s="1167"/>
      <c r="F1" s="1167"/>
      <c r="G1" s="1167"/>
      <c r="H1" s="1167"/>
      <c r="I1" s="116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 x14ac:dyDescent="0.35">
      <c r="B3" s="2"/>
      <c r="C3" s="7"/>
      <c r="D3" s="1188" t="s">
        <v>59</v>
      </c>
      <c r="E3" s="1188"/>
      <c r="F3" s="1188"/>
      <c r="G3" s="1188"/>
      <c r="H3" s="1188"/>
      <c r="I3" s="1188"/>
      <c r="J3" s="1188"/>
      <c r="K3" s="1188"/>
      <c r="L3" s="1188"/>
      <c r="M3" s="1188"/>
      <c r="N3" s="1188"/>
      <c r="O3" s="1188"/>
      <c r="P3" s="1188"/>
      <c r="Q3" s="1188"/>
      <c r="R3" s="1188"/>
      <c r="S3" s="1188"/>
      <c r="T3" s="1188"/>
      <c r="U3" s="1188"/>
      <c r="V3" s="1188"/>
      <c r="W3" s="1188"/>
      <c r="X3" s="1188"/>
      <c r="Y3" s="1188"/>
      <c r="Z3" s="1188"/>
      <c r="AA3" s="1188"/>
      <c r="AB3" s="1170" t="s">
        <v>51</v>
      </c>
      <c r="AC3" s="1170"/>
      <c r="AD3" s="1170"/>
      <c r="AE3" s="1170"/>
    </row>
    <row r="4" spans="2:33" ht="11.25" customHeight="1" x14ac:dyDescent="0.25">
      <c r="B4" s="1168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3" thickBot="1" x14ac:dyDescent="0.3">
      <c r="B5" s="1169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 x14ac:dyDescent="0.25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 x14ac:dyDescent="0.25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 x14ac:dyDescent="0.25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 x14ac:dyDescent="0.25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 x14ac:dyDescent="0.25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 x14ac:dyDescent="0.25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 x14ac:dyDescent="0.3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5" customHeight="1" x14ac:dyDescent="0.25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5" customHeight="1" x14ac:dyDescent="0.25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5" customHeight="1" x14ac:dyDescent="0.25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5" customHeight="1" thickBot="1" x14ac:dyDescent="0.3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5" customHeight="1" x14ac:dyDescent="0.25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5" customHeight="1" x14ac:dyDescent="0.25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 x14ac:dyDescent="0.25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 x14ac:dyDescent="0.25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 x14ac:dyDescent="0.25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3" x14ac:dyDescent="0.25">
      <c r="C28" s="10"/>
      <c r="D28" s="10"/>
      <c r="E28" s="10"/>
      <c r="F28" s="10"/>
      <c r="G28" s="10"/>
      <c r="H28" s="1166" t="str">
        <f>"Plantilla de Turnos CCNC  "&amp;H29</f>
        <v>Plantilla de Turnos CCNC  To Be</v>
      </c>
      <c r="I28" s="1166"/>
      <c r="J28" s="1166"/>
      <c r="K28" s="1166"/>
      <c r="L28" s="1166"/>
      <c r="M28" s="1166"/>
      <c r="N28" s="1166"/>
      <c r="O28" s="1166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3" thickBot="1" x14ac:dyDescent="0.3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76">
        <f>8.33*(COUNTIFS(I30:O30,"&lt;&gt;"&amp;"L",I30:O30,"&lt;&gt;"&amp;"D"))+8*(COUNTIFS(I30:O30,"="&amp;"D"))</f>
        <v>57.65</v>
      </c>
      <c r="S30" s="1177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76">
        <f t="shared" ref="R31:R37" si="7">8.33*(COUNTIFS(I31:O31,"&lt;&gt;"&amp;"L",I31:O31,"&lt;&gt;"&amp;"D"))+8*(COUNTIFS(I31:O31,"="&amp;"D"))</f>
        <v>24.990000000000002</v>
      </c>
      <c r="S31" s="1177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76">
        <f t="shared" si="7"/>
        <v>33.32</v>
      </c>
      <c r="S32" s="117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76">
        <f t="shared" si="7"/>
        <v>41.32</v>
      </c>
      <c r="S33" s="117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76">
        <f t="shared" si="7"/>
        <v>24.990000000000002</v>
      </c>
      <c r="S34" s="117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76">
        <f t="shared" si="7"/>
        <v>32.99</v>
      </c>
      <c r="S35" s="117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76">
        <f t="shared" si="7"/>
        <v>41.65</v>
      </c>
      <c r="S36" s="117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86">
        <f t="shared" si="7"/>
        <v>57.32</v>
      </c>
      <c r="S37" s="118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180">
        <f>SUM(I40:O40)</f>
        <v>12</v>
      </c>
      <c r="S40" s="1181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182">
        <f t="shared" ref="R41:R44" si="10">SUM(I41:O41)</f>
        <v>12</v>
      </c>
      <c r="S41" s="1183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182">
        <f t="shared" si="10"/>
        <v>7</v>
      </c>
      <c r="S42" s="1183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182">
        <f t="shared" si="10"/>
        <v>7</v>
      </c>
      <c r="S43" s="1183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184">
        <f t="shared" si="10"/>
        <v>18</v>
      </c>
      <c r="S44" s="1185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D1:I1"/>
    <mergeCell ref="B4:B5"/>
    <mergeCell ref="H28:O28"/>
    <mergeCell ref="D3:AA3"/>
    <mergeCell ref="AB3:AE3"/>
    <mergeCell ref="R42:S42"/>
    <mergeCell ref="R43:S43"/>
    <mergeCell ref="R44:S44"/>
    <mergeCell ref="R37:S37"/>
    <mergeCell ref="R40:S40"/>
    <mergeCell ref="R41:S41"/>
    <mergeCell ref="R33:S33"/>
    <mergeCell ref="R34:S34"/>
    <mergeCell ref="R35:S35"/>
    <mergeCell ref="R36:S36"/>
    <mergeCell ref="R30:S30"/>
    <mergeCell ref="R31:S31"/>
    <mergeCell ref="R32:S32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2" sqref="A12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67"/>
      <c r="E1" s="1167"/>
      <c r="F1" s="1167"/>
      <c r="G1" s="1167"/>
      <c r="H1" s="1167"/>
      <c r="I1" s="116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88" t="str">
        <f>TEXT(D5,"mmm")</f>
        <v>mar</v>
      </c>
      <c r="E3" s="1188"/>
      <c r="F3" s="1188"/>
      <c r="G3" s="1188"/>
      <c r="H3" s="1188"/>
      <c r="I3" s="1188"/>
      <c r="J3" s="1188"/>
      <c r="K3" s="1188"/>
      <c r="L3" s="1188"/>
      <c r="M3" s="1188"/>
      <c r="N3" s="1188"/>
      <c r="O3" s="1188"/>
      <c r="P3" s="1188"/>
      <c r="Q3" s="1188"/>
      <c r="R3" s="1188"/>
      <c r="S3" s="1188"/>
      <c r="T3" s="1188"/>
      <c r="U3" s="1188"/>
      <c r="V3" s="1188"/>
      <c r="W3" s="1188"/>
      <c r="X3" s="1188"/>
      <c r="Y3" s="1188"/>
      <c r="Z3" s="1188"/>
      <c r="AA3" s="1188"/>
      <c r="AB3" s="1188"/>
      <c r="AC3" s="1188"/>
      <c r="AD3" s="1188"/>
      <c r="AE3" s="1188"/>
    </row>
    <row r="4" spans="2:31" ht="11.25" customHeight="1" x14ac:dyDescent="0.25">
      <c r="B4" s="1168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69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 x14ac:dyDescent="0.25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 x14ac:dyDescent="0.25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 x14ac:dyDescent="0.25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 x14ac:dyDescent="0.25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 x14ac:dyDescent="0.25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 x14ac:dyDescent="0.25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 x14ac:dyDescent="0.25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x14ac:dyDescent="0.25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5" customHeight="1" thickBot="1" x14ac:dyDescent="0.3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5" customHeight="1" x14ac:dyDescent="0.25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5" customHeight="1" x14ac:dyDescent="0.25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5" customHeight="1" x14ac:dyDescent="0.25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3" thickBot="1" x14ac:dyDescent="0.3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 x14ac:dyDescent="0.25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 x14ac:dyDescent="0.25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176">
        <f>8.33*(COUNTIFS(I31:O31,"&lt;&gt;"&amp;"L",I31:O31,"&lt;&gt;"&amp;"D"))+8*(COUNTIFS(I31:O31,"="&amp;"D"))</f>
        <v>57.65</v>
      </c>
      <c r="S31" s="1177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176">
        <f t="shared" ref="R32:R38" si="7">8.33*(COUNTIFS(I32:O32,"&lt;&gt;"&amp;"L",I32:O32,"&lt;&gt;"&amp;"D"))+8*(COUNTIFS(I32:O32,"="&amp;"D"))</f>
        <v>24.990000000000002</v>
      </c>
      <c r="S32" s="117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176">
        <f t="shared" si="7"/>
        <v>33.32</v>
      </c>
      <c r="S33" s="117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176">
        <f t="shared" si="7"/>
        <v>41.32</v>
      </c>
      <c r="S34" s="117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176">
        <f t="shared" si="7"/>
        <v>24.990000000000002</v>
      </c>
      <c r="S35" s="117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176">
        <f t="shared" si="7"/>
        <v>32.99</v>
      </c>
      <c r="S36" s="117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176">
        <f t="shared" si="7"/>
        <v>41.65</v>
      </c>
      <c r="S37" s="117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186">
        <f t="shared" si="7"/>
        <v>57.32</v>
      </c>
      <c r="S38" s="1187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3" thickBot="1" x14ac:dyDescent="0.3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180">
        <f>SUM(I41:O41)</f>
        <v>12</v>
      </c>
      <c r="S41" s="118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182">
        <f t="shared" ref="R42:R45" si="10">SUM(I42:O42)</f>
        <v>12</v>
      </c>
      <c r="S42" s="1183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182">
        <f t="shared" si="10"/>
        <v>7</v>
      </c>
      <c r="S43" s="1183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182">
        <f t="shared" si="10"/>
        <v>7</v>
      </c>
      <c r="S44" s="1183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3" thickBot="1" x14ac:dyDescent="0.3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184">
        <f t="shared" si="10"/>
        <v>18</v>
      </c>
      <c r="S45" s="1185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W8" sqref="W8"/>
    </sheetView>
  </sheetViews>
  <sheetFormatPr defaultColWidth="11.453125" defaultRowHeight="12.5" x14ac:dyDescent="0.25"/>
  <cols>
    <col min="1" max="1" width="13.7265625" customWidth="1"/>
    <col min="2" max="2" width="27.54296875" customWidth="1"/>
    <col min="3" max="3" width="5.453125" style="5" customWidth="1"/>
    <col min="4" max="31" width="4.26953125" style="5" customWidth="1"/>
    <col min="32" max="32" width="4.26953125" customWidth="1"/>
    <col min="33" max="33" width="3.72656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67"/>
      <c r="E1" s="1167"/>
      <c r="F1" s="1167"/>
      <c r="G1" s="1167"/>
      <c r="H1" s="1167"/>
      <c r="I1" s="116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88" t="s">
        <v>65</v>
      </c>
      <c r="E3" s="1188"/>
      <c r="F3" s="1188"/>
      <c r="G3" s="1188"/>
      <c r="H3" s="1188"/>
      <c r="I3" s="1188"/>
      <c r="J3" s="1188"/>
      <c r="K3" s="1188"/>
      <c r="L3" s="1188"/>
      <c r="M3" s="1188"/>
      <c r="N3" s="1188"/>
      <c r="O3" s="1188"/>
      <c r="P3" s="1188"/>
      <c r="Q3" s="1188"/>
      <c r="R3" s="1188"/>
      <c r="S3" s="1188"/>
      <c r="T3" s="1188"/>
      <c r="U3" s="1188"/>
      <c r="V3" s="1188"/>
      <c r="W3" s="1188"/>
      <c r="X3" s="1188"/>
      <c r="Y3" s="1188"/>
      <c r="Z3" s="1188"/>
      <c r="AA3" s="1188"/>
      <c r="AB3" s="1188"/>
      <c r="AC3" s="1188"/>
      <c r="AD3" s="1188"/>
      <c r="AE3" s="1188"/>
      <c r="AF3" s="1188"/>
      <c r="AG3" s="1188"/>
    </row>
    <row r="4" spans="2:33" ht="11.25" customHeight="1" x14ac:dyDescent="0.25">
      <c r="B4" s="1168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3" thickBot="1" x14ac:dyDescent="0.3">
      <c r="B5" s="1169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 x14ac:dyDescent="0.25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 x14ac:dyDescent="0.3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 x14ac:dyDescent="0.3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 x14ac:dyDescent="0.3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 x14ac:dyDescent="0.3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5" customHeight="1" x14ac:dyDescent="0.25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5" customHeight="1" x14ac:dyDescent="0.25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5" customHeight="1" x14ac:dyDescent="0.25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3" thickBot="1" x14ac:dyDescent="0.3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 x14ac:dyDescent="0.25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 x14ac:dyDescent="0.25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76">
        <f>8.33*(COUNTIFS(I30:O30,"&lt;&gt;"&amp;"L",I30:O30,"&lt;&gt;"&amp;"D"))+8*(COUNTIFS(I30:O30,"="&amp;"D"))</f>
        <v>57.65</v>
      </c>
      <c r="S30" s="1177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76">
        <f t="shared" ref="R31:R37" si="14">8.33*(COUNTIFS(I31:O31,"&lt;&gt;"&amp;"L",I31:O31,"&lt;&gt;"&amp;"D"))+8*(COUNTIFS(I31:O31,"="&amp;"D"))</f>
        <v>24.990000000000002</v>
      </c>
      <c r="S31" s="1177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76">
        <f t="shared" si="14"/>
        <v>33.32</v>
      </c>
      <c r="S32" s="117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76">
        <f t="shared" si="14"/>
        <v>41.32</v>
      </c>
      <c r="S33" s="117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76">
        <f t="shared" si="14"/>
        <v>24.990000000000002</v>
      </c>
      <c r="S34" s="117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76">
        <f t="shared" si="14"/>
        <v>32.99</v>
      </c>
      <c r="S35" s="117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76">
        <f t="shared" si="14"/>
        <v>41.65</v>
      </c>
      <c r="S36" s="117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86">
        <f t="shared" si="14"/>
        <v>57.32</v>
      </c>
      <c r="S37" s="118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80">
        <f>SUM(I40:O40)</f>
        <v>12</v>
      </c>
      <c r="S40" s="1181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82">
        <f t="shared" ref="R41:R44" si="17">SUM(I41:O41)</f>
        <v>12</v>
      </c>
      <c r="S41" s="1183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82">
        <f t="shared" si="17"/>
        <v>7</v>
      </c>
      <c r="S42" s="1183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82">
        <f t="shared" si="17"/>
        <v>7</v>
      </c>
      <c r="S43" s="1183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84">
        <f t="shared" si="17"/>
        <v>18</v>
      </c>
      <c r="S44" s="1185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  <mergeCell ref="R40:S40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topRight" activeCell="D1" sqref="D1"/>
      <selection pane="bottomLeft" activeCell="A6" sqref="A6"/>
      <selection pane="bottomRight" activeCell="C11" sqref="C11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67"/>
      <c r="E1" s="1167"/>
      <c r="F1" s="1167"/>
      <c r="G1" s="1167"/>
      <c r="H1" s="1167"/>
      <c r="I1" s="116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88" t="s">
        <v>67</v>
      </c>
      <c r="E3" s="1188"/>
      <c r="F3" s="1188"/>
      <c r="G3" s="1188"/>
      <c r="H3" s="1188"/>
      <c r="I3" s="1188"/>
      <c r="J3" s="1188"/>
      <c r="K3" s="1188"/>
      <c r="L3" s="1188"/>
      <c r="M3" s="1188"/>
      <c r="N3" s="1188"/>
      <c r="O3" s="1188"/>
      <c r="P3" s="1188"/>
      <c r="Q3" s="1188"/>
      <c r="R3" s="1188"/>
      <c r="S3" s="1188"/>
      <c r="T3" s="1188"/>
      <c r="U3" s="1188"/>
      <c r="V3" s="1188"/>
      <c r="W3" s="1188"/>
      <c r="X3" s="1188"/>
      <c r="Y3" s="1188"/>
      <c r="Z3" s="1188"/>
      <c r="AA3" s="1188"/>
      <c r="AB3" s="1188"/>
      <c r="AC3" s="1188"/>
      <c r="AD3" s="1188"/>
      <c r="AE3" s="1188"/>
      <c r="AF3" s="1188"/>
      <c r="AG3" s="1188"/>
    </row>
    <row r="4" spans="2:34" ht="11.25" customHeight="1" x14ac:dyDescent="0.25">
      <c r="B4" s="1168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3" thickBot="1" x14ac:dyDescent="0.3">
      <c r="B5" s="1169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 x14ac:dyDescent="0.25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 x14ac:dyDescent="0.25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 x14ac:dyDescent="0.25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 x14ac:dyDescent="0.25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 x14ac:dyDescent="0.25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 x14ac:dyDescent="0.3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 x14ac:dyDescent="0.25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5" customHeight="1" x14ac:dyDescent="0.25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5" customHeight="1" x14ac:dyDescent="0.25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3" thickBot="1" x14ac:dyDescent="0.3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 x14ac:dyDescent="0.25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 x14ac:dyDescent="0.25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76">
        <f>8.33*(COUNTIFS(I29:O29,"&lt;&gt;"&amp;"L",I29:O29,"&lt;&gt;"&amp;"D"))+8*(COUNTIFS(I29:O29,"="&amp;"D"))</f>
        <v>57.65</v>
      </c>
      <c r="S29" s="1177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76">
        <f t="shared" ref="R30:R36" si="14">8.33*(COUNTIFS(I30:O30,"&lt;&gt;"&amp;"L",I30:O30,"&lt;&gt;"&amp;"D"))+8*(COUNTIFS(I30:O30,"="&amp;"D"))</f>
        <v>24.990000000000002</v>
      </c>
      <c r="S30" s="1177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76">
        <f t="shared" si="14"/>
        <v>33.32</v>
      </c>
      <c r="S31" s="1177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76">
        <f t="shared" si="14"/>
        <v>41.32</v>
      </c>
      <c r="S32" s="117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76">
        <f t="shared" si="14"/>
        <v>24.990000000000002</v>
      </c>
      <c r="S33" s="117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76">
        <f t="shared" si="14"/>
        <v>32.99</v>
      </c>
      <c r="S34" s="117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76">
        <f t="shared" si="14"/>
        <v>41.65</v>
      </c>
      <c r="S35" s="117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86">
        <f t="shared" si="14"/>
        <v>57.32</v>
      </c>
      <c r="S36" s="118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180">
        <f>SUM(I39:O39)</f>
        <v>12</v>
      </c>
      <c r="S39" s="1181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182">
        <f t="shared" ref="R40:R43" si="17">SUM(I40:O40)</f>
        <v>12</v>
      </c>
      <c r="S40" s="1183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182">
        <f t="shared" si="17"/>
        <v>7</v>
      </c>
      <c r="S41" s="1183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182">
        <f t="shared" si="17"/>
        <v>7</v>
      </c>
      <c r="S42" s="1183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184">
        <f t="shared" si="17"/>
        <v>18</v>
      </c>
      <c r="S43" s="1185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honeticPr fontId="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topRight" activeCell="D1" sqref="D1"/>
      <selection pane="bottomLeft" activeCell="A6" sqref="A6"/>
      <selection pane="bottomRight" activeCell="Y9" sqref="Y9:Z9"/>
    </sheetView>
  </sheetViews>
  <sheetFormatPr defaultColWidth="11.453125" defaultRowHeight="12.5" x14ac:dyDescent="0.25"/>
  <cols>
    <col min="1" max="1" width="19.7265625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15.7265625" bestFit="1" customWidth="1"/>
    <col min="35" max="35" width="14.7265625" bestFit="1" customWidth="1"/>
  </cols>
  <sheetData>
    <row r="1" spans="2:33" ht="21" customHeight="1" x14ac:dyDescent="0.25">
      <c r="C1" s="10"/>
      <c r="D1" s="1167"/>
      <c r="E1" s="1167"/>
      <c r="F1" s="1167"/>
      <c r="G1" s="1167"/>
      <c r="H1" s="1167"/>
      <c r="I1" s="116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88" t="s">
        <v>72</v>
      </c>
      <c r="E3" s="1188"/>
      <c r="F3" s="1188"/>
      <c r="G3" s="1188"/>
      <c r="H3" s="1188"/>
      <c r="I3" s="1188"/>
      <c r="J3" s="1188"/>
      <c r="K3" s="1188"/>
      <c r="L3" s="1188"/>
      <c r="M3" s="1188"/>
      <c r="N3" s="1188"/>
      <c r="O3" s="1188"/>
      <c r="P3" s="1188"/>
      <c r="Q3" s="1188"/>
      <c r="R3" s="1188"/>
      <c r="S3" s="1188"/>
      <c r="T3" s="1188"/>
      <c r="U3" s="1188"/>
      <c r="V3" s="1188"/>
      <c r="W3" s="1188"/>
      <c r="X3" s="1188"/>
      <c r="Y3" s="1188"/>
      <c r="Z3" s="1188"/>
      <c r="AA3" s="1188"/>
      <c r="AB3" s="1188"/>
      <c r="AC3" s="1188"/>
      <c r="AD3" s="1188"/>
      <c r="AE3" s="1188"/>
      <c r="AF3" s="1188"/>
      <c r="AG3" s="1188"/>
    </row>
    <row r="4" spans="2:33" ht="11.25" customHeight="1" x14ac:dyDescent="0.25">
      <c r="B4" s="1168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3" thickBot="1" x14ac:dyDescent="0.3">
      <c r="B5" s="1169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 x14ac:dyDescent="0.3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 x14ac:dyDescent="0.25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 x14ac:dyDescent="0.3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5" customHeight="1" thickBot="1" x14ac:dyDescent="0.3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5" customHeight="1" thickBot="1" x14ac:dyDescent="0.3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 x14ac:dyDescent="0.3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 x14ac:dyDescent="0.3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 x14ac:dyDescent="0.25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5" customHeight="1" x14ac:dyDescent="0.25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5" customHeight="1" x14ac:dyDescent="0.25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5" customHeight="1" x14ac:dyDescent="0.25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3" thickBot="1" x14ac:dyDescent="0.3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 x14ac:dyDescent="0.25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 x14ac:dyDescent="0.25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76">
        <f>8.33*(COUNTIFS(I30:O30,"&lt;&gt;"&amp;"L",I30:O30,"&lt;&gt;"&amp;"D"))+8*(COUNTIFS(I30:O30,"="&amp;"D"))</f>
        <v>57.65</v>
      </c>
      <c r="S30" s="1177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76">
        <f t="shared" ref="R31:R37" si="14">8.33*(COUNTIFS(I31:O31,"&lt;&gt;"&amp;"L",I31:O31,"&lt;&gt;"&amp;"D"))+8*(COUNTIFS(I31:O31,"="&amp;"D"))</f>
        <v>24.990000000000002</v>
      </c>
      <c r="S31" s="1177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76">
        <f t="shared" si="14"/>
        <v>33.32</v>
      </c>
      <c r="S32" s="117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76">
        <f t="shared" si="14"/>
        <v>41.32</v>
      </c>
      <c r="S33" s="117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76">
        <f t="shared" si="14"/>
        <v>24.990000000000002</v>
      </c>
      <c r="S34" s="117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76">
        <f t="shared" si="14"/>
        <v>32.99</v>
      </c>
      <c r="S35" s="117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76">
        <f t="shared" si="14"/>
        <v>41.65</v>
      </c>
      <c r="S36" s="117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86">
        <f t="shared" si="14"/>
        <v>57.32</v>
      </c>
      <c r="S37" s="118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80">
        <f>SUM(I40:O40)</f>
        <v>12</v>
      </c>
      <c r="S40" s="1181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82">
        <f t="shared" ref="R41:R44" si="17">SUM(I41:O41)</f>
        <v>12</v>
      </c>
      <c r="S41" s="1183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82">
        <f t="shared" si="17"/>
        <v>7</v>
      </c>
      <c r="S42" s="1183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82">
        <f t="shared" si="17"/>
        <v>7</v>
      </c>
      <c r="S43" s="1183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84">
        <f t="shared" si="17"/>
        <v>18</v>
      </c>
      <c r="S44" s="1185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topRight" activeCell="D1" sqref="D1"/>
      <selection pane="bottomLeft" activeCell="A6" sqref="A6"/>
      <selection pane="bottomRight" activeCell="AF12" sqref="AF12:AH12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67"/>
      <c r="E1" s="1167"/>
      <c r="F1" s="1167"/>
      <c r="G1" s="1167"/>
      <c r="H1" s="1167"/>
      <c r="I1" s="116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88" t="s">
        <v>76</v>
      </c>
      <c r="E3" s="1188"/>
      <c r="F3" s="1188"/>
      <c r="G3" s="1188"/>
      <c r="H3" s="1188"/>
      <c r="I3" s="1188"/>
      <c r="J3" s="1188"/>
      <c r="K3" s="1188"/>
      <c r="L3" s="1188"/>
      <c r="M3" s="1188"/>
      <c r="N3" s="1188"/>
      <c r="O3" s="1188"/>
      <c r="P3" s="1188"/>
      <c r="Q3" s="1188"/>
      <c r="R3" s="1188"/>
      <c r="S3" s="1188"/>
      <c r="T3" s="1188"/>
      <c r="U3" s="1188"/>
      <c r="V3" s="1188"/>
      <c r="W3" s="1188"/>
      <c r="X3" s="1188"/>
      <c r="Y3" s="1188"/>
      <c r="Z3" s="1188"/>
      <c r="AA3" s="1188"/>
      <c r="AB3" s="1188"/>
      <c r="AC3" s="1188"/>
      <c r="AD3" s="1188"/>
      <c r="AE3" s="1188"/>
      <c r="AF3" s="1188"/>
      <c r="AG3" s="1188"/>
      <c r="AH3" s="179"/>
    </row>
    <row r="4" spans="2:34" ht="11.25" customHeight="1" x14ac:dyDescent="0.25">
      <c r="B4" s="1168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3" thickBot="1" x14ac:dyDescent="0.3">
      <c r="B5" s="1169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 x14ac:dyDescent="0.3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 x14ac:dyDescent="0.3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 x14ac:dyDescent="0.3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 x14ac:dyDescent="0.3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 x14ac:dyDescent="0.3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 x14ac:dyDescent="0.3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 x14ac:dyDescent="0.3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 x14ac:dyDescent="0.25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5" customHeight="1" thickBot="1" x14ac:dyDescent="0.3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5" customHeight="1" x14ac:dyDescent="0.25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5" customHeight="1" x14ac:dyDescent="0.25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5" customHeight="1" x14ac:dyDescent="0.25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3" thickBot="1" x14ac:dyDescent="0.3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 x14ac:dyDescent="0.25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 x14ac:dyDescent="0.25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76">
        <f>8.33*(COUNTIFS(I30:O30,"&lt;&gt;"&amp;"L",I30:O30,"&lt;&gt;"&amp;"D"))+8*(COUNTIFS(I30:O30,"="&amp;"D"))</f>
        <v>57.65</v>
      </c>
      <c r="S30" s="1177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76">
        <f t="shared" ref="R31:R37" si="8">8.33*(COUNTIFS(I31:O31,"&lt;&gt;"&amp;"L",I31:O31,"&lt;&gt;"&amp;"D"))+8*(COUNTIFS(I31:O31,"="&amp;"D"))</f>
        <v>24.990000000000002</v>
      </c>
      <c r="S31" s="1177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76">
        <f t="shared" si="8"/>
        <v>33.32</v>
      </c>
      <c r="S32" s="117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76">
        <f t="shared" si="8"/>
        <v>41.32</v>
      </c>
      <c r="S33" s="117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76">
        <f t="shared" si="8"/>
        <v>24.990000000000002</v>
      </c>
      <c r="S34" s="117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76">
        <f t="shared" si="8"/>
        <v>32.99</v>
      </c>
      <c r="S35" s="117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76">
        <f t="shared" si="8"/>
        <v>41.65</v>
      </c>
      <c r="S36" s="117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86">
        <f t="shared" si="8"/>
        <v>57.32</v>
      </c>
      <c r="S37" s="118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180">
        <f>SUM(I40:O40)</f>
        <v>12</v>
      </c>
      <c r="S40" s="1181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182">
        <f t="shared" ref="R41:R44" si="11">SUM(I41:O41)</f>
        <v>12</v>
      </c>
      <c r="S41" s="1183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182">
        <f t="shared" si="11"/>
        <v>7</v>
      </c>
      <c r="S42" s="1183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182">
        <f t="shared" si="11"/>
        <v>7</v>
      </c>
      <c r="S43" s="1183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184">
        <f t="shared" si="11"/>
        <v>18</v>
      </c>
      <c r="S44" s="1185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6" sqref="O6"/>
    </sheetView>
  </sheetViews>
  <sheetFormatPr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67"/>
      <c r="E1" s="1167"/>
      <c r="F1" s="1167"/>
      <c r="G1" s="1167"/>
      <c r="H1" s="1167"/>
      <c r="I1" s="1167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88" t="s">
        <v>80</v>
      </c>
      <c r="E3" s="1188"/>
      <c r="F3" s="1188"/>
      <c r="G3" s="1188"/>
      <c r="H3" s="1188"/>
      <c r="I3" s="1188"/>
      <c r="J3" s="1188"/>
      <c r="K3" s="1188"/>
      <c r="L3" s="1188"/>
      <c r="M3" s="1188"/>
      <c r="N3" s="1188"/>
      <c r="O3" s="1188"/>
      <c r="P3" s="1188"/>
      <c r="Q3" s="1188"/>
      <c r="R3" s="1188"/>
      <c r="S3" s="1188"/>
      <c r="T3" s="1188"/>
      <c r="U3" s="1188"/>
      <c r="V3" s="1188"/>
      <c r="W3" s="1188"/>
      <c r="X3" s="1188"/>
      <c r="Y3" s="1188"/>
      <c r="Z3" s="1188"/>
      <c r="AA3" s="1188"/>
      <c r="AB3" s="1188"/>
      <c r="AC3" s="1188"/>
      <c r="AD3" s="1188"/>
      <c r="AE3" s="1188"/>
      <c r="AF3" s="1188"/>
      <c r="AG3" s="1188"/>
    </row>
    <row r="4" spans="2:34" ht="11.25" customHeight="1" x14ac:dyDescent="0.25">
      <c r="B4" s="1168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 x14ac:dyDescent="0.25">
      <c r="B5" s="1169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 x14ac:dyDescent="0.25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 x14ac:dyDescent="0.25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 x14ac:dyDescent="0.3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5" customHeight="1" x14ac:dyDescent="0.25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 x14ac:dyDescent="0.3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 x14ac:dyDescent="0.25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5" customHeight="1" x14ac:dyDescent="0.25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5" customHeight="1" x14ac:dyDescent="0.25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3" thickBot="1" x14ac:dyDescent="0.3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 x14ac:dyDescent="0.25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76">
        <f>8.33*(COUNTIFS(I29:O29,"&lt;&gt;"&amp;"L",I29:O29,"&lt;&gt;"&amp;"D"))+8*(COUNTIFS(I29:O29,"="&amp;"D"))</f>
        <v>57.65</v>
      </c>
      <c r="S29" s="1177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76">
        <f t="shared" ref="R30:R36" si="8">8.33*(COUNTIFS(I30:O30,"&lt;&gt;"&amp;"L",I30:O30,"&lt;&gt;"&amp;"D"))+8*(COUNTIFS(I30:O30,"="&amp;"D"))</f>
        <v>24.990000000000002</v>
      </c>
      <c r="S30" s="1177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76">
        <f t="shared" si="8"/>
        <v>33.32</v>
      </c>
      <c r="S31" s="1177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76">
        <f t="shared" si="8"/>
        <v>41.32</v>
      </c>
      <c r="S32" s="1177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76">
        <f t="shared" si="8"/>
        <v>24.990000000000002</v>
      </c>
      <c r="S33" s="1177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76">
        <f t="shared" si="8"/>
        <v>32.99</v>
      </c>
      <c r="S34" s="1177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76">
        <f t="shared" si="8"/>
        <v>41.65</v>
      </c>
      <c r="S35" s="1177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86">
        <f t="shared" si="8"/>
        <v>57.32</v>
      </c>
      <c r="S36" s="1187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180">
        <f>SUM(I39:O39)</f>
        <v>12</v>
      </c>
      <c r="S39" s="1181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182">
        <f t="shared" ref="R40:R43" si="11">SUM(I40:O40)</f>
        <v>12</v>
      </c>
      <c r="S40" s="1183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182">
        <f t="shared" si="11"/>
        <v>7</v>
      </c>
      <c r="S41" s="1183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182">
        <f t="shared" si="11"/>
        <v>7</v>
      </c>
      <c r="S42" s="1183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184">
        <f t="shared" si="11"/>
        <v>18</v>
      </c>
      <c r="S43" s="1185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topRight" activeCell="D1" sqref="D1"/>
      <selection pane="bottomLeft" activeCell="A6" sqref="A6"/>
      <selection pane="bottomRight" activeCell="E7" sqref="E7"/>
    </sheetView>
  </sheetViews>
  <sheetFormatPr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</cols>
  <sheetData>
    <row r="1" spans="2:33" ht="21" customHeight="1" x14ac:dyDescent="0.25">
      <c r="C1" s="10"/>
      <c r="D1" s="1167"/>
      <c r="E1" s="1167"/>
      <c r="F1" s="116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88"/>
      <c r="E3" s="1188"/>
      <c r="F3" s="1188"/>
      <c r="G3" s="1188"/>
      <c r="H3" s="1188"/>
      <c r="I3" s="1188"/>
      <c r="J3" s="1188"/>
      <c r="K3" s="1188"/>
      <c r="L3" s="1188"/>
      <c r="M3" s="1188"/>
      <c r="N3" s="1188"/>
      <c r="O3" s="1188"/>
      <c r="P3" s="1188"/>
      <c r="Q3" s="1188"/>
      <c r="R3" s="1188"/>
      <c r="S3" s="1188"/>
      <c r="T3" s="1188"/>
      <c r="U3" s="1188"/>
      <c r="V3" s="1188"/>
      <c r="W3" s="1188"/>
      <c r="X3" s="1188"/>
      <c r="Y3" s="1188"/>
      <c r="Z3" s="1188"/>
      <c r="AA3" s="1188"/>
      <c r="AB3" s="1188"/>
      <c r="AC3" s="1188"/>
      <c r="AD3" s="1188"/>
    </row>
    <row r="4" spans="2:33" ht="11.25" customHeight="1" x14ac:dyDescent="0.25">
      <c r="B4" s="1168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 x14ac:dyDescent="0.25">
      <c r="B5" s="1169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 x14ac:dyDescent="0.25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 x14ac:dyDescent="0.25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 x14ac:dyDescent="0.25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 x14ac:dyDescent="0.3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 x14ac:dyDescent="0.25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 x14ac:dyDescent="0.25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 x14ac:dyDescent="0.25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 x14ac:dyDescent="0.25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5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 x14ac:dyDescent="0.25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 x14ac:dyDescent="0.25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 x14ac:dyDescent="0.25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176">
        <f>8.33*(COUNTIFS(F29:L29,"&lt;&gt;"&amp;"L",F29:L29,"&lt;&gt;"&amp;"D"))+8*(COUNTIFS(F29:L29,"="&amp;"D"))</f>
        <v>57.65</v>
      </c>
      <c r="P29" s="1177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 x14ac:dyDescent="0.25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176">
        <f t="shared" ref="O30:O36" si="8">8.33*(COUNTIFS(F30:L30,"&lt;&gt;"&amp;"L",F30:L30,"&lt;&gt;"&amp;"D"))+8*(COUNTIFS(F30:L30,"="&amp;"D"))</f>
        <v>24.990000000000002</v>
      </c>
      <c r="P30" s="1177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 x14ac:dyDescent="0.25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176">
        <f t="shared" si="8"/>
        <v>33.32</v>
      </c>
      <c r="P31" s="1177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 x14ac:dyDescent="0.25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176">
        <f t="shared" si="8"/>
        <v>41.32</v>
      </c>
      <c r="P32" s="1177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 x14ac:dyDescent="0.25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176">
        <f t="shared" si="8"/>
        <v>24.990000000000002</v>
      </c>
      <c r="P33" s="1177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 x14ac:dyDescent="0.25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176">
        <f t="shared" si="8"/>
        <v>32.99</v>
      </c>
      <c r="P34" s="1177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 x14ac:dyDescent="0.25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176">
        <f t="shared" si="8"/>
        <v>41.65</v>
      </c>
      <c r="P35" s="1177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 x14ac:dyDescent="0.25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186">
        <f t="shared" si="8"/>
        <v>57.32</v>
      </c>
      <c r="P36" s="1187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 x14ac:dyDescent="0.25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180">
        <f>SUM(F39:L39)</f>
        <v>12</v>
      </c>
      <c r="P39" s="1181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 x14ac:dyDescent="0.25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182">
        <f t="shared" ref="O40:O43" si="11">SUM(F40:L40)</f>
        <v>12</v>
      </c>
      <c r="P40" s="1183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 x14ac:dyDescent="0.25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182">
        <f t="shared" si="11"/>
        <v>7</v>
      </c>
      <c r="P41" s="1183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 x14ac:dyDescent="0.25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182">
        <f t="shared" si="11"/>
        <v>7</v>
      </c>
      <c r="P42" s="1183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 x14ac:dyDescent="0.25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184">
        <f t="shared" si="11"/>
        <v>18</v>
      </c>
      <c r="P43" s="1185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  <mergeCell ref="O31:P31"/>
    <mergeCell ref="D1:F1"/>
    <mergeCell ref="D3:AD3"/>
    <mergeCell ref="B4:B5"/>
    <mergeCell ref="O29:P29"/>
    <mergeCell ref="O30:P30"/>
  </mergeCells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defaultColWidth="10.7265625" defaultRowHeight="12.5" x14ac:dyDescent="0.25"/>
  <cols>
    <col min="2" max="2" width="23.26953125" bestFit="1" customWidth="1"/>
    <col min="4" max="4" width="45.7265625" customWidth="1"/>
  </cols>
  <sheetData>
    <row r="1" spans="1:4" x14ac:dyDescent="0.25">
      <c r="A1" s="3" t="s">
        <v>83</v>
      </c>
    </row>
    <row r="4" spans="1:4" ht="13" x14ac:dyDescent="0.25">
      <c r="B4" s="63" t="s">
        <v>84</v>
      </c>
      <c r="C4" s="64" t="s">
        <v>85</v>
      </c>
    </row>
    <row r="5" spans="1:4" s="66" customFormat="1" x14ac:dyDescent="0.25">
      <c r="B5" s="63" t="s">
        <v>86</v>
      </c>
      <c r="C5" s="65">
        <v>645173481</v>
      </c>
      <c r="D5" s="67"/>
    </row>
    <row r="6" spans="1:4" s="66" customFormat="1" ht="16.5" customHeight="1" x14ac:dyDescent="0.25">
      <c r="B6" s="63" t="s">
        <v>87</v>
      </c>
      <c r="C6" s="65">
        <v>671511886</v>
      </c>
      <c r="D6" s="67"/>
    </row>
    <row r="7" spans="1:4" s="66" customFormat="1" x14ac:dyDescent="0.25">
      <c r="B7" s="63" t="s">
        <v>88</v>
      </c>
      <c r="C7" s="65">
        <v>618583723</v>
      </c>
    </row>
    <row r="8" spans="1:4" s="66" customFormat="1" x14ac:dyDescent="0.25">
      <c r="B8" s="63" t="s">
        <v>89</v>
      </c>
      <c r="C8" s="65">
        <v>651846609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topRight" activeCell="D1" sqref="D1"/>
      <selection pane="bottomLeft" activeCell="A6" sqref="A6"/>
      <selection pane="bottomRight" activeCell="AF2" sqref="AF2"/>
    </sheetView>
  </sheetViews>
  <sheetFormatPr defaultColWidth="11.453125" defaultRowHeight="12.5" x14ac:dyDescent="0.25"/>
  <cols>
    <col min="1" max="1" width="28" customWidth="1"/>
    <col min="2" max="2" width="27.54296875" customWidth="1"/>
    <col min="3" max="25" width="4.26953125" style="5" customWidth="1"/>
    <col min="26" max="33" width="4.26953125" customWidth="1"/>
    <col min="34" max="34" width="3.453125" customWidth="1"/>
  </cols>
  <sheetData>
    <row r="1" spans="2:33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 x14ac:dyDescent="0.3">
      <c r="B3" s="239"/>
      <c r="C3" s="240"/>
      <c r="D3" s="1188"/>
      <c r="E3" s="1188"/>
      <c r="F3" s="1188"/>
      <c r="G3" s="1188"/>
      <c r="H3" s="1188"/>
      <c r="I3" s="1188"/>
      <c r="J3" s="1188"/>
      <c r="K3" s="1188"/>
      <c r="L3" s="1188"/>
      <c r="M3" s="1188"/>
      <c r="N3" s="1188"/>
      <c r="O3" s="1188"/>
      <c r="P3" s="1188"/>
      <c r="Q3" s="1188"/>
      <c r="R3" s="1188"/>
      <c r="S3" s="1188"/>
      <c r="T3" s="1188"/>
      <c r="U3" s="1188"/>
      <c r="V3" s="1188"/>
      <c r="W3" s="1188"/>
      <c r="X3" s="1188"/>
      <c r="Y3" s="1188"/>
      <c r="Z3" s="1188"/>
      <c r="AA3" s="1188"/>
      <c r="AB3" s="1188"/>
      <c r="AC3" s="1188"/>
      <c r="AD3" s="1188"/>
      <c r="AE3" s="1189"/>
      <c r="AF3" s="1188"/>
      <c r="AG3" s="1189"/>
    </row>
    <row r="4" spans="2:33" ht="11.25" customHeight="1" x14ac:dyDescent="0.25">
      <c r="B4" s="1190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 x14ac:dyDescent="0.3">
      <c r="B5" s="1190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 x14ac:dyDescent="0.25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 x14ac:dyDescent="0.3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 x14ac:dyDescent="0.25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 x14ac:dyDescent="0.25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 x14ac:dyDescent="0.25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 x14ac:dyDescent="0.25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 x14ac:dyDescent="0.25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 x14ac:dyDescent="0.25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 x14ac:dyDescent="0.25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x14ac:dyDescent="0.25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 x14ac:dyDescent="0.25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 x14ac:dyDescent="0.25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 x14ac:dyDescent="0.25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186">
        <f t="shared" ref="N30:N37" si="8">8.33*(COUNTIFS(E30:K30,"&lt;&gt;"&amp;"L",E30:K30,"&lt;&gt;"&amp;"D"))+8*(COUNTIFS(E30:K30,"="&amp;"D"))</f>
        <v>57.65</v>
      </c>
      <c r="O30" s="118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 x14ac:dyDescent="0.25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186">
        <f t="shared" si="8"/>
        <v>24.990000000000002</v>
      </c>
      <c r="O31" s="118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 x14ac:dyDescent="0.25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186">
        <f t="shared" si="8"/>
        <v>33.32</v>
      </c>
      <c r="O32" s="118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186">
        <f t="shared" si="8"/>
        <v>41.32</v>
      </c>
      <c r="O33" s="118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186">
        <f t="shared" si="8"/>
        <v>24.990000000000002</v>
      </c>
      <c r="O34" s="118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186">
        <f t="shared" si="8"/>
        <v>32.99</v>
      </c>
      <c r="O35" s="118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186">
        <f t="shared" si="8"/>
        <v>41.65</v>
      </c>
      <c r="O36" s="118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186">
        <f t="shared" si="8"/>
        <v>57.32</v>
      </c>
      <c r="O37" s="118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180">
        <f>SUM(E40:K40)</f>
        <v>12</v>
      </c>
      <c r="O40" s="1181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182">
        <f>SUM(E41:K41)</f>
        <v>12</v>
      </c>
      <c r="O41" s="1183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182">
        <f>SUM(E42:K42)</f>
        <v>7</v>
      </c>
      <c r="O42" s="1183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182">
        <f>SUM(E43:K43)</f>
        <v>7</v>
      </c>
      <c r="O43" s="1183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184">
        <f>SUM(E44:K44)</f>
        <v>18</v>
      </c>
      <c r="O44" s="1185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AF3:AG3"/>
    <mergeCell ref="AB3:AE3"/>
    <mergeCell ref="B4:B5"/>
    <mergeCell ref="N30:O30"/>
    <mergeCell ref="N31:O31"/>
    <mergeCell ref="N32:O32"/>
    <mergeCell ref="N33:O33"/>
    <mergeCell ref="D3:AA3"/>
    <mergeCell ref="N42:O42"/>
    <mergeCell ref="N43:O43"/>
    <mergeCell ref="N44:O44"/>
    <mergeCell ref="N34:O34"/>
    <mergeCell ref="N35:O35"/>
    <mergeCell ref="N36:O36"/>
    <mergeCell ref="N37:O37"/>
    <mergeCell ref="N40:O40"/>
    <mergeCell ref="N41:O41"/>
  </mergeCells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T8" sqref="T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4" width="4.26953125" style="5" customWidth="1"/>
    <col min="35" max="37" width="9.26953125"/>
  </cols>
  <sheetData>
    <row r="1" spans="2:34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 x14ac:dyDescent="0.3">
      <c r="B2" s="454" t="s">
        <v>95</v>
      </c>
      <c r="C2" s="1191" t="s">
        <v>95</v>
      </c>
      <c r="D2" s="1191"/>
      <c r="E2" s="1191"/>
      <c r="F2" s="1191"/>
      <c r="G2" s="1191" t="s">
        <v>95</v>
      </c>
      <c r="H2" s="1191"/>
      <c r="I2" s="1191" t="s">
        <v>95</v>
      </c>
      <c r="J2" s="1191"/>
      <c r="K2" s="1191" t="s">
        <v>95</v>
      </c>
      <c r="L2" s="1191"/>
      <c r="M2" s="1191" t="s">
        <v>95</v>
      </c>
      <c r="N2" s="1191"/>
      <c r="O2" s="1191" t="s">
        <v>95</v>
      </c>
      <c r="P2" s="1191"/>
      <c r="Q2" s="1191" t="s">
        <v>95</v>
      </c>
      <c r="R2" s="1191"/>
      <c r="S2" s="1191" t="s">
        <v>95</v>
      </c>
      <c r="T2" s="1191"/>
      <c r="U2" s="1191" t="s">
        <v>95</v>
      </c>
      <c r="V2" s="1191"/>
      <c r="W2" s="1191" t="s">
        <v>95</v>
      </c>
      <c r="X2" s="1191"/>
      <c r="Y2" s="1191" t="s">
        <v>95</v>
      </c>
      <c r="Z2" s="1191"/>
      <c r="AA2" s="1191" t="s">
        <v>95</v>
      </c>
      <c r="AB2" s="1191"/>
      <c r="AC2" s="1191" t="s">
        <v>95</v>
      </c>
      <c r="AD2" s="1191"/>
      <c r="AE2" s="455" t="s">
        <v>95</v>
      </c>
      <c r="AF2" s="447"/>
      <c r="AG2" s="447"/>
      <c r="AH2" s="447"/>
    </row>
    <row r="3" spans="2:34" ht="10.5" customHeight="1" x14ac:dyDescent="0.3">
      <c r="B3" s="456" t="s">
        <v>95</v>
      </c>
      <c r="C3" s="448" t="s">
        <v>95</v>
      </c>
      <c r="D3" s="448"/>
      <c r="E3" s="448"/>
      <c r="F3" s="1192" t="s">
        <v>95</v>
      </c>
      <c r="G3" s="1192"/>
      <c r="H3" s="1192"/>
      <c r="I3" s="1192"/>
      <c r="J3" s="1192"/>
      <c r="K3" s="1192"/>
      <c r="L3" s="1192"/>
      <c r="M3" s="1192"/>
      <c r="N3" s="1192"/>
      <c r="O3" s="1192"/>
      <c r="P3" s="1192"/>
      <c r="Q3" s="1192"/>
      <c r="R3" s="1192"/>
      <c r="S3" s="1192"/>
      <c r="T3" s="1192"/>
      <c r="U3" s="1192"/>
      <c r="V3" s="1192"/>
      <c r="W3" s="1192"/>
      <c r="X3" s="1192"/>
      <c r="Y3" s="1192"/>
      <c r="Z3" s="1192"/>
      <c r="AA3" s="1192"/>
      <c r="AB3" s="1192"/>
      <c r="AC3" s="1192"/>
      <c r="AD3" s="1192" t="s">
        <v>95</v>
      </c>
      <c r="AE3" s="1193"/>
      <c r="AF3" s="448"/>
      <c r="AG3" s="448"/>
      <c r="AH3" s="449"/>
    </row>
    <row r="4" spans="2:34" ht="15" customHeight="1" x14ac:dyDescent="0.3">
      <c r="B4" s="1194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 x14ac:dyDescent="0.35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 x14ac:dyDescent="0.3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 x14ac:dyDescent="0.3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 x14ac:dyDescent="0.3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 x14ac:dyDescent="0.3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 x14ac:dyDescent="0.3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 x14ac:dyDescent="0.3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 x14ac:dyDescent="0.3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 x14ac:dyDescent="0.35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 x14ac:dyDescent="0.3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5" customHeight="1" x14ac:dyDescent="0.25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5" customHeight="1" x14ac:dyDescent="0.25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5" customHeight="1" x14ac:dyDescent="0.25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5" customHeight="1" x14ac:dyDescent="0.25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5" x14ac:dyDescent="0.25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5" x14ac:dyDescent="0.25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5" x14ac:dyDescent="0.25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5" x14ac:dyDescent="0.25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topRight" activeCell="D1" sqref="D1"/>
      <selection pane="bottomLeft" activeCell="A6" sqref="A6"/>
      <selection pane="bottomRight" activeCell="AF7" sqref="AF7"/>
    </sheetView>
  </sheetViews>
  <sheetFormatPr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  <col min="34" max="34" width="3.453125" customWidth="1"/>
  </cols>
  <sheetData>
    <row r="1" spans="2:34" ht="21" customHeight="1" x14ac:dyDescent="0.25">
      <c r="C1" s="10"/>
      <c r="D1" s="1167"/>
      <c r="E1" s="1167"/>
      <c r="F1" s="1167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240"/>
      <c r="D3" s="1188"/>
      <c r="E3" s="1188"/>
      <c r="F3" s="1188"/>
      <c r="G3" s="1188"/>
      <c r="H3" s="1188"/>
      <c r="I3" s="1188"/>
      <c r="J3" s="1188"/>
      <c r="K3" s="1188"/>
      <c r="L3" s="1188"/>
      <c r="M3" s="1188"/>
      <c r="N3" s="1188"/>
      <c r="O3" s="1188"/>
      <c r="P3" s="1188"/>
      <c r="Q3" s="1188"/>
      <c r="R3" s="1188"/>
      <c r="S3" s="1188"/>
      <c r="T3" s="1188"/>
      <c r="U3" s="1188"/>
      <c r="V3" s="1188"/>
      <c r="W3" s="1188"/>
      <c r="X3" s="1188"/>
      <c r="Y3" s="1188"/>
      <c r="Z3" s="1188"/>
      <c r="AA3" s="1188"/>
      <c r="AB3" s="1188"/>
      <c r="AC3" s="1188"/>
      <c r="AD3" s="1188"/>
      <c r="AE3" s="1188"/>
      <c r="AF3" s="1188"/>
      <c r="AG3" s="1188"/>
      <c r="AH3" s="1189"/>
    </row>
    <row r="4" spans="2:34" ht="11.25" customHeight="1" x14ac:dyDescent="0.25">
      <c r="B4" s="1190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 x14ac:dyDescent="0.3">
      <c r="B5" s="1190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 x14ac:dyDescent="0.3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 x14ac:dyDescent="0.3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 x14ac:dyDescent="0.25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 x14ac:dyDescent="0.25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 x14ac:dyDescent="0.25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 x14ac:dyDescent="0.25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 x14ac:dyDescent="0.25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 x14ac:dyDescent="0.3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5" customHeight="1" x14ac:dyDescent="0.25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5" customHeight="1" x14ac:dyDescent="0.25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5" customHeight="1" x14ac:dyDescent="0.25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5" customHeight="1" x14ac:dyDescent="0.25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 x14ac:dyDescent="0.25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 x14ac:dyDescent="0.25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 x14ac:dyDescent="0.25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x14ac:dyDescent="0.25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 x14ac:dyDescent="0.25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186">
        <f>8.33*(COUNTIFS(F30:L30,"&lt;&gt;"&amp;"L",F30:L30,"&lt;&gt;"&amp;"D"))+8*(COUNTIFS(F30:L30,"="&amp;"D"))</f>
        <v>57.65</v>
      </c>
      <c r="P30" s="1187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 x14ac:dyDescent="0.25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186">
        <f t="shared" ref="O31:O37" si="10">8.33*(COUNTIFS(F31:L31,"&lt;&gt;"&amp;"L",F31:L31,"&lt;&gt;"&amp;"D"))+8*(COUNTIFS(F31:L31,"="&amp;"D"))</f>
        <v>24.990000000000002</v>
      </c>
      <c r="P31" s="1187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 x14ac:dyDescent="0.25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186">
        <f t="shared" si="10"/>
        <v>33.32</v>
      </c>
      <c r="P32" s="1187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 x14ac:dyDescent="0.25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186">
        <f t="shared" si="10"/>
        <v>41.32</v>
      </c>
      <c r="P33" s="1187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 x14ac:dyDescent="0.25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186">
        <f t="shared" si="10"/>
        <v>24.990000000000002</v>
      </c>
      <c r="P34" s="1187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 x14ac:dyDescent="0.25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186">
        <f t="shared" si="10"/>
        <v>32.99</v>
      </c>
      <c r="P35" s="1187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 x14ac:dyDescent="0.25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186">
        <f t="shared" si="10"/>
        <v>41.65</v>
      </c>
      <c r="P36" s="1187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 x14ac:dyDescent="0.25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186">
        <f t="shared" si="10"/>
        <v>57.32</v>
      </c>
      <c r="P37" s="118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 x14ac:dyDescent="0.25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180">
        <f>SUM(F40:L40)</f>
        <v>12</v>
      </c>
      <c r="P40" s="1181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 x14ac:dyDescent="0.25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182">
        <f t="shared" ref="O41:O44" si="13">SUM(F41:L41)</f>
        <v>12</v>
      </c>
      <c r="P41" s="1183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 x14ac:dyDescent="0.25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182">
        <f t="shared" si="13"/>
        <v>7</v>
      </c>
      <c r="P42" s="1183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 x14ac:dyDescent="0.25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182">
        <f t="shared" si="13"/>
        <v>7</v>
      </c>
      <c r="P43" s="1183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 x14ac:dyDescent="0.25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184">
        <f t="shared" si="13"/>
        <v>18</v>
      </c>
      <c r="P44" s="1185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AE3:AH3"/>
    <mergeCell ref="D1:F1"/>
    <mergeCell ref="D3:AD3"/>
    <mergeCell ref="O30:P30"/>
    <mergeCell ref="O31:P31"/>
    <mergeCell ref="O41:P41"/>
    <mergeCell ref="O42:P42"/>
    <mergeCell ref="O43:P43"/>
    <mergeCell ref="O44:P44"/>
    <mergeCell ref="O37:P37"/>
    <mergeCell ref="O40:P40"/>
    <mergeCell ref="B4:B5"/>
    <mergeCell ref="O33:P33"/>
    <mergeCell ref="O34:P34"/>
    <mergeCell ref="O35:P35"/>
    <mergeCell ref="O36:P36"/>
    <mergeCell ref="O32:P32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topRight" activeCell="D1" sqref="D1"/>
      <selection pane="bottomLeft" activeCell="A6" sqref="A6"/>
      <selection pane="bottomRight" activeCell="I9" sqref="I9"/>
    </sheetView>
  </sheetViews>
  <sheetFormatPr defaultColWidth="11.453125" defaultRowHeight="12.5" x14ac:dyDescent="0.25"/>
  <cols>
    <col min="1" max="1" width="16.7265625" customWidth="1"/>
    <col min="2" max="2" width="27.54296875" customWidth="1"/>
    <col min="3" max="3" width="4.26953125" style="446" customWidth="1"/>
    <col min="4" max="25" width="4.26953125" style="5" customWidth="1"/>
    <col min="26" max="34" width="4.26953125" customWidth="1"/>
  </cols>
  <sheetData>
    <row r="1" spans="2:34" ht="21" customHeight="1" x14ac:dyDescent="0.25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 x14ac:dyDescent="0.3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188"/>
      <c r="AC3" s="1188"/>
      <c r="AD3" s="1188"/>
      <c r="AE3" s="1189"/>
      <c r="AF3" s="1188"/>
      <c r="AG3" s="1188"/>
      <c r="AH3" s="1189"/>
    </row>
    <row r="4" spans="2:34" ht="11.25" customHeight="1" x14ac:dyDescent="0.25">
      <c r="B4" s="1190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 x14ac:dyDescent="0.25">
      <c r="B5" s="1190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 x14ac:dyDescent="0.3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 x14ac:dyDescent="0.3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 x14ac:dyDescent="0.35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 x14ac:dyDescent="0.3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 x14ac:dyDescent="0.3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 x14ac:dyDescent="0.3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 x14ac:dyDescent="0.3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 x14ac:dyDescent="0.25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 x14ac:dyDescent="0.25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5" customHeight="1" x14ac:dyDescent="0.25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5" customHeight="1" x14ac:dyDescent="0.25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5" customHeight="1" x14ac:dyDescent="0.25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5" customHeight="1" x14ac:dyDescent="0.25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5" customHeight="1" x14ac:dyDescent="0.25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5" customHeight="1" x14ac:dyDescent="0.25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 x14ac:dyDescent="0.25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 x14ac:dyDescent="0.25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 x14ac:dyDescent="0.25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 x14ac:dyDescent="0.25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 x14ac:dyDescent="0.25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 x14ac:dyDescent="0.25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 x14ac:dyDescent="0.25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 x14ac:dyDescent="0.25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 x14ac:dyDescent="0.25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 x14ac:dyDescent="0.25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 x14ac:dyDescent="0.25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topRight" activeCell="D1" sqref="D1"/>
      <selection pane="bottomLeft" activeCell="A6" sqref="A6"/>
      <selection pane="bottomRight" activeCell="Z9" sqref="Z9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5" customWidth="1"/>
    <col min="23" max="34" width="4.26953125" customWidth="1"/>
  </cols>
  <sheetData>
    <row r="1" spans="2:34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 x14ac:dyDescent="0.3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 x14ac:dyDescent="0.3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188"/>
      <c r="Z3" s="1188"/>
      <c r="AA3" s="1188"/>
      <c r="AB3" s="1188"/>
      <c r="AC3" s="1188"/>
      <c r="AD3" s="1188"/>
      <c r="AE3" s="1188"/>
      <c r="AF3" s="195"/>
      <c r="AG3" s="195"/>
      <c r="AH3" s="337"/>
    </row>
    <row r="4" spans="2:34" ht="11.25" customHeight="1" x14ac:dyDescent="0.25">
      <c r="B4" s="1190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 x14ac:dyDescent="0.25">
      <c r="B5" s="1190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 x14ac:dyDescent="0.25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 x14ac:dyDescent="0.25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 x14ac:dyDescent="0.25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 x14ac:dyDescent="0.25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 x14ac:dyDescent="0.25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 x14ac:dyDescent="0.25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 x14ac:dyDescent="0.25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 x14ac:dyDescent="0.25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 x14ac:dyDescent="0.3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5" customHeight="1" x14ac:dyDescent="0.25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5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5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5" x14ac:dyDescent="0.25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5" x14ac:dyDescent="0.25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5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5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5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5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5" x14ac:dyDescent="0.25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5" x14ac:dyDescent="0.25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5" x14ac:dyDescent="0.25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5" x14ac:dyDescent="0.25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5" x14ac:dyDescent="0.25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5" x14ac:dyDescent="0.25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5" x14ac:dyDescent="0.25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5" x14ac:dyDescent="0.25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5" x14ac:dyDescent="0.25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5" x14ac:dyDescent="0.25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5" x14ac:dyDescent="0.25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5" x14ac:dyDescent="0.25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5" x14ac:dyDescent="0.25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5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topRight" activeCell="D1" sqref="D1"/>
      <selection pane="bottomLeft" activeCell="A6" sqref="A6"/>
      <selection pane="bottomRight" activeCell="AS5" sqref="AS5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1" width="4.26953125" customWidth="1"/>
  </cols>
  <sheetData>
    <row r="1" spans="2:31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 x14ac:dyDescent="0.3">
      <c r="B2" s="454" t="s">
        <v>95</v>
      </c>
      <c r="C2" s="1191" t="s">
        <v>95</v>
      </c>
      <c r="D2" s="1191"/>
      <c r="E2" s="1191"/>
      <c r="F2" s="1191"/>
      <c r="G2" s="1191" t="s">
        <v>95</v>
      </c>
      <c r="H2" s="1191"/>
      <c r="I2" s="1191" t="s">
        <v>95</v>
      </c>
      <c r="J2" s="1191"/>
      <c r="K2" s="1191" t="s">
        <v>95</v>
      </c>
      <c r="L2" s="1191"/>
      <c r="M2" s="1191" t="s">
        <v>95</v>
      </c>
      <c r="N2" s="1191"/>
      <c r="O2" s="1191" t="s">
        <v>95</v>
      </c>
      <c r="P2" s="1191"/>
      <c r="Q2" s="1191" t="s">
        <v>95</v>
      </c>
      <c r="R2" s="1191"/>
      <c r="S2" s="1191" t="s">
        <v>95</v>
      </c>
      <c r="T2" s="1191"/>
      <c r="U2" s="1191" t="s">
        <v>95</v>
      </c>
      <c r="V2" s="1191"/>
      <c r="W2" s="1191" t="s">
        <v>95</v>
      </c>
      <c r="X2" s="1191"/>
      <c r="Y2" s="1191" t="s">
        <v>95</v>
      </c>
      <c r="Z2" s="1191"/>
      <c r="AA2" s="1191" t="s">
        <v>95</v>
      </c>
      <c r="AB2" s="1191"/>
      <c r="AC2" s="1191" t="s">
        <v>95</v>
      </c>
      <c r="AD2" s="1191"/>
      <c r="AE2" s="455" t="s">
        <v>95</v>
      </c>
    </row>
    <row r="3" spans="2:31" ht="10.5" customHeight="1" x14ac:dyDescent="0.3">
      <c r="B3" s="456" t="s">
        <v>95</v>
      </c>
      <c r="C3" s="448" t="s">
        <v>95</v>
      </c>
      <c r="D3" s="448"/>
      <c r="E3" s="448"/>
      <c r="F3" s="1192" t="s">
        <v>95</v>
      </c>
      <c r="G3" s="1192"/>
      <c r="H3" s="1192"/>
      <c r="I3" s="1192"/>
      <c r="J3" s="1192"/>
      <c r="K3" s="1192"/>
      <c r="L3" s="1192"/>
      <c r="M3" s="1192"/>
      <c r="N3" s="1192"/>
      <c r="O3" s="1192"/>
      <c r="P3" s="1192"/>
      <c r="Q3" s="1192"/>
      <c r="R3" s="1192"/>
      <c r="S3" s="1192"/>
      <c r="T3" s="1192"/>
      <c r="U3" s="1192"/>
      <c r="V3" s="1192"/>
      <c r="W3" s="1192"/>
      <c r="X3" s="1192"/>
      <c r="Y3" s="1192"/>
      <c r="Z3" s="1192"/>
      <c r="AA3" s="1192"/>
      <c r="AB3" s="1192"/>
      <c r="AC3" s="1192"/>
      <c r="AD3" s="1192" t="s">
        <v>95</v>
      </c>
      <c r="AE3" s="1193"/>
    </row>
    <row r="4" spans="2:31" ht="15" customHeight="1" x14ac:dyDescent="0.3">
      <c r="B4" s="1194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 x14ac:dyDescent="0.3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 x14ac:dyDescent="0.3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 x14ac:dyDescent="0.3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 x14ac:dyDescent="0.3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 x14ac:dyDescent="0.3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 x14ac:dyDescent="0.3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 x14ac:dyDescent="0.3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 x14ac:dyDescent="0.3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 x14ac:dyDescent="0.3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 x14ac:dyDescent="0.25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5" customHeight="1" x14ac:dyDescent="0.25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5" customHeight="1" x14ac:dyDescent="0.25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5" customHeight="1" x14ac:dyDescent="0.25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5" customHeight="1" x14ac:dyDescent="0.25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5" x14ac:dyDescent="0.25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5" x14ac:dyDescent="0.25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5" x14ac:dyDescent="0.25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5" x14ac:dyDescent="0.25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5" x14ac:dyDescent="0.25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5" x14ac:dyDescent="0.25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5" x14ac:dyDescent="0.25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5" x14ac:dyDescent="0.25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B4:B5"/>
    <mergeCell ref="C2:F2"/>
    <mergeCell ref="G2:H2"/>
    <mergeCell ref="I2:J2"/>
    <mergeCell ref="K2:L2"/>
    <mergeCell ref="F3:AC3"/>
    <mergeCell ref="M2:N2"/>
    <mergeCell ref="O2:P2"/>
    <mergeCell ref="Q2:R2"/>
    <mergeCell ref="AD3:AE3"/>
    <mergeCell ref="S2:T2"/>
    <mergeCell ref="U2:V2"/>
    <mergeCell ref="W2:X2"/>
    <mergeCell ref="Y2:Z2"/>
    <mergeCell ref="AA2:AB2"/>
    <mergeCell ref="AC2:AD2"/>
  </mergeCells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11" sqref="O11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6" width="9.26953125"/>
  </cols>
  <sheetData>
    <row r="1" spans="2:33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 x14ac:dyDescent="0.3">
      <c r="B2" s="454" t="s">
        <v>95</v>
      </c>
      <c r="C2" s="1191" t="s">
        <v>95</v>
      </c>
      <c r="D2" s="1191"/>
      <c r="E2" s="1191"/>
      <c r="F2" s="1191"/>
      <c r="G2" s="1191" t="s">
        <v>95</v>
      </c>
      <c r="H2" s="1191"/>
      <c r="I2" s="1191" t="s">
        <v>95</v>
      </c>
      <c r="J2" s="1191"/>
      <c r="K2" s="1191" t="s">
        <v>95</v>
      </c>
      <c r="L2" s="1191"/>
      <c r="M2" s="1191" t="s">
        <v>95</v>
      </c>
      <c r="N2" s="1191"/>
      <c r="O2" s="1191" t="s">
        <v>95</v>
      </c>
      <c r="P2" s="1191"/>
      <c r="Q2" s="1191" t="s">
        <v>95</v>
      </c>
      <c r="R2" s="1191"/>
      <c r="S2" s="1191" t="s">
        <v>95</v>
      </c>
      <c r="T2" s="1191"/>
      <c r="U2" s="1191" t="s">
        <v>95</v>
      </c>
      <c r="V2" s="1191"/>
      <c r="W2" s="1191" t="s">
        <v>95</v>
      </c>
      <c r="X2" s="1191"/>
      <c r="Y2" s="1191" t="s">
        <v>95</v>
      </c>
      <c r="Z2" s="1191"/>
      <c r="AA2" s="1191" t="s">
        <v>95</v>
      </c>
      <c r="AB2" s="1191"/>
      <c r="AC2" s="1191" t="s">
        <v>95</v>
      </c>
      <c r="AD2" s="1191"/>
      <c r="AE2" s="455" t="s">
        <v>95</v>
      </c>
      <c r="AF2" s="447"/>
      <c r="AG2" s="447"/>
    </row>
    <row r="3" spans="2:33" ht="10.5" customHeight="1" x14ac:dyDescent="0.3">
      <c r="B3" s="456" t="s">
        <v>95</v>
      </c>
      <c r="C3" s="448" t="s">
        <v>95</v>
      </c>
      <c r="D3" s="1192"/>
      <c r="E3" s="1192"/>
      <c r="F3" s="1192" t="s">
        <v>95</v>
      </c>
      <c r="G3" s="1192"/>
      <c r="H3" s="1192"/>
      <c r="I3" s="1192"/>
      <c r="J3" s="1192"/>
      <c r="K3" s="1192"/>
      <c r="L3" s="1192"/>
      <c r="M3" s="1192"/>
      <c r="N3" s="1192"/>
      <c r="O3" s="1192"/>
      <c r="P3" s="1192"/>
      <c r="Q3" s="1192"/>
      <c r="R3" s="1192"/>
      <c r="S3" s="1192"/>
      <c r="T3" s="1192"/>
      <c r="U3" s="1192"/>
      <c r="V3" s="1192"/>
      <c r="W3" s="1192"/>
      <c r="X3" s="1192"/>
      <c r="Y3" s="1192"/>
      <c r="Z3" s="1192"/>
      <c r="AA3" s="1192"/>
      <c r="AB3" s="1192"/>
      <c r="AC3" s="1192"/>
      <c r="AD3" s="1192" t="s">
        <v>95</v>
      </c>
      <c r="AE3" s="1192"/>
      <c r="AF3" s="1192"/>
      <c r="AG3" s="1193"/>
    </row>
    <row r="4" spans="2:33" ht="15" customHeight="1" thickBot="1" x14ac:dyDescent="0.35">
      <c r="B4" s="1194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 x14ac:dyDescent="0.35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 x14ac:dyDescent="0.3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 x14ac:dyDescent="0.3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 x14ac:dyDescent="0.3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 x14ac:dyDescent="0.35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 x14ac:dyDescent="0.3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 x14ac:dyDescent="0.35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 x14ac:dyDescent="0.3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 x14ac:dyDescent="0.3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 x14ac:dyDescent="0.25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5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5" x14ac:dyDescent="0.25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5" x14ac:dyDescent="0.25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5" x14ac:dyDescent="0.25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  <mergeCell ref="AF3:AG3"/>
    <mergeCell ref="D3:E3"/>
    <mergeCell ref="AC2:AD2"/>
    <mergeCell ref="F3:AC3"/>
    <mergeCell ref="AD3:AE3"/>
    <mergeCell ref="Y2:Z2"/>
    <mergeCell ref="AA2:AB2"/>
  </mergeCells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topRight" activeCell="D1" sqref="D1"/>
      <selection pane="bottomLeft" activeCell="A6" sqref="A6"/>
      <selection pane="bottomRight" activeCell="A23" sqref="A23:A26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10" customWidth="1"/>
    <col min="23" max="34" width="4.26953125" customWidth="1"/>
    <col min="35" max="37" width="9.26953125" bestFit="1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 x14ac:dyDescent="0.3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 x14ac:dyDescent="0.3">
      <c r="B4" s="1194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 x14ac:dyDescent="0.3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 x14ac:dyDescent="0.3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 x14ac:dyDescent="0.3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 x14ac:dyDescent="0.3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 x14ac:dyDescent="0.3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 x14ac:dyDescent="0.3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 x14ac:dyDescent="0.35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 x14ac:dyDescent="0.35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 x14ac:dyDescent="0.35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 x14ac:dyDescent="0.3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 x14ac:dyDescent="0.3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 x14ac:dyDescent="0.25">
      <c r="B16" s="4"/>
      <c r="X16" s="68"/>
    </row>
    <row r="17" spans="2:34" ht="11.15" customHeight="1" x14ac:dyDescent="0.25">
      <c r="B17" s="4"/>
    </row>
    <row r="18" spans="2:34" ht="11.15" customHeight="1" x14ac:dyDescent="0.25">
      <c r="B18" s="4"/>
    </row>
    <row r="19" spans="2:34" ht="11.15" customHeight="1" x14ac:dyDescent="0.25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5" customHeight="1" x14ac:dyDescent="0.25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5" customHeight="1" x14ac:dyDescent="0.25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5" customHeight="1" x14ac:dyDescent="0.25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5" x14ac:dyDescent="0.25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5" x14ac:dyDescent="0.25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5" x14ac:dyDescent="0.25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5" x14ac:dyDescent="0.25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5" x14ac:dyDescent="0.25"/>
    <row r="28" spans="2:34" ht="12.5" x14ac:dyDescent="0.25"/>
    <row r="29" spans="2:34" ht="12.5" x14ac:dyDescent="0.25"/>
    <row r="30" spans="2:34" ht="13" thickBot="1" x14ac:dyDescent="0.3"/>
    <row r="31" spans="2:34" ht="13" thickBot="1" x14ac:dyDescent="0.3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3" thickBot="1" x14ac:dyDescent="0.3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3" thickBot="1" x14ac:dyDescent="0.3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3" thickBot="1" x14ac:dyDescent="0.3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3" thickBot="1" x14ac:dyDescent="0.3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3" thickBot="1" x14ac:dyDescent="0.3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3" thickBot="1" x14ac:dyDescent="0.3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3" thickBot="1" x14ac:dyDescent="0.3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5" x14ac:dyDescent="0.25">
      <c r="B39"/>
      <c r="M39" s="98"/>
      <c r="N39"/>
      <c r="W39"/>
      <c r="X39"/>
    </row>
    <row r="40" spans="2:24" s="10" customFormat="1" ht="13" thickBot="1" x14ac:dyDescent="0.3">
      <c r="B40"/>
      <c r="M40" s="98"/>
      <c r="N40"/>
      <c r="W40"/>
      <c r="X40"/>
    </row>
    <row r="41" spans="2:24" s="10" customFormat="1" ht="12.5" x14ac:dyDescent="0.25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5" x14ac:dyDescent="0.25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5" x14ac:dyDescent="0.25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5" x14ac:dyDescent="0.25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3" thickBot="1" x14ac:dyDescent="0.3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topRight" activeCell="D1" sqref="D1"/>
      <selection pane="bottomLeft" activeCell="A6" sqref="A6"/>
      <selection pane="bottomRight" activeCell="AJ12" sqref="AJ12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19" width="4.26953125" style="10" customWidth="1"/>
    <col min="20" max="34" width="4.26953125" customWidth="1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 x14ac:dyDescent="0.3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 x14ac:dyDescent="0.3">
      <c r="B4" s="1194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 x14ac:dyDescent="0.3">
      <c r="B5" s="1194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 x14ac:dyDescent="0.3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 x14ac:dyDescent="0.3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 x14ac:dyDescent="0.3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 x14ac:dyDescent="0.3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 x14ac:dyDescent="0.3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 x14ac:dyDescent="0.3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 x14ac:dyDescent="0.3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 x14ac:dyDescent="0.3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 x14ac:dyDescent="0.25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 x14ac:dyDescent="0.25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5" customHeight="1" x14ac:dyDescent="0.25">
      <c r="B16" s="4"/>
    </row>
    <row r="17" spans="2:33" ht="11.15" customHeight="1" x14ac:dyDescent="0.25">
      <c r="B17" s="4"/>
    </row>
    <row r="18" spans="2:33" ht="11.15" customHeight="1" x14ac:dyDescent="0.25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 x14ac:dyDescent="0.25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5" x14ac:dyDescent="0.25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5" x14ac:dyDescent="0.25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5" x14ac:dyDescent="0.25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5" x14ac:dyDescent="0.25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5" x14ac:dyDescent="0.25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5" x14ac:dyDescent="0.25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5" x14ac:dyDescent="0.25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5" x14ac:dyDescent="0.25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5" x14ac:dyDescent="0.25">
      <c r="B38"/>
      <c r="J38" s="98"/>
      <c r="K38"/>
      <c r="T38"/>
      <c r="U38"/>
    </row>
    <row r="39" spans="2:21" s="10" customFormat="1" ht="12.5" x14ac:dyDescent="0.25">
      <c r="B39"/>
      <c r="J39" s="98"/>
      <c r="K39"/>
      <c r="T39"/>
      <c r="U39"/>
    </row>
    <row r="40" spans="2:21" s="10" customFormat="1" ht="12.5" x14ac:dyDescent="0.25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5" x14ac:dyDescent="0.25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5" x14ac:dyDescent="0.25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5" x14ac:dyDescent="0.25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5" x14ac:dyDescent="0.25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topRight" activeCell="D1" sqref="D1"/>
      <selection pane="bottomLeft" activeCell="A6" sqref="A6"/>
      <selection pane="bottomRight" activeCell="AG11" sqref="AG11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4" width="4" style="10" customWidth="1"/>
    <col min="5" max="17" width="4.26953125" style="10" customWidth="1"/>
    <col min="18" max="34" width="4.26953125" customWidth="1"/>
    <col min="35" max="35" width="9.26953125" bestFit="1" customWidth="1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 x14ac:dyDescent="0.3">
      <c r="B4" s="1194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 x14ac:dyDescent="0.3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 x14ac:dyDescent="0.3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 x14ac:dyDescent="0.3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 x14ac:dyDescent="0.3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 x14ac:dyDescent="0.3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 x14ac:dyDescent="0.3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 x14ac:dyDescent="0.3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S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5" x14ac:dyDescent="0.25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5" x14ac:dyDescent="0.25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5" x14ac:dyDescent="0.25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5" x14ac:dyDescent="0.25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5" x14ac:dyDescent="0.25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5" x14ac:dyDescent="0.25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5" x14ac:dyDescent="0.25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5" x14ac:dyDescent="0.25">
      <c r="B38"/>
      <c r="H38" s="98"/>
      <c r="I38"/>
      <c r="R38"/>
      <c r="S38"/>
    </row>
    <row r="39" spans="2:19" s="10" customFormat="1" ht="12.5" x14ac:dyDescent="0.25">
      <c r="B39"/>
      <c r="H39" s="98"/>
      <c r="I39"/>
      <c r="R39"/>
      <c r="S39"/>
    </row>
    <row r="40" spans="2:19" s="10" customFormat="1" ht="12.5" x14ac:dyDescent="0.25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5" x14ac:dyDescent="0.25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5" x14ac:dyDescent="0.25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5" x14ac:dyDescent="0.25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5" x14ac:dyDescent="0.25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G7" sqref="AG7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14" width="4.26953125" style="10" customWidth="1"/>
    <col min="15" max="34" width="4.26953125" customWidth="1"/>
    <col min="35" max="35" width="9.26953125" bestFit="1" customWidth="1"/>
    <col min="36" max="36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 x14ac:dyDescent="0.3">
      <c r="B4" s="1194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 x14ac:dyDescent="0.3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 x14ac:dyDescent="0.3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 x14ac:dyDescent="0.35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 x14ac:dyDescent="0.35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 x14ac:dyDescent="0.35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 x14ac:dyDescent="0.35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 x14ac:dyDescent="0.35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P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 x14ac:dyDescent="0.3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5" x14ac:dyDescent="0.25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5" x14ac:dyDescent="0.25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5" x14ac:dyDescent="0.25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5" x14ac:dyDescent="0.25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5" x14ac:dyDescent="0.25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5" x14ac:dyDescent="0.25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5" x14ac:dyDescent="0.25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5" x14ac:dyDescent="0.25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5" x14ac:dyDescent="0.25">
      <c r="B38"/>
      <c r="I38" s="98"/>
      <c r="J38"/>
      <c r="O38"/>
      <c r="P38"/>
    </row>
    <row r="39" spans="2:16" s="10" customFormat="1" ht="12.5" x14ac:dyDescent="0.25">
      <c r="B39"/>
      <c r="I39" s="98"/>
      <c r="J39"/>
      <c r="O39"/>
      <c r="P39"/>
    </row>
    <row r="40" spans="2:16" s="10" customFormat="1" ht="12.5" x14ac:dyDescent="0.25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5" x14ac:dyDescent="0.25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5" x14ac:dyDescent="0.25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5" x14ac:dyDescent="0.25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5" x14ac:dyDescent="0.25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Q10" sqref="I10:Q10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11" width="4.26953125" style="10" customWidth="1"/>
    <col min="12" max="33" width="4.26953125" customWidth="1"/>
    <col min="34" max="34" width="9.26953125" bestFit="1" customWidth="1"/>
    <col min="35" max="35" width="9.26953125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 x14ac:dyDescent="0.3">
      <c r="B4" s="1194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 x14ac:dyDescent="0.3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 x14ac:dyDescent="0.3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 x14ac:dyDescent="0.3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 x14ac:dyDescent="0.3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 x14ac:dyDescent="0.25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 x14ac:dyDescent="0.3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 x14ac:dyDescent="0.3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 x14ac:dyDescent="0.3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 x14ac:dyDescent="0.3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 x14ac:dyDescent="0.3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 x14ac:dyDescent="0.25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 x14ac:dyDescent="0.25">
      <c r="B16" s="4"/>
      <c r="M16" s="68"/>
    </row>
    <row r="17" spans="2:33" ht="11.15" customHeight="1" x14ac:dyDescent="0.25">
      <c r="B17" s="4"/>
    </row>
    <row r="18" spans="2:33" ht="11.15" customHeight="1" x14ac:dyDescent="0.25">
      <c r="B18" s="4"/>
    </row>
    <row r="19" spans="2:33" ht="11.15" customHeight="1" x14ac:dyDescent="0.25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 x14ac:dyDescent="0.25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 x14ac:dyDescent="0.25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 x14ac:dyDescent="0.25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 x14ac:dyDescent="0.25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 x14ac:dyDescent="0.25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5" x14ac:dyDescent="0.25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5" x14ac:dyDescent="0.25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>
      <c r="D31"/>
      <c r="F31"/>
      <c r="G31" s="660"/>
      <c r="H31" s="660"/>
    </row>
    <row r="32" spans="2:33" ht="12.5" x14ac:dyDescent="0.25">
      <c r="D32"/>
      <c r="F32"/>
      <c r="G32" s="660"/>
      <c r="H32" s="660"/>
    </row>
    <row r="33" spans="2:13" ht="12.5" x14ac:dyDescent="0.25">
      <c r="D33"/>
      <c r="F33"/>
      <c r="G33" s="660"/>
      <c r="H33" s="660"/>
    </row>
    <row r="34" spans="2:13" ht="12.5" x14ac:dyDescent="0.25">
      <c r="D34"/>
      <c r="F34"/>
      <c r="G34" s="660"/>
      <c r="H34" s="660"/>
    </row>
    <row r="35" spans="2:13" s="10" customFormat="1" ht="12.5" x14ac:dyDescent="0.25">
      <c r="B35"/>
      <c r="G35" s="660"/>
      <c r="H35" s="660"/>
      <c r="L35"/>
      <c r="M35"/>
    </row>
    <row r="36" spans="2:13" s="10" customFormat="1" ht="12.5" x14ac:dyDescent="0.25">
      <c r="B36"/>
      <c r="G36" s="660"/>
      <c r="H36" s="660"/>
      <c r="L36"/>
      <c r="M36"/>
    </row>
    <row r="37" spans="2:13" s="10" customFormat="1" ht="12.5" x14ac:dyDescent="0.25">
      <c r="B37"/>
      <c r="G37" s="660"/>
      <c r="H37" s="660"/>
      <c r="L37"/>
      <c r="M37"/>
    </row>
    <row r="38" spans="2:13" s="10" customFormat="1" ht="12.5" x14ac:dyDescent="0.25">
      <c r="B38"/>
      <c r="G38" s="660"/>
      <c r="H38" s="660"/>
      <c r="L38"/>
      <c r="M38"/>
    </row>
    <row r="39" spans="2:13" s="10" customFormat="1" ht="12.5" x14ac:dyDescent="0.25">
      <c r="B39"/>
      <c r="G39" s="98"/>
      <c r="H39"/>
      <c r="L39"/>
      <c r="M39"/>
    </row>
    <row r="40" spans="2:13" s="10" customFormat="1" ht="12.5" x14ac:dyDescent="0.25">
      <c r="B40"/>
      <c r="G40" s="98"/>
      <c r="H40"/>
      <c r="L40"/>
      <c r="M40"/>
    </row>
    <row r="41" spans="2:13" s="10" customFormat="1" ht="12.5" x14ac:dyDescent="0.25">
      <c r="B41"/>
      <c r="G41" s="661"/>
      <c r="H41" s="661"/>
      <c r="L41"/>
      <c r="M41"/>
    </row>
    <row r="42" spans="2:13" s="10" customFormat="1" ht="12.5" x14ac:dyDescent="0.25">
      <c r="B42"/>
      <c r="G42" s="661"/>
      <c r="H42" s="661"/>
      <c r="L42"/>
      <c r="M42"/>
    </row>
    <row r="43" spans="2:13" s="10" customFormat="1" ht="12.5" x14ac:dyDescent="0.25">
      <c r="B43"/>
      <c r="G43" s="661"/>
      <c r="H43" s="661"/>
      <c r="L43"/>
      <c r="M43"/>
    </row>
    <row r="44" spans="2:13" s="10" customFormat="1" ht="12.5" x14ac:dyDescent="0.25">
      <c r="B44"/>
      <c r="G44" s="661"/>
      <c r="H44" s="661"/>
      <c r="L44"/>
      <c r="M44"/>
    </row>
    <row r="45" spans="2:13" s="10" customFormat="1" ht="12.5" x14ac:dyDescent="0.25">
      <c r="B45"/>
      <c r="G45" s="661"/>
      <c r="H45" s="661"/>
      <c r="L45"/>
      <c r="M45"/>
    </row>
    <row r="46" spans="2:13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topRight" activeCell="D1" sqref="D1"/>
      <selection pane="bottomLeft" activeCell="A6" sqref="A6"/>
      <selection pane="bottomRight" activeCell="W8" sqref="W8:AH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8" width="4.26953125" style="10" customWidth="1"/>
    <col min="9" max="9" width="3" style="10" bestFit="1" customWidth="1"/>
    <col min="10" max="10" width="4.54296875" customWidth="1"/>
    <col min="11" max="34" width="4.26953125" customWidth="1"/>
    <col min="35" max="35" width="9.26953125" bestFit="1" customWidth="1"/>
    <col min="36" max="39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 x14ac:dyDescent="0.3">
      <c r="B4" s="1194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 x14ac:dyDescent="0.3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 x14ac:dyDescent="0.3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 x14ac:dyDescent="0.3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 x14ac:dyDescent="0.3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 x14ac:dyDescent="0.3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 x14ac:dyDescent="0.3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 x14ac:dyDescent="0.3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 x14ac:dyDescent="0.3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K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5" x14ac:dyDescent="0.25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660"/>
      <c r="F30" s="660"/>
    </row>
    <row r="31" spans="2:34" ht="12.5" x14ac:dyDescent="0.25">
      <c r="D31"/>
      <c r="E31" s="660"/>
      <c r="F31" s="660"/>
    </row>
    <row r="32" spans="2:34" ht="12.5" x14ac:dyDescent="0.25">
      <c r="D32"/>
      <c r="E32" s="660"/>
      <c r="F32" s="660"/>
    </row>
    <row r="33" spans="2:11" ht="12.5" x14ac:dyDescent="0.25">
      <c r="D33"/>
      <c r="E33" s="660"/>
      <c r="F33" s="660"/>
    </row>
    <row r="34" spans="2:11" s="10" customFormat="1" ht="12.5" x14ac:dyDescent="0.25">
      <c r="B34"/>
      <c r="E34" s="660"/>
      <c r="F34" s="660"/>
      <c r="J34"/>
      <c r="K34"/>
    </row>
    <row r="35" spans="2:11" s="10" customFormat="1" ht="12.5" x14ac:dyDescent="0.25">
      <c r="B35"/>
      <c r="E35" s="660"/>
      <c r="F35" s="660"/>
      <c r="J35"/>
      <c r="K35"/>
    </row>
    <row r="36" spans="2:11" s="10" customFormat="1" ht="12.5" x14ac:dyDescent="0.25">
      <c r="B36"/>
      <c r="E36" s="660"/>
      <c r="F36" s="660"/>
      <c r="J36"/>
      <c r="K36"/>
    </row>
    <row r="37" spans="2:11" s="10" customFormat="1" ht="12.5" x14ac:dyDescent="0.25">
      <c r="B37"/>
      <c r="E37" s="660"/>
      <c r="F37" s="660"/>
      <c r="J37"/>
      <c r="K37"/>
    </row>
    <row r="38" spans="2:11" s="10" customFormat="1" ht="12.5" x14ac:dyDescent="0.25">
      <c r="B38"/>
      <c r="E38" s="98"/>
      <c r="F38"/>
      <c r="J38"/>
      <c r="K38"/>
    </row>
    <row r="39" spans="2:11" s="10" customFormat="1" ht="12.5" x14ac:dyDescent="0.25">
      <c r="B39"/>
      <c r="E39" s="98"/>
      <c r="F39"/>
      <c r="J39"/>
      <c r="K39"/>
    </row>
    <row r="40" spans="2:11" s="10" customFormat="1" ht="12.5" x14ac:dyDescent="0.25">
      <c r="B40"/>
      <c r="E40" s="661"/>
      <c r="F40" s="661"/>
      <c r="J40"/>
      <c r="K40"/>
    </row>
    <row r="41" spans="2:11" s="10" customFormat="1" ht="12.5" x14ac:dyDescent="0.25">
      <c r="B41"/>
      <c r="E41" s="661"/>
      <c r="F41" s="661"/>
      <c r="J41"/>
      <c r="K41"/>
    </row>
    <row r="42" spans="2:11" s="10" customFormat="1" ht="12.5" x14ac:dyDescent="0.25">
      <c r="B42"/>
      <c r="E42" s="661"/>
      <c r="F42" s="661"/>
      <c r="J42"/>
      <c r="K42"/>
    </row>
    <row r="43" spans="2:11" s="10" customFormat="1" ht="12.5" x14ac:dyDescent="0.25">
      <c r="B43"/>
      <c r="E43" s="661"/>
      <c r="F43" s="661"/>
      <c r="J43"/>
      <c r="K43"/>
    </row>
    <row r="44" spans="2:11" s="10" customFormat="1" ht="12.5" x14ac:dyDescent="0.25">
      <c r="B44"/>
      <c r="E44" s="661"/>
      <c r="F44" s="661"/>
      <c r="J44"/>
      <c r="K44"/>
    </row>
    <row r="45" spans="2:11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7" sqref="F7:J7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6" width="4.26953125" style="10" customWidth="1"/>
    <col min="7" max="33" width="4.26953125" customWidth="1"/>
    <col min="34" max="34" width="9.26953125" bestFit="1" customWidth="1"/>
    <col min="35" max="38" width="9.26953125"/>
  </cols>
  <sheetData>
    <row r="1" spans="2:33" ht="21" customHeight="1" thickBot="1" x14ac:dyDescent="0.3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 x14ac:dyDescent="0.3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 x14ac:dyDescent="0.3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 x14ac:dyDescent="0.3">
      <c r="B4" s="1194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 x14ac:dyDescent="0.35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 x14ac:dyDescent="0.35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 x14ac:dyDescent="0.35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 x14ac:dyDescent="0.35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 x14ac:dyDescent="0.35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 x14ac:dyDescent="0.35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 x14ac:dyDescent="0.35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 x14ac:dyDescent="0.35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  <c r="H15" s="68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 x14ac:dyDescent="0.25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 x14ac:dyDescent="0.25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 x14ac:dyDescent="0.25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 x14ac:dyDescent="0.3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 x14ac:dyDescent="0.25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5" x14ac:dyDescent="0.25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3" thickBot="1" x14ac:dyDescent="0.3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2:8" ht="12.5" x14ac:dyDescent="0.25"/>
    <row r="34" spans="2:8" s="10" customFormat="1" ht="12.5" x14ac:dyDescent="0.25">
      <c r="B34"/>
      <c r="G34"/>
      <c r="H34"/>
    </row>
    <row r="35" spans="2:8" s="10" customFormat="1" ht="12.5" x14ac:dyDescent="0.25">
      <c r="B35"/>
      <c r="G35"/>
      <c r="H35"/>
    </row>
    <row r="36" spans="2:8" s="10" customFormat="1" ht="12.5" x14ac:dyDescent="0.25">
      <c r="B36"/>
      <c r="G36"/>
      <c r="H36"/>
    </row>
    <row r="37" spans="2:8" s="10" customFormat="1" ht="12.5" x14ac:dyDescent="0.25">
      <c r="B37"/>
      <c r="G37"/>
      <c r="H37"/>
    </row>
    <row r="38" spans="2:8" s="10" customFormat="1" ht="12.5" x14ac:dyDescent="0.25">
      <c r="B38"/>
      <c r="G38"/>
      <c r="H38"/>
    </row>
    <row r="39" spans="2:8" s="10" customFormat="1" ht="12.5" x14ac:dyDescent="0.25">
      <c r="B39"/>
      <c r="G39"/>
      <c r="H39"/>
    </row>
    <row r="40" spans="2:8" s="10" customFormat="1" ht="12.5" x14ac:dyDescent="0.25">
      <c r="B40"/>
      <c r="G40"/>
      <c r="H40"/>
    </row>
    <row r="41" spans="2:8" s="10" customFormat="1" ht="12.5" x14ac:dyDescent="0.25">
      <c r="B41"/>
      <c r="G41"/>
      <c r="H41"/>
    </row>
    <row r="42" spans="2:8" s="10" customFormat="1" ht="12.5" x14ac:dyDescent="0.25">
      <c r="B42"/>
      <c r="G42"/>
      <c r="H42"/>
    </row>
    <row r="43" spans="2:8" s="10" customFormat="1" ht="12.5" x14ac:dyDescent="0.25">
      <c r="B43"/>
      <c r="G43"/>
      <c r="H43"/>
    </row>
    <row r="44" spans="2:8" s="10" customFormat="1" ht="12.5" x14ac:dyDescent="0.25">
      <c r="B44"/>
      <c r="G44"/>
      <c r="H44"/>
    </row>
    <row r="45" spans="2:8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X6" sqref="X6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4" width="4.26953125" style="10" customWidth="1"/>
    <col min="5" max="34" width="4.26953125" customWidth="1"/>
    <col min="35" max="35" width="9.26953125" bestFit="1" customWidth="1"/>
    <col min="36" max="40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 x14ac:dyDescent="0.3">
      <c r="B4" s="1194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 x14ac:dyDescent="0.3">
      <c r="B5" s="1194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 x14ac:dyDescent="0.3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 x14ac:dyDescent="0.35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 x14ac:dyDescent="0.35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 x14ac:dyDescent="0.35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F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 x14ac:dyDescent="0.25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 x14ac:dyDescent="0.25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5" x14ac:dyDescent="0.25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5" x14ac:dyDescent="0.25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6" ht="12.5" x14ac:dyDescent="0.25"/>
    <row r="34" spans="2:6" s="10" customFormat="1" ht="12.5" x14ac:dyDescent="0.25">
      <c r="B34"/>
      <c r="E34"/>
      <c r="F34"/>
    </row>
    <row r="35" spans="2:6" s="10" customFormat="1" ht="12.5" x14ac:dyDescent="0.25">
      <c r="B35"/>
      <c r="E35"/>
      <c r="F35"/>
    </row>
    <row r="36" spans="2:6" s="10" customFormat="1" ht="12.5" x14ac:dyDescent="0.25">
      <c r="B36"/>
      <c r="E36"/>
      <c r="F36"/>
    </row>
    <row r="37" spans="2:6" s="10" customFormat="1" ht="12.5" x14ac:dyDescent="0.25">
      <c r="B37"/>
      <c r="E37"/>
      <c r="F37"/>
    </row>
    <row r="38" spans="2:6" s="10" customFormat="1" ht="12.5" x14ac:dyDescent="0.25">
      <c r="B38"/>
      <c r="E38"/>
      <c r="F38"/>
    </row>
    <row r="39" spans="2:6" s="10" customFormat="1" ht="12.5" x14ac:dyDescent="0.25">
      <c r="B39"/>
      <c r="E39"/>
      <c r="F39"/>
    </row>
    <row r="40" spans="2:6" s="10" customFormat="1" ht="12.5" x14ac:dyDescent="0.25">
      <c r="B40"/>
      <c r="E40"/>
      <c r="F40"/>
    </row>
    <row r="41" spans="2:6" s="10" customFormat="1" ht="12.5" x14ac:dyDescent="0.25">
      <c r="B41"/>
      <c r="E41"/>
      <c r="F41"/>
    </row>
    <row r="42" spans="2:6" s="10" customFormat="1" ht="12.5" x14ac:dyDescent="0.25">
      <c r="B42"/>
      <c r="E42"/>
      <c r="F42"/>
    </row>
    <row r="43" spans="2:6" s="10" customFormat="1" ht="12.5" x14ac:dyDescent="0.25">
      <c r="B43"/>
      <c r="E43"/>
      <c r="F43"/>
    </row>
    <row r="44" spans="2:6" s="10" customFormat="1" ht="12.5" x14ac:dyDescent="0.25">
      <c r="B44"/>
      <c r="E44"/>
      <c r="F44"/>
    </row>
    <row r="45" spans="2:6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4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Z16" sqref="Z16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4" width="4.26953125" customWidth="1"/>
    <col min="35" max="35" width="9.26953125" bestFit="1" customWidth="1"/>
    <col min="36" max="40" width="9.1796875"/>
  </cols>
  <sheetData>
    <row r="1" spans="2:36" ht="21" customHeight="1" x14ac:dyDescent="0.25"/>
    <row r="2" spans="2:36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 x14ac:dyDescent="0.3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 x14ac:dyDescent="0.3">
      <c r="B4" s="1153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 x14ac:dyDescent="0.3">
      <c r="B5" s="1154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 x14ac:dyDescent="0.3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 x14ac:dyDescent="0.3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 x14ac:dyDescent="0.3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 x14ac:dyDescent="0.3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 x14ac:dyDescent="0.3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 x14ac:dyDescent="0.3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 x14ac:dyDescent="0.3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 x14ac:dyDescent="0.3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 x14ac:dyDescent="0.25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 x14ac:dyDescent="0.25">
      <c r="B15" s="4"/>
    </row>
    <row r="16" spans="2:36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 x14ac:dyDescent="0.25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 x14ac:dyDescent="0.25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 x14ac:dyDescent="0.25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5" x14ac:dyDescent="0.25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Q12" sqref="Q12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9.26953125" bestFit="1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 x14ac:dyDescent="0.3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 x14ac:dyDescent="0.3">
      <c r="B4" s="1153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 x14ac:dyDescent="0.3">
      <c r="B5" s="1154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 x14ac:dyDescent="0.3">
      <c r="B6" s="244" t="s">
        <v>97</v>
      </c>
      <c r="C6" s="375" t="s">
        <v>13</v>
      </c>
      <c r="D6" s="1143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511" t="s">
        <v>23</v>
      </c>
      <c r="R6" s="205" t="s">
        <v>23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 x14ac:dyDescent="0.25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1149" t="s">
        <v>8</v>
      </c>
      <c r="P7" s="874" t="s">
        <v>8</v>
      </c>
      <c r="Q7" s="621" t="s">
        <v>7</v>
      </c>
      <c r="R7" s="622" t="s">
        <v>7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875" t="s">
        <v>7</v>
      </c>
      <c r="AD7" s="875" t="s">
        <v>7</v>
      </c>
      <c r="AE7" s="870" t="s">
        <v>53</v>
      </c>
    </row>
    <row r="8" spans="2:33" ht="15" customHeight="1" x14ac:dyDescent="0.25">
      <c r="B8" s="244" t="s">
        <v>100</v>
      </c>
      <c r="C8" s="375" t="s">
        <v>21</v>
      </c>
      <c r="D8" s="1143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 x14ac:dyDescent="0.35">
      <c r="B9" s="244" t="s">
        <v>66</v>
      </c>
      <c r="C9" s="375" t="s">
        <v>26</v>
      </c>
      <c r="D9" s="1143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875" t="s">
        <v>7</v>
      </c>
      <c r="P9" s="876" t="s">
        <v>7</v>
      </c>
      <c r="Q9" s="522" t="s">
        <v>102</v>
      </c>
      <c r="R9" s="523" t="s">
        <v>102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875" t="s">
        <v>8</v>
      </c>
      <c r="AD9" s="875" t="s">
        <v>8</v>
      </c>
      <c r="AE9" s="634" t="s">
        <v>8</v>
      </c>
    </row>
    <row r="10" spans="2:33" ht="17.25" customHeight="1" thickBot="1" x14ac:dyDescent="0.35">
      <c r="B10" s="242" t="s">
        <v>90</v>
      </c>
      <c r="C10" s="432" t="s">
        <v>28</v>
      </c>
      <c r="D10" s="1143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681" t="s">
        <v>4</v>
      </c>
      <c r="O10" s="276" t="s">
        <v>6</v>
      </c>
      <c r="P10" s="634" t="s">
        <v>7</v>
      </c>
      <c r="Q10" s="1152" t="s">
        <v>19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 x14ac:dyDescent="0.3">
      <c r="B11" s="376" t="s">
        <v>91</v>
      </c>
      <c r="C11" s="375" t="s">
        <v>30</v>
      </c>
      <c r="D11" s="1143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875" t="s">
        <v>19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4" t="s">
        <v>6</v>
      </c>
      <c r="T11" s="1144" t="s">
        <v>6</v>
      </c>
      <c r="U11" s="1144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 x14ac:dyDescent="0.3">
      <c r="B12" s="244" t="s">
        <v>92</v>
      </c>
      <c r="C12" s="375" t="s">
        <v>32</v>
      </c>
      <c r="D12" s="1143" t="s">
        <v>7</v>
      </c>
      <c r="E12" s="591" t="s">
        <v>7</v>
      </c>
      <c r="F12" s="591" t="s">
        <v>7</v>
      </c>
      <c r="G12" s="591" t="s">
        <v>14</v>
      </c>
      <c r="H12" s="681" t="s">
        <v>4</v>
      </c>
      <c r="I12" s="681" t="s">
        <v>4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734" t="s">
        <v>7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 x14ac:dyDescent="0.35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1148" t="s">
        <v>19</v>
      </c>
      <c r="I13" s="1148" t="s">
        <v>19</v>
      </c>
      <c r="J13" s="627" t="s">
        <v>19</v>
      </c>
      <c r="K13" s="628" t="s">
        <v>19</v>
      </c>
      <c r="L13" s="1145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 x14ac:dyDescent="0.3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1" ht="11.15" customHeight="1" thickBot="1" x14ac:dyDescent="0.3">
      <c r="B17" s="4"/>
    </row>
    <row r="18" spans="2:31" ht="11.15" customHeight="1" thickBot="1" x14ac:dyDescent="0.3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5</v>
      </c>
      <c r="I18" s="718">
        <f t="shared" si="0"/>
        <v>5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2</v>
      </c>
      <c r="R18" s="695">
        <f t="shared" si="0"/>
        <v>2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4</v>
      </c>
    </row>
    <row r="19" spans="2:31" ht="12.75" customHeight="1" x14ac:dyDescent="0.25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0</v>
      </c>
      <c r="R19" s="697">
        <f t="shared" si="3"/>
        <v>0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 x14ac:dyDescent="0.25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1</v>
      </c>
      <c r="I20" s="720">
        <f t="shared" si="4"/>
        <v>1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 x14ac:dyDescent="0.25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 x14ac:dyDescent="0.3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0</v>
      </c>
      <c r="R22" s="703">
        <f t="shared" si="6"/>
        <v>0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</row>
    <row r="23" spans="2:31" ht="14.25" customHeight="1" x14ac:dyDescent="0.25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5</v>
      </c>
      <c r="R23" s="705">
        <f t="shared" si="7"/>
        <v>5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4</v>
      </c>
    </row>
    <row r="24" spans="2:31" ht="12.5" x14ac:dyDescent="0.25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3" thickBot="1" x14ac:dyDescent="0.3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1</v>
      </c>
      <c r="I25" s="725">
        <f t="shared" si="17"/>
        <v>1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1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5" x14ac:dyDescent="0.25"/>
    <row r="27" spans="2:31" ht="12.5" x14ac:dyDescent="0.25"/>
    <row r="28" spans="2:31" ht="12.5" x14ac:dyDescent="0.25"/>
    <row r="29" spans="2:31" ht="12.5" x14ac:dyDescent="0.25"/>
    <row r="30" spans="2:31" ht="12.5" x14ac:dyDescent="0.25"/>
    <row r="31" spans="2:31" ht="12.5" x14ac:dyDescent="0.25"/>
    <row r="32" spans="2:31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2" ySplit="5" topLeftCell="I6" activePane="bottomRight" state="frozen"/>
      <selection pane="topRight" activeCell="C1" sqref="C1"/>
      <selection pane="bottomLeft" activeCell="A6" sqref="A6"/>
      <selection pane="bottomRight" activeCell="U11" sqref="U11"/>
    </sheetView>
  </sheetViews>
  <sheetFormatPr defaultColWidth="11.453125" defaultRowHeight="12.75" customHeight="1" x14ac:dyDescent="0.25"/>
  <cols>
    <col min="1" max="1" width="23.26953125" customWidth="1"/>
    <col min="2" max="2" width="3.26953125" customWidth="1"/>
    <col min="3" max="3" width="4.26953125" style="10" customWidth="1"/>
    <col min="4" max="31" width="4.26953125" customWidth="1"/>
    <col min="32" max="32" width="4" customWidth="1"/>
    <col min="33" max="33" width="4.54296875" customWidth="1"/>
    <col min="34" max="37" width="9.1796875"/>
  </cols>
  <sheetData>
    <row r="1" spans="1:33" ht="21" customHeight="1" thickBot="1" x14ac:dyDescent="0.3">
      <c r="B1" s="10"/>
      <c r="C1"/>
    </row>
    <row r="2" spans="1:33" ht="6" customHeight="1" x14ac:dyDescent="0.3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 x14ac:dyDescent="0.35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 x14ac:dyDescent="0.3">
      <c r="A4" s="1153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 x14ac:dyDescent="0.35">
      <c r="A5" s="1154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 x14ac:dyDescent="0.25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080" t="s">
        <v>16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 x14ac:dyDescent="0.3">
      <c r="A7" s="244" t="s">
        <v>73</v>
      </c>
      <c r="B7" s="375" t="s">
        <v>18</v>
      </c>
      <c r="C7" s="622" t="s">
        <v>53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 x14ac:dyDescent="0.25">
      <c r="A8" s="244" t="s">
        <v>103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03" t="s">
        <v>14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 x14ac:dyDescent="0.35">
      <c r="A9" s="244" t="s">
        <v>66</v>
      </c>
      <c r="B9" s="375" t="s">
        <v>26</v>
      </c>
      <c r="C9" s="517" t="s">
        <v>8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681" t="s">
        <v>4</v>
      </c>
      <c r="U9" s="681" t="s">
        <v>4</v>
      </c>
      <c r="V9" s="681" t="s">
        <v>4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 x14ac:dyDescent="0.3">
      <c r="A10" s="242" t="s">
        <v>90</v>
      </c>
      <c r="B10" s="432" t="s">
        <v>28</v>
      </c>
      <c r="C10" s="1147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681" t="s">
        <v>4</v>
      </c>
      <c r="V10" s="681" t="s">
        <v>4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 x14ac:dyDescent="0.25">
      <c r="A11" s="376" t="s">
        <v>91</v>
      </c>
      <c r="B11" s="375" t="s">
        <v>30</v>
      </c>
      <c r="C11" s="1147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50" t="s">
        <v>19</v>
      </c>
      <c r="V11" s="1104" t="s">
        <v>14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24" t="s">
        <v>19</v>
      </c>
      <c r="AG11" s="24" t="s">
        <v>19</v>
      </c>
    </row>
    <row r="12" spans="1:33" ht="15" customHeight="1" x14ac:dyDescent="0.25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04" t="s">
        <v>14</v>
      </c>
      <c r="AG12" s="24" t="s">
        <v>14</v>
      </c>
    </row>
    <row r="13" spans="1:33" ht="15" customHeight="1" thickBot="1" x14ac:dyDescent="0.3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 thickBot="1" x14ac:dyDescent="0.3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 x14ac:dyDescent="0.25">
      <c r="A15" s="4"/>
      <c r="B15" s="10"/>
      <c r="C15"/>
    </row>
    <row r="16" spans="1:33" ht="11.15" customHeight="1" x14ac:dyDescent="0.25">
      <c r="A16" s="4"/>
      <c r="B16" s="10"/>
      <c r="C16"/>
    </row>
    <row r="17" spans="1:33" ht="11.15" customHeight="1" thickBot="1" x14ac:dyDescent="0.3">
      <c r="A17" s="4"/>
      <c r="B17" s="10"/>
      <c r="C17"/>
    </row>
    <row r="18" spans="1:33" ht="11.15" customHeight="1" thickBot="1" x14ac:dyDescent="0.3">
      <c r="A18" s="4"/>
      <c r="B18" s="21" t="s">
        <v>38</v>
      </c>
      <c r="C18" s="695">
        <f t="shared" ref="C18:V18" si="0">SUM(C19:C22)</f>
        <v>4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6</v>
      </c>
      <c r="AG18" s="53">
        <f>SUM(AG19:AG22)</f>
        <v>6</v>
      </c>
    </row>
    <row r="19" spans="1:33" ht="12.75" customHeight="1" x14ac:dyDescent="0.25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1</v>
      </c>
      <c r="U19" s="81">
        <f t="shared" si="4"/>
        <v>1</v>
      </c>
      <c r="V19" s="81">
        <f t="shared" si="4"/>
        <v>1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 x14ac:dyDescent="0.25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1</v>
      </c>
      <c r="V20" s="84">
        <f t="shared" si="5"/>
        <v>2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2</v>
      </c>
      <c r="AG20" s="84">
        <f t="shared" si="5"/>
        <v>2</v>
      </c>
    </row>
    <row r="21" spans="1:33" ht="12" customHeight="1" x14ac:dyDescent="0.25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0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 x14ac:dyDescent="0.3">
      <c r="B22" s="52" t="s">
        <v>6</v>
      </c>
      <c r="C22" s="703">
        <f t="shared" ref="C22:AG22" si="7">COUNTIFS(C$6:C$13,"D")+COUNTIFS(C$6:C$13,"DG")</f>
        <v>1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 x14ac:dyDescent="0.25">
      <c r="B23" s="21" t="s">
        <v>7</v>
      </c>
      <c r="C23" s="705">
        <f t="shared" ref="C23:AG23" si="8">COUNTIFS(C$6:C$13,"L")+COUNTIFS(C$6:C$13,"LG")</f>
        <v>4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5" x14ac:dyDescent="0.25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3" thickBot="1" x14ac:dyDescent="0.3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1</v>
      </c>
      <c r="U25" s="94">
        <f t="shared" si="18"/>
        <v>2</v>
      </c>
      <c r="V25" s="94">
        <f t="shared" si="18"/>
        <v>2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</row>
    <row r="26" spans="1:33" ht="12.5" x14ac:dyDescent="0.25">
      <c r="B26" s="10"/>
      <c r="C26"/>
    </row>
    <row r="27" spans="1:33" ht="12.5" x14ac:dyDescent="0.25">
      <c r="B27" s="10"/>
      <c r="C27"/>
    </row>
    <row r="28" spans="1:33" ht="12.5" x14ac:dyDescent="0.25">
      <c r="B28" s="10"/>
      <c r="C28"/>
    </row>
    <row r="29" spans="1:33" ht="12.5" x14ac:dyDescent="0.25">
      <c r="B29" s="10"/>
      <c r="C29"/>
    </row>
    <row r="30" spans="1:33" ht="12.5" x14ac:dyDescent="0.25">
      <c r="B30" s="10"/>
      <c r="C30"/>
    </row>
    <row r="31" spans="1:33" ht="12.5" x14ac:dyDescent="0.25">
      <c r="B31" s="10"/>
      <c r="C31"/>
    </row>
    <row r="32" spans="1:33" ht="12.5" x14ac:dyDescent="0.25">
      <c r="B32" s="10"/>
      <c r="C32"/>
    </row>
    <row r="33" spans="1:33" ht="12.5" x14ac:dyDescent="0.25">
      <c r="B33" s="10"/>
      <c r="C33"/>
    </row>
    <row r="34" spans="1:33" s="10" customFormat="1" ht="12.5" x14ac:dyDescent="0.25">
      <c r="A34"/>
    </row>
    <row r="35" spans="1:33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5" x14ac:dyDescent="0.25">
      <c r="B37"/>
    </row>
    <row r="38" spans="1:33" s="10" customFormat="1" ht="12.5" x14ac:dyDescent="0.25">
      <c r="B38"/>
    </row>
    <row r="39" spans="1:33" s="10" customFormat="1" ht="12.5" x14ac:dyDescent="0.25">
      <c r="B39"/>
    </row>
    <row r="40" spans="1:33" s="10" customFormat="1" ht="12.5" x14ac:dyDescent="0.25">
      <c r="B40"/>
    </row>
    <row r="41" spans="1:33" s="10" customFormat="1" ht="12.5" x14ac:dyDescent="0.25">
      <c r="B41"/>
    </row>
    <row r="42" spans="1:33" s="10" customFormat="1" ht="12.5" x14ac:dyDescent="0.25">
      <c r="B42"/>
    </row>
    <row r="43" spans="1:33" s="10" customFormat="1" ht="12.5" x14ac:dyDescent="0.25">
      <c r="B43"/>
    </row>
    <row r="44" spans="1:33" s="10" customFormat="1" ht="12.5" x14ac:dyDescent="0.25">
      <c r="B44"/>
    </row>
    <row r="45" spans="1:33" ht="12.5" x14ac:dyDescent="0.25"/>
  </sheetData>
  <mergeCells count="1">
    <mergeCell ref="A4:A5"/>
  </mergeCells>
  <pageMargins left="0.7" right="0.7" top="0.75" bottom="0.75" header="0.3" footer="0.3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tabSelected="1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J15" sqref="J15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53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 x14ac:dyDescent="0.35">
      <c r="B5" s="1154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 x14ac:dyDescent="0.3">
      <c r="B6" s="244" t="s">
        <v>97</v>
      </c>
      <c r="C6" s="375" t="s">
        <v>13</v>
      </c>
      <c r="D6" s="1119" t="s">
        <v>8</v>
      </c>
      <c r="E6" s="732" t="s">
        <v>8</v>
      </c>
      <c r="F6" s="732" t="s">
        <v>8</v>
      </c>
      <c r="G6" s="1120" t="s">
        <v>6</v>
      </c>
      <c r="H6" s="1121" t="s">
        <v>6</v>
      </c>
      <c r="I6" s="1122" t="s">
        <v>7</v>
      </c>
      <c r="J6" s="1122" t="s">
        <v>7</v>
      </c>
      <c r="K6" s="1122" t="s">
        <v>8</v>
      </c>
      <c r="L6" s="1122" t="s">
        <v>8</v>
      </c>
      <c r="M6" s="1122" t="s">
        <v>8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8</v>
      </c>
      <c r="V6" s="1122" t="s">
        <v>8</v>
      </c>
      <c r="W6" s="1122" t="s">
        <v>14</v>
      </c>
      <c r="X6" s="1122" t="s">
        <v>14</v>
      </c>
      <c r="Y6" s="1122" t="s">
        <v>14</v>
      </c>
      <c r="Z6" s="1122" t="s">
        <v>14</v>
      </c>
      <c r="AA6" s="1122" t="s">
        <v>6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 x14ac:dyDescent="0.3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 x14ac:dyDescent="0.3">
      <c r="B8" s="244" t="s">
        <v>103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 x14ac:dyDescent="0.3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 x14ac:dyDescent="0.3">
      <c r="B10" s="242" t="s">
        <v>90</v>
      </c>
      <c r="C10" s="432" t="s">
        <v>28</v>
      </c>
      <c r="D10" s="1131" t="s">
        <v>7</v>
      </c>
      <c r="E10" s="732" t="s">
        <v>7</v>
      </c>
      <c r="F10" s="732" t="s">
        <v>14</v>
      </c>
      <c r="G10" s="1132" t="s">
        <v>14</v>
      </c>
      <c r="H10" s="1099" t="s">
        <v>14</v>
      </c>
      <c r="I10" s="1097" t="s">
        <v>19</v>
      </c>
      <c r="J10" s="1097" t="s">
        <v>19</v>
      </c>
      <c r="K10" s="1097" t="s">
        <v>19</v>
      </c>
      <c r="L10" s="1100" t="s">
        <v>6</v>
      </c>
      <c r="M10" s="1097" t="s">
        <v>7</v>
      </c>
      <c r="N10" s="1098" t="s">
        <v>7</v>
      </c>
      <c r="O10" s="1099" t="s">
        <v>7</v>
      </c>
      <c r="P10" s="1101" t="s">
        <v>14</v>
      </c>
      <c r="Q10" s="1097" t="s">
        <v>14</v>
      </c>
      <c r="R10" s="1097" t="s">
        <v>14</v>
      </c>
      <c r="S10" s="1101" t="s">
        <v>19</v>
      </c>
      <c r="T10" s="1101" t="s">
        <v>19</v>
      </c>
      <c r="U10" s="1102" t="s">
        <v>7</v>
      </c>
      <c r="V10" s="1099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 x14ac:dyDescent="0.3">
      <c r="B11" s="376" t="s">
        <v>91</v>
      </c>
      <c r="C11" s="375" t="s">
        <v>30</v>
      </c>
      <c r="D11" s="1133" t="s">
        <v>19</v>
      </c>
      <c r="E11" s="732" t="s">
        <v>6</v>
      </c>
      <c r="F11" s="732" t="s">
        <v>7</v>
      </c>
      <c r="G11" s="1134" t="s">
        <v>7</v>
      </c>
      <c r="H11" s="1086" t="s">
        <v>7</v>
      </c>
      <c r="I11" s="1150" t="s">
        <v>7</v>
      </c>
      <c r="J11" s="24" t="s">
        <v>14</v>
      </c>
      <c r="K11" s="24" t="s">
        <v>14</v>
      </c>
      <c r="L11" s="1104" t="s">
        <v>19</v>
      </c>
      <c r="M11" s="1104" t="s">
        <v>19</v>
      </c>
      <c r="N11" s="1085" t="s">
        <v>7</v>
      </c>
      <c r="O11" s="1086" t="s">
        <v>7</v>
      </c>
      <c r="P11" s="1105" t="s">
        <v>6</v>
      </c>
      <c r="Q11" s="1105" t="s">
        <v>6</v>
      </c>
      <c r="R11" s="1105" t="s">
        <v>6</v>
      </c>
      <c r="S11" s="1104" t="s">
        <v>14</v>
      </c>
      <c r="T11" s="1104" t="s">
        <v>14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 x14ac:dyDescent="0.3">
      <c r="B12" s="244" t="s">
        <v>92</v>
      </c>
      <c r="C12" s="375" t="s">
        <v>32</v>
      </c>
      <c r="D12" s="1133" t="s">
        <v>14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105" t="s">
        <v>6</v>
      </c>
      <c r="J12" s="1105" t="s">
        <v>6</v>
      </c>
      <c r="K12" s="1105" t="s">
        <v>6</v>
      </c>
      <c r="L12" s="1104" t="s">
        <v>14</v>
      </c>
      <c r="M12" s="1104" t="s">
        <v>14</v>
      </c>
      <c r="N12" s="1085" t="s">
        <v>19</v>
      </c>
      <c r="O12" s="1086" t="s">
        <v>19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 x14ac:dyDescent="0.3">
      <c r="B13" s="246" t="s">
        <v>93</v>
      </c>
      <c r="C13" s="566" t="s">
        <v>34</v>
      </c>
      <c r="D13" s="1135" t="s">
        <v>6</v>
      </c>
      <c r="E13" s="732" t="s">
        <v>14</v>
      </c>
      <c r="F13" s="732" t="s">
        <v>14</v>
      </c>
      <c r="G13" s="1136" t="s">
        <v>19</v>
      </c>
      <c r="H13" s="1110" t="s">
        <v>19</v>
      </c>
      <c r="I13" s="1151" t="s">
        <v>14</v>
      </c>
      <c r="J13" s="1111" t="s">
        <v>7</v>
      </c>
      <c r="K13" s="1111" t="s">
        <v>7</v>
      </c>
      <c r="L13" s="1111" t="s">
        <v>7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53">
        <f t="shared" ref="D18:T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718">
        <f t="shared" si="0"/>
        <v>6</v>
      </c>
      <c r="N18" s="694">
        <f t="shared" si="0"/>
        <v>4</v>
      </c>
      <c r="O18" s="695">
        <f t="shared" si="0"/>
        <v>4</v>
      </c>
      <c r="P18" s="710">
        <f t="shared" si="0"/>
        <v>6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6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 x14ac:dyDescent="0.25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2</v>
      </c>
      <c r="F19" s="719">
        <f t="shared" si="5"/>
        <v>2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 t="shared" si="5"/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 x14ac:dyDescent="0.25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2</v>
      </c>
      <c r="F20" s="720">
        <f t="shared" si="6"/>
        <v>2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 t="shared" si="6"/>
        <v>2</v>
      </c>
      <c r="M20" s="720">
        <f t="shared" si="6"/>
        <v>2</v>
      </c>
      <c r="N20" s="698">
        <f t="shared" si="6"/>
        <v>1</v>
      </c>
      <c r="O20" s="699">
        <f t="shared" si="6"/>
        <v>1</v>
      </c>
      <c r="P20" s="712">
        <f t="shared" si="6"/>
        <v>2</v>
      </c>
      <c r="Q20" s="84">
        <f t="shared" si="6"/>
        <v>2</v>
      </c>
      <c r="R20" s="84">
        <f t="shared" si="6"/>
        <v>2</v>
      </c>
      <c r="S20" s="84">
        <f t="shared" si="6"/>
        <v>2</v>
      </c>
      <c r="T20" s="84">
        <f t="shared" si="6"/>
        <v>2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 x14ac:dyDescent="0.25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1</v>
      </c>
      <c r="J21" s="87">
        <f t="shared" si="7"/>
        <v>1</v>
      </c>
      <c r="K21" s="87">
        <f t="shared" si="7"/>
        <v>1</v>
      </c>
      <c r="L21" s="87">
        <f t="shared" si="7"/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 x14ac:dyDescent="0.3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 x14ac:dyDescent="0.25">
      <c r="C23" s="21" t="s">
        <v>7</v>
      </c>
      <c r="D23" s="92">
        <f t="shared" ref="D23:AG23" si="9">COUNTIFS(D$6:D$13,"L")+COUNTIFS(D$6:D$13,"LG")</f>
        <v>2</v>
      </c>
      <c r="E23" s="92">
        <f t="shared" si="9"/>
        <v>2</v>
      </c>
      <c r="F23" s="723">
        <f t="shared" si="9"/>
        <v>2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 t="shared" si="9"/>
        <v>2</v>
      </c>
      <c r="M23" s="723">
        <f t="shared" si="9"/>
        <v>2</v>
      </c>
      <c r="N23" s="704">
        <f t="shared" si="9"/>
        <v>4</v>
      </c>
      <c r="O23" s="705">
        <f t="shared" si="9"/>
        <v>4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0</v>
      </c>
      <c r="G24" s="706">
        <f t="shared" ref="G24:H24" si="12">COUNTIFS(G$6:G$13,"MG")+COUNTIFS(G$6:G$13,"TG")+COUNTIFS(G$6:G$13,"LG")+COUNTIFS(G$6:G$13,"DG")</f>
        <v>0</v>
      </c>
      <c r="H24" s="707">
        <f t="shared" si="12"/>
        <v>0</v>
      </c>
      <c r="I24" s="716">
        <f t="shared" si="10"/>
        <v>0</v>
      </c>
      <c r="J24" s="180">
        <f t="shared" ref="J24" si="13">COUNTIFS(K$6:K$13,"MG")+COUNTIFS(K$6:K$13,"TG")+COUNTIFS(K$6:K$13,"LG")+COUNTIFS(K$6:K$13,"DG")</f>
        <v>0</v>
      </c>
      <c r="K24" s="180">
        <f t="shared" ref="K24:AG24" si="14">COUNTIFS(K$6:K$13,"MG")+COUNTIFS(K$6:K$13,"TG")+COUNTIFS(K$6:K$13,"LG")+COUNTIFS(K$6:K$13,"DG")</f>
        <v>0</v>
      </c>
      <c r="L24" s="180">
        <f t="shared" si="14"/>
        <v>0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0</v>
      </c>
      <c r="V24" s="180">
        <f t="shared" si="14"/>
        <v>0</v>
      </c>
      <c r="W24" s="180">
        <f t="shared" ref="W24" si="18">COUNTIFS(X$6:X$13,"MG")+COUNTIFS(X$6:X$13,"TG")+COUNTIFS(X$6:X$13,"LG")+COUNTIFS(X$6:X$13,"DG")</f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3" thickBot="1" x14ac:dyDescent="0.3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 t="shared" si="19"/>
        <v>0</v>
      </c>
      <c r="M25" s="725">
        <f t="shared" si="19"/>
        <v>0</v>
      </c>
      <c r="N25" s="708">
        <f t="shared" si="19"/>
        <v>0</v>
      </c>
      <c r="O25" s="709">
        <f t="shared" si="19"/>
        <v>0</v>
      </c>
      <c r="P25" s="717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R23" activePane="bottomRight" state="frozen"/>
      <selection pane="topRight" activeCell="D1" sqref="D1"/>
      <selection pane="bottomLeft" activeCell="A6" sqref="A6"/>
      <selection pane="bottomRight" activeCell="R23" sqref="R23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4" width="3.26953125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 x14ac:dyDescent="0.35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 x14ac:dyDescent="0.3">
      <c r="B4" s="1153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104</v>
      </c>
      <c r="AH4" s="452" t="s">
        <v>6</v>
      </c>
    </row>
    <row r="5" spans="2:34" ht="13.5" customHeight="1" thickBot="1" x14ac:dyDescent="0.35">
      <c r="B5" s="1154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7">
        <v>31</v>
      </c>
    </row>
    <row r="6" spans="2:34" ht="15" customHeight="1" thickBot="1" x14ac:dyDescent="0.3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 x14ac:dyDescent="0.3">
      <c r="B7" s="244" t="s">
        <v>73</v>
      </c>
      <c r="C7" s="375" t="s">
        <v>18</v>
      </c>
      <c r="D7" s="1126" t="s">
        <v>16</v>
      </c>
      <c r="E7" s="1138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9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 x14ac:dyDescent="0.3">
      <c r="B8" s="244" t="s">
        <v>103</v>
      </c>
      <c r="C8" s="375" t="s">
        <v>21</v>
      </c>
      <c r="D8" s="732" t="s">
        <v>7</v>
      </c>
      <c r="E8" s="1138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40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 x14ac:dyDescent="0.3">
      <c r="B9" s="244" t="s">
        <v>66</v>
      </c>
      <c r="C9" s="375" t="s">
        <v>26</v>
      </c>
      <c r="D9" s="732" t="s">
        <v>6</v>
      </c>
      <c r="E9" s="1138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40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 x14ac:dyDescent="0.3">
      <c r="B10" s="242" t="s">
        <v>90</v>
      </c>
      <c r="C10" s="432" t="s">
        <v>28</v>
      </c>
      <c r="D10" s="732" t="s">
        <v>14</v>
      </c>
      <c r="E10" s="1138" t="s">
        <v>14</v>
      </c>
      <c r="F10" s="1099" t="s">
        <v>14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1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 x14ac:dyDescent="0.3">
      <c r="B11" s="376" t="s">
        <v>91</v>
      </c>
      <c r="C11" s="375" t="s">
        <v>30</v>
      </c>
      <c r="D11" s="732" t="s">
        <v>7</v>
      </c>
      <c r="E11" s="1138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 x14ac:dyDescent="0.3">
      <c r="B12" s="244" t="s">
        <v>92</v>
      </c>
      <c r="C12" s="375" t="s">
        <v>32</v>
      </c>
      <c r="D12" s="732" t="s">
        <v>19</v>
      </c>
      <c r="E12" s="1138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 x14ac:dyDescent="0.3">
      <c r="B13" s="246" t="s">
        <v>93</v>
      </c>
      <c r="C13" s="566" t="s">
        <v>34</v>
      </c>
      <c r="D13" s="732" t="s">
        <v>14</v>
      </c>
      <c r="E13" s="1138" t="s">
        <v>19</v>
      </c>
      <c r="F13" s="1110" t="s">
        <v>19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2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</row>
    <row r="16" spans="2:34" ht="11.15" customHeight="1" x14ac:dyDescent="0.25">
      <c r="B16" s="4"/>
    </row>
    <row r="17" spans="2:34" ht="11.15" customHeight="1" thickBot="1" x14ac:dyDescent="0.3">
      <c r="B17" s="4"/>
    </row>
    <row r="18" spans="2:34" ht="11.15" customHeight="1" thickBot="1" x14ac:dyDescent="0.3">
      <c r="B18" s="4"/>
      <c r="C18" s="21" t="s">
        <v>38</v>
      </c>
      <c r="D18" s="718">
        <f t="shared" ref="D18:R18" si="0">SUM(D19:D22)</f>
        <v>6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719">
        <f t="shared" ref="D19:AH19" si="6">COUNTIFS(D$6:D$13,"M")+COUNTIFS(D$6:D$13,"MG")</f>
        <v>2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 x14ac:dyDescent="0.25">
      <c r="B20" s="4"/>
      <c r="C20" s="52" t="s">
        <v>14</v>
      </c>
      <c r="D20" s="720">
        <f t="shared" ref="D20:AH20" si="7">COUNTIFS(D$6:D$13,"T")+COUNTIFS(D$6:D$13,"TG")</f>
        <v>2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 x14ac:dyDescent="0.25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 x14ac:dyDescent="0.3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723">
        <f t="shared" ref="D23:AH23" si="10">COUNTIFS(D$6:D$13,"L")+COUNTIFS(D$6:D$13,"LG")</f>
        <v>2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5" x14ac:dyDescent="0.25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3" thickBot="1" x14ac:dyDescent="0.3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1:35" ht="12.5" x14ac:dyDescent="0.25"/>
    <row r="34" spans="1:35" s="10" customFormat="1" ht="12.5" x14ac:dyDescent="0.25">
      <c r="B34"/>
      <c r="AC34"/>
      <c r="AD34"/>
      <c r="AE34"/>
      <c r="AF34"/>
      <c r="AG34"/>
      <c r="AH34"/>
      <c r="AI34"/>
    </row>
    <row r="35" spans="1:35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5" x14ac:dyDescent="0.25">
      <c r="B37"/>
    </row>
    <row r="38" spans="1:35" s="10" customFormat="1" ht="12.5" x14ac:dyDescent="0.25">
      <c r="B38"/>
    </row>
    <row r="39" spans="1:35" s="10" customFormat="1" ht="12.5" x14ac:dyDescent="0.25">
      <c r="B39"/>
    </row>
    <row r="40" spans="1:35" s="10" customFormat="1" ht="12.5" x14ac:dyDescent="0.25">
      <c r="B40"/>
    </row>
    <row r="41" spans="1:35" s="10" customFormat="1" ht="12.5" x14ac:dyDescent="0.25">
      <c r="B41"/>
    </row>
    <row r="42" spans="1:35" s="10" customFormat="1" ht="12.5" x14ac:dyDescent="0.25">
      <c r="B42"/>
    </row>
    <row r="43" spans="1:35" s="10" customFormat="1" ht="12.5" x14ac:dyDescent="0.25">
      <c r="B43"/>
    </row>
    <row r="44" spans="1:35" s="10" customFormat="1" ht="12.5" x14ac:dyDescent="0.25">
      <c r="B44"/>
    </row>
    <row r="45" spans="1:35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K8" sqref="K8"/>
    </sheetView>
  </sheetViews>
  <sheetFormatPr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53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104</v>
      </c>
      <c r="AE4" s="452" t="s">
        <v>6</v>
      </c>
      <c r="AF4" s="452" t="s">
        <v>7</v>
      </c>
      <c r="AG4" s="452" t="s">
        <v>8</v>
      </c>
    </row>
    <row r="5" spans="2:33" ht="13.5" customHeight="1" thickBot="1" x14ac:dyDescent="0.35">
      <c r="B5" s="1154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x14ac:dyDescent="0.25">
      <c r="B6" s="244" t="s">
        <v>97</v>
      </c>
      <c r="C6" s="375" t="s">
        <v>13</v>
      </c>
      <c r="D6" s="1122" t="s">
        <v>7</v>
      </c>
      <c r="E6" s="1122" t="s">
        <v>7</v>
      </c>
      <c r="F6" s="1122" t="s">
        <v>8</v>
      </c>
      <c r="G6" s="1122" t="s">
        <v>8</v>
      </c>
      <c r="H6" s="1122" t="s">
        <v>8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8</v>
      </c>
      <c r="Q6" s="1122" t="s">
        <v>8</v>
      </c>
      <c r="R6" s="1122" t="s">
        <v>14</v>
      </c>
      <c r="S6" s="1122" t="s">
        <v>14</v>
      </c>
      <c r="T6" s="1122" t="s">
        <v>14</v>
      </c>
      <c r="U6" s="1122" t="s">
        <v>14</v>
      </c>
      <c r="V6" s="1122" t="s">
        <v>6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6</v>
      </c>
      <c r="AE6" s="1121" t="s">
        <v>6</v>
      </c>
      <c r="AF6" s="1122" t="s">
        <v>7</v>
      </c>
      <c r="AG6" s="1122" t="s">
        <v>7</v>
      </c>
    </row>
    <row r="7" spans="2:33" ht="15" customHeight="1" x14ac:dyDescent="0.25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8</v>
      </c>
      <c r="J7" s="1084" t="s">
        <v>8</v>
      </c>
      <c r="K7" s="1084" t="s">
        <v>14</v>
      </c>
      <c r="L7" s="1084" t="s">
        <v>14</v>
      </c>
      <c r="M7" s="1084" t="s">
        <v>14</v>
      </c>
      <c r="N7" s="1084" t="s">
        <v>14</v>
      </c>
      <c r="O7" s="1084" t="s">
        <v>7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9" t="s">
        <v>8</v>
      </c>
      <c r="W7" s="1087" t="s">
        <v>6</v>
      </c>
      <c r="X7" s="1087" t="s">
        <v>6</v>
      </c>
      <c r="Y7" s="1083" t="s">
        <v>7</v>
      </c>
      <c r="Z7" s="1084" t="s">
        <v>7</v>
      </c>
      <c r="AA7" s="1084" t="s">
        <v>8</v>
      </c>
      <c r="AB7" s="1084" t="s">
        <v>8</v>
      </c>
      <c r="AC7" s="1084" t="s">
        <v>8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 x14ac:dyDescent="0.25">
      <c r="B8" s="244" t="s">
        <v>103</v>
      </c>
      <c r="C8" s="375" t="s">
        <v>21</v>
      </c>
      <c r="D8" s="1146" t="s">
        <v>4</v>
      </c>
      <c r="E8" s="1146" t="s">
        <v>4</v>
      </c>
      <c r="F8" s="1146" t="s">
        <v>4</v>
      </c>
      <c r="G8" s="1146" t="s">
        <v>4</v>
      </c>
      <c r="H8" s="103" t="s">
        <v>7</v>
      </c>
      <c r="I8" s="1085" t="s">
        <v>7</v>
      </c>
      <c r="J8" s="1086" t="s">
        <v>7</v>
      </c>
      <c r="K8" s="1146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9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 x14ac:dyDescent="0.3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40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 x14ac:dyDescent="0.25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1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 x14ac:dyDescent="0.25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 x14ac:dyDescent="0.25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 x14ac:dyDescent="0.3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2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 x14ac:dyDescent="0.25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 x14ac:dyDescent="0.25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 x14ac:dyDescent="0.25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 x14ac:dyDescent="0.3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 x14ac:dyDescent="0.25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5" x14ac:dyDescent="0.25">
      <c r="C24" s="21" t="s">
        <v>94</v>
      </c>
      <c r="D24" s="716">
        <f t="shared" ref="D24" si="12">COUNTIFS(D$6:D$13,"MG")+COUNTIFS(D$6:D$13,"TG")+COUNTIFS(D$6:D$13,"LG")+COUNTIFS(D$6:D$13,"DG")</f>
        <v>0</v>
      </c>
      <c r="E24" s="180">
        <f t="shared" ref="E24" si="13">COUNTIFS(F$6:F$13,"MG")+COUNTIFS(F$6:F$13,"TG")+COUNTIFS(F$6:F$13,"LG")+COUNTIFS(F$6:F$13,"DG")</f>
        <v>0</v>
      </c>
      <c r="F24" s="180">
        <f t="shared" ref="F24:AG24" si="14">COUNTIFS(F$6:F$13,"MG")+COUNTIFS(F$6:F$13,"TG")+COUNTIFS(F$6:F$13,"LG")+COUNTIFS(F$6:F$13,"DG")</f>
        <v>0</v>
      </c>
      <c r="G24" s="180">
        <f t="shared" si="14"/>
        <v>0</v>
      </c>
      <c r="H24" s="724">
        <f t="shared" ref="H24" si="15">COUNTIFS(I$6:I$13,"MG")+COUNTIFS(I$6:I$13,"TG")+COUNTIFS(I$6:I$13,"LG")+COUNTIFS(I$6:I$13,"DG")</f>
        <v>0</v>
      </c>
      <c r="I24" s="706">
        <f t="shared" si="14"/>
        <v>0</v>
      </c>
      <c r="J24" s="707">
        <f t="shared" si="14"/>
        <v>0</v>
      </c>
      <c r="K24" s="716">
        <f t="shared" ref="K24" si="16">COUNTIFS(L$6:L$13,"MG")+COUNTIFS(L$6:L$13,"TG")+COUNTIFS(L$6:L$13,"LG")+COUNTIFS(L$6:L$13,"DG")</f>
        <v>0</v>
      </c>
      <c r="L24" s="180">
        <f t="shared" si="14"/>
        <v>0</v>
      </c>
      <c r="M24" s="180">
        <f t="shared" si="14"/>
        <v>0</v>
      </c>
      <c r="N24" s="180">
        <f t="shared" ref="N24" si="17">COUNTIFS(O$6:O$13,"MG")+COUNTIFS(O$6:O$13,"TG")+COUNTIFS(O$6:O$13,"LG")+COUNTIFS(O$6:O$13,"DG")</f>
        <v>0</v>
      </c>
      <c r="O24" s="180">
        <f t="shared" si="14"/>
        <v>0</v>
      </c>
      <c r="P24" s="180">
        <f t="shared" si="14"/>
        <v>0</v>
      </c>
      <c r="Q24" s="180">
        <f t="shared" si="14"/>
        <v>0</v>
      </c>
      <c r="R24" s="180">
        <f t="shared" ref="R24" si="18">COUNTIFS(S$6:S$13,"MG")+COUNTIFS(S$6:S$13,"TG")+COUNTIFS(S$6:S$13,"LG")+COUNTIFS(S$6:S$13,"DG")</f>
        <v>0</v>
      </c>
      <c r="S24" s="180">
        <f t="shared" si="14"/>
        <v>0</v>
      </c>
      <c r="T24" s="180">
        <f t="shared" si="14"/>
        <v>0</v>
      </c>
      <c r="U24" s="180">
        <f t="shared" si="14"/>
        <v>0</v>
      </c>
      <c r="V24" s="180">
        <f t="shared" si="14"/>
        <v>0</v>
      </c>
      <c r="W24" s="180">
        <f t="shared" si="14"/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0</v>
      </c>
      <c r="AC24" s="180">
        <f t="shared" si="14"/>
        <v>0</v>
      </c>
      <c r="AD24" s="180">
        <f t="shared" si="14"/>
        <v>0</v>
      </c>
      <c r="AE24" s="180">
        <f t="shared" si="14"/>
        <v>0</v>
      </c>
      <c r="AF24" s="180">
        <f t="shared" si="14"/>
        <v>0</v>
      </c>
      <c r="AG24" s="180">
        <f t="shared" si="14"/>
        <v>0</v>
      </c>
    </row>
    <row r="25" spans="2:33" ht="13" thickBot="1" x14ac:dyDescent="0.3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Z34"/>
      <c r="AA34"/>
      <c r="AB34"/>
      <c r="AC34"/>
      <c r="AD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2" ma:contentTypeDescription="Create a new document." ma:contentTypeScope="" ma:versionID="599fab6a6663827c9b59cd4dd7f764e3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bfb2e0234435ecb94038c8418a044a29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0094d01-527c-406c-8203-80928548660a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2795535-DE3F-4CE5-85C5-BD3641CD731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D6FFE2-DE6B-49D2-8C31-13273A5560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a1bf74-9a69-48a2-9296-74439b2d6558"/>
    <ds:schemaRef ds:uri="c0094d01-527c-406c-8203-80928548660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4AEC4E9-D5BB-40A4-AB55-3FD90BB5AFFA}">
  <ds:schemaRefs>
    <ds:schemaRef ds:uri="http://schemas.openxmlformats.org/package/2006/metadata/core-properties"/>
    <ds:schemaRef ds:uri="5fa1bf74-9a69-48a2-9296-74439b2d6558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dcmitype/"/>
    <ds:schemaRef ds:uri="http://www.w3.org/XML/1998/namespace"/>
    <ds:schemaRef ds:uri="http://purl.org/dc/terms/"/>
    <ds:schemaRef ds:uri="c0094d01-527c-406c-8203-80928548660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1 Dic-22 a 7-ene-23</vt:lpstr>
      <vt:lpstr>5-feb-24 a 3-mar-24</vt:lpstr>
      <vt:lpstr>8-ene-23 a 4-feb-23</vt:lpstr>
      <vt:lpstr>4-mar-24 a 31-mar-24</vt:lpstr>
      <vt:lpstr>Abril´24</vt:lpstr>
      <vt:lpstr>Mayo´24</vt:lpstr>
      <vt:lpstr>Junio´24</vt:lpstr>
      <vt:lpstr>Julio´24</vt:lpstr>
      <vt:lpstr>Agosto´24</vt:lpstr>
      <vt:lpstr>Septiembre'24 </vt:lpstr>
      <vt:lpstr>Contactos</vt:lpstr>
      <vt:lpstr>Noviembre'24</vt:lpstr>
      <vt:lpstr>Marzo</vt:lpstr>
      <vt:lpstr>Octubre'24 </vt:lpstr>
      <vt:lpstr>Diciembre24</vt:lpstr>
      <vt:lpstr>Enero</vt:lpstr>
      <vt:lpstr>Febrero</vt:lpstr>
      <vt:lpstr>Abril</vt:lpstr>
      <vt:lpstr>Mayo </vt:lpstr>
      <vt:lpstr>Junio</vt:lpstr>
      <vt:lpstr>Julio</vt:lpstr>
      <vt:lpstr>Agosto</vt:lpstr>
      <vt:lpstr>Septiembre</vt:lpstr>
      <vt:lpstr>Octubre</vt:lpstr>
      <vt:lpstr>Noviembre</vt:lpstr>
      <vt:lpstr>Diciembre</vt:lpstr>
      <vt:lpstr>Enero 2026</vt:lpstr>
      <vt:lpstr>Feb</vt:lpstr>
      <vt:lpstr>Marzo2026</vt:lpstr>
      <vt:lpstr>Abril2026</vt:lpstr>
      <vt:lpstr>Mayo2026</vt:lpstr>
      <vt:lpstr>Junio2026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Inmaculada Benitez Gonzalez</cp:lastModifiedBy>
  <cp:revision/>
  <dcterms:created xsi:type="dcterms:W3CDTF">2023-03-28T15:04:58Z</dcterms:created>
  <dcterms:modified xsi:type="dcterms:W3CDTF">2026-02-13T09:19:49Z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0x010100AB0533E4CB93744EA391F0A9817D55C7</vt:lpwstr>
  </property>
  <property fmtid="{D5CDD505-2E9C-101B-9397-08002B2CF9AE}" pid="3" name="MediaServiceImageTags">
    <vt:lpwstr/>
  </property>
  <property fmtid="{D5CDD505-2E9C-101B-9397-08002B2CF9AE}" pid="4" name="MSIP_Label_41b88ec2-a72b-4523-9e84-0458a1764731_Enabled">
    <vt:lpwstr>true</vt:lpwstr>
  </property>
  <property fmtid="{D5CDD505-2E9C-101B-9397-08002B2CF9AE}" pid="5" name="MSIP_Label_41b88ec2-a72b-4523-9e84-0458a1764731_SetDate">
    <vt:lpwstr>2026-02-13T07:46:55Z</vt:lpwstr>
  </property>
  <property fmtid="{D5CDD505-2E9C-101B-9397-08002B2CF9AE}" pid="6" name="MSIP_Label_41b88ec2-a72b-4523-9e84-0458a1764731_Method">
    <vt:lpwstr>Privileged</vt:lpwstr>
  </property>
  <property fmtid="{D5CDD505-2E9C-101B-9397-08002B2CF9AE}" pid="7" name="MSIP_Label_41b88ec2-a72b-4523-9e84-0458a1764731_Name">
    <vt:lpwstr>Public O365</vt:lpwstr>
  </property>
  <property fmtid="{D5CDD505-2E9C-101B-9397-08002B2CF9AE}" pid="8" name="MSIP_Label_41b88ec2-a72b-4523-9e84-0458a1764731_SiteId">
    <vt:lpwstr>35595a02-4d6d-44ac-99e1-f9ab4cd872db</vt:lpwstr>
  </property>
  <property fmtid="{D5CDD505-2E9C-101B-9397-08002B2CF9AE}" pid="9" name="MSIP_Label_41b88ec2-a72b-4523-9e84-0458a1764731_ActionId">
    <vt:lpwstr>5ef7efeb-e175-4cb8-a9bd-642c0b941c89</vt:lpwstr>
  </property>
  <property fmtid="{D5CDD505-2E9C-101B-9397-08002B2CF9AE}" pid="10" name="MSIP_Label_41b88ec2-a72b-4523-9e84-0458a1764731_ContentBits">
    <vt:lpwstr>0</vt:lpwstr>
  </property>
  <property fmtid="{D5CDD505-2E9C-101B-9397-08002B2CF9AE}" pid="11" name="MSIP_Label_41b88ec2-a72b-4523-9e84-0458a1764731_Tag">
    <vt:lpwstr>10, 0, 1, 1</vt:lpwstr>
  </property>
</Properties>
</file>