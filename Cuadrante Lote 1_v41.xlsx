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272" documentId="121_S{DD794ABC-ECB3-58DA-BED6-5FE5248B16B9}" xr6:coauthVersionLast="47" xr6:coauthVersionMax="47" xr10:uidLastSave="{835838B8-AE18-4A66-9AAB-11D2A721095E}"/>
  <bookViews>
    <workbookView minimized="1" xWindow="1140" yWindow="1140" windowWidth="14400" windowHeight="7270" firstSheet="30" activeTab="30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Feb" sheetId="41" r:id="rId27"/>
    <sheet name="Enero 2026" sheetId="38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5" l="1"/>
  <c r="D24" i="45"/>
  <c r="D19" i="45"/>
  <c r="D18" i="45"/>
  <c r="AI25" i="52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E19" i="45"/>
  <c r="E18" i="45" s="1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C18" i="44" s="1"/>
  <c r="AB20" i="44"/>
  <c r="AA20" i="44"/>
  <c r="Z20" i="44"/>
  <c r="Y20" i="44"/>
  <c r="X20" i="44"/>
  <c r="W20" i="44"/>
  <c r="V20" i="44"/>
  <c r="U20" i="44"/>
  <c r="U18" i="44" s="1"/>
  <c r="T20" i="44"/>
  <c r="S20" i="44"/>
  <c r="R20" i="44"/>
  <c r="R18" i="44" s="1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E18" i="44" s="1"/>
  <c r="AD19" i="44"/>
  <c r="AC19" i="44"/>
  <c r="AB19" i="44"/>
  <c r="AA19" i="44"/>
  <c r="AA18" i="44" s="1"/>
  <c r="Z19" i="44"/>
  <c r="Z18" i="44" s="1"/>
  <c r="Y19" i="44"/>
  <c r="X19" i="44"/>
  <c r="W19" i="44"/>
  <c r="W18" i="44" s="1"/>
  <c r="V19" i="44"/>
  <c r="U19" i="44"/>
  <c r="T19" i="44"/>
  <c r="S19" i="44"/>
  <c r="S18" i="44" s="1"/>
  <c r="R19" i="44"/>
  <c r="Q19" i="44"/>
  <c r="P19" i="44"/>
  <c r="P18" i="44" s="1"/>
  <c r="O19" i="44"/>
  <c r="N19" i="44"/>
  <c r="M19" i="44"/>
  <c r="L19" i="44"/>
  <c r="K19" i="44"/>
  <c r="J19" i="44"/>
  <c r="I19" i="44"/>
  <c r="H19" i="44"/>
  <c r="G19" i="44"/>
  <c r="F19" i="44"/>
  <c r="E19" i="44"/>
  <c r="D19" i="44"/>
  <c r="AG18" i="44"/>
  <c r="AF18" i="44"/>
  <c r="AD18" i="44"/>
  <c r="AB18" i="44"/>
  <c r="T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AB18" i="45" l="1"/>
  <c r="O18" i="45"/>
  <c r="F18" i="45"/>
  <c r="X18" i="44"/>
  <c r="V18" i="44"/>
  <c r="Q18" i="44"/>
  <c r="O18" i="44"/>
  <c r="N18" i="44"/>
  <c r="L18" i="44"/>
  <c r="Y18" i="44"/>
  <c r="K18" i="44"/>
  <c r="J18" i="44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<sst xmlns="http://schemas.openxmlformats.org/spreadsheetml/2006/main" count="12976" uniqueCount="106">
  <si>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</si>
  <si>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</si>
  <si>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</si>
  <si>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</si>
  <si>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</si>
  <si>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</si>
  <si>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</si>
  <si>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</si>
  <si>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</si>
  <si>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</si>
  <si>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</si>
  <si>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</si>
  <si>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</si>
  <si>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</si>
  <si>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</si>
  <si>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</si>
  <si>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</si>
  <si>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</si>
  <si>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</si>
  <si>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</si>
  <si>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</si>
  <si>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</si>
  <si>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</si>
  <si>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</si>
  <si>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</si>
  <si>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</si>
  <si>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</si>
  <si>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</si>
  <si>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</si>
  <si>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</si>
  <si>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</si>
  <si>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</si>
  <si>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</si>
  <si>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</si>
  <si>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</si>
  <si>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</si>
  <si>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</si>
  <si>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</si>
  <si>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</si>
  <si>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</si>
  <si>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</si>
  <si>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</si>
  <si>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</si>
  <si>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</si>
  <si>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</si>
  <si>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</si>
  <si>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</si>
  <si>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</si>
  <si>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</si>
  <si>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</si>
  <si>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</si>
  <si>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</si>
  <si>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</si>
  <si>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</si>
  <si>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</si>
  <si>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</si>
  <si>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</si>
  <si>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</si>
  <si>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</si>
  <si>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</si>
  <si>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</si>
  <si>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</si>
  <si>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</si>
  <si>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</si>
  <si>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</si>
  <si>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</si>
  <si>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</si>
  <si>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</si>
  <si>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</si>
  <si>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</si>
  <si>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</si>
  <si>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</si>
  <si>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</si>
  <si>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</si>
  <si>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</si>
  <si>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</si>
  <si>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</si>
  <si>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</si>
  <si>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</si>
  <si>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</si>
  <si>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</si>
  <si>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</si>
  <si>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</si>
  <si>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</si>
  <si>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</si>
  <si>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</si>
  <si>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</si>
  <si>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</si>
  <si>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</si>
  <si>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</si>
  <si>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</si>
  <si>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</si>
  <si>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</si>
  <si>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</si>
  <si>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</si>
  <si>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</si>
  <si>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</si>
  <si>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</si>
  <si>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</si>
  <si>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</si>
  <si>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</si>
  <si>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</si>
  <si>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</si>
  <si>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</si>
  <si>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>D/N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</si>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</sst>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20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28" fillId="7" borderId="21" xfId="0" applyFont="1" applyFill="1" applyBorder="1" applyAlignment="1">
      <alignment horizontal="center" vertical="center"/>
    </xf>
    <xf numFmtId="0" fontId="28" fillId="47" borderId="7" xfId="0" applyFont="1" applyFill="1" applyBorder="1" applyAlignment="1">
      <alignment horizontal="center" vertical="center"/>
    </xf>
    <xf numFmtId="0" fontId="5" fillId="47" borderId="21" xfId="0" applyFont="1" applyFill="1" applyBorder="1" applyAlignment="1">
      <alignment horizontal="center" vertical="center"/>
    </xf>
    <xf numFmtId="0" fontId="5" fillId="47" borderId="23" xfId="0" applyFont="1" applyFill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A32" sqref="A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297"/>
      <c r="G1" s="1297"/>
      <c r="H1" s="1297"/>
      <c r="I1" s="1297"/>
      <c r="J1" s="1297"/>
      <c r="K1" s="129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295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295"/>
      <c r="C3" s="2"/>
      <c r="D3" s="7"/>
      <c r="E3" s="7"/>
      <c r="F3" s="1288" t="s">
        <v>1</v>
      </c>
      <c r="G3" s="1288"/>
      <c r="H3" s="1288"/>
      <c r="I3" s="1288"/>
      <c r="J3" s="1288"/>
      <c r="K3" s="1288"/>
      <c r="L3" s="1288"/>
      <c r="M3" s="1288"/>
      <c r="N3" s="1288"/>
      <c r="O3" s="1288"/>
      <c r="P3" s="1288"/>
      <c r="Q3" s="1288"/>
      <c r="R3" s="1288"/>
      <c r="S3" s="1288"/>
      <c r="T3" s="1288"/>
      <c r="U3" s="1288"/>
      <c r="V3" s="1288"/>
      <c r="W3" s="1288"/>
      <c r="X3" s="1288"/>
      <c r="Y3" s="1288"/>
      <c r="Z3" s="1288"/>
      <c r="AA3" s="1288"/>
      <c r="AB3" s="1288"/>
      <c r="AC3" s="1288"/>
      <c r="AD3" s="1288"/>
      <c r="AE3" s="1288"/>
      <c r="AF3" s="1288"/>
      <c r="AG3" s="1288"/>
      <c r="AH3" s="1288"/>
      <c r="AI3" s="1288"/>
      <c r="AJ3" s="1288"/>
      <c r="AK3" s="1288"/>
      <c r="AL3" s="1300" t="s">
        <v>2</v>
      </c>
      <c r="AM3" s="1300"/>
      <c r="AN3" s="1300"/>
      <c r="AO3" s="1300"/>
      <c r="AP3" s="1300"/>
      <c r="AQ3" s="1300"/>
    </row>
    <row r="4" spans="2:45" ht="11.25" customHeight="1">
      <c r="B4" s="41"/>
      <c r="C4" s="1298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299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296" t="str">
        <f>"Plantilla de Turnos CCNC  "&amp;D29</f>
        <v>Plantilla de Turnos CCNC  Raquel</v>
      </c>
      <c r="G28" s="1296"/>
      <c r="H28" s="1296"/>
      <c r="I28" s="1296"/>
      <c r="J28" s="1296"/>
      <c r="K28" s="1296"/>
      <c r="L28" s="1296"/>
      <c r="M28" s="27"/>
      <c r="N28" s="27"/>
      <c r="O28" s="27"/>
      <c r="P28" s="11"/>
      <c r="Q28" s="10"/>
      <c r="R28" s="10"/>
      <c r="S28" s="10"/>
      <c r="T28" s="10"/>
      <c r="U28" s="10"/>
      <c r="V28" s="1296" t="str">
        <f>"Plantilla de Turnos CCNC  "&amp;V29</f>
        <v>Plantilla de Turnos CCNC  To Be</v>
      </c>
      <c r="W28" s="1296"/>
      <c r="X28" s="1296"/>
      <c r="Y28" s="1296"/>
      <c r="Z28" s="1296"/>
      <c r="AA28" s="1296"/>
      <c r="AB28" s="1296"/>
      <c r="AC28" s="1296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291">
        <f>8.33*(COUNTIFS(F30:L30,"&lt;&gt;"&amp;"L"))</f>
        <v>41.65</v>
      </c>
      <c r="P30" s="1292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289">
        <f>8.33*(COUNTIFS(W30:AC30,"&lt;&gt;"&amp;"L"))</f>
        <v>58.31</v>
      </c>
      <c r="AG30" s="1290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293">
        <f t="shared" ref="O31:O38" si="12">8.33*(COUNTIFS(F31:L31,"&lt;&gt;"&amp;"L"))</f>
        <v>33.32</v>
      </c>
      <c r="P31" s="1294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284">
        <f t="shared" ref="AF31:AF37" si="13">8.33*(COUNTIFS(W31:AC31,"&lt;&gt;"&amp;"L"))</f>
        <v>24.990000000000002</v>
      </c>
      <c r="AG31" s="1285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293">
        <f t="shared" si="12"/>
        <v>58.31</v>
      </c>
      <c r="P32" s="1294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284">
        <f t="shared" si="13"/>
        <v>33.32</v>
      </c>
      <c r="AG32" s="1285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293">
        <f>8.33*(COUNTIFS(F33:L33,"&lt;&gt;"&amp;"LG"))</f>
        <v>41.65</v>
      </c>
      <c r="P33" s="1294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284">
        <f t="shared" si="13"/>
        <v>41.65</v>
      </c>
      <c r="AG33" s="1285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284">
        <f t="shared" si="13"/>
        <v>24.990000000000002</v>
      </c>
      <c r="AG34" s="1285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293">
        <f t="shared" si="12"/>
        <v>58.31</v>
      </c>
      <c r="P35" s="1294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284">
        <f t="shared" si="13"/>
        <v>33.32</v>
      </c>
      <c r="AG35" s="1285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293">
        <f t="shared" si="12"/>
        <v>33.32</v>
      </c>
      <c r="P36" s="1294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284">
        <f t="shared" si="13"/>
        <v>41.65</v>
      </c>
      <c r="AG36" s="1285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293">
        <f t="shared" si="12"/>
        <v>24.990000000000002</v>
      </c>
      <c r="P37" s="1294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286">
        <f t="shared" si="13"/>
        <v>58.31</v>
      </c>
      <c r="AG37" s="1287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305">
        <f t="shared" si="12"/>
        <v>41.65</v>
      </c>
      <c r="P38" s="1306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278">
        <f>SUM(W40:AC40)</f>
        <v>12</v>
      </c>
      <c r="AG40" s="1279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307">
        <f>SUM(F41:L41)</f>
        <v>10</v>
      </c>
      <c r="P41" s="1308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280">
        <f t="shared" ref="AF41:AF44" si="17">SUM(W41:AC41)</f>
        <v>12</v>
      </c>
      <c r="AG41" s="1281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301">
        <f t="shared" ref="O42:O45" si="19">SUM(F42:L42)</f>
        <v>11</v>
      </c>
      <c r="P42" s="1302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280">
        <f t="shared" si="17"/>
        <v>7</v>
      </c>
      <c r="AG42" s="1281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301">
        <f t="shared" si="19"/>
        <v>7</v>
      </c>
      <c r="P43" s="1302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280">
        <f t="shared" si="17"/>
        <v>7</v>
      </c>
      <c r="AG43" s="1281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301">
        <f t="shared" si="19"/>
        <v>7</v>
      </c>
      <c r="P44" s="1302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282">
        <f t="shared" si="17"/>
        <v>18</v>
      </c>
      <c r="AG44" s="1283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303">
        <f t="shared" si="19"/>
        <v>14</v>
      </c>
      <c r="P45" s="1304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309" t="s">
        <v>51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0" t="s">
        <v>52</v>
      </c>
      <c r="AC3" s="1300"/>
      <c r="AD3" s="1300"/>
      <c r="AE3" s="1300"/>
    </row>
    <row r="4" spans="2:31" ht="11.25" customHeight="1">
      <c r="B4" s="129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299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296" t="str">
        <f>"Plantilla de Turnos CCNC  "&amp;H31</f>
        <v>Plantilla de Turnos CCNC  To Be</v>
      </c>
      <c r="I30" s="1296"/>
      <c r="J30" s="1296"/>
      <c r="K30" s="1296"/>
      <c r="L30" s="1296"/>
      <c r="M30" s="1296"/>
      <c r="N30" s="1296"/>
      <c r="O30" s="1296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289">
        <f>8.33*(COUNTIFS(I32:O32,"&lt;&gt;"&amp;"L",I32:O32,"&lt;&gt;"&amp;"D"))+8*(COUNTIFS(I32:O32,"="&amp;"D"))</f>
        <v>57.65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289">
        <f t="shared" ref="R33:R39" si="7">8.33*(COUNTIFS(I33:O33,"&lt;&gt;"&amp;"L",I33:O33,"&lt;&gt;"&amp;"D"))+8*(COUNTIFS(I33:O33,"="&amp;"D"))</f>
        <v>24.990000000000002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289">
        <f t="shared" si="7"/>
        <v>33.32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289">
        <f t="shared" si="7"/>
        <v>41.32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289">
        <f t="shared" si="7"/>
        <v>24.990000000000002</v>
      </c>
      <c r="S36" s="129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289">
        <f t="shared" si="7"/>
        <v>32.99</v>
      </c>
      <c r="S37" s="129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289">
        <f t="shared" si="7"/>
        <v>41.65</v>
      </c>
      <c r="S38" s="129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310">
        <f t="shared" si="7"/>
        <v>57.32</v>
      </c>
      <c r="S39" s="131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278">
        <f>SUM(I42:O42)</f>
        <v>12</v>
      </c>
      <c r="S42" s="12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280">
        <f t="shared" ref="R43:R46" si="10">SUM(I43:O43)</f>
        <v>12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280">
        <f t="shared" si="10"/>
        <v>7</v>
      </c>
      <c r="S44" s="12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280">
        <f t="shared" si="10"/>
        <v>7</v>
      </c>
      <c r="S45" s="128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282">
        <f t="shared" si="10"/>
        <v>18</v>
      </c>
      <c r="S46" s="1283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309" t="s">
        <v>59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0" t="s">
        <v>51</v>
      </c>
      <c r="AC3" s="1300"/>
      <c r="AD3" s="1300"/>
      <c r="AE3" s="1300"/>
    </row>
    <row r="4" spans="2:33" ht="11.25" customHeight="1">
      <c r="B4" s="129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299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296" t="str">
        <f>"Plantilla de Turnos CCNC  "&amp;H29</f>
        <v>Plantilla de Turnos CCNC  To Be</v>
      </c>
      <c r="I28" s="1296"/>
      <c r="J28" s="1296"/>
      <c r="K28" s="1296"/>
      <c r="L28" s="1296"/>
      <c r="M28" s="1296"/>
      <c r="N28" s="1296"/>
      <c r="O28" s="1296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89">
        <f>8.33*(COUNTIFS(I30:O30,"&lt;&gt;"&amp;"L",I30:O30,"&lt;&gt;"&amp;"D"))+8*(COUNTIFS(I30:O30,"="&amp;"D"))</f>
        <v>57.65</v>
      </c>
      <c r="S30" s="129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89">
        <f t="shared" ref="R31:R37" si="7">8.33*(COUNTIFS(I31:O31,"&lt;&gt;"&amp;"L",I31:O31,"&lt;&gt;"&amp;"D"))+8*(COUNTIFS(I31:O31,"="&amp;"D"))</f>
        <v>24.990000000000002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89">
        <f t="shared" si="7"/>
        <v>33.32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89">
        <f t="shared" si="7"/>
        <v>41.32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89">
        <f t="shared" si="7"/>
        <v>24.990000000000002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89">
        <f t="shared" si="7"/>
        <v>32.99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89">
        <f t="shared" si="7"/>
        <v>41.65</v>
      </c>
      <c r="S36" s="129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10">
        <f t="shared" si="7"/>
        <v>57.32</v>
      </c>
      <c r="S37" s="13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278">
        <f>SUM(I40:O40)</f>
        <v>12</v>
      </c>
      <c r="S40" s="12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280">
        <f t="shared" ref="R41:R44" si="10">SUM(I41:O41)</f>
        <v>12</v>
      </c>
      <c r="S41" s="12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280">
        <f t="shared" si="10"/>
        <v>7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280">
        <f t="shared" si="10"/>
        <v>7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282">
        <f t="shared" si="10"/>
        <v>18</v>
      </c>
      <c r="S44" s="12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309" t="str">
        <f>TEXT(D5,"mmm")</f>
        <v>mar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</row>
    <row r="4" spans="2:31" ht="11.25" customHeight="1">
      <c r="B4" s="129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299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289">
        <f>8.33*(COUNTIFS(I31:O31,"&lt;&gt;"&amp;"L",I31:O31,"&lt;&gt;"&amp;"D"))+8*(COUNTIFS(I31:O31,"="&amp;"D"))</f>
        <v>57.65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289">
        <f t="shared" ref="R32:R38" si="7">8.33*(COUNTIFS(I32:O32,"&lt;&gt;"&amp;"L",I32:O32,"&lt;&gt;"&amp;"D"))+8*(COUNTIFS(I32:O32,"="&amp;"D"))</f>
        <v>24.990000000000002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289">
        <f t="shared" si="7"/>
        <v>33.32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289">
        <f t="shared" si="7"/>
        <v>41.32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289">
        <f t="shared" si="7"/>
        <v>24.990000000000002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289">
        <f t="shared" si="7"/>
        <v>32.99</v>
      </c>
      <c r="S36" s="129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289">
        <f t="shared" si="7"/>
        <v>41.65</v>
      </c>
      <c r="S37" s="129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310">
        <f t="shared" si="7"/>
        <v>57.32</v>
      </c>
      <c r="S38" s="131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278">
        <f>SUM(I41:O41)</f>
        <v>12</v>
      </c>
      <c r="S41" s="12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280">
        <f t="shared" ref="R42:R45" si="10">SUM(I42:O42)</f>
        <v>12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280">
        <f t="shared" si="10"/>
        <v>7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280">
        <f t="shared" si="10"/>
        <v>7</v>
      </c>
      <c r="S44" s="12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282">
        <f t="shared" si="10"/>
        <v>18</v>
      </c>
      <c r="S45" s="1283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09" t="s">
        <v>65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3" ht="11.25" customHeight="1">
      <c r="B4" s="129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299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89">
        <f>8.33*(COUNTIFS(I30:O30,"&lt;&gt;"&amp;"L",I30:O30,"&lt;&gt;"&amp;"D"))+8*(COUNTIFS(I30:O30,"="&amp;"D"))</f>
        <v>57.65</v>
      </c>
      <c r="S30" s="129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89">
        <f t="shared" ref="R31:R37" si="14">8.33*(COUNTIFS(I31:O31,"&lt;&gt;"&amp;"L",I31:O31,"&lt;&gt;"&amp;"D"))+8*(COUNTIFS(I31:O31,"="&amp;"D"))</f>
        <v>24.990000000000002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89">
        <f t="shared" si="14"/>
        <v>33.32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89">
        <f t="shared" si="14"/>
        <v>41.32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89">
        <f t="shared" si="14"/>
        <v>24.990000000000002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89">
        <f t="shared" si="14"/>
        <v>32.99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89">
        <f t="shared" si="14"/>
        <v>41.65</v>
      </c>
      <c r="S36" s="129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10">
        <f t="shared" si="14"/>
        <v>57.32</v>
      </c>
      <c r="S37" s="13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278">
        <f>SUM(I40:O40)</f>
        <v>12</v>
      </c>
      <c r="S40" s="12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280">
        <f t="shared" ref="R41:R44" si="17">SUM(I41:O41)</f>
        <v>12</v>
      </c>
      <c r="S41" s="12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280">
        <f t="shared" si="17"/>
        <v>7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280">
        <f t="shared" si="17"/>
        <v>7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282">
        <f t="shared" si="17"/>
        <v>18</v>
      </c>
      <c r="S44" s="12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09" t="s">
        <v>67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4" ht="11.25" customHeight="1">
      <c r="B4" s="1298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299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89">
        <f>8.33*(COUNTIFS(I29:O29,"&lt;&gt;"&amp;"L",I29:O29,"&lt;&gt;"&amp;"D"))+8*(COUNTIFS(I29:O29,"="&amp;"D"))</f>
        <v>57.65</v>
      </c>
      <c r="S29" s="129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89">
        <f t="shared" ref="R30:R36" si="14">8.33*(COUNTIFS(I30:O30,"&lt;&gt;"&amp;"L",I30:O30,"&lt;&gt;"&amp;"D"))+8*(COUNTIFS(I30:O30,"="&amp;"D"))</f>
        <v>24.990000000000002</v>
      </c>
      <c r="S30" s="129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89">
        <f t="shared" si="14"/>
        <v>33.32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89">
        <f t="shared" si="14"/>
        <v>41.32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89">
        <f t="shared" si="14"/>
        <v>24.990000000000002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89">
        <f t="shared" si="14"/>
        <v>32.99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89">
        <f t="shared" si="14"/>
        <v>41.65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10">
        <f t="shared" si="14"/>
        <v>57.32</v>
      </c>
      <c r="S36" s="131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278">
        <f>SUM(I39:O39)</f>
        <v>12</v>
      </c>
      <c r="S39" s="127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280">
        <f t="shared" ref="R40:R43" si="17">SUM(I40:O40)</f>
        <v>12</v>
      </c>
      <c r="S40" s="12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280">
        <f t="shared" si="17"/>
        <v>7</v>
      </c>
      <c r="S41" s="12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280">
        <f t="shared" si="17"/>
        <v>7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282">
        <f t="shared" si="17"/>
        <v>18</v>
      </c>
      <c r="S43" s="12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09" t="s">
        <v>72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3" ht="11.25" customHeight="1">
      <c r="B4" s="1298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299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89">
        <f>8.33*(COUNTIFS(I30:O30,"&lt;&gt;"&amp;"L",I30:O30,"&lt;&gt;"&amp;"D"))+8*(COUNTIFS(I30:O30,"="&amp;"D"))</f>
        <v>57.65</v>
      </c>
      <c r="S30" s="129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89">
        <f t="shared" ref="R31:R37" si="14">8.33*(COUNTIFS(I31:O31,"&lt;&gt;"&amp;"L",I31:O31,"&lt;&gt;"&amp;"D"))+8*(COUNTIFS(I31:O31,"="&amp;"D"))</f>
        <v>24.990000000000002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89">
        <f t="shared" si="14"/>
        <v>33.32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89">
        <f t="shared" si="14"/>
        <v>41.32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89">
        <f t="shared" si="14"/>
        <v>24.990000000000002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89">
        <f t="shared" si="14"/>
        <v>32.99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89">
        <f t="shared" si="14"/>
        <v>41.65</v>
      </c>
      <c r="S36" s="129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10">
        <f t="shared" si="14"/>
        <v>57.32</v>
      </c>
      <c r="S37" s="13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278">
        <f>SUM(I40:O40)</f>
        <v>12</v>
      </c>
      <c r="S40" s="12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280">
        <f t="shared" ref="R41:R44" si="17">SUM(I41:O41)</f>
        <v>12</v>
      </c>
      <c r="S41" s="12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280">
        <f t="shared" si="17"/>
        <v>7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280">
        <f t="shared" si="17"/>
        <v>7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282">
        <f t="shared" si="17"/>
        <v>18</v>
      </c>
      <c r="S44" s="12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09" t="s">
        <v>76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  <c r="AH3" s="179"/>
    </row>
    <row r="4" spans="2:34" ht="11.25" customHeight="1">
      <c r="B4" s="129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299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89">
        <f>8.33*(COUNTIFS(I30:O30,"&lt;&gt;"&amp;"L",I30:O30,"&lt;&gt;"&amp;"D"))+8*(COUNTIFS(I30:O30,"="&amp;"D"))</f>
        <v>57.65</v>
      </c>
      <c r="S30" s="129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89">
        <f t="shared" ref="R31:R37" si="8">8.33*(COUNTIFS(I31:O31,"&lt;&gt;"&amp;"L",I31:O31,"&lt;&gt;"&amp;"D"))+8*(COUNTIFS(I31:O31,"="&amp;"D"))</f>
        <v>24.990000000000002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89">
        <f t="shared" si="8"/>
        <v>33.32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89">
        <f t="shared" si="8"/>
        <v>41.32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89">
        <f t="shared" si="8"/>
        <v>24.990000000000002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89">
        <f t="shared" si="8"/>
        <v>32.99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89">
        <f t="shared" si="8"/>
        <v>41.65</v>
      </c>
      <c r="S36" s="129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10">
        <f t="shared" si="8"/>
        <v>57.32</v>
      </c>
      <c r="S37" s="131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278">
        <f>SUM(I40:O40)</f>
        <v>12</v>
      </c>
      <c r="S40" s="12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280">
        <f t="shared" ref="R41:R44" si="11">SUM(I41:O41)</f>
        <v>12</v>
      </c>
      <c r="S41" s="12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280">
        <f t="shared" si="11"/>
        <v>7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280">
        <f t="shared" si="11"/>
        <v>7</v>
      </c>
      <c r="S43" s="12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282">
        <f t="shared" si="11"/>
        <v>18</v>
      </c>
      <c r="S44" s="12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297"/>
      <c r="E1" s="1297"/>
      <c r="F1" s="1297"/>
      <c r="G1" s="1297"/>
      <c r="H1" s="1297"/>
      <c r="I1" s="129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309" t="s">
        <v>80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4" ht="11.25" customHeight="1">
      <c r="B4" s="1298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299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89">
        <f>8.33*(COUNTIFS(I29:O29,"&lt;&gt;"&amp;"L",I29:O29,"&lt;&gt;"&amp;"D"))+8*(COUNTIFS(I29:O29,"="&amp;"D"))</f>
        <v>57.65</v>
      </c>
      <c r="S29" s="129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89">
        <f t="shared" ref="R30:R36" si="8">8.33*(COUNTIFS(I30:O30,"&lt;&gt;"&amp;"L",I30:O30,"&lt;&gt;"&amp;"D"))+8*(COUNTIFS(I30:O30,"="&amp;"D"))</f>
        <v>24.990000000000002</v>
      </c>
      <c r="S30" s="129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89">
        <f t="shared" si="8"/>
        <v>33.32</v>
      </c>
      <c r="S31" s="129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89">
        <f t="shared" si="8"/>
        <v>41.32</v>
      </c>
      <c r="S32" s="129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89">
        <f t="shared" si="8"/>
        <v>24.990000000000002</v>
      </c>
      <c r="S33" s="129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89">
        <f t="shared" si="8"/>
        <v>32.99</v>
      </c>
      <c r="S34" s="129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89">
        <f t="shared" si="8"/>
        <v>41.65</v>
      </c>
      <c r="S35" s="129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10">
        <f t="shared" si="8"/>
        <v>57.32</v>
      </c>
      <c r="S36" s="131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278">
        <f>SUM(I39:O39)</f>
        <v>12</v>
      </c>
      <c r="S39" s="127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280">
        <f t="shared" ref="R40:R43" si="11">SUM(I40:O40)</f>
        <v>12</v>
      </c>
      <c r="S40" s="12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280">
        <f t="shared" si="11"/>
        <v>7</v>
      </c>
      <c r="S41" s="12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280">
        <f t="shared" si="11"/>
        <v>7</v>
      </c>
      <c r="S42" s="12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282">
        <f t="shared" si="11"/>
        <v>18</v>
      </c>
      <c r="S43" s="12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297"/>
      <c r="E1" s="1297"/>
      <c r="F1" s="129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</row>
    <row r="4" spans="2:33" ht="11.25" customHeight="1">
      <c r="B4" s="1298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299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289">
        <f>8.33*(COUNTIFS(F29:L29,"&lt;&gt;"&amp;"L",F29:L29,"&lt;&gt;"&amp;"D"))+8*(COUNTIFS(F29:L29,"="&amp;"D"))</f>
        <v>57.65</v>
      </c>
      <c r="P29" s="129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289">
        <f t="shared" ref="O30:O36" si="8">8.33*(COUNTIFS(F30:L30,"&lt;&gt;"&amp;"L",F30:L30,"&lt;&gt;"&amp;"D"))+8*(COUNTIFS(F30:L30,"="&amp;"D"))</f>
        <v>24.990000000000002</v>
      </c>
      <c r="P30" s="129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289">
        <f t="shared" si="8"/>
        <v>33.32</v>
      </c>
      <c r="P31" s="129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289">
        <f t="shared" si="8"/>
        <v>41.32</v>
      </c>
      <c r="P32" s="129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289">
        <f t="shared" si="8"/>
        <v>24.990000000000002</v>
      </c>
      <c r="P33" s="129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289">
        <f t="shared" si="8"/>
        <v>32.99</v>
      </c>
      <c r="P34" s="129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289">
        <f t="shared" si="8"/>
        <v>41.65</v>
      </c>
      <c r="P35" s="129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310">
        <f t="shared" si="8"/>
        <v>57.32</v>
      </c>
      <c r="P36" s="1311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278">
        <f>SUM(F39:L39)</f>
        <v>12</v>
      </c>
      <c r="P39" s="127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280">
        <f t="shared" ref="O40:O43" si="11">SUM(F40:L40)</f>
        <v>12</v>
      </c>
      <c r="P40" s="1281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280">
        <f t="shared" si="11"/>
        <v>7</v>
      </c>
      <c r="P41" s="1281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280">
        <f t="shared" si="11"/>
        <v>7</v>
      </c>
      <c r="P42" s="1281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282">
        <f t="shared" si="11"/>
        <v>18</v>
      </c>
      <c r="P43" s="1283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12"/>
      <c r="AF3" s="1309"/>
      <c r="AG3" s="1312"/>
    </row>
    <row r="4" spans="2:33" ht="11.25" customHeight="1">
      <c r="B4" s="1313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313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310">
        <f t="shared" ref="N30:N37" si="8">8.33*(COUNTIFS(E30:K30,"&lt;&gt;"&amp;"L",E30:K30,"&lt;&gt;"&amp;"D"))+8*(COUNTIFS(E30:K30,"="&amp;"D"))</f>
        <v>57.65</v>
      </c>
      <c r="O30" s="1311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310">
        <f t="shared" si="8"/>
        <v>24.990000000000002</v>
      </c>
      <c r="O31" s="1311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310">
        <f t="shared" si="8"/>
        <v>33.32</v>
      </c>
      <c r="O32" s="1311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310">
        <f t="shared" si="8"/>
        <v>41.32</v>
      </c>
      <c r="O33" s="1311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310">
        <f t="shared" si="8"/>
        <v>24.990000000000002</v>
      </c>
      <c r="O34" s="1311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310">
        <f t="shared" si="8"/>
        <v>32.99</v>
      </c>
      <c r="O35" s="1311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310">
        <f t="shared" si="8"/>
        <v>41.65</v>
      </c>
      <c r="O36" s="1311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310">
        <f t="shared" si="8"/>
        <v>57.32</v>
      </c>
      <c r="O37" s="1311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278">
        <f>SUM(E40:K40)</f>
        <v>12</v>
      </c>
      <c r="O40" s="1279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280">
        <f>SUM(E41:K41)</f>
        <v>12</v>
      </c>
      <c r="O41" s="1281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280">
        <f>SUM(E42:K42)</f>
        <v>7</v>
      </c>
      <c r="O42" s="1281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280">
        <f>SUM(E43:K43)</f>
        <v>7</v>
      </c>
      <c r="O43" s="1281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282">
        <f>SUM(E44:K44)</f>
        <v>18</v>
      </c>
      <c r="O44" s="1283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5"/>
      <c r="AF3" s="448"/>
      <c r="AG3" s="448"/>
      <c r="AH3" s="449"/>
    </row>
    <row r="4" spans="2:34" ht="15" customHeight="1">
      <c r="B4" s="1317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297"/>
      <c r="E1" s="1297"/>
      <c r="F1" s="129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  <c r="AH3" s="1312"/>
    </row>
    <row r="4" spans="2:34" ht="11.25" customHeight="1">
      <c r="B4" s="1313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313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310">
        <f>8.33*(COUNTIFS(F30:L30,"&lt;&gt;"&amp;"L",F30:L30,"&lt;&gt;"&amp;"D"))+8*(COUNTIFS(F30:L30,"="&amp;"D"))</f>
        <v>57.65</v>
      </c>
      <c r="P30" s="1311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310">
        <f t="shared" ref="O31:O37" si="10">8.33*(COUNTIFS(F31:L31,"&lt;&gt;"&amp;"L",F31:L31,"&lt;&gt;"&amp;"D"))+8*(COUNTIFS(F31:L31,"="&amp;"D"))</f>
        <v>24.990000000000002</v>
      </c>
      <c r="P31" s="1311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310">
        <f t="shared" si="10"/>
        <v>33.32</v>
      </c>
      <c r="P32" s="1311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310">
        <f t="shared" si="10"/>
        <v>41.32</v>
      </c>
      <c r="P33" s="1311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310">
        <f t="shared" si="10"/>
        <v>24.990000000000002</v>
      </c>
      <c r="P34" s="1311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310">
        <f t="shared" si="10"/>
        <v>32.99</v>
      </c>
      <c r="P35" s="1311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310">
        <f t="shared" si="10"/>
        <v>41.65</v>
      </c>
      <c r="P36" s="1311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310">
        <f t="shared" si="10"/>
        <v>57.32</v>
      </c>
      <c r="P37" s="1311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278">
        <f>SUM(F40:L40)</f>
        <v>12</v>
      </c>
      <c r="P40" s="1279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280">
        <f t="shared" ref="O41:O44" si="13">SUM(F41:L41)</f>
        <v>12</v>
      </c>
      <c r="P41" s="1281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280">
        <f t="shared" si="13"/>
        <v>7</v>
      </c>
      <c r="P42" s="1281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280">
        <f t="shared" si="13"/>
        <v>7</v>
      </c>
      <c r="P43" s="1281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282">
        <f t="shared" si="13"/>
        <v>18</v>
      </c>
      <c r="P44" s="1283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309"/>
      <c r="AC3" s="1309"/>
      <c r="AD3" s="1309"/>
      <c r="AE3" s="1312"/>
      <c r="AF3" s="1309"/>
      <c r="AG3" s="1309"/>
      <c r="AH3" s="1312"/>
    </row>
    <row r="4" spans="2:34" ht="11.25" customHeight="1">
      <c r="B4" s="1313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313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309"/>
      <c r="Z3" s="1309"/>
      <c r="AA3" s="1309"/>
      <c r="AB3" s="1309"/>
      <c r="AC3" s="1309"/>
      <c r="AD3" s="1309"/>
      <c r="AE3" s="1309"/>
      <c r="AF3" s="195"/>
      <c r="AG3" s="195"/>
      <c r="AH3" s="337"/>
    </row>
    <row r="4" spans="2:34" ht="11.25" customHeight="1">
      <c r="B4" s="1313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313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5"/>
    </row>
    <row r="4" spans="2:31" ht="15" customHeight="1">
      <c r="B4" s="1317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317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317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316" t="s">
        <v>95</v>
      </c>
      <c r="D2" s="1316"/>
      <c r="E2" s="1316"/>
      <c r="F2" s="1316"/>
      <c r="G2" s="1316" t="s">
        <v>95</v>
      </c>
      <c r="H2" s="1316"/>
      <c r="I2" s="1316" t="s">
        <v>95</v>
      </c>
      <c r="J2" s="1316"/>
      <c r="K2" s="1316" t="s">
        <v>95</v>
      </c>
      <c r="L2" s="1316"/>
      <c r="M2" s="1316" t="s">
        <v>95</v>
      </c>
      <c r="N2" s="1316"/>
      <c r="O2" s="1316" t="s">
        <v>95</v>
      </c>
      <c r="P2" s="1316"/>
      <c r="Q2" s="1316" t="s">
        <v>95</v>
      </c>
      <c r="R2" s="1316"/>
      <c r="S2" s="1316" t="s">
        <v>95</v>
      </c>
      <c r="T2" s="1316"/>
      <c r="U2" s="1316" t="s">
        <v>95</v>
      </c>
      <c r="V2" s="1316"/>
      <c r="W2" s="1316" t="s">
        <v>95</v>
      </c>
      <c r="X2" s="1316"/>
      <c r="Y2" s="1316" t="s">
        <v>95</v>
      </c>
      <c r="Z2" s="1316"/>
      <c r="AA2" s="1316" t="s">
        <v>95</v>
      </c>
      <c r="AB2" s="1316"/>
      <c r="AC2" s="1316" t="s">
        <v>95</v>
      </c>
      <c r="AD2" s="1316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314"/>
      <c r="E3" s="1314"/>
      <c r="F3" s="1314" t="s">
        <v>95</v>
      </c>
      <c r="G3" s="1314"/>
      <c r="H3" s="1314"/>
      <c r="I3" s="1314"/>
      <c r="J3" s="1314"/>
      <c r="K3" s="1314"/>
      <c r="L3" s="1314"/>
      <c r="M3" s="1314"/>
      <c r="N3" s="1314"/>
      <c r="O3" s="1314"/>
      <c r="P3" s="1314"/>
      <c r="Q3" s="1314"/>
      <c r="R3" s="1314"/>
      <c r="S3" s="1314"/>
      <c r="T3" s="1314"/>
      <c r="U3" s="1314"/>
      <c r="V3" s="1314"/>
      <c r="W3" s="1314"/>
      <c r="X3" s="1314"/>
      <c r="Y3" s="1314"/>
      <c r="Z3" s="1314"/>
      <c r="AA3" s="1314"/>
      <c r="AB3" s="1314"/>
      <c r="AC3" s="1314"/>
      <c r="AD3" s="1314" t="s">
        <v>95</v>
      </c>
      <c r="AE3" s="1314"/>
      <c r="AF3" s="1314"/>
      <c r="AG3" s="1315"/>
    </row>
    <row r="4" spans="2:33" ht="15" customHeight="1" thickBot="1">
      <c r="B4" s="1317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317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317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317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317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317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317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V10" sqref="V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318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319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bottomRight" activeCell="Z16" sqref="Z1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318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319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bottomRight" activeCell="Y7" sqref="Y7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318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319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E6" activePane="bottomRight" state="frozen"/>
      <selection pane="bottomRight" activeCell="AB7" sqref="AB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8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319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1270" t="s">
        <v>7</v>
      </c>
      <c r="F6" s="1270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1270" t="s">
        <v>7</v>
      </c>
      <c r="G10" s="1132" t="s">
        <v>14</v>
      </c>
      <c r="H10" s="1099" t="s">
        <v>14</v>
      </c>
      <c r="I10" s="1272" t="s">
        <v>79</v>
      </c>
      <c r="J10" s="1272" t="s">
        <v>79</v>
      </c>
      <c r="K10" s="1272" t="s">
        <v>79</v>
      </c>
      <c r="L10" s="1272" t="s">
        <v>79</v>
      </c>
      <c r="M10" s="1272" t="s">
        <v>79</v>
      </c>
      <c r="N10" s="1272" t="s">
        <v>79</v>
      </c>
      <c r="O10" s="1272" t="s">
        <v>79</v>
      </c>
      <c r="P10" s="681" t="s">
        <v>4</v>
      </c>
      <c r="Q10" s="681" t="s">
        <v>4</v>
      </c>
      <c r="R10" s="681" t="s">
        <v>4</v>
      </c>
      <c r="S10" s="681" t="s">
        <v>4</v>
      </c>
      <c r="T10" s="681" t="s">
        <v>4</v>
      </c>
      <c r="U10" s="1109" t="s">
        <v>7</v>
      </c>
      <c r="V10" s="1114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155" t="s">
        <v>19</v>
      </c>
      <c r="P11" s="1105" t="s">
        <v>6</v>
      </c>
      <c r="Q11" s="1105" t="s">
        <v>6</v>
      </c>
      <c r="R11" s="1105" t="s">
        <v>6</v>
      </c>
      <c r="S11" s="1274" t="s">
        <v>19</v>
      </c>
      <c r="T11" s="1274" t="s">
        <v>19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275" t="s">
        <v>104</v>
      </c>
      <c r="J12" s="1275" t="s">
        <v>104</v>
      </c>
      <c r="K12" s="1275" t="s">
        <v>104</v>
      </c>
      <c r="L12" s="1154" t="s">
        <v>19</v>
      </c>
      <c r="M12" s="1149" t="s">
        <v>19</v>
      </c>
      <c r="N12" s="1085" t="s">
        <v>19</v>
      </c>
      <c r="O12" s="1149" t="s">
        <v>7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4" t="s">
        <v>6</v>
      </c>
      <c r="E13" s="1270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273" t="s">
        <v>6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5</v>
      </c>
      <c r="Q18" s="53">
        <f t="shared" si="0"/>
        <v>5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>COUNTIFS(L$6:L$13,"M")+COUNTIFS(L$6:L$13,"MG")</f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>COUNTIFS(L$6:L$13,"T")+COUNTIFS(L$6:L$13,"TG")</f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1</v>
      </c>
      <c r="Q20" s="84">
        <f t="shared" si="6"/>
        <v>1</v>
      </c>
      <c r="R20" s="84">
        <f t="shared" si="6"/>
        <v>1</v>
      </c>
      <c r="S20" s="84">
        <f t="shared" si="6"/>
        <v>1</v>
      </c>
      <c r="T20" s="84">
        <f t="shared" si="6"/>
        <v>1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0</v>
      </c>
      <c r="J21" s="87">
        <f t="shared" si="7"/>
        <v>0</v>
      </c>
      <c r="K21" s="87">
        <f t="shared" si="7"/>
        <v>0</v>
      </c>
      <c r="L21" s="87">
        <f>COUNTIFS(L$6:L$13,"N")+COUNTIFS(L$6:L$13,"NG")</f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0</v>
      </c>
      <c r="J22" s="90">
        <f t="shared" si="8"/>
        <v>0</v>
      </c>
      <c r="K22" s="90">
        <f t="shared" si="8"/>
        <v>0</v>
      </c>
      <c r="L22" s="90">
        <f>COUNTIFS(L$6:L$13,"D")+COUNTIFS(L$6:L$13,"DG")</f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>COUNTIFS(L$6:L$13,"L")+COUNTIFS(L$6:L$13,"LG")</f>
        <v>1</v>
      </c>
      <c r="M23" s="723">
        <f t="shared" si="9"/>
        <v>1</v>
      </c>
      <c r="N23" s="704">
        <f t="shared" si="9"/>
        <v>3</v>
      </c>
      <c r="O23" s="705">
        <f t="shared" si="9"/>
        <v>3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>COUNTIFS(L$6:L$13,"MG")+COUNTIFS(L$6:L$13,"TG")+COUNTIFS(L$6:L$13,"LG")+COUNTIFS(L$6:L$13,"DG")</f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>COUNTIFS(L$6:L$13,"V")</f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1</v>
      </c>
      <c r="Q25" s="94">
        <f t="shared" si="19"/>
        <v>1</v>
      </c>
      <c r="R25" s="94">
        <f t="shared" si="19"/>
        <v>1</v>
      </c>
      <c r="S25" s="94">
        <f t="shared" si="19"/>
        <v>1</v>
      </c>
      <c r="T25" s="94">
        <f t="shared" si="19"/>
        <v>1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tabSelected="1" zoomScale="115" zoomScaleNormal="115" workbookViewId="0">
      <pane xSplit="3" ySplit="5" topLeftCell="D15" activePane="bottomRight" state="frozen"/>
      <selection pane="bottomRight" activeCell="D25" sqref="D2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318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105</v>
      </c>
      <c r="AH4" s="452" t="s">
        <v>6</v>
      </c>
    </row>
    <row r="5" spans="2:34" ht="13.5" customHeight="1" thickBot="1">
      <c r="B5" s="1319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77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7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>
      <c r="B10" s="590" t="s">
        <v>90</v>
      </c>
      <c r="C10" s="432" t="s">
        <v>28</v>
      </c>
      <c r="D10" s="732" t="s">
        <v>7</v>
      </c>
      <c r="E10" s="1137" t="s">
        <v>14</v>
      </c>
      <c r="F10" s="1276" t="s">
        <v>19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273" t="s">
        <v>19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>
      <c r="B11" s="590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7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>
      <c r="B12" s="590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77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45" t="s">
        <v>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>
      <c r="B13" s="590" t="s">
        <v>93</v>
      </c>
      <c r="C13" s="566" t="s">
        <v>34</v>
      </c>
      <c r="D13" s="732" t="s">
        <v>14</v>
      </c>
      <c r="E13" s="1137" t="s">
        <v>19</v>
      </c>
      <c r="F13" s="1277" t="s">
        <v>14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7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>SUM(D19:D22)</f>
        <v>4</v>
      </c>
      <c r="E18" s="694">
        <f t="shared" ref="D18:R18" si="0">SUM(E19:E22)</f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5</v>
      </c>
      <c r="R18" s="53">
        <f t="shared" si="0"/>
        <v>4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5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>COUNTIFS(D$6:D$13,"M")+COUNTIFS(D$6:D$13,"MG")</f>
        <v>1</v>
      </c>
      <c r="E19" s="696">
        <f t="shared" ref="D19:AH19" si="6">COUNTIFS(E$6:E$13,"M")+COUNTIFS(E$6:E$13,"MG")</f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1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1</v>
      </c>
      <c r="P20" s="84">
        <f t="shared" si="7"/>
        <v>2</v>
      </c>
      <c r="Q20" s="84">
        <f t="shared" si="7"/>
        <v>1</v>
      </c>
      <c r="R20" s="84">
        <f t="shared" si="7"/>
        <v>1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1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3</v>
      </c>
      <c r="P23" s="92">
        <f t="shared" si="10"/>
        <v>2</v>
      </c>
      <c r="Q23" s="92">
        <f t="shared" si="10"/>
        <v>2</v>
      </c>
      <c r="R23" s="92">
        <f t="shared" si="10"/>
        <v>4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>COUNTIFS(E$6:E$13,"MG")+COUNTIFS(E$6:E$13,"TG")+COUNTIFS(E$6:E$13,"LG")+COUNTIFS(E$6:E$13,"DG")</f>
        <v>1</v>
      </c>
      <c r="E24" s="706">
        <f t="shared" ref="E24:G24" si="11">COUNTIFS(E$6:E$13,"MG")+COUNTIFS(E$6:E$13,"TG")+COUNTIFS(E$6:E$13,"LG")+COUNTIFS(E$6:E$13,"DG")</f>
        <v>1</v>
      </c>
      <c r="F24" s="707">
        <f t="shared" si="11"/>
        <v>1</v>
      </c>
      <c r="G24" s="716">
        <f t="shared" si="11"/>
        <v>1</v>
      </c>
      <c r="H24" s="180">
        <f t="shared" ref="H24" si="12">COUNTIFS(I$6:I$13,"MG")+COUNTIFS(I$6:I$13,"TG")+COUNTIFS(I$6:I$13,"LG")+COUNTIFS(I$6:I$13,"DG")</f>
        <v>1</v>
      </c>
      <c r="I24" s="180">
        <f t="shared" ref="I24:AH24" si="13">COUNTIFS(I$6:I$13,"MG")+COUNTIFS(I$6:I$13,"TG")+COUNTIFS(I$6:I$13,"LG")+COUNTIFS(I$6:I$13,"DG")</f>
        <v>1</v>
      </c>
      <c r="J24" s="180">
        <f t="shared" si="13"/>
        <v>1</v>
      </c>
      <c r="K24" s="724">
        <f t="shared" ref="K24" si="14">COUNTIFS(L$6:L$13,"MG")+COUNTIFS(L$6:L$13,"TG")+COUNTIFS(L$6:L$13,"LG")+COUNTIFS(L$6:L$13,"DG")</f>
        <v>1</v>
      </c>
      <c r="L24" s="706">
        <f t="shared" si="13"/>
        <v>1</v>
      </c>
      <c r="M24" s="707">
        <f t="shared" si="13"/>
        <v>1</v>
      </c>
      <c r="N24" s="716">
        <f t="shared" ref="N24" si="15">COUNTIFS(O$6:O$13,"MG")+COUNTIFS(O$6:O$13,"TG")+COUNTIFS(O$6:O$13,"LG")+COUNTIFS(O$6:O$13,"DG")</f>
        <v>1</v>
      </c>
      <c r="O24" s="180">
        <f t="shared" si="13"/>
        <v>1</v>
      </c>
      <c r="P24" s="180">
        <f t="shared" si="13"/>
        <v>1</v>
      </c>
      <c r="Q24" s="180">
        <f t="shared" ref="Q24" si="16">COUNTIFS(R$6:R$13,"MG")+COUNTIFS(R$6:R$13,"TG")+COUNTIFS(R$6:R$13,"LG")+COUNTIFS(R$6:R$13,"DG")</f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ref="U24" si="17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 ht="12.95" thickBot="1">
      <c r="C25" s="21" t="s">
        <v>4</v>
      </c>
      <c r="D25" s="725">
        <f>COUNTIFS(D$6:D$13,"V")</f>
        <v>0</v>
      </c>
      <c r="E25" s="708">
        <f t="shared" ref="D25:AH25" si="18">COUNTIFS(E$6:E$13,"V")</f>
        <v>0</v>
      </c>
      <c r="F25" s="709">
        <f t="shared" si="18"/>
        <v>0</v>
      </c>
      <c r="G25" s="717">
        <f t="shared" si="18"/>
        <v>0</v>
      </c>
      <c r="H25" s="94">
        <f t="shared" si="18"/>
        <v>0</v>
      </c>
      <c r="I25" s="94">
        <f t="shared" si="18"/>
        <v>0</v>
      </c>
      <c r="J25" s="94">
        <f t="shared" si="18"/>
        <v>0</v>
      </c>
      <c r="K25" s="725">
        <f t="shared" si="18"/>
        <v>0</v>
      </c>
      <c r="L25" s="708">
        <f t="shared" si="18"/>
        <v>0</v>
      </c>
      <c r="M25" s="709">
        <f t="shared" si="18"/>
        <v>0</v>
      </c>
      <c r="N25" s="717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1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94">
        <f t="shared" si="18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J10" sqref="J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8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105</v>
      </c>
      <c r="AE4" s="452" t="s">
        <v>6</v>
      </c>
      <c r="AF4" s="452" t="s">
        <v>7</v>
      </c>
      <c r="AG4" s="452" t="s">
        <v>8</v>
      </c>
    </row>
    <row r="5" spans="2:33" ht="13.5" customHeight="1">
      <c r="B5" s="1319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38" t="s">
        <v>8</v>
      </c>
      <c r="Q6" s="1138" t="s">
        <v>8</v>
      </c>
      <c r="R6" s="1138" t="s">
        <v>14</v>
      </c>
      <c r="S6" s="1138" t="s">
        <v>14</v>
      </c>
      <c r="T6" s="1138" t="s">
        <v>14</v>
      </c>
      <c r="U6" s="1138" t="s">
        <v>14</v>
      </c>
      <c r="V6" s="1138" t="s">
        <v>6</v>
      </c>
      <c r="W6" s="1087" t="s">
        <v>23</v>
      </c>
      <c r="X6" s="1087" t="s">
        <v>23</v>
      </c>
      <c r="Y6" s="1083" t="s">
        <v>16</v>
      </c>
      <c r="Z6" s="1083" t="s">
        <v>16</v>
      </c>
      <c r="AA6" s="1083" t="s">
        <v>16</v>
      </c>
      <c r="AB6" s="1083" t="s">
        <v>16</v>
      </c>
      <c r="AC6" s="1083" t="s">
        <v>16</v>
      </c>
      <c r="AD6" s="1086" t="s">
        <v>6</v>
      </c>
      <c r="AE6" s="1086" t="s">
        <v>6</v>
      </c>
      <c r="AF6" s="1122" t="s">
        <v>23</v>
      </c>
      <c r="AG6" s="1122" t="s">
        <v>23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7" t="s">
        <v>23</v>
      </c>
      <c r="Q7" s="1087" t="s">
        <v>23</v>
      </c>
      <c r="R7" s="1087" t="s">
        <v>16</v>
      </c>
      <c r="S7" s="1087" t="s">
        <v>16</v>
      </c>
      <c r="T7" s="1087" t="s">
        <v>16</v>
      </c>
      <c r="U7" s="1087" t="s">
        <v>16</v>
      </c>
      <c r="V7" s="1087" t="s">
        <v>16</v>
      </c>
      <c r="W7" s="1086" t="s">
        <v>6</v>
      </c>
      <c r="X7" s="1086" t="s">
        <v>6</v>
      </c>
      <c r="Y7" s="103" t="s">
        <v>7</v>
      </c>
      <c r="Z7" s="103" t="s">
        <v>7</v>
      </c>
      <c r="AA7" s="1145" t="s">
        <v>4</v>
      </c>
      <c r="AB7" s="1145" t="s">
        <v>4</v>
      </c>
      <c r="AC7" s="1145" t="s">
        <v>4</v>
      </c>
      <c r="AD7" s="1084" t="s">
        <v>23</v>
      </c>
      <c r="AE7" s="1084" t="s">
        <v>23</v>
      </c>
      <c r="AF7" s="103" t="s">
        <v>8</v>
      </c>
      <c r="AG7" s="103" t="s">
        <v>8</v>
      </c>
    </row>
    <row r="8" spans="2:33" ht="15" customHeight="1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273" t="s">
        <v>19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274" t="s">
        <v>7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19</v>
      </c>
      <c r="AB10" s="1094" t="s">
        <v>6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145" t="s">
        <v>4</v>
      </c>
      <c r="Y11" s="1145" t="s">
        <v>4</v>
      </c>
      <c r="Z11" s="1145" t="s">
        <v>4</v>
      </c>
      <c r="AA11" s="1145" t="s">
        <v>4</v>
      </c>
      <c r="AB11" s="24" t="s">
        <v>7</v>
      </c>
      <c r="AC11" s="24" t="s">
        <v>7</v>
      </c>
      <c r="AD11" s="104" t="s">
        <v>7</v>
      </c>
      <c r="AE11" s="1086" t="s">
        <v>7</v>
      </c>
      <c r="AF11" s="1145" t="s">
        <v>4</v>
      </c>
      <c r="AG11" s="1145" t="s">
        <v>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77" t="s">
        <v>7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77" t="s">
        <v>14</v>
      </c>
      <c r="W12" s="1086" t="s">
        <v>7</v>
      </c>
      <c r="X12" s="1086" t="s">
        <v>7</v>
      </c>
      <c r="Y12" s="1106" t="s">
        <v>19</v>
      </c>
      <c r="Z12" s="24" t="s">
        <v>19</v>
      </c>
      <c r="AA12" s="24" t="s">
        <v>7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14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5</v>
      </c>
      <c r="Z18" s="53">
        <f t="shared" ref="Z18:AA18" si="4">SUM(Z19:Z22)</f>
        <v>5</v>
      </c>
      <c r="AA18" s="53">
        <f t="shared" si="4"/>
        <v>4</v>
      </c>
      <c r="AB18" s="53">
        <f>SUM(AB19:AB22)</f>
        <v>5</v>
      </c>
      <c r="AC18" s="53">
        <f>SUM(AC19:AC22)</f>
        <v>5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5</v>
      </c>
      <c r="AG18" s="53">
        <f t="shared" ref="AG18" si="6">SUM(AG19:AG22)</f>
        <v>5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1</v>
      </c>
      <c r="AB19" s="81">
        <f t="shared" si="7"/>
        <v>1</v>
      </c>
      <c r="AC19" s="81">
        <f t="shared" si="7"/>
        <v>1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1</v>
      </c>
      <c r="Z20" s="84">
        <f t="shared" si="8"/>
        <v>1</v>
      </c>
      <c r="AA20" s="84">
        <f t="shared" si="8"/>
        <v>1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1</v>
      </c>
      <c r="AG20" s="84">
        <f t="shared" si="8"/>
        <v>1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3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1</v>
      </c>
      <c r="Y25" s="94">
        <f t="shared" si="19"/>
        <v>1</v>
      </c>
      <c r="Z25" s="94">
        <f t="shared" si="19"/>
        <v>1</v>
      </c>
      <c r="AA25" s="94">
        <f t="shared" si="19"/>
        <v>2</v>
      </c>
      <c r="AB25" s="94">
        <f t="shared" si="19"/>
        <v>1</v>
      </c>
      <c r="AC25" s="94">
        <f t="shared" si="19"/>
        <v>1</v>
      </c>
      <c r="AD25" s="94">
        <f t="shared" si="19"/>
        <v>0</v>
      </c>
      <c r="AE25" s="94">
        <f t="shared" si="19"/>
        <v>0</v>
      </c>
      <c r="AF25" s="94">
        <f t="shared" si="19"/>
        <v>1</v>
      </c>
      <c r="AG25" s="94">
        <f t="shared" si="19"/>
        <v>1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workbookViewId="0">
      <selection activeCell="D11" sqref="D11:F11"/>
    </sheetView>
  </sheetViews>
  <sheetFormatPr defaultColWidth="8.7109375" defaultRowHeight="12.6"/>
  <cols>
    <col min="1" max="1" width="16.7109375" customWidth="1"/>
    <col min="2" max="2" width="27.5703125" customWidth="1"/>
    <col min="3" max="23" width="4.28515625" customWidth="1"/>
    <col min="24" max="24" width="3.7109375" customWidth="1"/>
    <col min="25" max="25" width="3.42578125" customWidth="1"/>
    <col min="26" max="26" width="3.7109375" customWidth="1"/>
    <col min="27" max="27" width="3.5703125" customWidth="1"/>
    <col min="28" max="28" width="3.7109375" customWidth="1"/>
    <col min="29" max="29" width="4" customWidth="1"/>
    <col min="30" max="30" width="3.7109375" customWidth="1"/>
    <col min="31" max="31" width="4.140625" customWidth="1"/>
    <col min="32" max="32" width="4" customWidth="1"/>
    <col min="33" max="34" width="4.140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105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2.95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3" t="s">
        <v>8</v>
      </c>
      <c r="AH6" s="103" t="s">
        <v>8</v>
      </c>
    </row>
    <row r="7" spans="2:34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271" t="s">
        <v>8</v>
      </c>
      <c r="AC7" s="1271" t="s">
        <v>8</v>
      </c>
      <c r="AD7" s="103" t="s">
        <v>8</v>
      </c>
      <c r="AE7" s="103" t="s">
        <v>8</v>
      </c>
      <c r="AF7" s="103" t="s">
        <v>7</v>
      </c>
      <c r="AG7" s="1084" t="s">
        <v>23</v>
      </c>
      <c r="AH7" s="1084" t="s">
        <v>23</v>
      </c>
    </row>
    <row r="8" spans="2:34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271" t="s">
        <v>7</v>
      </c>
      <c r="AC8" s="1271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60" t="s">
        <v>6</v>
      </c>
      <c r="AB9" s="1161" t="s">
        <v>7</v>
      </c>
      <c r="AC9" s="1161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162" t="s">
        <v>14</v>
      </c>
      <c r="AC10" s="1162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 ht="12.75">
      <c r="B11" s="376" t="s">
        <v>91</v>
      </c>
      <c r="C11" s="375" t="s">
        <v>30</v>
      </c>
      <c r="D11" s="1145" t="s">
        <v>4</v>
      </c>
      <c r="E11" s="1145" t="s">
        <v>4</v>
      </c>
      <c r="F11" s="1145" t="s">
        <v>4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163" t="s">
        <v>7</v>
      </c>
      <c r="AB11" s="1159" t="s">
        <v>7</v>
      </c>
      <c r="AC11" s="1159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>
      <c r="B12" s="244" t="s">
        <v>92</v>
      </c>
      <c r="C12" s="375" t="s">
        <v>32</v>
      </c>
      <c r="D12" s="1105" t="s">
        <v>6</v>
      </c>
      <c r="E12" s="1104" t="s">
        <v>19</v>
      </c>
      <c r="F12" s="1104" t="s">
        <v>19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164" t="s">
        <v>19</v>
      </c>
      <c r="AB12" s="1159" t="s">
        <v>7</v>
      </c>
      <c r="AC12" s="1159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165" t="s">
        <v>14</v>
      </c>
      <c r="AB13" s="1166" t="s">
        <v>19</v>
      </c>
      <c r="AC13" s="1166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M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>
      <c r="B20" s="4"/>
      <c r="C20" s="52" t="s">
        <v>14</v>
      </c>
      <c r="D20" s="84">
        <f t="shared" ref="D20:AH20" si="8">COUNTIFS(D$6:D$13,"T")+COUNTIFS(D$6:D$13,"TG")</f>
        <v>1</v>
      </c>
      <c r="E20" s="84">
        <f t="shared" si="8"/>
        <v>1</v>
      </c>
      <c r="F20" s="720">
        <f t="shared" si="8"/>
        <v>1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>
      <c r="C25" s="21" t="s">
        <v>4</v>
      </c>
      <c r="D25" s="94">
        <f t="shared" ref="D25:AH25" si="18">COUNTIFS(D$6:D$13,"V")</f>
        <v>1</v>
      </c>
      <c r="E25" s="94">
        <f t="shared" si="18"/>
        <v>1</v>
      </c>
      <c r="F25" s="725">
        <f t="shared" si="18"/>
        <v>1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3">
      <c r="C33" s="10"/>
    </row>
    <row r="34" spans="1:23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defaultColWidth="8.7109375" defaultRowHeight="12.6"/>
  <cols>
    <col min="1" max="1" width="16.7109375" customWidth="1"/>
    <col min="2" max="2" width="27.5703125" customWidth="1"/>
    <col min="3" max="20" width="4.28515625" customWidth="1"/>
    <col min="21" max="21" width="3.7109375" customWidth="1"/>
    <col min="22" max="22" width="3.42578125" customWidth="1"/>
    <col min="23" max="23" width="3.7109375" customWidth="1"/>
    <col min="24" max="24" width="3.5703125" customWidth="1"/>
    <col min="25" max="25" width="3.7109375" customWidth="1"/>
    <col min="26" max="26" width="4" customWidth="1"/>
    <col min="27" max="27" width="3.7109375" customWidth="1"/>
    <col min="28" max="28" width="4.140625" customWidth="1"/>
    <col min="29" max="29" width="4" customWidth="1"/>
    <col min="30" max="31" width="4.140625" customWidth="1"/>
    <col min="32" max="32" width="3.85546875" customWidth="1"/>
    <col min="33" max="33" width="4.140625" customWidth="1"/>
    <col min="34" max="34" width="3.28515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167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105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105</v>
      </c>
      <c r="AG4" s="546" t="s">
        <v>6</v>
      </c>
      <c r="AH4" s="452" t="s">
        <v>7</v>
      </c>
    </row>
    <row r="5" spans="2:34" ht="12.95">
      <c r="B5" s="1319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68">
        <v>14</v>
      </c>
      <c r="R5" s="1169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170" t="s">
        <v>53</v>
      </c>
      <c r="R6" s="1171" t="s">
        <v>7</v>
      </c>
      <c r="S6" s="1159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172" t="s">
        <v>8</v>
      </c>
      <c r="R7" s="1173" t="s">
        <v>53</v>
      </c>
      <c r="S7" s="1174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59" t="s">
        <v>7</v>
      </c>
      <c r="Z7" s="1159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172" t="s">
        <v>8</v>
      </c>
      <c r="R8" s="1175" t="s">
        <v>7</v>
      </c>
      <c r="S8" s="1159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59" t="s">
        <v>8</v>
      </c>
      <c r="Z8" s="1159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176" t="s">
        <v>7</v>
      </c>
      <c r="R9" s="1171" t="s">
        <v>8</v>
      </c>
      <c r="S9" s="1159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60" t="s">
        <v>6</v>
      </c>
      <c r="Y9" s="1161" t="s">
        <v>7</v>
      </c>
      <c r="Z9" s="1161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177" t="s">
        <v>14</v>
      </c>
      <c r="R10" s="1178" t="s">
        <v>19</v>
      </c>
      <c r="S10" s="1159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162" t="s">
        <v>14</v>
      </c>
      <c r="Z10" s="1162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175" t="s">
        <v>14</v>
      </c>
      <c r="S11" s="1159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163" t="s">
        <v>7</v>
      </c>
      <c r="Y11" s="1159" t="s">
        <v>7</v>
      </c>
      <c r="Z11" s="1159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175" t="s">
        <v>7</v>
      </c>
      <c r="S12" s="1159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164" t="s">
        <v>19</v>
      </c>
      <c r="Y12" s="1159" t="s">
        <v>7</v>
      </c>
      <c r="Z12" s="1159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179" t="s">
        <v>19</v>
      </c>
      <c r="R13" s="1180" t="s">
        <v>7</v>
      </c>
      <c r="S13" s="1159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165" t="s">
        <v>14</v>
      </c>
      <c r="Y13" s="1166" t="s">
        <v>19</v>
      </c>
      <c r="Z13" s="1166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181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0">
      <c r="C33" s="10"/>
    </row>
    <row r="34" spans="1:20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defaultColWidth="8.7109375" defaultRowHeight="12.6"/>
  <cols>
    <col min="1" max="1" width="16.7109375" customWidth="1"/>
    <col min="2" max="2" width="27.5703125" customWidth="1"/>
    <col min="3" max="17" width="4.28515625" customWidth="1"/>
    <col min="18" max="18" width="3.7109375" customWidth="1"/>
    <col min="19" max="19" width="3.42578125" customWidth="1"/>
    <col min="20" max="20" width="3.7109375" customWidth="1"/>
    <col min="21" max="21" width="3.5703125" customWidth="1"/>
    <col min="22" max="22" width="3.7109375" customWidth="1"/>
    <col min="23" max="23" width="4" customWidth="1"/>
    <col min="24" max="24" width="3.7109375" customWidth="1"/>
    <col min="25" max="25" width="4.140625" customWidth="1"/>
    <col min="26" max="26" width="4" customWidth="1"/>
    <col min="27" max="28" width="4.140625" customWidth="1"/>
    <col min="29" max="29" width="3.85546875" customWidth="1"/>
    <col min="30" max="30" width="4.140625" customWidth="1"/>
    <col min="31" max="31" width="3.28515625" customWidth="1"/>
    <col min="32" max="32" width="3.7109375" customWidth="1"/>
    <col min="33" max="33" width="4.140625" customWidth="1"/>
  </cols>
  <sheetData>
    <row r="1" spans="2:33">
      <c r="C1" s="10"/>
    </row>
    <row r="2" spans="2:33" ht="12.95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2.95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2.95">
      <c r="B4" s="1318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105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105</v>
      </c>
      <c r="AD4" s="630" t="s">
        <v>6</v>
      </c>
      <c r="AE4" s="1182" t="s">
        <v>7</v>
      </c>
      <c r="AF4" s="1182" t="s">
        <v>8</v>
      </c>
      <c r="AG4" s="1182" t="s">
        <v>9</v>
      </c>
    </row>
    <row r="5" spans="2:33" ht="12.95">
      <c r="B5" s="1319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83">
        <v>27</v>
      </c>
      <c r="AE5" s="1076">
        <v>28</v>
      </c>
      <c r="AF5" s="1076">
        <v>29</v>
      </c>
      <c r="AG5" s="1076">
        <v>30</v>
      </c>
    </row>
    <row r="6" spans="2:33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184" t="s">
        <v>7</v>
      </c>
      <c r="AE6" s="103" t="s">
        <v>8</v>
      </c>
      <c r="AF6" s="103" t="s">
        <v>8</v>
      </c>
      <c r="AG6" s="103" t="s">
        <v>7</v>
      </c>
    </row>
    <row r="7" spans="2:33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59" t="s">
        <v>7</v>
      </c>
      <c r="W7" s="1159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59" t="s">
        <v>8</v>
      </c>
      <c r="W8" s="1159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185" t="s">
        <v>7</v>
      </c>
      <c r="AE8" s="103" t="s">
        <v>8</v>
      </c>
      <c r="AF8" s="103" t="s">
        <v>8</v>
      </c>
      <c r="AG8" s="103" t="s">
        <v>8</v>
      </c>
    </row>
    <row r="9" spans="2:33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60" t="s">
        <v>6</v>
      </c>
      <c r="V9" s="1161" t="s">
        <v>7</v>
      </c>
      <c r="W9" s="1161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186" t="s">
        <v>6</v>
      </c>
      <c r="AE9" s="103" t="s">
        <v>7</v>
      </c>
      <c r="AF9" s="103" t="s">
        <v>7</v>
      </c>
      <c r="AG9" s="103" t="s">
        <v>8</v>
      </c>
    </row>
    <row r="10" spans="2:33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162" t="s">
        <v>14</v>
      </c>
      <c r="W10" s="1162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184" t="s">
        <v>7</v>
      </c>
      <c r="AE10" s="1104" t="s">
        <v>14</v>
      </c>
      <c r="AF10" s="24" t="s">
        <v>14</v>
      </c>
      <c r="AG10" s="24" t="s">
        <v>14</v>
      </c>
    </row>
    <row r="11" spans="2:33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163" t="s">
        <v>7</v>
      </c>
      <c r="V11" s="1159" t="s">
        <v>7</v>
      </c>
      <c r="W11" s="1159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185" t="s">
        <v>7</v>
      </c>
      <c r="AE11" s="1105" t="s">
        <v>6</v>
      </c>
      <c r="AF11" s="1105" t="s">
        <v>6</v>
      </c>
      <c r="AG11" s="1105" t="s">
        <v>6</v>
      </c>
    </row>
    <row r="12" spans="2:33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164" t="s">
        <v>19</v>
      </c>
      <c r="V12" s="1159" t="s">
        <v>7</v>
      </c>
      <c r="W12" s="1159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185" t="s">
        <v>19</v>
      </c>
      <c r="AE12" s="24" t="s">
        <v>7</v>
      </c>
      <c r="AF12" s="24" t="s">
        <v>7</v>
      </c>
      <c r="AG12" s="24" t="s">
        <v>7</v>
      </c>
    </row>
    <row r="13" spans="2:33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165" t="s">
        <v>14</v>
      </c>
      <c r="V13" s="1166" t="s">
        <v>19</v>
      </c>
      <c r="W13" s="1166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187" t="s">
        <v>14</v>
      </c>
      <c r="AE13" s="24" t="s">
        <v>19</v>
      </c>
      <c r="AF13" s="24" t="s">
        <v>19</v>
      </c>
      <c r="AG13" s="24" t="s">
        <v>19</v>
      </c>
    </row>
    <row r="14" spans="2:33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>
      <c r="B15" s="4"/>
      <c r="C15" s="10"/>
    </row>
    <row r="16" spans="2:33">
      <c r="B16" s="4"/>
      <c r="C16" s="10"/>
    </row>
    <row r="17" spans="2:33">
      <c r="B17" s="4"/>
      <c r="C17" s="10"/>
    </row>
    <row r="18" spans="2:33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>
      <c r="C26" s="10"/>
    </row>
    <row r="27" spans="2:33">
      <c r="C27" s="10"/>
    </row>
    <row r="28" spans="2:33">
      <c r="C28" s="10"/>
    </row>
    <row r="29" spans="2:33">
      <c r="C29" s="10"/>
    </row>
    <row r="30" spans="2:33">
      <c r="C30" s="10"/>
    </row>
    <row r="31" spans="2:33">
      <c r="C31" s="10"/>
    </row>
    <row r="32" spans="2:33">
      <c r="C32" s="10"/>
    </row>
    <row r="33" spans="1:17">
      <c r="C33" s="10"/>
    </row>
    <row r="34" spans="1:17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defaultColWidth="8.7109375" defaultRowHeight="12.6"/>
  <cols>
    <col min="1" max="1" width="16.7109375" customWidth="1"/>
    <col min="2" max="2" width="27.5703125" customWidth="1"/>
    <col min="3" max="15" width="4.28515625" customWidth="1"/>
    <col min="16" max="16" width="3.7109375" customWidth="1"/>
    <col min="17" max="17" width="3.42578125" customWidth="1"/>
    <col min="18" max="18" width="3.7109375" customWidth="1"/>
    <col min="19" max="19" width="3.5703125" customWidth="1"/>
    <col min="20" max="20" width="3.7109375" customWidth="1"/>
    <col min="21" max="21" width="4" customWidth="1"/>
    <col min="22" max="22" width="3.7109375" customWidth="1"/>
    <col min="23" max="23" width="4.140625" customWidth="1"/>
    <col min="24" max="24" width="4" customWidth="1"/>
    <col min="25" max="26" width="4.140625" customWidth="1"/>
    <col min="27" max="27" width="3.85546875" customWidth="1"/>
    <col min="28" max="28" width="4.140625" customWidth="1"/>
    <col min="29" max="29" width="3.28515625" customWidth="1"/>
    <col min="30" max="30" width="4.42578125" customWidth="1"/>
    <col min="31" max="31" width="3.7109375" customWidth="1"/>
    <col min="32" max="32" width="3.85546875" customWidth="1"/>
    <col min="33" max="33" width="3.7109375" customWidth="1"/>
    <col min="34" max="34" width="4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188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105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105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105</v>
      </c>
    </row>
    <row r="5" spans="2:34" ht="12.95">
      <c r="B5" s="1319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168">
        <v>11</v>
      </c>
      <c r="O5" s="1189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185" t="s">
        <v>7</v>
      </c>
      <c r="O6" s="1190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184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191" t="s">
        <v>53</v>
      </c>
      <c r="O7" s="1192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59" t="s">
        <v>7</v>
      </c>
      <c r="U7" s="1159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185" t="s">
        <v>7</v>
      </c>
      <c r="O8" s="1193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59" t="s">
        <v>8</v>
      </c>
      <c r="U8" s="1159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185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185" t="s">
        <v>8</v>
      </c>
      <c r="O9" s="1190" t="s">
        <v>14</v>
      </c>
      <c r="P9" s="1093" t="s">
        <v>14</v>
      </c>
      <c r="Q9" s="1092" t="s">
        <v>14</v>
      </c>
      <c r="R9" s="1092" t="s">
        <v>14</v>
      </c>
      <c r="S9" s="1160" t="s">
        <v>6</v>
      </c>
      <c r="T9" s="1161" t="s">
        <v>7</v>
      </c>
      <c r="U9" s="1161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186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185" t="s">
        <v>19</v>
      </c>
      <c r="O10" s="1194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162" t="s">
        <v>14</v>
      </c>
      <c r="U10" s="1162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184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185" t="s">
        <v>14</v>
      </c>
      <c r="O11" s="1194" t="s">
        <v>19</v>
      </c>
      <c r="P11" s="1103" t="s">
        <v>19</v>
      </c>
      <c r="Q11" s="24" t="s">
        <v>19</v>
      </c>
      <c r="R11" s="76" t="s">
        <v>6</v>
      </c>
      <c r="S11" s="1163" t="s">
        <v>7</v>
      </c>
      <c r="T11" s="1159" t="s">
        <v>7</v>
      </c>
      <c r="U11" s="1159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185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185" t="s">
        <v>7</v>
      </c>
      <c r="O12" s="1195" t="s">
        <v>7</v>
      </c>
      <c r="P12" s="1103" t="s">
        <v>14</v>
      </c>
      <c r="Q12" s="24" t="s">
        <v>14</v>
      </c>
      <c r="R12" s="1104" t="s">
        <v>19</v>
      </c>
      <c r="S12" s="1164" t="s">
        <v>19</v>
      </c>
      <c r="T12" s="1159" t="s">
        <v>7</v>
      </c>
      <c r="U12" s="1159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185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185" t="s">
        <v>7</v>
      </c>
      <c r="O13" s="1196" t="s">
        <v>6</v>
      </c>
      <c r="P13" s="1197" t="s">
        <v>6</v>
      </c>
      <c r="Q13" s="1107" t="s">
        <v>6</v>
      </c>
      <c r="R13" s="1108" t="s">
        <v>14</v>
      </c>
      <c r="S13" s="1165" t="s">
        <v>14</v>
      </c>
      <c r="T13" s="1166" t="s">
        <v>19</v>
      </c>
      <c r="U13" s="1166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187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5">
      <c r="C33" s="10"/>
    </row>
    <row r="34" spans="1:1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defaultColWidth="8.7109375" defaultRowHeight="12.6"/>
  <cols>
    <col min="1" max="1" width="16.7109375" customWidth="1"/>
    <col min="2" max="2" width="27.5703125" customWidth="1"/>
    <col min="3" max="12" width="4.28515625" customWidth="1"/>
    <col min="13" max="13" width="3.7109375" customWidth="1"/>
    <col min="14" max="14" width="3.42578125" customWidth="1"/>
    <col min="15" max="15" width="3.7109375" customWidth="1"/>
    <col min="16" max="16" width="3.5703125" customWidth="1"/>
    <col min="17" max="17" width="3.7109375" customWidth="1"/>
    <col min="18" max="18" width="4" customWidth="1"/>
    <col min="19" max="19" width="3.7109375" customWidth="1"/>
    <col min="20" max="20" width="4.140625" customWidth="1"/>
    <col min="21" max="21" width="4" customWidth="1"/>
    <col min="22" max="23" width="4.140625" customWidth="1"/>
    <col min="24" max="24" width="3.85546875" customWidth="1"/>
    <col min="25" max="25" width="4.140625" customWidth="1"/>
    <col min="26" max="26" width="3.28515625" customWidth="1"/>
    <col min="27" max="27" width="4.42578125" customWidth="1"/>
    <col min="28" max="28" width="3.7109375" customWidth="1"/>
    <col min="29" max="29" width="3.85546875" customWidth="1"/>
    <col min="30" max="30" width="3.7109375" customWidth="1"/>
    <col min="31" max="31" width="4" customWidth="1"/>
    <col min="32" max="32" width="0" hidden="1" customWidth="1"/>
    <col min="33" max="33" width="4.42578125" customWidth="1"/>
    <col min="34" max="34" width="4.28515625" customWidth="1"/>
  </cols>
  <sheetData>
    <row r="1" spans="2:34">
      <c r="C1" s="10"/>
    </row>
    <row r="2" spans="2:34" ht="12.95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2.9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2.95">
      <c r="B4" s="1318" t="s">
        <v>3</v>
      </c>
      <c r="C4" s="450" t="s">
        <v>95</v>
      </c>
      <c r="D4" s="1198" t="s">
        <v>6</v>
      </c>
      <c r="E4" s="1199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00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105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105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105</v>
      </c>
      <c r="AF4" s="546" t="s">
        <v>6</v>
      </c>
      <c r="AG4" s="546" t="s">
        <v>6</v>
      </c>
      <c r="AH4" s="452" t="s">
        <v>7</v>
      </c>
    </row>
    <row r="5" spans="2:34" ht="12.95">
      <c r="B5" s="1319"/>
      <c r="C5" s="882" t="s">
        <v>95</v>
      </c>
      <c r="D5" s="1183">
        <v>1</v>
      </c>
      <c r="E5" s="1201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168">
        <v>8</v>
      </c>
      <c r="L5" s="1201">
        <v>9</v>
      </c>
      <c r="M5" s="1118">
        <v>10</v>
      </c>
      <c r="N5" s="1076">
        <v>11</v>
      </c>
      <c r="O5" s="1168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>
      <c r="B6" s="244" t="s">
        <v>97</v>
      </c>
      <c r="C6" s="375" t="s">
        <v>13</v>
      </c>
      <c r="D6" s="1170" t="s">
        <v>16</v>
      </c>
      <c r="E6" s="1202" t="s">
        <v>22</v>
      </c>
      <c r="F6" s="1203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185" t="s">
        <v>7</v>
      </c>
      <c r="L6" s="1204" t="s">
        <v>7</v>
      </c>
      <c r="M6" s="1124" t="s">
        <v>8</v>
      </c>
      <c r="N6" s="1123" t="s">
        <v>8</v>
      </c>
      <c r="O6" s="1123" t="s">
        <v>8</v>
      </c>
      <c r="P6" s="1205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184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02" t="s">
        <v>22</v>
      </c>
    </row>
    <row r="7" spans="2:34">
      <c r="B7" s="244" t="s">
        <v>73</v>
      </c>
      <c r="C7" s="375" t="s">
        <v>18</v>
      </c>
      <c r="D7" s="1185" t="s">
        <v>7</v>
      </c>
      <c r="E7" s="1206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191" t="s">
        <v>53</v>
      </c>
      <c r="L7" s="1207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59" t="s">
        <v>7</v>
      </c>
      <c r="R7" s="1159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06" t="s">
        <v>8</v>
      </c>
    </row>
    <row r="8" spans="2:34">
      <c r="B8" s="244" t="s">
        <v>103</v>
      </c>
      <c r="C8" s="375" t="s">
        <v>21</v>
      </c>
      <c r="D8" s="1208" t="s">
        <v>6</v>
      </c>
      <c r="E8" s="1206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185" t="s">
        <v>7</v>
      </c>
      <c r="L8" s="1206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59" t="s">
        <v>8</v>
      </c>
      <c r="R8" s="1159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185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06" t="s">
        <v>7</v>
      </c>
    </row>
    <row r="9" spans="2:34">
      <c r="B9" s="244" t="s">
        <v>66</v>
      </c>
      <c r="C9" s="375" t="s">
        <v>26</v>
      </c>
      <c r="D9" s="1209" t="s">
        <v>7</v>
      </c>
      <c r="E9" s="1210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185" t="s">
        <v>8</v>
      </c>
      <c r="L9" s="1210" t="s">
        <v>7</v>
      </c>
      <c r="M9" s="1093" t="s">
        <v>14</v>
      </c>
      <c r="N9" s="1092" t="s">
        <v>14</v>
      </c>
      <c r="O9" s="1092" t="s">
        <v>14</v>
      </c>
      <c r="P9" s="1160" t="s">
        <v>6</v>
      </c>
      <c r="Q9" s="1161" t="s">
        <v>7</v>
      </c>
      <c r="R9" s="1161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186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11" t="s">
        <v>8</v>
      </c>
    </row>
    <row r="10" spans="2:34">
      <c r="B10" s="242" t="s">
        <v>90</v>
      </c>
      <c r="C10" s="432" t="s">
        <v>28</v>
      </c>
      <c r="D10" s="1184" t="s">
        <v>7</v>
      </c>
      <c r="E10" s="1212" t="s">
        <v>6</v>
      </c>
      <c r="F10" s="1213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185" t="s">
        <v>19</v>
      </c>
      <c r="L10" s="1214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162" t="s">
        <v>14</v>
      </c>
      <c r="R10" s="1162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184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12" t="s">
        <v>6</v>
      </c>
    </row>
    <row r="11" spans="2:34">
      <c r="B11" s="376" t="s">
        <v>91</v>
      </c>
      <c r="C11" s="375" t="s">
        <v>30</v>
      </c>
      <c r="D11" s="1185" t="s">
        <v>19</v>
      </c>
      <c r="E11" s="1215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185" t="s">
        <v>14</v>
      </c>
      <c r="L11" s="1215" t="s">
        <v>19</v>
      </c>
      <c r="M11" s="1103" t="s">
        <v>19</v>
      </c>
      <c r="N11" s="24" t="s">
        <v>19</v>
      </c>
      <c r="O11" s="76" t="s">
        <v>6</v>
      </c>
      <c r="P11" s="1163" t="s">
        <v>7</v>
      </c>
      <c r="Q11" s="1159" t="s">
        <v>7</v>
      </c>
      <c r="R11" s="1159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185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15" t="s">
        <v>7</v>
      </c>
    </row>
    <row r="12" spans="2:34">
      <c r="B12" s="244" t="s">
        <v>92</v>
      </c>
      <c r="C12" s="375" t="s">
        <v>32</v>
      </c>
      <c r="D12" s="1185" t="s">
        <v>14</v>
      </c>
      <c r="E12" s="1215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185" t="s">
        <v>7</v>
      </c>
      <c r="L12" s="1216" t="s">
        <v>14</v>
      </c>
      <c r="M12" s="1103" t="s">
        <v>14</v>
      </c>
      <c r="N12" s="24" t="s">
        <v>14</v>
      </c>
      <c r="O12" s="1104" t="s">
        <v>19</v>
      </c>
      <c r="P12" s="1164" t="s">
        <v>19</v>
      </c>
      <c r="Q12" s="1159" t="s">
        <v>7</v>
      </c>
      <c r="R12" s="1159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185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15" t="s">
        <v>19</v>
      </c>
    </row>
    <row r="13" spans="2:34">
      <c r="B13" s="246" t="s">
        <v>93</v>
      </c>
      <c r="C13" s="566" t="s">
        <v>34</v>
      </c>
      <c r="D13" s="1187" t="s">
        <v>7</v>
      </c>
      <c r="E13" s="1217" t="s">
        <v>7</v>
      </c>
      <c r="F13" s="1218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185" t="s">
        <v>7</v>
      </c>
      <c r="L13" s="1219" t="s">
        <v>6</v>
      </c>
      <c r="M13" s="1197" t="s">
        <v>6</v>
      </c>
      <c r="N13" s="1107" t="s">
        <v>6</v>
      </c>
      <c r="O13" s="1108" t="s">
        <v>14</v>
      </c>
      <c r="P13" s="1165" t="s">
        <v>14</v>
      </c>
      <c r="Q13" s="1166" t="s">
        <v>19</v>
      </c>
      <c r="R13" s="1166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187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20" t="s">
        <v>14</v>
      </c>
    </row>
    <row r="14" spans="2:34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2">
      <c r="C33" s="10"/>
    </row>
    <row r="34" spans="1:12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defaultColWidth="8.7109375" defaultRowHeight="12.6"/>
  <cols>
    <col min="1" max="1" width="16.7109375" customWidth="1"/>
    <col min="2" max="2" width="27.5703125" customWidth="1"/>
    <col min="3" max="10" width="4.28515625" customWidth="1"/>
    <col min="11" max="11" width="3.7109375" customWidth="1"/>
    <col min="12" max="12" width="3.42578125" customWidth="1"/>
    <col min="13" max="13" width="3.7109375" customWidth="1"/>
    <col min="14" max="14" width="3.5703125" customWidth="1"/>
    <col min="15" max="15" width="3.7109375" customWidth="1"/>
    <col min="16" max="16" width="4" customWidth="1"/>
    <col min="17" max="17" width="3.7109375" customWidth="1"/>
    <col min="18" max="18" width="4.140625" customWidth="1"/>
    <col min="19" max="19" width="4" customWidth="1"/>
    <col min="20" max="21" width="4.140625" customWidth="1"/>
    <col min="22" max="22" width="3.85546875" customWidth="1"/>
    <col min="23" max="23" width="4.140625" customWidth="1"/>
    <col min="24" max="24" width="3.28515625" customWidth="1"/>
    <col min="25" max="25" width="4.42578125" customWidth="1"/>
    <col min="26" max="26" width="3.7109375" customWidth="1"/>
    <col min="27" max="27" width="3.85546875" customWidth="1"/>
    <col min="28" max="28" width="3.7109375" customWidth="1"/>
    <col min="29" max="29" width="4" customWidth="1"/>
    <col min="30" max="30" width="0" hidden="1" customWidth="1"/>
    <col min="31" max="31" width="4.42578125" customWidth="1"/>
    <col min="32" max="32" width="4" customWidth="1"/>
    <col min="33" max="33" width="3.28515625" customWidth="1"/>
    <col min="34" max="34" width="4.28515625" customWidth="1"/>
    <col min="35" max="35" width="3.140625" customWidth="1"/>
  </cols>
  <sheetData>
    <row r="1" spans="2:35">
      <c r="C1" s="10"/>
    </row>
    <row r="2" spans="2:35" ht="12.95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 ht="12.95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2.95">
      <c r="B4" s="1318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21" t="s">
        <v>7</v>
      </c>
      <c r="K4" s="1222" t="s">
        <v>8</v>
      </c>
      <c r="L4" s="590" t="s">
        <v>9</v>
      </c>
      <c r="M4" s="590" t="s">
        <v>10</v>
      </c>
      <c r="N4" s="452" t="s">
        <v>4</v>
      </c>
      <c r="O4" s="546" t="s">
        <v>105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23" t="s">
        <v>4</v>
      </c>
      <c r="V4" s="546" t="s">
        <v>105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00" t="s">
        <v>4</v>
      </c>
      <c r="AC4" s="631" t="s">
        <v>105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2.95">
      <c r="B5" s="1319"/>
      <c r="C5" s="882" t="s">
        <v>95</v>
      </c>
      <c r="D5" s="1076">
        <v>1</v>
      </c>
      <c r="E5" s="1168">
        <v>2</v>
      </c>
      <c r="F5" s="1224">
        <v>3</v>
      </c>
      <c r="G5" s="1118">
        <v>4</v>
      </c>
      <c r="H5" s="1076">
        <v>5</v>
      </c>
      <c r="I5" s="1168">
        <v>6</v>
      </c>
      <c r="J5" s="1225">
        <v>7</v>
      </c>
      <c r="K5" s="1226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27">
        <v>14</v>
      </c>
      <c r="R5" s="1228">
        <v>15</v>
      </c>
      <c r="S5" s="1118">
        <v>16</v>
      </c>
      <c r="T5" s="1076">
        <v>17</v>
      </c>
      <c r="U5" s="1229">
        <v>18</v>
      </c>
      <c r="V5" s="1224">
        <v>19</v>
      </c>
      <c r="W5" s="1118">
        <v>20</v>
      </c>
      <c r="X5" s="1076">
        <v>21</v>
      </c>
      <c r="Y5" s="1230">
        <v>22</v>
      </c>
      <c r="Z5" s="1118">
        <v>23</v>
      </c>
      <c r="AA5" s="1183">
        <v>24</v>
      </c>
      <c r="AB5" s="1201">
        <v>25</v>
      </c>
      <c r="AC5" s="1231">
        <v>26</v>
      </c>
      <c r="AD5" s="1230">
        <v>27</v>
      </c>
      <c r="AE5" s="1118">
        <v>27</v>
      </c>
      <c r="AF5" s="1118">
        <v>28</v>
      </c>
      <c r="AG5" s="1076">
        <v>29</v>
      </c>
      <c r="AH5" s="1232">
        <v>30</v>
      </c>
      <c r="AI5" s="451">
        <v>31</v>
      </c>
    </row>
    <row r="6" spans="2:35">
      <c r="B6" s="244" t="s">
        <v>97</v>
      </c>
      <c r="C6" s="375" t="s">
        <v>13</v>
      </c>
      <c r="D6" s="1203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185" t="s">
        <v>7</v>
      </c>
      <c r="J6" s="1233" t="s">
        <v>8</v>
      </c>
      <c r="K6" s="1234" t="s">
        <v>8</v>
      </c>
      <c r="L6" s="1124" t="s">
        <v>8</v>
      </c>
      <c r="M6" s="1123" t="s">
        <v>8</v>
      </c>
      <c r="N6" s="1205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184" t="s">
        <v>7</v>
      </c>
      <c r="X6" s="1123" t="s">
        <v>8</v>
      </c>
      <c r="Y6" s="1235" t="s">
        <v>8</v>
      </c>
      <c r="Z6" s="1124" t="s">
        <v>7</v>
      </c>
      <c r="AA6" s="1119" t="s">
        <v>7</v>
      </c>
      <c r="AB6" s="1236" t="s">
        <v>7</v>
      </c>
      <c r="AC6" s="1203" t="s">
        <v>16</v>
      </c>
      <c r="AE6" s="1170" t="s">
        <v>16</v>
      </c>
      <c r="AF6" s="1237" t="s">
        <v>22</v>
      </c>
      <c r="AG6" s="1238" t="s">
        <v>22</v>
      </c>
      <c r="AH6" s="1239" t="s">
        <v>22</v>
      </c>
      <c r="AI6" s="1122" t="s">
        <v>22</v>
      </c>
    </row>
    <row r="7" spans="2:3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191" t="s">
        <v>53</v>
      </c>
      <c r="J7" s="1240" t="s">
        <v>23</v>
      </c>
      <c r="K7" s="1241" t="s">
        <v>23</v>
      </c>
      <c r="L7" s="1083" t="s">
        <v>16</v>
      </c>
      <c r="M7" s="1084" t="s">
        <v>16</v>
      </c>
      <c r="N7" s="1125" t="s">
        <v>16</v>
      </c>
      <c r="O7" s="1159" t="s">
        <v>7</v>
      </c>
      <c r="P7" s="1159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07" t="s">
        <v>53</v>
      </c>
      <c r="AC7" s="1127" t="s">
        <v>7</v>
      </c>
      <c r="AE7" s="1185" t="s">
        <v>7</v>
      </c>
      <c r="AF7" s="1242" t="s">
        <v>8</v>
      </c>
      <c r="AG7" s="1243" t="s">
        <v>8</v>
      </c>
      <c r="AH7" s="1242" t="s">
        <v>8</v>
      </c>
      <c r="AI7" s="103" t="s">
        <v>8</v>
      </c>
    </row>
    <row r="8" spans="2:3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185" t="s">
        <v>7</v>
      </c>
      <c r="J8" s="1244" t="s">
        <v>7</v>
      </c>
      <c r="K8" s="1245" t="s">
        <v>7</v>
      </c>
      <c r="L8" s="1088" t="s">
        <v>7</v>
      </c>
      <c r="M8" s="103" t="s">
        <v>7</v>
      </c>
      <c r="N8" s="1128" t="s">
        <v>7</v>
      </c>
      <c r="O8" s="1159" t="s">
        <v>8</v>
      </c>
      <c r="P8" s="1159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185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06" t="s">
        <v>8</v>
      </c>
      <c r="AC8" s="1213" t="s">
        <v>6</v>
      </c>
      <c r="AE8" s="1208" t="s">
        <v>6</v>
      </c>
      <c r="AF8" s="1242" t="s">
        <v>7</v>
      </c>
      <c r="AG8" s="1243" t="s">
        <v>7</v>
      </c>
      <c r="AH8" s="1242" t="s">
        <v>8</v>
      </c>
      <c r="AI8" s="103" t="s">
        <v>8</v>
      </c>
    </row>
    <row r="9" spans="2:3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185" t="s">
        <v>8</v>
      </c>
      <c r="J9" s="1246" t="s">
        <v>14</v>
      </c>
      <c r="K9" s="1247" t="s">
        <v>14</v>
      </c>
      <c r="L9" s="1093" t="s">
        <v>14</v>
      </c>
      <c r="M9" s="1092" t="s">
        <v>14</v>
      </c>
      <c r="N9" s="1160" t="s">
        <v>6</v>
      </c>
      <c r="O9" s="1161" t="s">
        <v>7</v>
      </c>
      <c r="P9" s="1161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186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10" t="s">
        <v>7</v>
      </c>
      <c r="AC9" s="1129" t="s">
        <v>7</v>
      </c>
      <c r="AE9" s="1209" t="s">
        <v>7</v>
      </c>
      <c r="AF9" s="1248" t="s">
        <v>8</v>
      </c>
      <c r="AG9" s="1249" t="s">
        <v>8</v>
      </c>
      <c r="AH9" s="1248" t="s">
        <v>7</v>
      </c>
      <c r="AI9" s="1092" t="s">
        <v>7</v>
      </c>
    </row>
    <row r="10" spans="2:35">
      <c r="B10" s="242" t="s">
        <v>90</v>
      </c>
      <c r="C10" s="432" t="s">
        <v>28</v>
      </c>
      <c r="D10" s="1213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185" t="s">
        <v>19</v>
      </c>
      <c r="J10" s="1250" t="s">
        <v>7</v>
      </c>
      <c r="K10" s="1251" t="s">
        <v>7</v>
      </c>
      <c r="L10" s="1096" t="s">
        <v>7</v>
      </c>
      <c r="M10" s="1097" t="s">
        <v>7</v>
      </c>
      <c r="N10" s="1131" t="s">
        <v>14</v>
      </c>
      <c r="O10" s="1162" t="s">
        <v>14</v>
      </c>
      <c r="P10" s="1162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184" t="s">
        <v>7</v>
      </c>
      <c r="X10" s="1101" t="s">
        <v>14</v>
      </c>
      <c r="Y10" s="1097" t="s">
        <v>14</v>
      </c>
      <c r="Z10" s="1097" t="s">
        <v>14</v>
      </c>
      <c r="AA10" s="1252" t="s">
        <v>19</v>
      </c>
      <c r="AB10" s="1253" t="s">
        <v>19</v>
      </c>
      <c r="AC10" s="1254" t="s">
        <v>7</v>
      </c>
      <c r="AE10" s="1184" t="s">
        <v>7</v>
      </c>
      <c r="AF10" s="1255" t="s">
        <v>6</v>
      </c>
      <c r="AG10" s="1256" t="s">
        <v>6</v>
      </c>
      <c r="AH10" s="1255" t="s">
        <v>6</v>
      </c>
      <c r="AI10" s="1101" t="s">
        <v>14</v>
      </c>
    </row>
    <row r="11" spans="2:3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185" t="s">
        <v>14</v>
      </c>
      <c r="J11" s="1257" t="s">
        <v>19</v>
      </c>
      <c r="K11" s="1258" t="s">
        <v>19</v>
      </c>
      <c r="L11" s="1103" t="s">
        <v>19</v>
      </c>
      <c r="M11" s="76" t="s">
        <v>6</v>
      </c>
      <c r="N11" s="1163" t="s">
        <v>7</v>
      </c>
      <c r="O11" s="1159" t="s">
        <v>7</v>
      </c>
      <c r="P11" s="1159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185" t="s">
        <v>7</v>
      </c>
      <c r="X11" s="1105" t="s">
        <v>6</v>
      </c>
      <c r="Y11" s="1105" t="s">
        <v>6</v>
      </c>
      <c r="Z11" s="1105" t="s">
        <v>6</v>
      </c>
      <c r="AA11" s="1164" t="s">
        <v>14</v>
      </c>
      <c r="AB11" s="1259" t="s">
        <v>7</v>
      </c>
      <c r="AC11" s="1127" t="s">
        <v>19</v>
      </c>
      <c r="AE11" s="1185" t="s">
        <v>19</v>
      </c>
      <c r="AF11" s="1260" t="s">
        <v>7</v>
      </c>
      <c r="AG11" s="1261" t="s">
        <v>7</v>
      </c>
      <c r="AH11" s="1260" t="s">
        <v>7</v>
      </c>
      <c r="AI11" s="24" t="s">
        <v>7</v>
      </c>
    </row>
    <row r="12" spans="2:3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185" t="s">
        <v>7</v>
      </c>
      <c r="J12" s="1262" t="s">
        <v>7</v>
      </c>
      <c r="K12" s="1263" t="s">
        <v>7</v>
      </c>
      <c r="L12" s="1103" t="s">
        <v>14</v>
      </c>
      <c r="M12" s="1104" t="s">
        <v>19</v>
      </c>
      <c r="N12" s="1164" t="s">
        <v>19</v>
      </c>
      <c r="O12" s="1159" t="s">
        <v>7</v>
      </c>
      <c r="P12" s="1159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185" t="s">
        <v>19</v>
      </c>
      <c r="X12" s="24" t="s">
        <v>7</v>
      </c>
      <c r="Y12" s="24" t="s">
        <v>7</v>
      </c>
      <c r="Z12" s="24" t="s">
        <v>7</v>
      </c>
      <c r="AA12" s="1163" t="s">
        <v>7</v>
      </c>
      <c r="AB12" s="1215" t="s">
        <v>14</v>
      </c>
      <c r="AC12" s="1133" t="s">
        <v>14</v>
      </c>
      <c r="AE12" s="1185" t="s">
        <v>14</v>
      </c>
      <c r="AF12" s="1260" t="s">
        <v>19</v>
      </c>
      <c r="AG12" s="1261" t="s">
        <v>19</v>
      </c>
      <c r="AH12" s="1260" t="s">
        <v>19</v>
      </c>
      <c r="AI12" s="76" t="s">
        <v>6</v>
      </c>
    </row>
    <row r="13" spans="2:35">
      <c r="B13" s="246" t="s">
        <v>93</v>
      </c>
      <c r="C13" s="566" t="s">
        <v>34</v>
      </c>
      <c r="D13" s="1218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185" t="s">
        <v>7</v>
      </c>
      <c r="J13" s="1264" t="s">
        <v>6</v>
      </c>
      <c r="K13" s="1265" t="s">
        <v>6</v>
      </c>
      <c r="L13" s="1197" t="s">
        <v>6</v>
      </c>
      <c r="M13" s="1108" t="s">
        <v>14</v>
      </c>
      <c r="N13" s="1165" t="s">
        <v>14</v>
      </c>
      <c r="O13" s="1166" t="s">
        <v>19</v>
      </c>
      <c r="P13" s="1166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187" t="s">
        <v>14</v>
      </c>
      <c r="X13" s="1111" t="s">
        <v>19</v>
      </c>
      <c r="Y13" s="1111" t="s">
        <v>19</v>
      </c>
      <c r="Z13" s="1111" t="s">
        <v>19</v>
      </c>
      <c r="AA13" s="1266" t="s">
        <v>6</v>
      </c>
      <c r="AB13" s="1219" t="s">
        <v>7</v>
      </c>
      <c r="AC13" s="1135" t="s">
        <v>7</v>
      </c>
      <c r="AE13" s="1187" t="s">
        <v>7</v>
      </c>
      <c r="AF13" s="1267" t="s">
        <v>14</v>
      </c>
      <c r="AG13" s="1268" t="s">
        <v>14</v>
      </c>
      <c r="AH13" s="1269" t="s">
        <v>14</v>
      </c>
      <c r="AI13" s="1108" t="s">
        <v>19</v>
      </c>
    </row>
    <row r="14" spans="2:3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>
      <c r="B15" s="4"/>
      <c r="C15" s="10"/>
    </row>
    <row r="16" spans="2:35">
      <c r="B16" s="4"/>
      <c r="C16" s="10"/>
    </row>
    <row r="17" spans="2:35">
      <c r="B17" s="4"/>
      <c r="C17" s="10"/>
    </row>
    <row r="18" spans="2:3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>
      <c r="C26" s="10"/>
    </row>
    <row r="27" spans="2:35">
      <c r="C27" s="10"/>
    </row>
    <row r="28" spans="2:35">
      <c r="C28" s="10"/>
    </row>
    <row r="29" spans="2:35">
      <c r="C29" s="10"/>
    </row>
    <row r="30" spans="2:35">
      <c r="C30" s="10"/>
    </row>
    <row r="31" spans="2:35">
      <c r="C31" s="10"/>
    </row>
    <row r="32" spans="2:35">
      <c r="C32" s="10"/>
    </row>
    <row r="33" spans="3:3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defaultColWidth="8.7109375" defaultRowHeight="12.6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95535-DE3F-4CE5-85C5-BD3641CD7314}"/>
</file>

<file path=customXml/itemProps2.xml><?xml version="1.0" encoding="utf-8"?>
<ds:datastoreItem xmlns:ds="http://schemas.openxmlformats.org/officeDocument/2006/customXml" ds:itemID="{54AEC4E9-D5BB-40A4-AB55-3FD90BB5AFFA}"/>
</file>

<file path=customXml/itemProps3.xml><?xml version="1.0" encoding="utf-8"?>
<ds:datastoreItem xmlns:ds="http://schemas.openxmlformats.org/officeDocument/2006/customXml" ds:itemID="{79220298-12C4-4A60-B764-B0C3DA1DEC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2026-06-05T08:25:39Z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