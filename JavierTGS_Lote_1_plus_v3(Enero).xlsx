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872303_santanderglobaltech_com/Documents/Escritorio/Contingencias y festivos/"/>
    </mc:Choice>
  </mc:AlternateContent>
  <xr:revisionPtr revIDLastSave="38" documentId="8_{A318BE5B-DB99-4D56-ADB9-38DA20F63D33}" xr6:coauthVersionLast="47" xr6:coauthVersionMax="47" xr10:uidLastSave="{A4CF8F2F-E674-436E-B973-BF802BBC1317}"/>
  <bookViews>
    <workbookView xWindow="-120" yWindow="-120" windowWidth="29040" windowHeight="15720" activeTab="3" xr2:uid="{D8B5602F-A030-4EE6-A342-AA78EB9E61B2}"/>
  </bookViews>
  <sheets>
    <sheet name="Tabla de extras" sheetId="6" r:id="rId1"/>
    <sheet name="Borja Frances" sheetId="1" r:id="rId2"/>
    <sheet name="Jesus" sheetId="7" r:id="rId3"/>
    <sheet name="Javier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8" l="1"/>
  <c r="C9" i="8"/>
  <c r="I12" i="8"/>
  <c r="I11" i="8"/>
  <c r="G12" i="7"/>
  <c r="K24" i="8"/>
  <c r="K6" i="8"/>
  <c r="K5" i="8"/>
  <c r="I4" i="8"/>
  <c r="I5" i="8"/>
  <c r="G4" i="8"/>
  <c r="G5" i="8"/>
  <c r="E4" i="8"/>
  <c r="M14" i="8" l="1"/>
  <c r="K14" i="8"/>
  <c r="I14" i="8"/>
  <c r="E14" i="8"/>
  <c r="C14" i="8"/>
  <c r="M13" i="8"/>
  <c r="K13" i="8"/>
  <c r="I13" i="8"/>
  <c r="G13" i="8"/>
  <c r="E13" i="8"/>
  <c r="M12" i="8"/>
  <c r="K12" i="8"/>
  <c r="N12" i="8"/>
  <c r="G12" i="8"/>
  <c r="E12" i="8"/>
  <c r="M11" i="8"/>
  <c r="K11" i="8"/>
  <c r="G11" i="8"/>
  <c r="M10" i="8"/>
  <c r="K10" i="8"/>
  <c r="I10" i="8"/>
  <c r="G10" i="8"/>
  <c r="E10" i="8"/>
  <c r="C10" i="8"/>
  <c r="M9" i="8"/>
  <c r="K9" i="8"/>
  <c r="I9" i="8"/>
  <c r="G9" i="8"/>
  <c r="E9" i="8"/>
  <c r="M8" i="8"/>
  <c r="K8" i="8"/>
  <c r="I8" i="8"/>
  <c r="G8" i="8"/>
  <c r="E8" i="8"/>
  <c r="M7" i="8"/>
  <c r="K7" i="8"/>
  <c r="I7" i="8"/>
  <c r="G7" i="8"/>
  <c r="E7" i="8"/>
  <c r="C7" i="8"/>
  <c r="M6" i="8"/>
  <c r="I6" i="8"/>
  <c r="G6" i="8"/>
  <c r="E6" i="8"/>
  <c r="C6" i="8"/>
  <c r="M5" i="8"/>
  <c r="E5" i="8"/>
  <c r="C5" i="8"/>
  <c r="M4" i="8"/>
  <c r="C4" i="8"/>
  <c r="M3" i="8"/>
  <c r="K3" i="8"/>
  <c r="I3" i="8"/>
  <c r="G3" i="8"/>
  <c r="E3" i="8"/>
  <c r="C3" i="8"/>
  <c r="M2" i="8"/>
  <c r="K2" i="8"/>
  <c r="I2" i="8"/>
  <c r="G2" i="8"/>
  <c r="E2" i="8"/>
  <c r="C2" i="8"/>
  <c r="M14" i="7"/>
  <c r="K14" i="7"/>
  <c r="I14" i="7"/>
  <c r="G14" i="7"/>
  <c r="E14" i="7"/>
  <c r="C14" i="7"/>
  <c r="M13" i="7"/>
  <c r="K13" i="7"/>
  <c r="I13" i="7"/>
  <c r="G13" i="7"/>
  <c r="E13" i="7"/>
  <c r="C13" i="7"/>
  <c r="M12" i="7"/>
  <c r="K12" i="7"/>
  <c r="I12" i="7"/>
  <c r="E12" i="7"/>
  <c r="C12" i="7"/>
  <c r="M11" i="7"/>
  <c r="K11" i="7"/>
  <c r="I11" i="7"/>
  <c r="G11" i="7"/>
  <c r="E11" i="7"/>
  <c r="C11" i="7"/>
  <c r="M10" i="7"/>
  <c r="K10" i="7"/>
  <c r="I10" i="7"/>
  <c r="G10" i="7"/>
  <c r="E10" i="7"/>
  <c r="C10" i="7"/>
  <c r="M9" i="7"/>
  <c r="K9" i="7"/>
  <c r="I9" i="7"/>
  <c r="G9" i="7"/>
  <c r="E9" i="7"/>
  <c r="C9" i="7"/>
  <c r="M8" i="7"/>
  <c r="K8" i="7"/>
  <c r="I8" i="7"/>
  <c r="G8" i="7"/>
  <c r="E8" i="7"/>
  <c r="C8" i="7"/>
  <c r="M7" i="7"/>
  <c r="K7" i="7"/>
  <c r="I7" i="7"/>
  <c r="G7" i="7"/>
  <c r="E7" i="7"/>
  <c r="C7" i="7"/>
  <c r="M6" i="7"/>
  <c r="K6" i="7"/>
  <c r="I6" i="7"/>
  <c r="G6" i="7"/>
  <c r="E6" i="7"/>
  <c r="C6" i="7"/>
  <c r="M5" i="7"/>
  <c r="K5" i="7"/>
  <c r="I5" i="7"/>
  <c r="G5" i="7"/>
  <c r="E5" i="7"/>
  <c r="C5" i="7"/>
  <c r="N5" i="7" s="1"/>
  <c r="M4" i="7"/>
  <c r="K4" i="7"/>
  <c r="I4" i="7"/>
  <c r="G4" i="7"/>
  <c r="E4" i="7"/>
  <c r="C4" i="7"/>
  <c r="M3" i="7"/>
  <c r="K3" i="7"/>
  <c r="I3" i="7"/>
  <c r="G3" i="7"/>
  <c r="E3" i="7"/>
  <c r="C3" i="7"/>
  <c r="M2" i="7"/>
  <c r="K2" i="7"/>
  <c r="I2" i="7"/>
  <c r="G2" i="7"/>
  <c r="E2" i="7"/>
  <c r="C2" i="7"/>
  <c r="M14" i="1"/>
  <c r="M13" i="1"/>
  <c r="M12" i="1"/>
  <c r="M11" i="1"/>
  <c r="M10" i="1"/>
  <c r="M9" i="1"/>
  <c r="M8" i="1"/>
  <c r="M7" i="1"/>
  <c r="M6" i="1"/>
  <c r="M5" i="1"/>
  <c r="M4" i="1"/>
  <c r="M3" i="1"/>
  <c r="M2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I14" i="1"/>
  <c r="I13" i="1"/>
  <c r="I12" i="1"/>
  <c r="I11" i="1"/>
  <c r="I10" i="1"/>
  <c r="I9" i="1"/>
  <c r="N9" i="1" s="1"/>
  <c r="I8" i="1"/>
  <c r="I7" i="1"/>
  <c r="I6" i="1"/>
  <c r="I5" i="1"/>
  <c r="I4" i="1"/>
  <c r="I3" i="1"/>
  <c r="I2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14" i="1"/>
  <c r="C13" i="1"/>
  <c r="C12" i="1"/>
  <c r="N12" i="1" s="1"/>
  <c r="C11" i="1"/>
  <c r="C10" i="1"/>
  <c r="C9" i="1"/>
  <c r="C8" i="1"/>
  <c r="C7" i="1"/>
  <c r="C6" i="1"/>
  <c r="C5" i="1"/>
  <c r="C4" i="1"/>
  <c r="N4" i="1" s="1"/>
  <c r="C3" i="1"/>
  <c r="C2" i="1"/>
  <c r="N6" i="1" l="1"/>
  <c r="N14" i="1"/>
  <c r="N7" i="1"/>
  <c r="N10" i="1"/>
  <c r="N13" i="1"/>
  <c r="N2" i="1"/>
  <c r="N5" i="1"/>
  <c r="N8" i="7"/>
  <c r="N8" i="1"/>
  <c r="N4" i="7"/>
  <c r="N3" i="8"/>
  <c r="N2" i="8"/>
  <c r="N6" i="8"/>
  <c r="N10" i="8"/>
  <c r="N14" i="8"/>
  <c r="N3" i="1"/>
  <c r="N11" i="1"/>
  <c r="N3" i="7"/>
  <c r="N2" i="7"/>
  <c r="N6" i="7"/>
  <c r="N10" i="7"/>
  <c r="N14" i="7"/>
  <c r="N9" i="7"/>
  <c r="N13" i="7"/>
  <c r="N4" i="8"/>
  <c r="N5" i="8"/>
  <c r="N9" i="8"/>
  <c r="N12" i="7"/>
  <c r="N11" i="7"/>
  <c r="N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Coll Baena Javier</author>
  </authors>
  <commentList>
    <comment ref="C11" authorId="0" shapeId="0" xr:uid="{839DBEAD-315E-4EEE-851E-EC4B32461071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Semana entera mas otro finde semana 9 dias</t>
        </r>
      </text>
    </comment>
    <comment ref="C12" authorId="0" shapeId="0" xr:uid="{C8F9B6E6-9CA5-4871-A26E-D638D1A89C66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2 Semanas mas finde semana y un dia suelto</t>
        </r>
      </text>
    </comment>
  </commentList>
</comments>
</file>

<file path=xl/sharedStrings.xml><?xml version="1.0" encoding="utf-8"?>
<sst xmlns="http://schemas.openxmlformats.org/spreadsheetml/2006/main" count="60" uniqueCount="32">
  <si>
    <t>MES</t>
  </si>
  <si>
    <t>Total</t>
  </si>
  <si>
    <t>Guardia</t>
  </si>
  <si>
    <t>Hora extra laborable diurno</t>
  </si>
  <si>
    <t>P01</t>
  </si>
  <si>
    <t>P02</t>
  </si>
  <si>
    <t>P03</t>
  </si>
  <si>
    <t>P04</t>
  </si>
  <si>
    <t>P05</t>
  </si>
  <si>
    <t>Día festivo</t>
  </si>
  <si>
    <t>Día festivo especial</t>
  </si>
  <si>
    <t>P06</t>
  </si>
  <si>
    <t>Código</t>
  </si>
  <si>
    <t>Concepto</t>
  </si>
  <si>
    <t>Importe</t>
  </si>
  <si>
    <t> € guardias</t>
  </si>
  <si>
    <t>€ festivos</t>
  </si>
  <si>
    <t>€ festivos esp.</t>
  </si>
  <si>
    <t>Nº Guardias (P01)</t>
  </si>
  <si>
    <t>Nº festivos(P02)</t>
  </si>
  <si>
    <t>Nº festivos esp.(P03)</t>
  </si>
  <si>
    <t>HE lab.diurno(P04)</t>
  </si>
  <si>
    <t>€ HE lab. diurno</t>
  </si>
  <si>
    <r>
      <t xml:space="preserve">Hora extra nocturno, fines de semana y festivos </t>
    </r>
    <r>
      <rPr>
        <b/>
        <sz val="11"/>
        <color theme="1"/>
        <rFont val="Calibri"/>
        <family val="2"/>
        <scheme val="minor"/>
      </rPr>
      <t>diurnos</t>
    </r>
  </si>
  <si>
    <r>
      <t xml:space="preserve">Hora extra fines de semana y festivos </t>
    </r>
    <r>
      <rPr>
        <b/>
        <sz val="11"/>
        <color theme="1"/>
        <rFont val="Calibri"/>
        <family val="2"/>
        <scheme val="minor"/>
      </rPr>
      <t>nocturnos</t>
    </r>
  </si>
  <si>
    <t>€ HE noche</t>
  </si>
  <si>
    <t>HE noche(P05)</t>
  </si>
  <si>
    <t>€ HE festivos noche</t>
  </si>
  <si>
    <t>HE festivos noche(P06)</t>
  </si>
  <si>
    <t>Servicio 24*7, 3 turnos para Telefónica Global Solutions (TGS)- Lote 1</t>
  </si>
  <si>
    <t>Disponibilidad es como dia trabajado</t>
  </si>
  <si>
    <t>Del 3 de enero a 9 y del 24 de enero al 30 de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</si>
</sst>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_ ;\-#,##0\ "/>
    <numFmt numFmtId="165" formatCode="#,##0.00\ &quot;€&quot;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Neo Sans"/>
    </font>
    <font>
      <sz val="9"/>
      <color theme="1"/>
      <name val="Calibri"/>
      <family val="2"/>
      <scheme val="minor"/>
    </font>
    <font>
      <sz val="9"/>
      <color rgb="FF000000"/>
      <name val="Neo Sans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7" fontId="4" fillId="0" borderId="1" xfId="0" applyNumberFormat="1" applyFont="1" applyBorder="1"/>
    <xf numFmtId="164" fontId="5" fillId="5" borderId="1" xfId="1" applyNumberFormat="1" applyFont="1" applyFill="1" applyBorder="1" applyAlignment="1">
      <alignment horizontal="center" vertical="center"/>
    </xf>
    <xf numFmtId="44" fontId="5" fillId="3" borderId="1" xfId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44" fontId="5" fillId="5" borderId="1" xfId="1" applyFont="1" applyFill="1" applyBorder="1" applyAlignment="1">
      <alignment horizontal="center" vertical="center"/>
    </xf>
    <xf numFmtId="44" fontId="5" fillId="3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2" fontId="0" fillId="0" borderId="1" xfId="0" applyNumberFormat="1" applyBorder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10</xdr:col>
      <xdr:colOff>0</xdr:colOff>
      <xdr:row>36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6D0430-6FE9-C446-3D6C-FE99C16F0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2762250"/>
          <a:ext cx="9753600" cy="386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742950</xdr:colOff>
      <xdr:row>63</xdr:row>
      <xdr:rowOff>165100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202B68-AE5E-0A81-7021-BA0F76EEA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7181850"/>
          <a:ext cx="4400550" cy="458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10E3-30A2-4E44-88E2-D1B195197BFB}">
  <dimension ref="A1:C38"/>
  <sheetViews>
    <sheetView workbookViewId="0">
      <selection activeCell="A4" sqref="A4"/>
    </sheetView>
  </sheetViews>
  <sheetFormatPr baseColWidth="10" defaultColWidth="10.85546875" defaultRowHeight="15"/>
  <cols>
    <col min="1" max="1" width="8.140625" customWidth="1"/>
    <col min="2" max="2" width="52.42578125" customWidth="1"/>
  </cols>
  <sheetData>
    <row r="1" spans="1:3">
      <c r="A1" s="3" t="s">
        <v>12</v>
      </c>
      <c r="B1" s="3" t="s">
        <v>13</v>
      </c>
      <c r="C1" s="3" t="s">
        <v>14</v>
      </c>
    </row>
    <row r="2" spans="1:3">
      <c r="A2" s="1" t="s">
        <v>4</v>
      </c>
      <c r="B2" s="1" t="s">
        <v>2</v>
      </c>
      <c r="C2" s="13">
        <v>360</v>
      </c>
    </row>
    <row r="3" spans="1:3">
      <c r="A3" s="1" t="s">
        <v>5</v>
      </c>
      <c r="B3" s="1" t="s">
        <v>9</v>
      </c>
      <c r="C3" s="13">
        <v>53</v>
      </c>
    </row>
    <row r="4" spans="1:3">
      <c r="A4" s="1" t="s">
        <v>6</v>
      </c>
      <c r="B4" s="1" t="s">
        <v>10</v>
      </c>
      <c r="C4" s="13">
        <v>106</v>
      </c>
    </row>
    <row r="5" spans="1:3">
      <c r="A5" s="1" t="s">
        <v>7</v>
      </c>
      <c r="B5" s="1" t="s">
        <v>3</v>
      </c>
      <c r="C5" s="14">
        <v>31.9</v>
      </c>
    </row>
    <row r="6" spans="1:3">
      <c r="A6" s="1" t="s">
        <v>8</v>
      </c>
      <c r="B6" s="1" t="s">
        <v>23</v>
      </c>
      <c r="C6" s="14">
        <v>38.200000000000003</v>
      </c>
    </row>
    <row r="7" spans="1:3">
      <c r="A7" s="1" t="s">
        <v>11</v>
      </c>
      <c r="B7" s="1" t="s">
        <v>24</v>
      </c>
      <c r="C7" s="14">
        <v>44.2</v>
      </c>
    </row>
    <row r="10" spans="1:3">
      <c r="B10" s="2" t="s">
        <v>29</v>
      </c>
    </row>
    <row r="38" spans="2:2">
      <c r="B38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8003-573A-4F7C-B14C-E78DFC877C03}">
  <dimension ref="A1:N14"/>
  <sheetViews>
    <sheetView workbookViewId="0">
      <selection activeCell="F3" sqref="F3"/>
    </sheetView>
  </sheetViews>
  <sheetFormatPr baseColWidth="10" defaultColWidth="10.85546875" defaultRowHeight="15"/>
  <cols>
    <col min="1" max="1" width="5.5703125" customWidth="1"/>
    <col min="2" max="2" width="14.7109375" customWidth="1"/>
    <col min="3" max="3" width="14.85546875" customWidth="1"/>
    <col min="4" max="4" width="13.5703125" customWidth="1"/>
    <col min="5" max="5" width="15" customWidth="1"/>
    <col min="6" max="6" width="17.7109375" customWidth="1"/>
    <col min="7" max="7" width="15.42578125" customWidth="1"/>
    <col min="8" max="8" width="15.5703125" customWidth="1"/>
    <col min="9" max="9" width="17.28515625" customWidth="1"/>
    <col min="10" max="10" width="13" customWidth="1"/>
    <col min="11" max="11" width="17.28515625" customWidth="1"/>
    <col min="12" max="12" width="18.5703125" customWidth="1"/>
    <col min="13" max="13" width="20.85546875" customWidth="1"/>
    <col min="14" max="15" width="18.140625" customWidth="1"/>
    <col min="16" max="16" width="38.570312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45627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45658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45689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45717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45748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45778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45809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45839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45870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45901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45931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45962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8D5D-FD5F-49C4-AC05-B8752F2EDF46}">
  <dimension ref="A1:N14"/>
  <sheetViews>
    <sheetView workbookViewId="0">
      <selection activeCell="J13" sqref="J13"/>
    </sheetView>
  </sheetViews>
  <sheetFormatPr baseColWidth="10" defaultColWidth="10.85546875" defaultRowHeight="15"/>
  <cols>
    <col min="1" max="1" width="5.5703125" customWidth="1"/>
    <col min="2" max="2" width="14.7109375" customWidth="1"/>
    <col min="3" max="3" width="14.85546875" customWidth="1"/>
    <col min="4" max="4" width="13.5703125" customWidth="1"/>
    <col min="5" max="5" width="15" customWidth="1"/>
    <col min="6" max="6" width="17.7109375" customWidth="1"/>
    <col min="7" max="7" width="15.42578125" customWidth="1"/>
    <col min="8" max="8" width="15.5703125" customWidth="1"/>
    <col min="9" max="9" width="17.28515625" customWidth="1"/>
    <col min="10" max="10" width="13" customWidth="1"/>
    <col min="11" max="11" width="17.28515625" customWidth="1"/>
    <col min="12" max="12" width="18.5703125" customWidth="1"/>
    <col min="13" max="13" width="20.85546875" customWidth="1"/>
    <col min="14" max="15" width="18.140625" customWidth="1"/>
    <col min="16" max="16" width="38.570312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45261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45292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45323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45352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45383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45413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45444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45474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45505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45536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45566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45597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45627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2E09-3140-4D5D-88E3-97EEF214F35F}">
  <dimension ref="A1:O24"/>
  <sheetViews>
    <sheetView tabSelected="1" workbookViewId="0">
      <selection activeCell="O3" sqref="O3"/>
    </sheetView>
  </sheetViews>
  <sheetFormatPr baseColWidth="10" defaultColWidth="10.85546875" defaultRowHeight="15"/>
  <cols>
    <col min="1" max="1" width="9.28515625" customWidth="1"/>
    <col min="2" max="2" width="14.7109375" customWidth="1"/>
    <col min="3" max="3" width="14.85546875" customWidth="1"/>
    <col min="4" max="4" width="13.5703125" customWidth="1"/>
    <col min="5" max="5" width="15" customWidth="1"/>
    <col min="6" max="6" width="17.7109375" customWidth="1"/>
    <col min="7" max="7" width="15.42578125" customWidth="1"/>
    <col min="8" max="8" width="15.5703125" customWidth="1"/>
    <col min="9" max="9" width="17.28515625" customWidth="1"/>
    <col min="10" max="10" width="13" customWidth="1"/>
    <col min="11" max="11" width="17.28515625" customWidth="1"/>
    <col min="12" max="12" width="18.5703125" customWidth="1"/>
    <col min="13" max="13" width="20.85546875" customWidth="1"/>
    <col min="14" max="15" width="18.140625" customWidth="1"/>
    <col min="16" max="16" width="38.5703125" customWidth="1"/>
  </cols>
  <sheetData>
    <row r="1" spans="1:15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5">
      <c r="A2" s="5">
        <v>46357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5">
      <c r="A3" s="5">
        <v>46023</v>
      </c>
      <c r="B3" s="6">
        <v>2</v>
      </c>
      <c r="C3" s="7">
        <f>B3*'Tabla de extras'!$C$2</f>
        <v>720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720</v>
      </c>
      <c r="O3" t="s">
        <v>31</v>
      </c>
    </row>
    <row r="4" spans="1:15">
      <c r="A4" s="5">
        <v>46054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/>
      <c r="L4" s="9"/>
      <c r="M4" s="7">
        <f>L4*'Tabla de extras'!$C$7</f>
        <v>0</v>
      </c>
      <c r="N4" s="10">
        <f t="shared" si="0"/>
        <v>0</v>
      </c>
    </row>
    <row r="5" spans="1:15">
      <c r="A5" s="5">
        <v>46082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5">
      <c r="A6" s="5">
        <v>46113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5">
      <c r="A7" s="5">
        <v>46143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/>
    </row>
    <row r="8" spans="1:15">
      <c r="A8" s="5">
        <v>46174</v>
      </c>
      <c r="B8" s="6"/>
      <c r="C8" s="7"/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/>
    </row>
    <row r="9" spans="1:15">
      <c r="A9" s="5">
        <v>46204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5">
      <c r="A10" s="5">
        <v>46235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5">
      <c r="A11" s="5">
        <v>46266</v>
      </c>
      <c r="B11" s="6"/>
      <c r="C11" s="7"/>
      <c r="D11" s="6"/>
      <c r="E11" s="7"/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/>
    </row>
    <row r="12" spans="1:15">
      <c r="A12" s="5">
        <v>46296</v>
      </c>
      <c r="B12" s="6"/>
      <c r="C12" s="7"/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5">
      <c r="A13" s="5">
        <v>46327</v>
      </c>
      <c r="B13" s="6"/>
      <c r="C13" s="7"/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/>
    </row>
    <row r="14" spans="1:15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  <row r="24" spans="11:11">
      <c r="K24" s="15">
        <f>+K11</f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de extras</vt:lpstr>
      <vt:lpstr>Borja Frances</vt:lpstr>
      <vt:lpstr>Jesus</vt:lpstr>
      <vt:lpstr>Javier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</dc:creator>
  <cp:lastModifiedBy>Coll Baena Javier</cp:lastModifiedBy>
  <dcterms:created xsi:type="dcterms:W3CDTF">2022-10-24T13:06:30Z</dcterms:created>
  <dcterms:modified xsi:type="dcterms:W3CDTF">2026-02-19T16:02:03Z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2025-01-21T09:02:47Z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670a4908-8b0c-4cbc-b3e4-4ce9c145e552</vt:lpwstr>
  </property>
  <property fmtid="{D5CDD505-2E9C-101B-9397-08002B2CF9AE}" pid="8" name="MSIP_Label_41b88ec2-a72b-4523-9e84-0458a1764731_ContentBits">
    <vt:lpwstr>0</vt:lpwstr>
  </property>
</Properties>
</file>