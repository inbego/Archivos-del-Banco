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72303_santanderglobaltech_com/Documents/Escritorio/Contingencias y festivos/"/>
    </mc:Choice>
  </mc:AlternateContent>
  <xr:revisionPtr revIDLastSave="101" documentId="8_{A318BE5B-DB99-4D56-ADB9-38DA20F63D33}" xr6:coauthVersionLast="47" xr6:coauthVersionMax="47" xr10:uidLastSave="{8E1609A5-4481-437A-8046-51D6F25240A3}"/>
  <bookViews>
    <workbookView xWindow="-120" yWindow="-120" windowWidth="38640" windowHeight="21120" activeTab="3" xr2:uid="{D8B5602F-A030-4EE6-A342-AA78EB9E61B2}"/>
  </bookViews>
  <sheets>
    <sheet name="Tabla de extras" sheetId="6" r:id="rId1"/>
    <sheet name="Borja Frances" sheetId="1" r:id="rId2"/>
    <sheet name="Jesus" sheetId="7" r:id="rId3"/>
    <sheet name="Javier" sheetId="8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5" i="8"/>
  <c r="C6" i="8"/>
  <c r="C7" i="8"/>
  <c r="C8" i="8"/>
  <c r="N8" i="8" s="1"/>
  <c r="C9" i="8"/>
  <c r="N9" i="8" s="1"/>
  <c r="C10" i="8"/>
  <c r="N10" i="8" s="1"/>
  <c r="C11" i="8"/>
  <c r="N11" i="8" s="1"/>
  <c r="C12" i="8"/>
  <c r="N12" i="8" s="1"/>
  <c r="C13" i="8"/>
  <c r="N13" i="8" s="1"/>
  <c r="C14" i="8"/>
  <c r="N14" i="8" s="1"/>
  <c r="N7" i="8"/>
  <c r="C2" i="8"/>
  <c r="G14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M13" i="8"/>
  <c r="K13" i="8"/>
  <c r="I13" i="8"/>
  <c r="G13" i="8"/>
  <c r="E13" i="8"/>
  <c r="M12" i="8"/>
  <c r="K12" i="8"/>
  <c r="G12" i="8"/>
  <c r="E12" i="8"/>
  <c r="M11" i="8"/>
  <c r="K11" i="8"/>
  <c r="G11" i="8"/>
  <c r="M10" i="8"/>
  <c r="K10" i="8"/>
  <c r="I10" i="8"/>
  <c r="G10" i="8"/>
  <c r="E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M6" i="8"/>
  <c r="I6" i="8"/>
  <c r="G6" i="8"/>
  <c r="E6" i="8"/>
  <c r="M5" i="8"/>
  <c r="E5" i="8"/>
  <c r="M3" i="8"/>
  <c r="K3" i="8"/>
  <c r="I3" i="8"/>
  <c r="G3" i="8"/>
  <c r="E3" i="8"/>
  <c r="C3" i="8"/>
  <c r="M2" i="8"/>
  <c r="K2" i="8"/>
  <c r="I2" i="8"/>
  <c r="G2" i="8"/>
  <c r="E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E3" i="7"/>
  <c r="C3" i="7"/>
  <c r="M2" i="7"/>
  <c r="K2" i="7"/>
  <c r="I2" i="7"/>
  <c r="G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3" i="1"/>
  <c r="N11" i="1"/>
  <c r="N3" i="7"/>
  <c r="N2" i="7"/>
  <c r="N6" i="7"/>
  <c r="N10" i="7"/>
  <c r="N14" i="7"/>
  <c r="N9" i="7"/>
  <c r="N13" i="7"/>
  <c r="N4" i="8"/>
  <c r="N5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<sst xmlns="http://schemas.openxmlformats.org/spreadsheetml/2006/main" count="64" uniqueCount="36">
  <si>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</si>
  <si>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</si>
  <si>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</si>
  <si>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</si>
  <si>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</si>
  <si>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</si>
  <si>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</si>
  <si>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</si>
  <si>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</si>
  <si>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</si>
  <si>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</si>
  <si>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</si>
  <si>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</si>
  <si>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</si>
  <si>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</si>
  <si>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</si>
  <si>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</si>
  <si>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</si>
  <si>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</si>
  <si>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</si>
  <si>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</si>
  <si>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</si>
  <si>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</si>
  <si>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</si>
  <si>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</si>
  <si>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</si>
  <si>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</si>
  <si>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</si>
  <si>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</si>
  <si>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</si>
  <si>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</si>
  <si>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Guardias mayo</t>
  </si>
  <si>
    <t>del 09/05 al 15/05</t>
  </si>
  <si>
    <t>del 23/05 al 29/05</t>
  </si>
  <si>
    <t>y Contigencia Santander España</t>
  </si>
  <si>
    <t>CHG002985294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</si>
</sst>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  <xf numFmtId="16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A4" sqref="A4"/>
    </sheetView>
  </sheetViews>
  <sheetFormatPr baseColWidth="10" defaultColWidth="10.85546875" defaultRowHeight="15"/>
  <cols>
    <col min="1" max="1" width="8.140625" customWidth="1"/>
    <col min="2" max="2" width="52.42578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5546875" defaultRowHeight="15"/>
  <cols>
    <col min="1" max="1" width="5.57031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N14"/>
  <sheetViews>
    <sheetView workbookViewId="0">
      <selection activeCell="J13" sqref="J13"/>
    </sheetView>
  </sheetViews>
  <sheetFormatPr baseColWidth="10" defaultColWidth="10.85546875" defaultRowHeight="15"/>
  <cols>
    <col min="1" max="1" width="5.57031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45261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24"/>
  <sheetViews>
    <sheetView tabSelected="1" workbookViewId="0">
      <selection activeCell="E19" sqref="E19"/>
    </sheetView>
  </sheetViews>
  <sheetFormatPr baseColWidth="10" defaultColWidth="10.85546875" defaultRowHeight="15"/>
  <cols>
    <col min="1" max="1" width="9.285156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/>
      <c r="N4" s="10">
        <f t="shared" si="0"/>
        <v>0</v>
      </c>
    </row>
    <row r="5" spans="1:14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46143</v>
      </c>
      <c r="B7" s="6">
        <v>2</v>
      </c>
      <c r="C7" s="7">
        <f>B7*'Tabla de extras'!$C$2</f>
        <v>720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>
        <v>5.5</v>
      </c>
      <c r="M7" s="7">
        <f>L7*'Tabla de extras'!$C$7</f>
        <v>243.10000000000002</v>
      </c>
      <c r="N7" s="10">
        <f t="shared" si="0"/>
        <v>963.1</v>
      </c>
    </row>
    <row r="8" spans="1:14">
      <c r="A8" s="5">
        <v>46174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46266</v>
      </c>
      <c r="B11" s="6"/>
      <c r="C11" s="7">
        <f>B11*'Tabla de extras'!$C$2</f>
        <v>0</v>
      </c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46296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46327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17" spans="3:11">
      <c r="C17" t="s">
        <v>31</v>
      </c>
      <c r="D17" t="s">
        <v>32</v>
      </c>
    </row>
    <row r="18" spans="3:11">
      <c r="D18" t="s">
        <v>33</v>
      </c>
    </row>
    <row r="19" spans="3:11">
      <c r="C19" t="s">
        <v>34</v>
      </c>
      <c r="E19" t="s">
        <v>35</v>
      </c>
      <c r="F19" s="16">
        <v>46165</v>
      </c>
    </row>
    <row r="24" spans="3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Javier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Coll Baena Javier</cp:lastModifiedBy>
  <dcterms:created xsi:type="dcterms:W3CDTF">2022-10-24T13:06:30Z</dcterms:created>
  <dcterms:modified xsi:type="dcterms:W3CDTF">2026-06-17T10:10:13Z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