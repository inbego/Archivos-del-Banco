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424149_santanderglobaltech_com/Documents/Escritorio/Campus/Civir/2026/"/>
    </mc:Choice>
  </mc:AlternateContent>
  <xr:revisionPtr revIDLastSave="230" documentId="13_ncr:1_{001D584F-A143-44A9-9BDA-4F2FE7DC1176}" xr6:coauthVersionLast="47" xr6:coauthVersionMax="47" xr10:uidLastSave="{6D0B3000-9888-4B1A-853B-BEEB49D98209}"/>
  <bookViews>
    <workbookView xWindow="-108" yWindow="-108" windowWidth="23256" windowHeight="12456" tabRatio="469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<sst xmlns="http://schemas.openxmlformats.org/spreadsheetml/2006/main" count="101" uniqueCount="55">
  <si>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</si>
  <si>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</si>
  <si>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</si>
  <si>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</si>
  <si>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</si>
  <si>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</si>
  <si>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</si>
  <si>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</si>
  <si>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</si>
  <si>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</si>
  <si>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</si>
  <si>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</si>
  <si>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</si>
  <si>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</si>
  <si>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</si>
  <si>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</si>
  <si>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</si>
  <si>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</si>
  <si>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</si>
  <si>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</si>
  <si>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</si>
  <si>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</si>
  <si>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</si>
  <si>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</si>
  <si>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</si>
  <si>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</si>
  <si>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</si>
  <si>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</si>
  <si>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</si>
  <si>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DIVISIO</t>
  </si>
  <si>
    <t>Grillo</t>
  </si>
  <si>
    <t>Mariano</t>
  </si>
  <si>
    <t>Campus &amp; Branches - EUT</t>
  </si>
  <si>
    <t>X424149</t>
  </si>
  <si>
    <t>Mariano Nahuel</t>
  </si>
  <si>
    <t>SGS</t>
  </si>
  <si>
    <t>LAN-SGT</t>
  </si>
  <si>
    <t>GUARDIA MOVIL</t>
  </si>
  <si>
    <t>Y9340716Q</t>
  </si>
  <si>
    <t>Mariano Nahuel Grillo</t>
  </si>
  <si>
    <t>CHG002691127
CHG002691154</t>
  </si>
  <si>
    <t>Enero</t>
  </si>
  <si>
    <t>Precarga actualización de CISCO Fase 0 y Piloto 9200</t>
  </si>
  <si>
    <t>CHG002691195
CHG002691204</t>
  </si>
  <si>
    <t>Actualización de CISCO Fase 0 y Piloto 9200</t>
  </si>
  <si>
    <t>Configuración de puertos en Unity para torretas.</t>
  </si>
  <si>
    <t>CHG002694704
CHG002703320</t>
  </si>
  <si>
    <t>CHG002698009</t>
  </si>
  <si>
    <t>CHG002723681</t>
  </si>
  <si>
    <t>18:30</t>
  </si>
  <si>
    <t>Cambio sustitución switch Tena ESTJ1C10</t>
  </si>
  <si>
    <t>Cambio sustitución switch Tena ESTJ1C10 y reinicio ESTJ1D10</t>
  </si>
  <si>
    <t>CHG002726839</t>
  </si>
  <si>
    <t>Configuración de puertos en Triton para Thin Client</t>
  </si>
  <si>
    <t xml:space="preserve">Total de horas 21,5hs, para que sean pares este mes se colocaran 20 horas, pendiente 1,5 horas aplicadas en los proximos meses.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</si>
</sst>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0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0" fontId="1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0" xfId="2" applyAlignment="1">
      <alignment vertical="center"/>
    </xf>
    <xf numFmtId="0" fontId="1" fillId="0" borderId="6" xfId="0" applyFon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14" fontId="0" fillId="5" borderId="3" xfId="0" applyNumberFormat="1" applyFill="1" applyBorder="1" applyAlignment="1">
      <alignment horizontal="left" vertical="center"/>
    </xf>
    <xf numFmtId="20" fontId="0" fillId="5" borderId="3" xfId="0" applyNumberFormat="1" applyFill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5" borderId="3" xfId="0" applyFill="1" applyBorder="1" applyAlignment="1">
      <alignment horizontal="left" vertical="center" wrapText="1"/>
    </xf>
    <xf numFmtId="0" fontId="9" fillId="0" borderId="0" xfId="2" applyFont="1" applyBorder="1" applyAlignment="1">
      <alignment horizontal="center" vertical="center" wrapText="1"/>
    </xf>
    <xf numFmtId="0" fontId="9" fillId="0" borderId="0" xfId="2" applyFont="1" applyBorder="1" applyAlignment="1">
      <alignment vertical="center" wrapText="1"/>
    </xf>
    <xf numFmtId="165" fontId="1" fillId="0" borderId="0" xfId="2" applyNumberFormat="1" applyBorder="1"/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00000000-0005-0000-0000-000002000000}"/>
    <cellStyle name="Normal" xfId="0" builtinId="0"/>
    <cellStyle name="Normal 2" xfId="2" xr:uid="{00000000-0005-0000-0000-000004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2" totalsRowShown="0" headerRowDxfId="9" dataDxfId="8">
  <autoFilter ref="A1:H2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/>
    <tableColumn id="7" xr3:uid="{00000000-0010-0000-0000-000007000000}" name="Total" dataDxfId="1">
      <calculatedColumnFormula>SUM(Tabla1[[#This Row],[ Importe   ]]+Tabla1[[#This Row],[ Importe  ]])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zoomScale="90" zoomScaleNormal="90" workbookViewId="0">
      <selection activeCell="H2" sqref="H2"/>
    </sheetView>
  </sheetViews>
  <sheetFormatPr baseColWidth="10" defaultColWidth="11.44140625" defaultRowHeight="14.4"/>
  <cols>
    <col min="1" max="1" width="11.33203125" bestFit="1" customWidth="1"/>
    <col min="2" max="2" width="23.33203125" bestFit="1" customWidth="1"/>
    <col min="3" max="3" width="15.88671875" bestFit="1" customWidth="1"/>
    <col min="4" max="4" width="26.6640625" bestFit="1" customWidth="1"/>
    <col min="5" max="6" width="18.33203125" customWidth="1"/>
    <col min="7" max="7" width="11.5546875" bestFit="1" customWidth="1"/>
    <col min="8" max="8" width="26.44140625" bestFit="1" customWidth="1"/>
    <col min="9" max="9" width="11.88671875" bestFit="1" customWidth="1"/>
    <col min="10" max="10" width="12.5546875" bestFit="1" customWidth="1"/>
    <col min="11" max="11" width="30.33203125" bestFit="1" customWidth="1"/>
  </cols>
  <sheetData>
    <row r="1" spans="1:12" ht="53.4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29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33</v>
      </c>
      <c r="B2" s="85" t="s">
        <v>30</v>
      </c>
      <c r="C2" s="40" t="s">
        <v>34</v>
      </c>
      <c r="D2" s="81" t="s">
        <v>28</v>
      </c>
      <c r="E2" s="85" t="s">
        <v>35</v>
      </c>
      <c r="F2" s="85" t="s">
        <v>36</v>
      </c>
      <c r="G2" s="77">
        <v>46034</v>
      </c>
      <c r="H2" s="76" t="s">
        <v>37</v>
      </c>
      <c r="I2" s="77">
        <v>46071</v>
      </c>
      <c r="J2" s="78" t="s">
        <v>41</v>
      </c>
      <c r="K2" s="78"/>
      <c r="L2" s="78"/>
    </row>
    <row r="3" spans="1:12">
      <c r="A3" s="16"/>
      <c r="B3" s="74"/>
      <c r="C3" s="75"/>
      <c r="D3" s="74"/>
      <c r="E3" s="79"/>
      <c r="F3" s="79"/>
      <c r="G3" s="77"/>
      <c r="H3" s="76"/>
      <c r="I3" s="77"/>
      <c r="J3" s="78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"/>
  <sheetViews>
    <sheetView showGridLines="0" zoomScale="85" zoomScaleNormal="85" workbookViewId="0">
      <selection activeCell="G6" sqref="G6:G7"/>
    </sheetView>
  </sheetViews>
  <sheetFormatPr baseColWidth="10" defaultColWidth="11.44140625" defaultRowHeight="12" customHeight="1"/>
  <cols>
    <col min="2" max="2" width="23.6640625" customWidth="1"/>
    <col min="3" max="3" width="13.88671875" bestFit="1" customWidth="1"/>
    <col min="4" max="4" width="5.33203125" customWidth="1"/>
    <col min="5" max="5" width="9.5546875" bestFit="1" customWidth="1"/>
    <col min="6" max="6" width="13" customWidth="1"/>
    <col min="7" max="7" width="15.5546875" customWidth="1"/>
    <col min="8" max="8" width="13" bestFit="1" customWidth="1"/>
    <col min="9" max="9" width="15" bestFit="1" customWidth="1"/>
    <col min="10" max="10" width="11" bestFit="1" customWidth="1"/>
    <col min="11" max="11" width="12.5546875" bestFit="1" customWidth="1"/>
    <col min="12" max="12" width="16.88671875" bestFit="1" customWidth="1"/>
    <col min="13" max="13" width="64.33203125" customWidth="1"/>
    <col min="14" max="14" width="84.88671875" bestFit="1" customWidth="1"/>
    <col min="15" max="15" width="44.88671875" bestFit="1" customWidth="1"/>
    <col min="16" max="16" width="120.10937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31.8" customHeight="1" thickBot="1">
      <c r="A2" s="81" t="s">
        <v>28</v>
      </c>
      <c r="B2" s="85" t="s">
        <v>32</v>
      </c>
      <c r="C2" s="86" t="s">
        <v>33</v>
      </c>
      <c r="D2" s="85" t="s">
        <v>30</v>
      </c>
      <c r="E2" s="40" t="s">
        <v>31</v>
      </c>
      <c r="F2" s="87">
        <v>46031</v>
      </c>
      <c r="G2" s="87">
        <v>46031</v>
      </c>
      <c r="H2" s="88">
        <v>0.83333333333333337</v>
      </c>
      <c r="I2" s="88">
        <v>0</v>
      </c>
      <c r="J2" s="83">
        <v>4</v>
      </c>
      <c r="K2" s="84" t="s">
        <v>41</v>
      </c>
      <c r="L2" s="95" t="s">
        <v>40</v>
      </c>
      <c r="M2" s="40" t="s">
        <v>42</v>
      </c>
      <c r="N2" s="89" t="s">
        <v>54</v>
      </c>
    </row>
    <row r="3" spans="1:14" ht="39" customHeight="1" thickBot="1">
      <c r="A3" s="81" t="s">
        <v>28</v>
      </c>
      <c r="B3" s="85" t="s">
        <v>32</v>
      </c>
      <c r="C3" s="86" t="s">
        <v>33</v>
      </c>
      <c r="D3" s="85" t="s">
        <v>30</v>
      </c>
      <c r="E3" s="40" t="s">
        <v>31</v>
      </c>
      <c r="F3" s="87">
        <v>46032</v>
      </c>
      <c r="G3" s="87">
        <v>46032</v>
      </c>
      <c r="H3" s="88">
        <v>0.33333333333333331</v>
      </c>
      <c r="I3" s="88">
        <v>0.66666666666666663</v>
      </c>
      <c r="J3" s="83">
        <v>8</v>
      </c>
      <c r="K3" s="84" t="s">
        <v>41</v>
      </c>
      <c r="L3" s="95" t="s">
        <v>43</v>
      </c>
      <c r="M3" s="40" t="s">
        <v>44</v>
      </c>
      <c r="N3" s="90"/>
    </row>
    <row r="4" spans="1:14" ht="33.6" customHeight="1" thickBot="1">
      <c r="A4" s="81" t="s">
        <v>28</v>
      </c>
      <c r="B4" s="85" t="s">
        <v>32</v>
      </c>
      <c r="C4" s="86" t="s">
        <v>33</v>
      </c>
      <c r="D4" s="85" t="s">
        <v>30</v>
      </c>
      <c r="E4" s="40" t="s">
        <v>31</v>
      </c>
      <c r="F4" s="87">
        <v>46041</v>
      </c>
      <c r="G4" s="87">
        <v>46041</v>
      </c>
      <c r="H4" s="88">
        <v>0.79166666666666663</v>
      </c>
      <c r="I4" s="88">
        <v>0.875</v>
      </c>
      <c r="J4" s="83">
        <v>2</v>
      </c>
      <c r="K4" s="84" t="s">
        <v>41</v>
      </c>
      <c r="L4" s="96" t="s">
        <v>46</v>
      </c>
      <c r="M4" s="40" t="s">
        <v>45</v>
      </c>
      <c r="N4" s="90"/>
    </row>
    <row r="5" spans="1:14" ht="20.399999999999999" customHeight="1" thickBot="1">
      <c r="A5" s="81" t="s">
        <v>28</v>
      </c>
      <c r="B5" s="85" t="s">
        <v>32</v>
      </c>
      <c r="C5" s="86" t="s">
        <v>33</v>
      </c>
      <c r="D5" s="85" t="s">
        <v>30</v>
      </c>
      <c r="E5" s="40" t="s">
        <v>31</v>
      </c>
      <c r="F5" s="87">
        <v>46042</v>
      </c>
      <c r="G5" s="87">
        <v>46042</v>
      </c>
      <c r="H5" s="88">
        <v>0.79166666666666663</v>
      </c>
      <c r="I5" s="88">
        <v>0.83333333333333337</v>
      </c>
      <c r="J5" s="83">
        <v>1</v>
      </c>
      <c r="K5" s="84" t="s">
        <v>41</v>
      </c>
      <c r="L5" s="40" t="s">
        <v>47</v>
      </c>
      <c r="M5" s="40" t="s">
        <v>45</v>
      </c>
      <c r="N5" s="90"/>
    </row>
    <row r="6" spans="1:14" ht="18.600000000000001" customHeight="1" thickBot="1">
      <c r="A6" s="81" t="s">
        <v>28</v>
      </c>
      <c r="B6" s="85" t="s">
        <v>32</v>
      </c>
      <c r="C6" s="86" t="s">
        <v>33</v>
      </c>
      <c r="D6" s="85" t="s">
        <v>30</v>
      </c>
      <c r="E6" s="40" t="s">
        <v>31</v>
      </c>
      <c r="F6" s="87">
        <v>46044</v>
      </c>
      <c r="G6" s="87">
        <v>46044</v>
      </c>
      <c r="H6" s="88">
        <v>0.66666666666666663</v>
      </c>
      <c r="I6" s="82" t="s">
        <v>49</v>
      </c>
      <c r="J6" s="83">
        <v>2.5</v>
      </c>
      <c r="K6" s="84" t="s">
        <v>41</v>
      </c>
      <c r="L6" s="40" t="s">
        <v>48</v>
      </c>
      <c r="M6" s="40" t="s">
        <v>50</v>
      </c>
      <c r="N6" s="91"/>
    </row>
    <row r="7" spans="1:14" ht="17.399999999999999" customHeight="1" thickBot="1">
      <c r="A7" s="81" t="s">
        <v>28</v>
      </c>
      <c r="B7" s="85" t="s">
        <v>32</v>
      </c>
      <c r="C7" s="86" t="s">
        <v>33</v>
      </c>
      <c r="D7" s="85" t="s">
        <v>30</v>
      </c>
      <c r="E7" s="40" t="s">
        <v>31</v>
      </c>
      <c r="F7" s="87">
        <v>46048</v>
      </c>
      <c r="G7" s="87">
        <v>46048</v>
      </c>
      <c r="H7" s="88">
        <v>0.79166666666666663</v>
      </c>
      <c r="I7" s="88">
        <v>0.91666666666666663</v>
      </c>
      <c r="J7" s="83">
        <v>3</v>
      </c>
      <c r="K7" s="84" t="s">
        <v>41</v>
      </c>
      <c r="L7" s="40" t="s">
        <v>48</v>
      </c>
      <c r="M7" s="40" t="s">
        <v>51</v>
      </c>
      <c r="N7" s="51"/>
    </row>
    <row r="8" spans="1:14" ht="19.8" customHeight="1">
      <c r="A8" s="81" t="s">
        <v>28</v>
      </c>
      <c r="B8" s="85" t="s">
        <v>32</v>
      </c>
      <c r="C8" s="86" t="s">
        <v>33</v>
      </c>
      <c r="D8" s="85" t="s">
        <v>30</v>
      </c>
      <c r="E8" s="40" t="s">
        <v>31</v>
      </c>
      <c r="F8" s="36">
        <v>46051</v>
      </c>
      <c r="G8" s="36">
        <v>46051</v>
      </c>
      <c r="H8" s="88">
        <v>0.79166666666666663</v>
      </c>
      <c r="I8" s="88">
        <v>0.83333333333333337</v>
      </c>
      <c r="J8" s="38">
        <v>1</v>
      </c>
      <c r="K8" s="84" t="s">
        <v>41</v>
      </c>
      <c r="L8" s="35" t="s">
        <v>52</v>
      </c>
      <c r="M8" s="40" t="s">
        <v>53</v>
      </c>
      <c r="N8" s="89"/>
    </row>
    <row r="9" spans="1:14" ht="12" customHeight="1">
      <c r="A9" s="32"/>
      <c r="B9" s="33"/>
      <c r="C9" s="34"/>
      <c r="D9" s="33"/>
      <c r="E9" s="35"/>
      <c r="F9" s="36"/>
      <c r="G9" s="36"/>
      <c r="H9" s="37"/>
      <c r="I9" s="37"/>
      <c r="J9" s="38"/>
      <c r="K9" s="39"/>
      <c r="L9" s="35"/>
      <c r="M9" s="40"/>
      <c r="N9" s="90"/>
    </row>
    <row r="10" spans="1:14" ht="12" customHeight="1" thickBot="1">
      <c r="A10" s="41"/>
      <c r="B10" s="42"/>
      <c r="C10" s="43"/>
      <c r="D10" s="42"/>
      <c r="E10" s="44"/>
      <c r="F10" s="45"/>
      <c r="G10" s="45"/>
      <c r="H10" s="46"/>
      <c r="I10" s="46"/>
      <c r="J10" s="47"/>
      <c r="K10" s="48"/>
      <c r="L10" s="44"/>
      <c r="M10" s="49"/>
      <c r="N10" s="91"/>
    </row>
    <row r="11" spans="1:14" ht="12" customHeight="1" thickBot="1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1"/>
    </row>
    <row r="12" spans="1:14" ht="12" customHeight="1">
      <c r="A12" s="23"/>
      <c r="B12" s="24"/>
      <c r="C12" s="25"/>
      <c r="D12" s="24"/>
      <c r="E12" s="26"/>
      <c r="F12" s="27"/>
      <c r="G12" s="27"/>
      <c r="H12" s="28"/>
      <c r="I12" s="28"/>
      <c r="J12" s="29"/>
      <c r="K12" s="30"/>
      <c r="L12" s="26"/>
      <c r="M12" s="31"/>
      <c r="N12" s="89"/>
    </row>
    <row r="13" spans="1:14" ht="12" customHeight="1" thickBot="1">
      <c r="A13" s="41"/>
      <c r="B13" s="42"/>
      <c r="C13" s="43"/>
      <c r="D13" s="42"/>
      <c r="E13" s="44"/>
      <c r="F13" s="45"/>
      <c r="G13" s="45"/>
      <c r="H13" s="46"/>
      <c r="I13" s="46"/>
      <c r="J13" s="47"/>
      <c r="K13" s="48"/>
      <c r="L13" s="44"/>
      <c r="M13" s="49"/>
      <c r="N13" s="91"/>
    </row>
    <row r="14" spans="1:14" ht="12" customHeight="1" thickBot="1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1"/>
    </row>
    <row r="15" spans="1:14" ht="12" customHeight="1">
      <c r="A15" s="23"/>
      <c r="B15" s="24"/>
      <c r="C15" s="25"/>
      <c r="D15" s="24"/>
      <c r="E15" s="26"/>
      <c r="F15" s="27"/>
      <c r="G15" s="27"/>
      <c r="H15" s="28"/>
      <c r="I15" s="28"/>
      <c r="J15" s="29"/>
      <c r="K15" s="30"/>
      <c r="L15" s="26"/>
      <c r="M15" s="31"/>
      <c r="N15" s="89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0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0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0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0"/>
    </row>
    <row r="20" spans="1:14" ht="12" customHeight="1">
      <c r="A20" s="32"/>
      <c r="B20" s="33"/>
      <c r="C20" s="34"/>
      <c r="D20" s="33"/>
      <c r="E20" s="35"/>
      <c r="F20" s="36"/>
      <c r="G20" s="36"/>
      <c r="H20" s="37"/>
      <c r="I20" s="37"/>
      <c r="J20" s="38"/>
      <c r="K20" s="39"/>
      <c r="L20" s="35"/>
      <c r="M20" s="40"/>
      <c r="N20" s="90"/>
    </row>
    <row r="21" spans="1:14" ht="12" customHeight="1" thickBot="1">
      <c r="A21" s="41"/>
      <c r="B21" s="42"/>
      <c r="C21" s="43"/>
      <c r="D21" s="42"/>
      <c r="E21" s="44"/>
      <c r="F21" s="45"/>
      <c r="G21" s="45"/>
      <c r="H21" s="46"/>
      <c r="I21" s="46"/>
      <c r="J21" s="47"/>
      <c r="K21" s="48"/>
      <c r="L21" s="44"/>
      <c r="M21" s="49"/>
      <c r="N21" s="91"/>
    </row>
    <row r="22" spans="1:14" ht="12" customHeight="1" thickBot="1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1"/>
    </row>
    <row r="23" spans="1:14" ht="12" customHeight="1">
      <c r="A23" s="23"/>
      <c r="B23" s="24"/>
      <c r="C23" s="25"/>
      <c r="D23" s="24"/>
      <c r="E23" s="26"/>
      <c r="F23" s="27"/>
      <c r="G23" s="27"/>
      <c r="H23" s="28"/>
      <c r="I23" s="28"/>
      <c r="J23" s="29"/>
      <c r="K23" s="30"/>
      <c r="L23" s="26"/>
      <c r="M23" s="31"/>
      <c r="N23" s="89"/>
    </row>
    <row r="24" spans="1:14" ht="12" customHeight="1" thickBot="1">
      <c r="A24" s="41"/>
      <c r="B24" s="42"/>
      <c r="C24" s="43"/>
      <c r="D24" s="42"/>
      <c r="E24" s="44"/>
      <c r="F24" s="45"/>
      <c r="G24" s="45"/>
      <c r="H24" s="46"/>
      <c r="I24" s="46"/>
      <c r="J24" s="47"/>
      <c r="K24" s="48"/>
      <c r="L24" s="44"/>
      <c r="M24" s="49"/>
      <c r="N24" s="91"/>
    </row>
    <row r="25" spans="1:14" ht="12" customHeight="1" thickBot="1"/>
    <row r="26" spans="1:14" ht="12" customHeight="1">
      <c r="A26" s="57"/>
      <c r="B26" s="58"/>
      <c r="C26" s="58"/>
      <c r="D26" s="59"/>
      <c r="E26" s="59"/>
      <c r="F26" s="60"/>
      <c r="G26" s="60"/>
      <c r="H26" s="61"/>
      <c r="I26" s="61"/>
      <c r="J26" s="58"/>
      <c r="K26" s="59"/>
      <c r="L26" s="58"/>
      <c r="M26" s="62"/>
      <c r="N26" s="92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3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3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3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3"/>
    </row>
    <row r="31" spans="1:14" ht="12" customHeight="1">
      <c r="A31" s="63"/>
      <c r="B31" s="52"/>
      <c r="C31" s="52"/>
      <c r="D31" s="53"/>
      <c r="E31" s="53"/>
      <c r="F31" s="54"/>
      <c r="G31" s="54"/>
      <c r="H31" s="55"/>
      <c r="I31" s="55"/>
      <c r="J31" s="52"/>
      <c r="K31" s="53"/>
      <c r="L31" s="52"/>
      <c r="M31" s="56"/>
      <c r="N31" s="93"/>
    </row>
    <row r="32" spans="1:14" ht="12" customHeight="1" thickBot="1">
      <c r="A32" s="64"/>
      <c r="B32" s="65"/>
      <c r="C32" s="65"/>
      <c r="D32" s="66"/>
      <c r="E32" s="66"/>
      <c r="F32" s="67"/>
      <c r="G32" s="67"/>
      <c r="H32" s="68"/>
      <c r="I32" s="68"/>
      <c r="J32" s="65"/>
      <c r="K32" s="66"/>
      <c r="L32" s="65"/>
      <c r="M32" s="69"/>
      <c r="N32" s="94"/>
    </row>
    <row r="33" spans="1:14" ht="12" customHeight="1" thickBot="1"/>
    <row r="34" spans="1:14" ht="12" customHeight="1">
      <c r="A34" s="23"/>
      <c r="B34" s="24"/>
      <c r="C34" s="25"/>
      <c r="D34" s="24"/>
      <c r="E34" s="26"/>
      <c r="F34" s="27"/>
      <c r="G34" s="27"/>
      <c r="H34" s="28"/>
      <c r="I34" s="28"/>
      <c r="J34" s="29"/>
      <c r="K34" s="30"/>
      <c r="L34" s="26"/>
      <c r="M34" s="31"/>
      <c r="N34" s="89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0"/>
    </row>
    <row r="36" spans="1:14" ht="12" customHeight="1">
      <c r="A36" s="32"/>
      <c r="B36" s="33"/>
      <c r="C36" s="34"/>
      <c r="D36" s="33"/>
      <c r="E36" s="35"/>
      <c r="F36" s="36"/>
      <c r="G36" s="36"/>
      <c r="H36" s="37"/>
      <c r="I36" s="37"/>
      <c r="J36" s="38"/>
      <c r="K36" s="39"/>
      <c r="L36" s="35"/>
      <c r="M36" s="40"/>
      <c r="N36" s="90"/>
    </row>
    <row r="37" spans="1:14" ht="12" customHeight="1" thickBot="1">
      <c r="A37" s="41"/>
      <c r="B37" s="42"/>
      <c r="C37" s="43"/>
      <c r="D37" s="42"/>
      <c r="E37" s="44"/>
      <c r="F37" s="45"/>
      <c r="G37" s="45"/>
      <c r="H37" s="46"/>
      <c r="I37" s="46"/>
      <c r="J37" s="47"/>
      <c r="K37" s="48"/>
      <c r="L37" s="44"/>
      <c r="M37" s="49"/>
      <c r="N37" s="91"/>
    </row>
  </sheetData>
  <mergeCells count="7">
    <mergeCell ref="N34:N37"/>
    <mergeCell ref="N15:N21"/>
    <mergeCell ref="N23:N24"/>
    <mergeCell ref="N26:N32"/>
    <mergeCell ref="N2:N6"/>
    <mergeCell ref="N8:N10"/>
    <mergeCell ref="N12:N13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B34:B37 B23:B24 B12:B13 B15:B21 B9:B10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A34:A37 A23:A24 A12:A13 A15:A21 A9:A10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A26:B32 K26:K32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showGridLines="0" zoomScale="90" zoomScaleNormal="90" workbookViewId="0">
      <selection activeCell="F14" sqref="F14"/>
    </sheetView>
  </sheetViews>
  <sheetFormatPr baseColWidth="10" defaultColWidth="30.44140625" defaultRowHeight="13.2"/>
  <cols>
    <col min="1" max="1" width="11.88671875" style="8" bestFit="1" customWidth="1"/>
    <col min="2" max="2" width="31.44140625" style="8" bestFit="1" customWidth="1"/>
    <col min="3" max="3" width="18.6640625" style="8" bestFit="1" customWidth="1"/>
    <col min="4" max="4" width="15.88671875" style="8" bestFit="1" customWidth="1"/>
    <col min="5" max="5" width="16.6640625" style="8" bestFit="1" customWidth="1"/>
    <col min="6" max="6" width="16.44140625" style="8" bestFit="1" customWidth="1"/>
    <col min="7" max="7" width="11.44140625" style="8" bestFit="1" customWidth="1"/>
    <col min="8" max="8" width="83.33203125" style="8" customWidth="1"/>
    <col min="9" max="16384" width="30.44140625" style="8"/>
  </cols>
  <sheetData>
    <row r="1" spans="1:8" ht="13.8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4.4">
      <c r="A2" s="70" t="s">
        <v>38</v>
      </c>
      <c r="B2" s="11" t="s">
        <v>39</v>
      </c>
      <c r="C2" s="9">
        <v>1</v>
      </c>
      <c r="D2" s="10">
        <v>300</v>
      </c>
      <c r="E2" s="9">
        <v>7</v>
      </c>
      <c r="F2" s="10">
        <v>600</v>
      </c>
      <c r="G2" s="71">
        <f>SUM(Tabla1[[#This Row],[ Importe   ]]+Tabla1[[#This Row],[ Importe  ]])</f>
        <v>900</v>
      </c>
      <c r="H2" s="80"/>
    </row>
    <row r="3" spans="1:8" ht="14.4">
      <c r="A3" s="97"/>
      <c r="B3" s="98"/>
      <c r="C3" s="9"/>
      <c r="D3" s="10"/>
      <c r="E3" s="9"/>
      <c r="F3" s="10"/>
      <c r="G3" s="99"/>
      <c r="H3" s="80"/>
    </row>
    <row r="5" spans="1:8">
      <c r="D5" s="72"/>
      <c r="F5" s="72"/>
      <c r="G5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Grillo Mariano</cp:lastModifiedBy>
  <dcterms:created xsi:type="dcterms:W3CDTF">2019-03-28T07:32:31Z</dcterms:created>
  <dcterms:modified xsi:type="dcterms:W3CDTF">2026-02-16T07:28:17Z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