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74750_santanderglobaltech_com/Documents/Documents/Personal/CIVIR/Guardias_2025/"/>
    </mc:Choice>
  </mc:AlternateContent>
  <xr:revisionPtr revIDLastSave="37" documentId="8_{FF9A182B-FCEE-41B1-B469-86F480211D1D}" xr6:coauthVersionLast="47" xr6:coauthVersionMax="47" xr10:uidLastSave="{B7761BBD-503C-440E-96AA-4B9FAD4678AC}"/>
  <bookViews>
    <workbookView xWindow="-12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2" i="3"/>
  <c r="G1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<sst xmlns="http://schemas.openxmlformats.org/spreadsheetml/2006/main" count="68" uniqueCount="49">
  <si>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</si>
  <si>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</si>
  <si>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</si>
  <si>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</si>
  <si>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</si>
  <si>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</si>
  <si>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</si>
  <si>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</si>
  <si>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</si>
  <si>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</si>
  <si>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</si>
  <si>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</si>
  <si>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</si>
  <si>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</si>
  <si>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</si>
  <si>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</si>
  <si>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</si>
  <si>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</si>
  <si>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</si>
  <si>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</si>
  <si>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</si>
  <si>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</si>
  <si>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</si>
  <si>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</si>
  <si>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</si>
  <si>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</si>
  <si>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</si>
  <si>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</si>
  <si>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</si>
  <si>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</si>
  <si>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LAN_SGT</t>
  </si>
  <si>
    <t>Perea Conde</t>
  </si>
  <si>
    <t>José Miguel</t>
  </si>
  <si>
    <t>x274750</t>
  </si>
  <si>
    <t>02882542K</t>
  </si>
  <si>
    <t>José Miguel Perea Conde</t>
  </si>
  <si>
    <t>CIVIR</t>
  </si>
  <si>
    <t>SGS</t>
  </si>
  <si>
    <t>LAN- SGT</t>
  </si>
  <si>
    <t>GUARDIA MOVIL</t>
  </si>
  <si>
    <t>CHG002690170</t>
  </si>
  <si>
    <t>Certificado wifiguest</t>
  </si>
  <si>
    <t>Enero</t>
  </si>
  <si>
    <t>23:00</t>
  </si>
  <si>
    <t>CHG002697899 - CHG002697902</t>
  </si>
  <si>
    <t>Precarga IOS de equipos Cisco 9200 y 9300.</t>
  </si>
  <si>
    <t>CHG002697911 - CHG002697953</t>
  </si>
  <si>
    <t>14:00</t>
  </si>
  <si>
    <t>Actualización de CISCO Fase 1 y Piloto 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</si>
</sst>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4" fontId="1" fillId="0" borderId="3" xfId="1" applyNumberFormat="1" applyBorder="1" applyAlignment="1">
      <alignment horizontal="center"/>
    </xf>
    <xf numFmtId="44" fontId="10" fillId="0" borderId="0" xfId="2" applyNumberFormat="1" applyFont="1" applyAlignment="1">
      <alignment horizontal="center" vertical="center"/>
    </xf>
    <xf numFmtId="0" fontId="13" fillId="0" borderId="16" xfId="0" applyFont="1" applyBorder="1"/>
    <xf numFmtId="0" fontId="14" fillId="0" borderId="3" xfId="0" applyFon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6" fillId="0" borderId="0" xfId="2" applyFont="1"/>
    <xf numFmtId="20" fontId="0" fillId="0" borderId="15" xfId="0" applyNumberFormat="1" applyBorder="1" applyAlignment="1">
      <alignment horizontal="left"/>
    </xf>
    <xf numFmtId="0" fontId="0" fillId="0" borderId="3" xfId="0" applyBorder="1"/>
    <xf numFmtId="49" fontId="0" fillId="0" borderId="15" xfId="0" applyNumberForma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14" fontId="0" fillId="5" borderId="15" xfId="0" applyNumberFormat="1" applyFill="1" applyBorder="1" applyAlignment="1">
      <alignment horizontal="left"/>
    </xf>
    <xf numFmtId="20" fontId="0" fillId="5" borderId="15" xfId="0" applyNumberFormat="1" applyFill="1" applyBorder="1" applyAlignment="1">
      <alignment horizontal="left"/>
    </xf>
    <xf numFmtId="2" fontId="0" fillId="5" borderId="15" xfId="0" applyNumberFormat="1" applyFill="1" applyBorder="1" applyAlignment="1">
      <alignment horizontal="left"/>
    </xf>
    <xf numFmtId="0" fontId="0" fillId="5" borderId="15" xfId="0" applyFill="1" applyBorder="1"/>
    <xf numFmtId="0" fontId="0" fillId="5" borderId="15" xfId="0" applyFill="1" applyBorder="1" applyAlignment="1">
      <alignment horizontal="left" vertical="center"/>
    </xf>
    <xf numFmtId="20" fontId="0" fillId="0" borderId="3" xfId="0" applyNumberFormat="1" applyBorder="1" applyAlignment="1">
      <alignment horizontal="left"/>
    </xf>
    <xf numFmtId="0" fontId="13" fillId="5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3" fillId="0" borderId="15" xfId="0" applyFont="1" applyBorder="1"/>
    <xf numFmtId="14" fontId="13" fillId="0" borderId="7" xfId="0" applyNumberFormat="1" applyFont="1" applyBorder="1" applyAlignment="1">
      <alignment horizontal="left"/>
    </xf>
    <xf numFmtId="20" fontId="13" fillId="0" borderId="7" xfId="0" applyNumberFormat="1" applyFont="1" applyBorder="1" applyAlignment="1">
      <alignment horizontal="left"/>
    </xf>
    <xf numFmtId="49" fontId="13" fillId="0" borderId="7" xfId="0" applyNumberFormat="1" applyFont="1" applyBorder="1" applyAlignment="1">
      <alignment horizontal="left"/>
    </xf>
    <xf numFmtId="1" fontId="13" fillId="0" borderId="3" xfId="0" applyNumberFormat="1" applyFont="1" applyBorder="1" applyAlignment="1">
      <alignment horizontal="left"/>
    </xf>
    <xf numFmtId="14" fontId="13" fillId="0" borderId="15" xfId="0" applyNumberFormat="1" applyFont="1" applyBorder="1" applyAlignment="1">
      <alignment horizontal="left"/>
    </xf>
    <xf numFmtId="20" fontId="13" fillId="0" borderId="15" xfId="0" applyNumberFormat="1" applyFont="1" applyBorder="1" applyAlignment="1">
      <alignment horizontal="left"/>
    </xf>
    <xf numFmtId="49" fontId="13" fillId="0" borderId="3" xfId="0" applyNumberFormat="1" applyFont="1" applyBorder="1" applyAlignment="1">
      <alignment horizontal="left"/>
    </xf>
    <xf numFmtId="0" fontId="13" fillId="0" borderId="17" xfId="0" applyFont="1" applyBorder="1"/>
    <xf numFmtId="49" fontId="13" fillId="0" borderId="15" xfId="0" applyNumberFormat="1" applyFont="1" applyBorder="1" applyAlignment="1">
      <alignment horizontal="left"/>
    </xf>
    <xf numFmtId="1" fontId="13" fillId="0" borderId="15" xfId="0" applyNumberFormat="1" applyFont="1" applyBorder="1" applyAlignment="1">
      <alignment horizontal="left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H6" sqref="H6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33</v>
      </c>
      <c r="B2" s="74" t="s">
        <v>31</v>
      </c>
      <c r="C2" s="75" t="s">
        <v>32</v>
      </c>
      <c r="D2" s="74" t="s">
        <v>36</v>
      </c>
      <c r="E2" s="78" t="s">
        <v>37</v>
      </c>
      <c r="F2" s="78" t="s">
        <v>38</v>
      </c>
      <c r="G2" s="79"/>
      <c r="H2" s="76" t="s">
        <v>39</v>
      </c>
      <c r="I2" s="79"/>
      <c r="J2" s="77"/>
      <c r="K2" s="77"/>
    </row>
    <row r="3" spans="1:11">
      <c r="A3" s="16"/>
      <c r="B3" s="74"/>
      <c r="C3" s="75"/>
      <c r="D3" s="74"/>
      <c r="E3" s="78"/>
      <c r="F3" s="78"/>
      <c r="G3" s="79"/>
      <c r="H3" s="76"/>
      <c r="I3" s="79"/>
      <c r="J3" s="77"/>
      <c r="K3" s="22"/>
    </row>
    <row r="4" spans="1:11">
      <c r="A4" s="16"/>
      <c r="B4" s="74"/>
      <c r="C4" s="75"/>
      <c r="D4" s="74"/>
      <c r="E4" s="78"/>
      <c r="F4" s="78"/>
      <c r="G4" s="79"/>
      <c r="H4" s="76"/>
      <c r="I4" s="79"/>
      <c r="J4" s="77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C1" zoomScale="85" zoomScaleNormal="85" workbookViewId="0">
      <selection activeCell="D10" sqref="D10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5" bestFit="1" customWidth="1"/>
    <col min="9" max="10" width="11" bestFit="1" customWidth="1"/>
    <col min="11" max="11" width="12.42578125" customWidth="1"/>
    <col min="12" max="12" width="16.85546875" bestFit="1" customWidth="1"/>
    <col min="13" max="13" width="54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82" t="s">
        <v>28</v>
      </c>
      <c r="B2" s="82" t="s">
        <v>30</v>
      </c>
      <c r="C2" s="82" t="s">
        <v>33</v>
      </c>
      <c r="D2" s="82" t="s">
        <v>31</v>
      </c>
      <c r="E2" s="82" t="s">
        <v>32</v>
      </c>
      <c r="F2" s="112">
        <v>46036</v>
      </c>
      <c r="G2" s="112">
        <v>46036</v>
      </c>
      <c r="H2" s="113">
        <v>0.83333333333333337</v>
      </c>
      <c r="I2" s="114" t="s">
        <v>43</v>
      </c>
      <c r="J2" s="115">
        <v>3</v>
      </c>
      <c r="K2" s="104" t="s">
        <v>42</v>
      </c>
      <c r="L2" s="111" t="s">
        <v>40</v>
      </c>
      <c r="M2" s="111" t="s">
        <v>41</v>
      </c>
      <c r="N2" s="105"/>
    </row>
    <row r="3" spans="1:14" ht="12" customHeight="1">
      <c r="A3" s="82"/>
      <c r="B3" s="82"/>
      <c r="C3" s="82" t="s">
        <v>33</v>
      </c>
      <c r="D3" s="82" t="s">
        <v>31</v>
      </c>
      <c r="E3" s="82" t="s">
        <v>32</v>
      </c>
      <c r="F3" s="116">
        <v>46038</v>
      </c>
      <c r="G3" s="116">
        <v>46038</v>
      </c>
      <c r="H3" s="117">
        <v>0.83333333333333337</v>
      </c>
      <c r="I3" s="118" t="s">
        <v>43</v>
      </c>
      <c r="J3" s="115">
        <v>3</v>
      </c>
      <c r="K3" s="104" t="s">
        <v>42</v>
      </c>
      <c r="L3" s="119" t="s">
        <v>44</v>
      </c>
      <c r="M3" s="92" t="s">
        <v>45</v>
      </c>
      <c r="N3" s="106"/>
    </row>
    <row r="4" spans="1:14" ht="12" customHeight="1">
      <c r="A4" s="82"/>
      <c r="B4" s="82"/>
      <c r="C4" s="82" t="s">
        <v>33</v>
      </c>
      <c r="D4" s="82" t="s">
        <v>31</v>
      </c>
      <c r="E4" s="82" t="s">
        <v>32</v>
      </c>
      <c r="F4" s="116">
        <v>46039</v>
      </c>
      <c r="G4" s="116">
        <v>46039</v>
      </c>
      <c r="H4" s="117">
        <v>0.33333333333333331</v>
      </c>
      <c r="I4" s="120" t="s">
        <v>47</v>
      </c>
      <c r="J4" s="121">
        <v>6</v>
      </c>
      <c r="K4" s="104" t="s">
        <v>42</v>
      </c>
      <c r="L4" s="111" t="s">
        <v>46</v>
      </c>
      <c r="M4" s="111" t="s">
        <v>48</v>
      </c>
      <c r="N4" s="106"/>
    </row>
    <row r="5" spans="1:14" ht="12" customHeight="1">
      <c r="A5" s="82"/>
      <c r="B5" s="82"/>
      <c r="C5" s="82"/>
      <c r="D5" s="82"/>
      <c r="E5" s="82"/>
      <c r="F5" s="85"/>
      <c r="G5" s="85"/>
      <c r="H5" s="89"/>
      <c r="I5" s="91"/>
      <c r="J5" s="83"/>
      <c r="K5" s="84"/>
      <c r="L5" s="90"/>
      <c r="M5" s="81"/>
      <c r="N5" s="106"/>
    </row>
    <row r="6" spans="1:14" ht="12" customHeight="1">
      <c r="A6" s="87"/>
      <c r="B6" s="87"/>
      <c r="C6" s="87"/>
      <c r="D6" s="87"/>
      <c r="E6" s="87"/>
      <c r="F6" s="85"/>
      <c r="G6" s="85"/>
      <c r="H6" s="102"/>
      <c r="I6" s="86"/>
      <c r="J6" s="83"/>
      <c r="K6" s="84"/>
      <c r="L6" s="103"/>
      <c r="M6" s="104"/>
      <c r="N6" s="106"/>
    </row>
    <row r="7" spans="1:14" ht="12" customHeight="1">
      <c r="A7" s="93"/>
      <c r="B7" s="94"/>
      <c r="C7" s="95"/>
      <c r="D7" s="94"/>
      <c r="E7" s="96"/>
      <c r="F7" s="97"/>
      <c r="G7" s="97"/>
      <c r="H7" s="98"/>
      <c r="I7" s="98"/>
      <c r="J7" s="99"/>
      <c r="K7" s="100"/>
      <c r="L7" s="96"/>
      <c r="M7" s="101"/>
      <c r="N7" s="106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106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107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105"/>
    </row>
    <row r="12" spans="1:14" ht="12" customHeight="1" thickBot="1">
      <c r="A12" s="41"/>
      <c r="B12" s="42"/>
      <c r="C12" s="43"/>
      <c r="D12" s="42"/>
      <c r="E12" s="44"/>
      <c r="F12" s="46"/>
      <c r="G12" s="45"/>
      <c r="H12" s="46"/>
      <c r="I12" s="46"/>
      <c r="J12" s="47"/>
      <c r="K12" s="48"/>
      <c r="L12" s="44"/>
      <c r="M12" s="49"/>
      <c r="N12" s="107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105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106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106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106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106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106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107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105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107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108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109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109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109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109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109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110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105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106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106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107"/>
    </row>
  </sheetData>
  <mergeCells count="6">
    <mergeCell ref="N2:N9"/>
    <mergeCell ref="N33:N36"/>
    <mergeCell ref="N14:N20"/>
    <mergeCell ref="N22:N23"/>
    <mergeCell ref="N25:N31"/>
    <mergeCell ref="N11:N12"/>
  </mergeCells>
  <phoneticPr fontId="16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E6" sqref="E6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41.42578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34</v>
      </c>
      <c r="B2" s="11" t="s">
        <v>35</v>
      </c>
      <c r="C2" s="9"/>
      <c r="D2" s="10"/>
      <c r="E2" s="9"/>
      <c r="F2" s="80"/>
      <c r="G2" s="71">
        <f>Tabla1[[#This Row],[Nº Guardias ]]*Tabla1[[#This Row],[ Importe  ]]</f>
        <v>0</v>
      </c>
    </row>
    <row r="3" spans="1:8" ht="15">
      <c r="A3" s="70" t="s">
        <v>34</v>
      </c>
      <c r="B3" s="11" t="s">
        <v>35</v>
      </c>
      <c r="C3" s="9"/>
      <c r="D3" s="10"/>
      <c r="E3" s="9">
        <v>12</v>
      </c>
      <c r="F3" s="10">
        <v>30</v>
      </c>
      <c r="G3" s="71">
        <f>Tabla1[[#This Row],[ Nº Interv. ]]*Tabla1[[#This Row],[ Importe   ]]</f>
        <v>360</v>
      </c>
      <c r="H3" s="88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 t="s">
        <v>21</v>
      </c>
      <c r="G14" s="71">
        <f>G2+G3</f>
        <v>360</v>
      </c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e0947af-d9c1-4cea-8e83-b12f3d041e8f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4CD8A934C5A42B5E5CCCE6C182462" ma:contentTypeVersion="20" ma:contentTypeDescription="Create a new document." ma:contentTypeScope="" ma:versionID="24762d59ece4eca56c9b148fc157128e">
  <xsd:schema xmlns:xsd="http://www.w3.org/2001/XMLSchema" xmlns:xs="http://www.w3.org/2001/XMLSchema" xmlns:p="http://schemas.microsoft.com/office/2006/metadata/properties" xmlns:ns1="http://schemas.microsoft.com/sharepoint/v3" xmlns:ns3="6ab8c041-727b-4023-a7cd-7f75169c2dc2" xmlns:ns4="be0947af-d9c1-4cea-8e83-b12f3d041e8f" targetNamespace="http://schemas.microsoft.com/office/2006/metadata/properties" ma:root="true" ma:fieldsID="6fbc1d3f7a99d4ff7048e0c2822ac670" ns1:_="" ns3:_="" ns4:_="">
    <xsd:import namespace="http://schemas.microsoft.com/sharepoint/v3"/>
    <xsd:import namespace="6ab8c041-727b-4023-a7cd-7f75169c2dc2"/>
    <xsd:import namespace="be0947af-d9c1-4cea-8e83-b12f3d04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8c041-727b-4023-a7cd-7f75169c2d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947af-d9c1-4cea-8e83-b12f3d04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5D1FA-F508-43D1-BE3D-3592C6EAD593}">
  <ds:schemaRefs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6ab8c041-727b-4023-a7cd-7f75169c2dc2"/>
    <ds:schemaRef ds:uri="be0947af-d9c1-4cea-8e83-b12f3d041e8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ECDBD2-BE7B-4274-A28F-F35B59D5C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996BE1-52C1-4D63-8469-1F1431F93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b8c041-727b-4023-a7cd-7f75169c2dc2"/>
    <ds:schemaRef ds:uri="be0947af-d9c1-4cea-8e83-b12f3d04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Perea Conde Jose Miguel</cp:lastModifiedBy>
  <dcterms:created xsi:type="dcterms:W3CDTF">2019-03-28T07:32:31Z</dcterms:created>
  <dcterms:modified xsi:type="dcterms:W3CDTF">2026-02-03T07:01:16Z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ContentTypeId">
    <vt:lpwstr>0x0101000E14CD8A934C5A42B5E5CCCE6C182462</vt:lpwstr>
  </property>
</Properties>
</file>