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751446\Downloads\"/>
    </mc:Choice>
  </mc:AlternateContent>
  <xr:revisionPtr revIDLastSave="0" documentId="8_{46745DD2-FCBA-4091-B78B-696B92817AAB}" xr6:coauthVersionLast="47" xr6:coauthVersionMax="47" xr10:uidLastSave="{00000000-0000-0000-0000-000000000000}"/>
  <bookViews>
    <workbookView xWindow="-110" yWindow="-110" windowWidth="19420" windowHeight="10300" activeTab="2" xr2:uid="{D8B5602F-A030-4EE6-A342-AA78EB9E61B2}"/>
  </bookViews>
  <sheets>
    <sheet name="Tabla de extras" sheetId="6" r:id="rId1"/>
    <sheet name="Borja Frances" sheetId="1" r:id="rId2"/>
    <sheet name="Jesus" sheetId="7" r:id="rId3"/>
    <sheet name="Alex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7" l="1"/>
  <c r="C6" i="7"/>
  <c r="C5" i="7"/>
  <c r="E3" i="7"/>
  <c r="G14" i="8"/>
  <c r="C9" i="8"/>
  <c r="I12" i="8"/>
  <c r="I11" i="8"/>
  <c r="G12" i="7"/>
  <c r="K24" i="8"/>
  <c r="K6" i="8"/>
  <c r="K5" i="8"/>
  <c r="I4" i="8"/>
  <c r="I5" i="8"/>
  <c r="G4" i="8"/>
  <c r="G5" i="8"/>
  <c r="E4" i="8"/>
  <c r="M14" i="8" l="1"/>
  <c r="K14" i="8"/>
  <c r="I14" i="8"/>
  <c r="E14" i="8"/>
  <c r="C14" i="8"/>
  <c r="M13" i="8"/>
  <c r="K13" i="8"/>
  <c r="I13" i="8"/>
  <c r="G13" i="8"/>
  <c r="E13" i="8"/>
  <c r="M12" i="8"/>
  <c r="K12" i="8"/>
  <c r="N12" i="8"/>
  <c r="G12" i="8"/>
  <c r="E12" i="8"/>
  <c r="M11" i="8"/>
  <c r="K11" i="8"/>
  <c r="G11" i="8"/>
  <c r="M10" i="8"/>
  <c r="K10" i="8"/>
  <c r="I10" i="8"/>
  <c r="G10" i="8"/>
  <c r="E10" i="8"/>
  <c r="C10" i="8"/>
  <c r="M9" i="8"/>
  <c r="K9" i="8"/>
  <c r="I9" i="8"/>
  <c r="G9" i="8"/>
  <c r="E9" i="8"/>
  <c r="M8" i="8"/>
  <c r="K8" i="8"/>
  <c r="I8" i="8"/>
  <c r="G8" i="8"/>
  <c r="E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C14" i="7"/>
  <c r="M13" i="7"/>
  <c r="K13" i="7"/>
  <c r="I13" i="7"/>
  <c r="G13" i="7"/>
  <c r="E13" i="7"/>
  <c r="C13" i="7"/>
  <c r="M12" i="7"/>
  <c r="K12" i="7"/>
  <c r="I12" i="7"/>
  <c r="E12" i="7"/>
  <c r="C12" i="7"/>
  <c r="M11" i="7"/>
  <c r="K11" i="7"/>
  <c r="I11" i="7"/>
  <c r="G11" i="7"/>
  <c r="E11" i="7"/>
  <c r="C11" i="7"/>
  <c r="M10" i="7"/>
  <c r="K10" i="7"/>
  <c r="I10" i="7"/>
  <c r="G10" i="7"/>
  <c r="E10" i="7"/>
  <c r="C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M5" i="7"/>
  <c r="K5" i="7"/>
  <c r="I5" i="7"/>
  <c r="G5" i="7"/>
  <c r="E5" i="7"/>
  <c r="N5" i="7"/>
  <c r="M4" i="7"/>
  <c r="K4" i="7"/>
  <c r="I4" i="7"/>
  <c r="G4" i="7"/>
  <c r="E4" i="7"/>
  <c r="C4" i="7"/>
  <c r="M3" i="7"/>
  <c r="K3" i="7"/>
  <c r="I3" i="7"/>
  <c r="G3" i="7"/>
  <c r="C3" i="7"/>
  <c r="M2" i="7"/>
  <c r="K2" i="7"/>
  <c r="I2" i="7"/>
  <c r="G2" i="7"/>
  <c r="E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N4" i="1" s="1"/>
  <c r="C3" i="1"/>
  <c r="C2" i="1"/>
  <c r="N6" i="1" l="1"/>
  <c r="N14" i="1"/>
  <c r="N7" i="1"/>
  <c r="N10" i="1"/>
  <c r="N13" i="1"/>
  <c r="N2" i="1"/>
  <c r="N5" i="1"/>
  <c r="N8" i="7"/>
  <c r="N8" i="1"/>
  <c r="N4" i="7"/>
  <c r="N3" i="8"/>
  <c r="N2" i="8"/>
  <c r="N6" i="8"/>
  <c r="N10" i="8"/>
  <c r="N14" i="8"/>
  <c r="N3" i="1"/>
  <c r="N11" i="1"/>
  <c r="N3" i="7"/>
  <c r="N2" i="7"/>
  <c r="N6" i="7"/>
  <c r="N10" i="7"/>
  <c r="N14" i="7"/>
  <c r="N9" i="7"/>
  <c r="N13" i="7"/>
  <c r="N4" i="8"/>
  <c r="N5" i="8"/>
  <c r="N9" i="8"/>
  <c r="N12" i="7"/>
  <c r="N11" i="7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 Baena Javier</author>
  </authors>
  <commentList>
    <comment ref="C11" authorId="0" shapeId="0" xr:uid="{839DBEAD-315E-4EEE-851E-EC4B32461071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Semana entera mas otro finde semana 9 dias</t>
        </r>
      </text>
    </comment>
    <comment ref="C12" authorId="0" shapeId="0" xr:uid="{C8F9B6E6-9CA5-4871-A26E-D638D1A89C66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2 Semanas mas finde semana y un dia suelto</t>
        </r>
      </text>
    </comment>
  </commentList>
</comments>
</file>

<file path=xl/sharedStrings.xml><?xml version="1.0" encoding="utf-8"?>
<sst xmlns="http://schemas.openxmlformats.org/spreadsheetml/2006/main" count="60" uniqueCount="32">
  <si>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</si>
  <si>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</si>
  <si>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</si>
  <si>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</si>
  <si>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</si>
  <si>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</si>
  <si>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</si>
  <si>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</si>
  <si>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</si>
  <si>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</si>
  <si>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</si>
  <si>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</si>
  <si>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</si>
  <si>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</si>
  <si>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</si>
  <si>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</si>
  <si>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</si>
  <si>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</si>
  <si>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</si>
  <si>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</si>
  <si>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</si>
  <si>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</si>
  <si>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</si>
  <si>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</si>
  <si>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</si>
  <si>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</si>
  <si>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</si>
  <si>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</si>
  <si>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</si>
  <si>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</si>
  <si>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</si>
  <si>
    <t>Festivo: 1 de Mayo, Guardias: 2-8 de Mayo, 16-22 de Mayo y 30-31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</si>
</sst>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C3" sqref="C3"/>
    </sheetView>
  </sheetViews>
  <sheetFormatPr baseColWidth="10" defaultColWidth="10.81640625" defaultRowHeight="14.5"/>
  <cols>
    <col min="1" max="1" width="8.1796875" customWidth="1"/>
    <col min="2" max="2" width="52.453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workbookViewId="0">
      <selection activeCell="F3" sqref="F3"/>
    </sheetView>
  </sheetViews>
  <sheetFormatPr baseColWidth="10" defaultColWidth="10.81640625" defaultRowHeight="14.5"/>
  <cols>
    <col min="1" max="1" width="5.5429687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O14"/>
  <sheetViews>
    <sheetView tabSelected="1" workbookViewId="0">
      <selection activeCell="N9" sqref="N9"/>
    </sheetView>
  </sheetViews>
  <sheetFormatPr baseColWidth="10" defaultColWidth="10.81640625" defaultRowHeight="14.5"/>
  <cols>
    <col min="1" max="1" width="7.6328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5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5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5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5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5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5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5">
      <c r="A7" s="5">
        <v>46143</v>
      </c>
      <c r="B7" s="6">
        <v>2.2856999999999998</v>
      </c>
      <c r="C7" s="7">
        <f>B7*'Tabla de extras'!$C$2</f>
        <v>822.85199999999998</v>
      </c>
      <c r="D7" s="6">
        <v>1</v>
      </c>
      <c r="E7" s="7">
        <f>D7*'Tabla de extras'!$C$3</f>
        <v>53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875.85199999999998</v>
      </c>
      <c r="O7" t="s">
        <v>31</v>
      </c>
    </row>
    <row r="8" spans="1:15">
      <c r="A8" s="5">
        <v>46174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5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5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5">
      <c r="A11" s="5">
        <v>46266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5">
      <c r="A12" s="5">
        <v>46296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5">
      <c r="A13" s="5">
        <v>46327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5">
      <c r="A14" s="5">
        <v>46357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N24"/>
  <sheetViews>
    <sheetView workbookViewId="0">
      <selection activeCell="O3" sqref="O3"/>
    </sheetView>
  </sheetViews>
  <sheetFormatPr baseColWidth="10" defaultColWidth="10.81640625" defaultRowHeight="14.5"/>
  <cols>
    <col min="1" max="1" width="9.26953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4" width="18.1796875" customWidth="1"/>
    <col min="15" max="15" width="25.45312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/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/>
      <c r="L4" s="9"/>
      <c r="M4" s="7">
        <f>L4*'Tabla de extras'!$C$7</f>
        <v>0</v>
      </c>
      <c r="N4" s="10">
        <f t="shared" si="0"/>
        <v>0</v>
      </c>
    </row>
    <row r="5" spans="1:14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/>
    </row>
    <row r="8" spans="1:14">
      <c r="A8" s="5">
        <v>46174</v>
      </c>
      <c r="B8" s="6"/>
      <c r="C8" s="7"/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/>
    </row>
    <row r="9" spans="1:14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46266</v>
      </c>
      <c r="B11" s="6"/>
      <c r="C11" s="7"/>
      <c r="D11" s="6"/>
      <c r="E11" s="7"/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/>
    </row>
    <row r="12" spans="1:14">
      <c r="A12" s="5">
        <v>46296</v>
      </c>
      <c r="B12" s="6"/>
      <c r="C12" s="7"/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46327</v>
      </c>
      <c r="B13" s="6"/>
      <c r="C13" s="7"/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/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  <row r="24" spans="11:11">
      <c r="K24" s="15">
        <f>+K11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extras</vt:lpstr>
      <vt:lpstr>Borja Frances</vt:lpstr>
      <vt:lpstr>Jesus</vt:lpstr>
      <vt:lpstr>Alex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Dirube Roll Jesus</cp:lastModifiedBy>
  <dcterms:created xsi:type="dcterms:W3CDTF">2022-10-24T13:06:30Z</dcterms:created>
  <dcterms:modified xsi:type="dcterms:W3CDTF">2026-06-14T07:49:54Z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2025-01-21T09:02:47Z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670a4908-8b0c-4cbc-b3e4-4ce9c145e552</vt:lpwstr>
  </property>
  <property fmtid="{D5CDD505-2E9C-101B-9397-08002B2CF9AE}" pid="8" name="MSIP_Label_41b88ec2-a72b-4523-9e84-0458a1764731_ContentBits">
    <vt:lpwstr>0</vt:lpwstr>
  </property>
</Properties>
</file>