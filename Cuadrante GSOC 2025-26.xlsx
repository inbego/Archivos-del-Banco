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1676" documentId="8_{BF395F17-8A36-4A5B-A61D-48748E8233D4}" xr6:coauthVersionLast="47" xr6:coauthVersionMax="47" xr10:uidLastSave="{8BA16522-4229-45D3-9BF3-4EE76AAE6852}"/>
  <bookViews>
    <workbookView xWindow="-120" yWindow="-120" windowWidth="38640" windowHeight="21120" firstSheet="2" activeTab="6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-2026" sheetId="15" r:id="rId7"/>
    <sheet name="Febrero-2026" sheetId="18" r:id="rId8"/>
    <sheet name="Marzo-2026" sheetId="19" r:id="rId9"/>
    <sheet name="Abril-2026" sheetId="20" r:id="rId10"/>
    <sheet name="Mayo-2026" sheetId="21" r:id="rId11"/>
    <sheet name="Junio-2026" sheetId="2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5" i="15" l="1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C21" i="29" l="1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C22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AA23" i="23"/>
  <c r="AB23" i="23"/>
  <c r="AC23" i="23"/>
  <c r="AD23" i="23"/>
  <c r="AE23" i="23"/>
  <c r="AF23" i="23"/>
  <c r="AG23" i="23"/>
  <c r="C21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AC21" i="22"/>
  <c r="AD21" i="22"/>
  <c r="AE21" i="22"/>
  <c r="AF21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AC22" i="22"/>
  <c r="AD22" i="22"/>
  <c r="AE22" i="22"/>
  <c r="AF22" i="22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AC23" i="22"/>
  <c r="AD23" i="22"/>
  <c r="AE23" i="22"/>
  <c r="AF23" i="22"/>
  <c r="C23" i="21"/>
  <c r="D23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C24" i="21"/>
  <c r="D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V24" i="21"/>
  <c r="W24" i="21"/>
  <c r="X24" i="21"/>
  <c r="Y24" i="21"/>
  <c r="Z24" i="21"/>
  <c r="AA24" i="21"/>
  <c r="AB24" i="21"/>
  <c r="AC24" i="21"/>
  <c r="AD24" i="21"/>
  <c r="AE24" i="21"/>
  <c r="AF24" i="21"/>
  <c r="AG24" i="21"/>
  <c r="C25" i="21"/>
  <c r="D25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C23" i="20"/>
  <c r="D23" i="20"/>
  <c r="E23" i="20"/>
  <c r="F23" i="20"/>
  <c r="G23" i="20"/>
  <c r="H23" i="20"/>
  <c r="I23" i="20"/>
  <c r="J23" i="20"/>
  <c r="K23" i="20"/>
  <c r="L23" i="20"/>
  <c r="M23" i="20"/>
  <c r="N23" i="20"/>
  <c r="O23" i="20"/>
  <c r="P23" i="20"/>
  <c r="Q23" i="20"/>
  <c r="R23" i="20"/>
  <c r="S23" i="20"/>
  <c r="T23" i="20"/>
  <c r="U23" i="20"/>
  <c r="V23" i="20"/>
  <c r="W23" i="20"/>
  <c r="X23" i="20"/>
  <c r="Y23" i="20"/>
  <c r="Z23" i="20"/>
  <c r="AA23" i="20"/>
  <c r="AB23" i="20"/>
  <c r="AC23" i="20"/>
  <c r="AD23" i="20"/>
  <c r="AE23" i="20"/>
  <c r="AF23" i="20"/>
  <c r="C24" i="20"/>
  <c r="D24" i="20"/>
  <c r="E24" i="20"/>
  <c r="F24" i="20"/>
  <c r="G24" i="20"/>
  <c r="H24" i="20"/>
  <c r="I24" i="20"/>
  <c r="J24" i="20"/>
  <c r="K24" i="20"/>
  <c r="L24" i="20"/>
  <c r="M24" i="20"/>
  <c r="N24" i="20"/>
  <c r="O24" i="20"/>
  <c r="P24" i="20"/>
  <c r="Q24" i="20"/>
  <c r="R24" i="20"/>
  <c r="S24" i="20"/>
  <c r="T24" i="20"/>
  <c r="U24" i="20"/>
  <c r="V24" i="20"/>
  <c r="W24" i="20"/>
  <c r="X24" i="20"/>
  <c r="Y24" i="20"/>
  <c r="Z24" i="20"/>
  <c r="AA24" i="20"/>
  <c r="AB24" i="20"/>
  <c r="AC24" i="20"/>
  <c r="AD24" i="20"/>
  <c r="AE24" i="20"/>
  <c r="AF24" i="20"/>
  <c r="C25" i="20"/>
  <c r="D25" i="20"/>
  <c r="E25" i="20"/>
  <c r="F25" i="20"/>
  <c r="G25" i="20"/>
  <c r="H25" i="20"/>
  <c r="I25" i="20"/>
  <c r="J25" i="20"/>
  <c r="K25" i="20"/>
  <c r="L25" i="20"/>
  <c r="M25" i="20"/>
  <c r="N25" i="20"/>
  <c r="O25" i="20"/>
  <c r="P25" i="20"/>
  <c r="Q25" i="20"/>
  <c r="R25" i="20"/>
  <c r="S25" i="20"/>
  <c r="T25" i="20"/>
  <c r="U25" i="20"/>
  <c r="V25" i="20"/>
  <c r="W25" i="20"/>
  <c r="X25" i="20"/>
  <c r="Y25" i="20"/>
  <c r="Z25" i="20"/>
  <c r="AA25" i="20"/>
  <c r="AB25" i="20"/>
  <c r="AC25" i="20"/>
  <c r="AD25" i="20"/>
  <c r="AE25" i="20"/>
  <c r="AF25" i="20"/>
  <c r="C24" i="14"/>
  <c r="AG15" i="13"/>
  <c r="AH15" i="14"/>
  <c r="AH16" i="15"/>
  <c r="AE23" i="19"/>
  <c r="AF23" i="19"/>
  <c r="AG23" i="19"/>
  <c r="AE24" i="19"/>
  <c r="AF24" i="19"/>
  <c r="AG24" i="19"/>
  <c r="AE25" i="19"/>
  <c r="AF25" i="19"/>
  <c r="AG25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9"/>
  <c r="D25" i="19"/>
  <c r="E25" i="19"/>
  <c r="F25" i="19"/>
  <c r="G25" i="19"/>
  <c r="H25" i="19"/>
  <c r="I25" i="19"/>
  <c r="J25" i="19"/>
  <c r="K25" i="19"/>
  <c r="L25" i="19"/>
  <c r="M25" i="19"/>
  <c r="N25" i="19"/>
  <c r="O25" i="19"/>
  <c r="P25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C23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C24" i="18"/>
  <c r="D24" i="18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S24" i="18"/>
  <c r="T24" i="18"/>
  <c r="U24" i="18"/>
  <c r="V24" i="18"/>
  <c r="W24" i="18"/>
  <c r="X24" i="18"/>
  <c r="Y24" i="18"/>
  <c r="Z24" i="18"/>
  <c r="AA24" i="18"/>
  <c r="AB24" i="18"/>
  <c r="AC24" i="18"/>
  <c r="AD24" i="18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N22" i="19" l="1"/>
  <c r="Z22" i="19"/>
  <c r="Y22" i="19"/>
  <c r="M22" i="19"/>
  <c r="L20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0" i="23"/>
  <c r="M20" i="23"/>
  <c r="AE20" i="23"/>
  <c r="R20" i="23"/>
  <c r="K20" i="23"/>
  <c r="W20" i="23"/>
  <c r="J20" i="23"/>
  <c r="AG20" i="23"/>
  <c r="U20" i="23"/>
  <c r="I20" i="23"/>
  <c r="S20" i="23"/>
  <c r="V20" i="23"/>
  <c r="AD20" i="23"/>
  <c r="Z20" i="23"/>
  <c r="N20" i="23"/>
  <c r="Y20" i="23"/>
  <c r="E20" i="23"/>
  <c r="D20" i="23"/>
  <c r="G20" i="23"/>
  <c r="C20" i="23"/>
  <c r="F20" i="23"/>
  <c r="O20" i="23"/>
  <c r="AC20" i="23"/>
  <c r="AB20" i="23"/>
  <c r="P20" i="23"/>
  <c r="AA20" i="23"/>
  <c r="Q20" i="23"/>
  <c r="AF20" i="23"/>
  <c r="T20" i="23"/>
  <c r="H20" i="23"/>
  <c r="V20" i="22"/>
  <c r="Z20" i="22"/>
  <c r="Y20" i="22"/>
  <c r="J20" i="22"/>
  <c r="N20" i="22"/>
  <c r="M20" i="22"/>
  <c r="Z22" i="21"/>
  <c r="Y22" i="21"/>
  <c r="N22" i="21"/>
  <c r="M22" i="21"/>
  <c r="X22" i="19"/>
  <c r="L22" i="19"/>
  <c r="K22" i="19"/>
  <c r="W22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B20" i="22"/>
  <c r="D20" i="22"/>
  <c r="O20" i="22"/>
  <c r="C20" i="22"/>
  <c r="P20" i="22"/>
  <c r="H20" i="22"/>
  <c r="AE20" i="22"/>
  <c r="S20" i="22"/>
  <c r="G20" i="22"/>
  <c r="AA20" i="22"/>
  <c r="I20" i="22"/>
  <c r="AF20" i="22"/>
  <c r="T20" i="22"/>
  <c r="X20" i="22"/>
  <c r="L20" i="22"/>
  <c r="AD20" i="22"/>
  <c r="R20" i="22"/>
  <c r="F20" i="22"/>
  <c r="U20" i="22"/>
  <c r="W20" i="22"/>
  <c r="K20" i="22"/>
  <c r="AC20" i="22"/>
  <c r="Q20" i="22"/>
  <c r="E20" i="22"/>
  <c r="W22" i="21"/>
  <c r="L22" i="21"/>
  <c r="X22" i="21"/>
  <c r="K22" i="21"/>
  <c r="AE22" i="21"/>
  <c r="V22" i="21"/>
  <c r="AC22" i="21"/>
  <c r="Q22" i="21"/>
  <c r="E22" i="21"/>
  <c r="AG22" i="21"/>
  <c r="U22" i="21"/>
  <c r="I22" i="21"/>
  <c r="AB22" i="21"/>
  <c r="P22" i="21"/>
  <c r="D22" i="21"/>
  <c r="AD22" i="21"/>
  <c r="R22" i="21"/>
  <c r="F22" i="21"/>
  <c r="AF22" i="21"/>
  <c r="H22" i="21"/>
  <c r="G22" i="21"/>
  <c r="AA22" i="21"/>
  <c r="O22" i="21"/>
  <c r="C22" i="21"/>
  <c r="T22" i="21"/>
  <c r="S22" i="21"/>
  <c r="J22" i="21"/>
  <c r="V22" i="20"/>
  <c r="J22" i="20"/>
  <c r="I22" i="20"/>
  <c r="U22" i="20"/>
  <c r="S22" i="20"/>
  <c r="G22" i="20"/>
  <c r="AD22" i="20"/>
  <c r="C22" i="20"/>
  <c r="Z22" i="20"/>
  <c r="N22" i="20"/>
  <c r="Y22" i="20"/>
  <c r="M22" i="20"/>
  <c r="F22" i="20"/>
  <c r="AC22" i="20"/>
  <c r="Q22" i="20"/>
  <c r="E22" i="20"/>
  <c r="AB22" i="20"/>
  <c r="P22" i="20"/>
  <c r="D22" i="20"/>
  <c r="AA22" i="20"/>
  <c r="X22" i="20"/>
  <c r="L22" i="20"/>
  <c r="AF22" i="20"/>
  <c r="T22" i="20"/>
  <c r="H22" i="20"/>
  <c r="AE22" i="20"/>
  <c r="R22" i="20"/>
  <c r="O22" i="20"/>
  <c r="W22" i="20"/>
  <c r="K22" i="20"/>
  <c r="AD22" i="19"/>
  <c r="AC22" i="19"/>
  <c r="AB22" i="19"/>
  <c r="AA22" i="19"/>
  <c r="V22" i="19"/>
  <c r="U22" i="19"/>
  <c r="T22" i="19"/>
  <c r="S22" i="19"/>
  <c r="R22" i="19"/>
  <c r="Q22" i="19"/>
  <c r="P22" i="19"/>
  <c r="O22" i="19"/>
  <c r="J22" i="19"/>
  <c r="I22" i="19"/>
  <c r="H22" i="19"/>
  <c r="G22" i="19"/>
  <c r="F22" i="19"/>
  <c r="E22" i="19"/>
  <c r="D22" i="19"/>
  <c r="C22" i="19"/>
  <c r="AG22" i="19"/>
  <c r="AF22" i="19"/>
  <c r="AE22" i="19"/>
  <c r="N22" i="18"/>
  <c r="Z22" i="18"/>
  <c r="Y22" i="18"/>
  <c r="X22" i="18"/>
  <c r="L22" i="18"/>
  <c r="S22" i="18"/>
  <c r="G22" i="18"/>
  <c r="W22" i="18"/>
  <c r="K22" i="18"/>
  <c r="AD22" i="18"/>
  <c r="R22" i="18"/>
  <c r="F22" i="18"/>
  <c r="D22" i="18"/>
  <c r="V22" i="18"/>
  <c r="AC22" i="18"/>
  <c r="E22" i="18"/>
  <c r="U22" i="18"/>
  <c r="T22" i="18"/>
  <c r="H22" i="18"/>
  <c r="AA22" i="18"/>
  <c r="O22" i="18"/>
  <c r="C22" i="18"/>
  <c r="P22" i="18"/>
  <c r="I22" i="18"/>
  <c r="M22" i="18"/>
  <c r="J22" i="18"/>
  <c r="Q22" i="18"/>
  <c r="AB22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I20" i="17"/>
  <c r="I19" i="17"/>
  <c r="I18" i="17"/>
  <c r="I17" i="17"/>
  <c r="I16" i="17"/>
  <c r="I11" i="17"/>
  <c r="I12" i="17"/>
  <c r="I13" i="17"/>
  <c r="I14" i="17"/>
  <c r="I10" i="17"/>
  <c r="I38" i="17"/>
  <c r="I37" i="17"/>
  <c r="I36" i="17"/>
  <c r="I35" i="17"/>
  <c r="I29" i="17"/>
  <c r="I30" i="17"/>
  <c r="I31" i="17"/>
  <c r="I32" i="17"/>
  <c r="I28" i="17"/>
  <c r="H28" i="17"/>
  <c r="E24" i="14"/>
  <c r="K74" i="17"/>
  <c r="I74" i="17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H18" i="17"/>
  <c r="H17" i="17"/>
  <c r="H12" i="17"/>
  <c r="H14" i="17"/>
  <c r="H16" i="17"/>
  <c r="H13" i="17"/>
  <c r="H11" i="17"/>
  <c r="H10" i="17"/>
  <c r="H20" i="17"/>
  <c r="H37" i="17"/>
  <c r="H31" i="17"/>
  <c r="H35" i="17"/>
  <c r="H34" i="17"/>
  <c r="I34" i="17" s="1"/>
  <c r="H30" i="17"/>
  <c r="H29" i="17"/>
  <c r="H32" i="17"/>
  <c r="H36" i="17"/>
  <c r="H38" i="17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AE22" i="15" l="1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</t>
      </text>
    </comment>
    <comment ref="AB6" authorId="1" shapeId="0" xr:uid="{32F81BC9-05B3-41DD-87AB-020559C479A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Tener en cuenta cambio horario
</t>
      </text>
    </comment>
    <comment ref="AA13" authorId="2" shapeId="0" xr:uid="{A38EE8CA-7E5B-4089-800E-3E4712793E22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tc={E952243D-2C5F-488D-AE16-22AAF78AEC7E}</author>
  </authors>
  <commentList>
    <comment ref="AB20" authorId="0" shapeId="0" xr:uid="{E952243D-2C5F-488D-AE16-22AAF78AEC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Medico
</t>
      </text>
    </comment>
  </commentList>
</comments>
</file>

<file path=xl/sharedStrings.xml><?xml version="1.0" encoding="utf-8"?>
<sst xmlns="http://schemas.openxmlformats.org/spreadsheetml/2006/main" count="10162" uniqueCount="184">
  <si>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</si>
  <si>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</si>
  <si>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</si>
  <si>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</si>
  <si>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</si>
  <si>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</si>
  <si>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</si>
  <si>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</si>
  <si>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</si>
  <si>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</si>
  <si>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</si>
  <si>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</si>
  <si>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</si>
  <si>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</si>
  <si>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</si>
  <si>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</si>
  <si>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</si>
  <si>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</si>
  <si>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</si>
  <si>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</si>
  <si>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</si>
  <si>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</si>
  <si>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</si>
  <si>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</si>
  <si>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</si>
  <si>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</si>
  <si>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</si>
  <si>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</si>
  <si>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</si>
  <si>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</si>
  <si>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</si>
  <si>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</si>
  <si>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</si>
  <si>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</si>
  <si>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</si>
  <si>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</si>
  <si>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</si>
  <si>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</si>
  <si>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</si>
  <si>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</si>
  <si>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</si>
  <si>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</si>
  <si>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</si>
  <si>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</si>
  <si>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</si>
  <si>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</si>
  <si>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</si>
  <si>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</si>
  <si>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</si>
  <si>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</si>
  <si>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</si>
  <si>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</si>
  <si>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</si>
  <si>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</si>
  <si>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</si>
  <si>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</si>
  <si>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</si>
  <si>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</si>
  <si>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</si>
  <si>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</si>
  <si>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</si>
  <si>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</si>
  <si>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</si>
  <si>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</si>
  <si>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</si>
  <si>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</si>
  <si>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</si>
  <si>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</si>
  <si>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</si>
  <si>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</si>
  <si>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</si>
  <si>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</si>
  <si>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</si>
  <si>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</si>
  <si>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</si>
  <si>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</si>
  <si>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</si>
  <si>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</si>
  <si>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</si>
  <si>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</si>
  <si>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</si>
  <si>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</si>
  <si>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</si>
  <si>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</si>
  <si>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</si>
  <si>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</si>
  <si>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</si>
  <si>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</si>
  <si>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</si>
  <si>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</si>
  <si>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</si>
  <si>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</si>
  <si>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</si>
  <si>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</si>
  <si>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</si>
  <si>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ENERO</t>
  </si>
  <si>
    <t>FEBRERO</t>
  </si>
  <si>
    <t>Marzo</t>
  </si>
  <si>
    <t>ABRIL</t>
  </si>
  <si>
    <t>Mayo</t>
  </si>
  <si>
    <t>Junio</t>
  </si>
  <si>
    <t>Jared Orta</t>
  </si>
  <si>
    <t>VICTOR BODA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</si>
  <si>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</si>
  <si>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</si>
  <si>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</si>
  <si>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</si>
  <si>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</si>
  <si>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</si>
  <si>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</si>
  <si>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</si>
  <si>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</si>
  <si>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</si>
  <si>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</si>
  <si>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</si>
  <si>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</si>
  <si>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</si>
  <si>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</si>
  <si>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</si>
  <si>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</si>
  <si>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</si>
  <si>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</si>
  <si>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</si>
  <si>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</si>
  <si>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</si>
  <si>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</si>
  <si>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</si>
  <si>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</si>
  <si>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</si>
  <si>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</si>
  <si>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</si>
  <si>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</si>
  <si>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</si>
  <si>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</si>
  <si>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</si>
  <si>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</si>
  <si>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</si>
  <si>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</si>
  <si>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</si>
  <si>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</si>
  <si>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</si>
  <si>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</si>
  <si>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</si>
  <si>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</si>
  <si>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</si>
  <si>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</si>
  <si>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</si>
  <si>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</si>
  <si>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</si>
  <si>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</si>
  <si>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</si>
  <si>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</si>
  <si>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</si>
  <si>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</si>
  <si>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</si>
  <si>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</si>
  <si>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</si>
  <si>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</si>
  <si>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</si>
  <si>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</si>
  <si>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</si>
  <si>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</si>
  <si>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</si>
  <si>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</si>
  <si>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</si>
  <si>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</si>
  <si>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</si>
  <si>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</si>
  <si>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</si>
  <si>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</si>
  <si>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</si>
  <si>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</si>
  <si>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</si>
  <si>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</si>
  <si>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</si>
  <si>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</si>
  <si>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</si>
  <si>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</si>
  <si>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</si>
  <si>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</si>
  <si>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</si>
  <si>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</si>
  <si>
    <t xml:space="preserve">las </t>
  </si>
  <si>
    <t>Cesar Cuevas Marquez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</si>
</sst>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63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left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 vertical="center"/>
    </xf>
  </cellXfs>
  <cellStyles count="2">
    <cellStyle name="Neutral" xfId="1" builtinId="28"/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146685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146685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20AF3C0-AC33-4C6B-B3ED-A208E6D91A2D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742C8B1-AAFB-49A3-A243-BB606DB93C94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E1FF487-9380-4DF0-A880-3C406ACF9AE5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ape Dolor Kristina" id="{0A7F2EB7-93AE-4D1B-8B1F-3BE903E54C73}" userId="S::x757832@santanderglobaltech.com::9394378e-7cb2-407f-b890-7e14ae9d513f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B20" dT="2025-11-25T12:28:07.98" personId="{0A7F2EB7-93AE-4D1B-8B1F-3BE903E54C73}" id="{E952243D-2C5F-488D-AE16-22AAF78AEC7E}">
    <text xml:space="preserve">Medico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activeCell="A5" sqref="A5"/>
      <selection pane="topRight" activeCell="H8" sqref="H8"/>
    </sheetView>
  </sheetViews>
  <sheetFormatPr baseColWidth="10" defaultColWidth="0" defaultRowHeight="0" customHeight="1" zeroHeight="1" x14ac:dyDescent="0.25"/>
  <cols>
    <col min="1" max="1" width="10.140625" style="6" bestFit="1" customWidth="1"/>
    <col min="2" max="2" width="3.85546875" style="6" customWidth="1"/>
    <col min="3" max="3" width="6.42578125" style="6" bestFit="1" customWidth="1"/>
    <col min="4" max="4" width="22.140625" style="31" bestFit="1" customWidth="1"/>
    <col min="5" max="35" width="4.7109375" style="6" customWidth="1"/>
    <col min="36" max="36" width="4" style="93" bestFit="1" customWidth="1"/>
    <col min="37" max="16384" width="0" style="6" hidden="1"/>
  </cols>
  <sheetData>
    <row r="1" spans="1:36" ht="18" customHeight="1" x14ac:dyDescent="0.25"/>
    <row r="2" spans="1:36" ht="24" customHeight="1" x14ac:dyDescent="0.25">
      <c r="D2" s="142"/>
      <c r="E2" s="139" t="s">
        <v>0</v>
      </c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F2" s="140"/>
      <c r="AG2" s="140"/>
      <c r="AH2" s="140"/>
      <c r="AI2" s="141"/>
    </row>
    <row r="3" spans="1:36" ht="18" customHeight="1" x14ac:dyDescent="0.25">
      <c r="B3" s="32"/>
      <c r="D3" s="142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 x14ac:dyDescent="0.25">
      <c r="D4" s="142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 x14ac:dyDescent="0.25">
      <c r="A5" s="143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 x14ac:dyDescent="0.25">
      <c r="A6" s="144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 x14ac:dyDescent="0.25">
      <c r="A7" s="144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 x14ac:dyDescent="0.25">
      <c r="A8" s="144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 x14ac:dyDescent="0.25">
      <c r="A9" s="144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 x14ac:dyDescent="0.25">
      <c r="A10" s="144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 x14ac:dyDescent="0.25">
      <c r="A11" s="144"/>
      <c r="C11" s="34"/>
      <c r="D11" s="36"/>
      <c r="E11" s="149"/>
      <c r="F11" s="150"/>
      <c r="G11" s="150"/>
      <c r="H11" s="150"/>
      <c r="I11" s="150"/>
      <c r="J11" s="150"/>
      <c r="K11" s="150"/>
      <c r="L11" s="150"/>
      <c r="M11" s="150"/>
      <c r="N11" s="150"/>
      <c r="O11" s="150"/>
      <c r="P11" s="150"/>
      <c r="Q11" s="150"/>
      <c r="R11" s="150"/>
      <c r="S11" s="150"/>
      <c r="T11" s="150"/>
      <c r="U11" s="150"/>
      <c r="V11" s="150"/>
      <c r="W11" s="150"/>
      <c r="X11" s="150"/>
      <c r="Y11" s="150"/>
      <c r="Z11" s="150"/>
      <c r="AA11" s="150"/>
      <c r="AB11" s="150"/>
      <c r="AC11" s="150"/>
      <c r="AD11" s="150"/>
      <c r="AE11" s="150"/>
      <c r="AF11" s="150"/>
      <c r="AG11" s="150"/>
      <c r="AH11" s="150"/>
      <c r="AI11" s="151"/>
      <c r="AJ11" s="91"/>
    </row>
    <row r="12" spans="1:36" ht="18" customHeight="1" x14ac:dyDescent="0.25">
      <c r="A12" s="144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 x14ac:dyDescent="0.25">
      <c r="A13" s="144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 x14ac:dyDescent="0.25">
      <c r="A14" s="144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 x14ac:dyDescent="0.25">
      <c r="A15" s="144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 x14ac:dyDescent="0.25">
      <c r="A16" s="144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 x14ac:dyDescent="0.25">
      <c r="A17" s="144"/>
      <c r="C17" s="34"/>
      <c r="D17" s="33"/>
      <c r="E17" s="149"/>
      <c r="F17" s="150"/>
      <c r="G17" s="150"/>
      <c r="H17" s="150"/>
      <c r="I17" s="150"/>
      <c r="J17" s="150"/>
      <c r="K17" s="150"/>
      <c r="L17" s="150"/>
      <c r="M17" s="150"/>
      <c r="N17" s="150"/>
      <c r="O17" s="150"/>
      <c r="P17" s="150"/>
      <c r="Q17" s="150"/>
      <c r="R17" s="150"/>
      <c r="S17" s="150"/>
      <c r="T17" s="150"/>
      <c r="U17" s="150"/>
      <c r="V17" s="150"/>
      <c r="W17" s="150"/>
      <c r="X17" s="150"/>
      <c r="Y17" s="150"/>
      <c r="Z17" s="150"/>
      <c r="AA17" s="150"/>
      <c r="AB17" s="150"/>
      <c r="AC17" s="150"/>
      <c r="AD17" s="150"/>
      <c r="AE17" s="150"/>
      <c r="AF17" s="150"/>
      <c r="AG17" s="150"/>
      <c r="AH17" s="150"/>
      <c r="AI17" s="151"/>
    </row>
    <row r="18" spans="1:36" ht="18" customHeight="1" x14ac:dyDescent="0.25">
      <c r="A18" s="144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 x14ac:dyDescent="0.25">
      <c r="A19" s="144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 x14ac:dyDescent="0.25">
      <c r="A20" s="144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 x14ac:dyDescent="0.25">
      <c r="A21" s="144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 x14ac:dyDescent="0.25">
      <c r="A22" s="144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 x14ac:dyDescent="0.25">
      <c r="A23" s="144"/>
      <c r="C23" s="34"/>
      <c r="D23" s="35"/>
      <c r="E23" s="146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  <c r="AD23" s="147"/>
      <c r="AE23" s="147"/>
      <c r="AF23" s="147"/>
      <c r="AG23" s="147"/>
      <c r="AH23" s="147"/>
      <c r="AI23" s="148"/>
    </row>
    <row r="24" spans="1:36" ht="18" customHeight="1" x14ac:dyDescent="0.25">
      <c r="A24" s="145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 x14ac:dyDescent="0.25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 x14ac:dyDescent="0.25"/>
    <row r="27" spans="1:36" ht="18" customHeight="1" x14ac:dyDescent="0.25">
      <c r="A27" s="136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 x14ac:dyDescent="0.25">
      <c r="A28" s="137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 x14ac:dyDescent="0.25">
      <c r="A29" s="137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 x14ac:dyDescent="0.25">
      <c r="A30" s="137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 x14ac:dyDescent="0.25">
      <c r="A31" s="137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 x14ac:dyDescent="0.25">
      <c r="A32" s="138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workbookViewId="0">
      <selection activeCell="S5" sqref="S5"/>
    </sheetView>
  </sheetViews>
  <sheetFormatPr baseColWidth="10" defaultColWidth="8.5703125" defaultRowHeight="15" x14ac:dyDescent="0.25"/>
  <cols>
    <col min="1" max="1" width="10.140625" bestFit="1" customWidth="1"/>
    <col min="2" max="2" width="3.85546875" customWidth="1"/>
    <col min="3" max="3" width="6.42578125" bestFit="1" customWidth="1"/>
    <col min="4" max="4" width="27.5703125" customWidth="1"/>
    <col min="5" max="35" width="4.7109375" customWidth="1"/>
    <col min="36" max="36" width="4" bestFit="1" customWidth="1"/>
  </cols>
  <sheetData>
    <row r="1" spans="1:36" ht="15.75" thickBot="1" x14ac:dyDescent="0.3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.75" thickBot="1" x14ac:dyDescent="0.3">
      <c r="A2" s="6"/>
      <c r="B2" s="6"/>
      <c r="C2" s="6"/>
      <c r="D2" s="142"/>
      <c r="E2" s="139" t="s">
        <v>49</v>
      </c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F2" s="140"/>
      <c r="AG2" s="140"/>
      <c r="AH2" s="140"/>
      <c r="AI2" s="141"/>
    </row>
    <row r="3" spans="1:36" x14ac:dyDescent="0.25">
      <c r="A3" s="6"/>
      <c r="B3" s="32"/>
      <c r="C3" s="6"/>
      <c r="D3" s="142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 x14ac:dyDescent="0.25">
      <c r="A4" s="6"/>
      <c r="B4" s="6"/>
      <c r="C4" s="6"/>
      <c r="D4" s="142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x14ac:dyDescent="0.25">
      <c r="A5" s="144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 x14ac:dyDescent="0.25">
      <c r="A6" s="144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 x14ac:dyDescent="0.25">
      <c r="A7" s="144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 x14ac:dyDescent="0.25">
      <c r="A8" s="144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 x14ac:dyDescent="0.25">
      <c r="A9" s="144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 x14ac:dyDescent="0.25">
      <c r="A10" s="144"/>
      <c r="B10" s="6"/>
      <c r="C10" s="34"/>
      <c r="D10" s="36"/>
      <c r="E10" s="149"/>
      <c r="F10" s="150"/>
      <c r="G10" s="150"/>
      <c r="H10" s="150"/>
      <c r="I10" s="150"/>
      <c r="J10" s="150"/>
      <c r="K10" s="150"/>
      <c r="L10" s="150"/>
      <c r="M10" s="150"/>
      <c r="N10" s="150"/>
      <c r="O10" s="150"/>
      <c r="P10" s="150"/>
      <c r="Q10" s="150"/>
      <c r="R10" s="150"/>
      <c r="S10" s="150"/>
      <c r="T10" s="150"/>
      <c r="U10" s="150"/>
      <c r="V10" s="150"/>
      <c r="W10" s="150"/>
      <c r="X10" s="150"/>
      <c r="Y10" s="150"/>
      <c r="Z10" s="150"/>
      <c r="AA10" s="150"/>
      <c r="AB10" s="150"/>
      <c r="AC10" s="150"/>
      <c r="AD10" s="150"/>
      <c r="AE10" s="150"/>
      <c r="AF10" s="150"/>
      <c r="AG10" s="150"/>
      <c r="AH10" s="150"/>
      <c r="AI10" s="151"/>
    </row>
    <row r="11" spans="1:36" x14ac:dyDescent="0.25">
      <c r="A11" s="144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 x14ac:dyDescent="0.25">
      <c r="A12" s="144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.75" thickBot="1" x14ac:dyDescent="0.3">
      <c r="A13" s="144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.75" thickBot="1" x14ac:dyDescent="0.3">
      <c r="A14" s="144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 x14ac:dyDescent="0.25">
      <c r="A15" s="144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 x14ac:dyDescent="0.25">
      <c r="A16" s="144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 x14ac:dyDescent="0.25">
      <c r="A17" s="144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 x14ac:dyDescent="0.25">
      <c r="A18" s="144"/>
      <c r="B18" s="6"/>
      <c r="C18" s="34"/>
      <c r="D18" s="33"/>
      <c r="E18" s="149"/>
      <c r="F18" s="150"/>
      <c r="G18" s="150"/>
      <c r="H18" s="150"/>
      <c r="I18" s="150"/>
      <c r="J18" s="150"/>
      <c r="K18" s="150"/>
      <c r="L18" s="150"/>
      <c r="M18" s="150"/>
      <c r="N18" s="150"/>
      <c r="O18" s="150"/>
      <c r="P18" s="150"/>
      <c r="Q18" s="150"/>
      <c r="R18" s="150"/>
      <c r="S18" s="150"/>
      <c r="T18" s="150"/>
      <c r="U18" s="150"/>
      <c r="V18" s="150"/>
      <c r="W18" s="150"/>
      <c r="X18" s="150"/>
      <c r="Y18" s="150"/>
      <c r="Z18" s="150"/>
      <c r="AA18" s="150"/>
      <c r="AB18" s="150"/>
      <c r="AC18" s="150"/>
      <c r="AD18" s="150"/>
      <c r="AE18" s="150"/>
      <c r="AF18" s="150"/>
      <c r="AG18" s="150"/>
      <c r="AH18" s="150"/>
      <c r="AI18" s="151"/>
    </row>
    <row r="19" spans="1:35" x14ac:dyDescent="0.25">
      <c r="A19" s="144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 x14ac:dyDescent="0.25">
      <c r="A20" s="144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 x14ac:dyDescent="0.25">
      <c r="A21" s="144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 x14ac:dyDescent="0.25">
      <c r="A22" s="144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 x14ac:dyDescent="0.25">
      <c r="A23" s="144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 x14ac:dyDescent="0.25">
      <c r="A24" s="144"/>
      <c r="B24" s="6"/>
      <c r="C24" s="34"/>
      <c r="E24" s="146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  <c r="AA24" s="147"/>
      <c r="AB24" s="147"/>
      <c r="AC24" s="147"/>
      <c r="AD24" s="147"/>
      <c r="AE24" s="147"/>
      <c r="AF24" s="147"/>
      <c r="AG24" s="147"/>
      <c r="AH24" s="147"/>
      <c r="AI24" s="148"/>
    </row>
    <row r="25" spans="1:35" ht="15.75" thickBot="1" x14ac:dyDescent="0.3">
      <c r="A25" s="145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 x14ac:dyDescent="0.2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.75" thickBot="1" x14ac:dyDescent="0.3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85" customHeight="1" x14ac:dyDescent="0.25">
      <c r="A28" s="136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85" customHeight="1" x14ac:dyDescent="0.25">
      <c r="A29" s="137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85" customHeight="1" x14ac:dyDescent="0.25">
      <c r="A30" s="137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85" customHeight="1" x14ac:dyDescent="0.25">
      <c r="A31" s="137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 x14ac:dyDescent="0.25">
      <c r="A32" s="137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.75" thickBot="1" x14ac:dyDescent="0.3">
      <c r="A33" s="138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baseColWidth="10" defaultColWidth="8.5703125" defaultRowHeight="15" x14ac:dyDescent="0.25"/>
  <cols>
    <col min="2" max="2" width="25.5703125" customWidth="1"/>
    <col min="3" max="32" width="4.7109375" customWidth="1"/>
    <col min="33" max="33" width="4" style="91" bestFit="1" customWidth="1"/>
  </cols>
  <sheetData>
    <row r="1" spans="1:33" ht="15" customHeight="1" x14ac:dyDescent="0.25">
      <c r="A1" s="6"/>
      <c r="B1" s="142"/>
      <c r="C1" s="139" t="s">
        <v>57</v>
      </c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</row>
    <row r="2" spans="1:33" x14ac:dyDescent="0.25">
      <c r="A2" s="6"/>
      <c r="B2" s="142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 x14ac:dyDescent="0.25">
      <c r="A3" s="6"/>
      <c r="B3" s="14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 x14ac:dyDescent="0.2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 x14ac:dyDescent="0.2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 x14ac:dyDescent="0.25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 x14ac:dyDescent="0.25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 x14ac:dyDescent="0.2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 x14ac:dyDescent="0.25">
      <c r="A9" s="34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0"/>
      <c r="O9" s="150"/>
      <c r="P9" s="150"/>
      <c r="Q9" s="150"/>
      <c r="R9" s="150"/>
      <c r="S9" s="150"/>
      <c r="T9" s="150"/>
      <c r="U9" s="150"/>
      <c r="V9" s="150"/>
      <c r="W9" s="150"/>
      <c r="X9" s="150"/>
      <c r="Y9" s="150"/>
      <c r="Z9" s="150"/>
      <c r="AA9" s="150"/>
      <c r="AB9" s="150"/>
      <c r="AC9" s="150"/>
      <c r="AD9" s="150"/>
      <c r="AE9" s="150"/>
      <c r="AF9" s="150"/>
    </row>
    <row r="10" spans="1:33" x14ac:dyDescent="0.25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 x14ac:dyDescent="0.2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 x14ac:dyDescent="0.25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 x14ac:dyDescent="0.25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 x14ac:dyDescent="0.2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 x14ac:dyDescent="0.25">
      <c r="A15" s="34"/>
      <c r="C15" s="150"/>
      <c r="D15" s="150"/>
      <c r="E15" s="150"/>
      <c r="F15" s="150"/>
      <c r="G15" s="150"/>
      <c r="H15" s="150"/>
      <c r="I15" s="150"/>
      <c r="J15" s="150"/>
      <c r="K15" s="150"/>
      <c r="L15" s="150"/>
      <c r="M15" s="150"/>
      <c r="N15" s="150"/>
      <c r="O15" s="150"/>
      <c r="P15" s="150"/>
      <c r="Q15" s="150"/>
      <c r="R15" s="150"/>
      <c r="S15" s="150"/>
      <c r="T15" s="150"/>
      <c r="U15" s="150"/>
      <c r="V15" s="150"/>
      <c r="W15" s="150"/>
      <c r="X15" s="150"/>
      <c r="Y15" s="150"/>
      <c r="Z15" s="150"/>
      <c r="AA15" s="150"/>
      <c r="AB15" s="150"/>
      <c r="AC15" s="150"/>
      <c r="AD15" s="150"/>
      <c r="AE15" s="150"/>
      <c r="AF15" s="150"/>
    </row>
    <row r="16" spans="1:33" x14ac:dyDescent="0.25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 x14ac:dyDescent="0.25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 x14ac:dyDescent="0.25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 x14ac:dyDescent="0.25">
      <c r="A19" s="34"/>
      <c r="C19" s="150"/>
      <c r="D19" s="150"/>
      <c r="E19" s="150"/>
      <c r="F19" s="150"/>
      <c r="G19" s="150"/>
      <c r="H19" s="150"/>
      <c r="I19" s="150"/>
      <c r="J19" s="150"/>
      <c r="K19" s="150"/>
      <c r="L19" s="150"/>
      <c r="M19" s="150"/>
      <c r="N19" s="150"/>
      <c r="O19" s="150"/>
      <c r="P19" s="150"/>
      <c r="Q19" s="150"/>
      <c r="R19" s="150"/>
      <c r="S19" s="150"/>
      <c r="T19" s="150"/>
      <c r="U19" s="150"/>
      <c r="V19" s="150"/>
      <c r="W19" s="150"/>
      <c r="X19" s="150"/>
      <c r="Y19" s="150"/>
      <c r="Z19" s="150"/>
      <c r="AA19" s="150"/>
      <c r="AB19" s="150"/>
      <c r="AC19" s="150"/>
      <c r="AD19" s="150"/>
      <c r="AE19" s="150"/>
      <c r="AF19" s="150"/>
    </row>
    <row r="20" spans="1:32" x14ac:dyDescent="0.25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 x14ac:dyDescent="0.25">
      <c r="A21" s="34"/>
      <c r="C21" s="150"/>
      <c r="D21" s="150"/>
      <c r="E21" s="150"/>
      <c r="F21" s="150"/>
      <c r="G21" s="150"/>
      <c r="H21" s="150"/>
      <c r="I21" s="150"/>
      <c r="J21" s="150"/>
      <c r="K21" s="150"/>
      <c r="L21" s="150"/>
      <c r="M21" s="150"/>
      <c r="N21" s="150"/>
      <c r="O21" s="150"/>
      <c r="P21" s="150"/>
      <c r="Q21" s="150"/>
      <c r="R21" s="150"/>
      <c r="S21" s="150"/>
      <c r="T21" s="150"/>
      <c r="U21" s="150"/>
      <c r="V21" s="150"/>
      <c r="W21" s="150"/>
      <c r="X21" s="150"/>
      <c r="Y21" s="150"/>
      <c r="Z21" s="150"/>
      <c r="AA21" s="150"/>
      <c r="AB21" s="150"/>
      <c r="AC21" s="150"/>
      <c r="AD21" s="150"/>
      <c r="AE21" s="150"/>
      <c r="AF21" s="150"/>
    </row>
    <row r="22" spans="1:32" x14ac:dyDescent="0.25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 x14ac:dyDescent="0.25">
      <c r="B24" t="s">
        <v>65</v>
      </c>
    </row>
    <row r="25" spans="1:32" x14ac:dyDescent="0.25">
      <c r="B25" s="5" t="s">
        <v>66</v>
      </c>
    </row>
    <row r="26" spans="1:32" x14ac:dyDescent="0.25">
      <c r="B26" s="5" t="s">
        <v>67</v>
      </c>
    </row>
    <row r="27" spans="1:32" x14ac:dyDescent="0.25">
      <c r="B27" s="1" t="s">
        <v>68</v>
      </c>
    </row>
    <row r="28" spans="1:32" x14ac:dyDescent="0.25">
      <c r="B28" s="7" t="s">
        <v>69</v>
      </c>
    </row>
    <row r="29" spans="1:32" x14ac:dyDescent="0.25">
      <c r="B29" s="3" t="s">
        <v>70</v>
      </c>
    </row>
    <row r="30" spans="1:32" x14ac:dyDescent="0.25">
      <c r="B30" s="5" t="s">
        <v>71</v>
      </c>
    </row>
    <row r="31" spans="1:32" x14ac:dyDescent="0.25">
      <c r="B31" s="3" t="s">
        <v>72</v>
      </c>
    </row>
    <row r="32" spans="1:32" x14ac:dyDescent="0.25">
      <c r="B32" s="4" t="s">
        <v>73</v>
      </c>
    </row>
    <row r="33" spans="2:2" x14ac:dyDescent="0.25">
      <c r="B33" s="25" t="s">
        <v>74</v>
      </c>
    </row>
    <row r="34" spans="2:2" x14ac:dyDescent="0.25">
      <c r="B34" s="4" t="s">
        <v>75</v>
      </c>
    </row>
    <row r="35" spans="2:2" x14ac:dyDescent="0.25">
      <c r="B35" s="28" t="s">
        <v>76</v>
      </c>
    </row>
    <row r="36" spans="2:2" x14ac:dyDescent="0.25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H7" sqref="H7"/>
    </sheetView>
  </sheetViews>
  <sheetFormatPr baseColWidth="10" defaultColWidth="8.5703125" defaultRowHeight="15" x14ac:dyDescent="0.25"/>
  <cols>
    <col min="2" max="2" width="25.5703125" customWidth="1"/>
    <col min="3" max="33" width="4.7109375" customWidth="1"/>
    <col min="34" max="34" width="4" style="91" bestFit="1" customWidth="1"/>
  </cols>
  <sheetData>
    <row r="1" spans="1:34" ht="15" customHeight="1" x14ac:dyDescent="0.25">
      <c r="A1" s="6"/>
      <c r="B1" s="142"/>
      <c r="C1" s="152" t="s">
        <v>78</v>
      </c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153"/>
      <c r="AF1" s="153"/>
      <c r="AG1" s="154"/>
    </row>
    <row r="2" spans="1:34" x14ac:dyDescent="0.25">
      <c r="A2" s="6"/>
      <c r="B2" s="142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 x14ac:dyDescent="0.25">
      <c r="A3" s="6"/>
      <c r="B3" s="14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25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 x14ac:dyDescent="0.25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 x14ac:dyDescent="0.25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 x14ac:dyDescent="0.25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 x14ac:dyDescent="0.2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 x14ac:dyDescent="0.25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25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 x14ac:dyDescent="0.2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 x14ac:dyDescent="0.25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 x14ac:dyDescent="0.25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 x14ac:dyDescent="0.2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 x14ac:dyDescent="0.25">
      <c r="A15" s="34"/>
      <c r="C15" s="150"/>
      <c r="D15" s="150"/>
      <c r="E15" s="150"/>
      <c r="F15" s="150"/>
      <c r="G15" s="150"/>
      <c r="H15" s="150"/>
      <c r="I15" s="150"/>
      <c r="J15" s="150"/>
      <c r="K15" s="150"/>
      <c r="L15" s="150"/>
      <c r="M15" s="150"/>
      <c r="N15" s="150"/>
      <c r="O15" s="150"/>
      <c r="P15" s="150"/>
      <c r="Q15" s="150"/>
      <c r="R15" s="150"/>
      <c r="S15" s="150"/>
      <c r="T15" s="150"/>
      <c r="U15" s="150"/>
      <c r="V15" s="150"/>
      <c r="W15" s="150"/>
      <c r="X15" s="150"/>
      <c r="Y15" s="150"/>
      <c r="Z15" s="150"/>
      <c r="AA15" s="150"/>
      <c r="AB15" s="150"/>
      <c r="AC15" s="150"/>
      <c r="AD15" s="150"/>
      <c r="AE15" s="150"/>
      <c r="AF15" s="150"/>
    </row>
    <row r="16" spans="1:34" x14ac:dyDescent="0.25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 x14ac:dyDescent="0.25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 x14ac:dyDescent="0.25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 x14ac:dyDescent="0.25">
      <c r="AA20" s="86" t="s">
        <v>79</v>
      </c>
      <c r="AB20" s="86"/>
      <c r="AC20" s="86"/>
      <c r="AD20" s="86"/>
      <c r="AE20" s="86"/>
    </row>
    <row r="23" spans="1:33" x14ac:dyDescent="0.25">
      <c r="B23" t="s">
        <v>65</v>
      </c>
    </row>
    <row r="24" spans="1:33" x14ac:dyDescent="0.25">
      <c r="B24" s="5" t="s">
        <v>66</v>
      </c>
    </row>
    <row r="25" spans="1:33" x14ac:dyDescent="0.25">
      <c r="B25" s="5" t="s">
        <v>67</v>
      </c>
    </row>
    <row r="26" spans="1:33" x14ac:dyDescent="0.25">
      <c r="B26" s="1" t="s">
        <v>68</v>
      </c>
    </row>
    <row r="27" spans="1:33" x14ac:dyDescent="0.25">
      <c r="B27" s="7" t="s">
        <v>69</v>
      </c>
    </row>
    <row r="28" spans="1:33" x14ac:dyDescent="0.25">
      <c r="B28" s="3" t="s">
        <v>70</v>
      </c>
    </row>
    <row r="29" spans="1:33" x14ac:dyDescent="0.25">
      <c r="B29" s="5" t="s">
        <v>71</v>
      </c>
    </row>
    <row r="30" spans="1:33" x14ac:dyDescent="0.25">
      <c r="B30" s="3" t="s">
        <v>72</v>
      </c>
    </row>
    <row r="31" spans="1:33" x14ac:dyDescent="0.25">
      <c r="B31" s="4" t="s">
        <v>73</v>
      </c>
    </row>
    <row r="32" spans="1:33" x14ac:dyDescent="0.25">
      <c r="B32" s="25" t="s">
        <v>74</v>
      </c>
    </row>
    <row r="33" spans="2:2" x14ac:dyDescent="0.25">
      <c r="B33" s="4" t="s">
        <v>80</v>
      </c>
    </row>
    <row r="34" spans="2:2" x14ac:dyDescent="0.25">
      <c r="B34" s="28" t="s">
        <v>76</v>
      </c>
    </row>
    <row r="35" spans="2:2" x14ac:dyDescent="0.25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topLeftCell="A5" zoomScaleNormal="100" workbookViewId="0">
      <selection activeCell="B15" sqref="B15"/>
    </sheetView>
  </sheetViews>
  <sheetFormatPr baseColWidth="10" defaultColWidth="8.85546875" defaultRowHeight="15" x14ac:dyDescent="0.25"/>
  <cols>
    <col min="2" max="2" width="25.85546875" customWidth="1"/>
    <col min="3" max="32" width="4.7109375" customWidth="1"/>
    <col min="33" max="33" width="4" style="91" bestFit="1" customWidth="1"/>
  </cols>
  <sheetData>
    <row r="1" spans="1:34" x14ac:dyDescent="0.25">
      <c r="A1" s="6"/>
      <c r="B1" s="142"/>
      <c r="C1" s="155" t="s">
        <v>81</v>
      </c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55"/>
      <c r="AE1" s="155"/>
      <c r="AF1" s="155"/>
    </row>
    <row r="2" spans="1:34" x14ac:dyDescent="0.25">
      <c r="A2" s="6"/>
      <c r="B2" s="142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 x14ac:dyDescent="0.25">
      <c r="A3" s="6"/>
      <c r="B3" s="14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 x14ac:dyDescent="0.25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 x14ac:dyDescent="0.25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 x14ac:dyDescent="0.25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 x14ac:dyDescent="0.25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182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 x14ac:dyDescent="0.25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82</v>
      </c>
      <c r="W8" s="81" t="s">
        <v>82</v>
      </c>
      <c r="X8" s="81" t="s">
        <v>82</v>
      </c>
      <c r="Y8" s="81" t="s">
        <v>82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 x14ac:dyDescent="0.2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25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 x14ac:dyDescent="0.25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 x14ac:dyDescent="0.25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 x14ac:dyDescent="0.25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 x14ac:dyDescent="0.25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 x14ac:dyDescent="0.25">
      <c r="A15" s="34" t="s">
        <v>12</v>
      </c>
      <c r="B15" s="33" t="s">
        <v>83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 x14ac:dyDescent="0.2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 x14ac:dyDescent="0.25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84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 x14ac:dyDescent="0.25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85</v>
      </c>
      <c r="M18" s="4" t="s">
        <v>84</v>
      </c>
      <c r="N18" s="4" t="s">
        <v>84</v>
      </c>
      <c r="O18" s="4" t="s">
        <v>84</v>
      </c>
      <c r="P18" s="4" t="s">
        <v>84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 x14ac:dyDescent="0.25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86</v>
      </c>
      <c r="T19" s="4" t="s">
        <v>84</v>
      </c>
      <c r="U19" s="4" t="s">
        <v>84</v>
      </c>
      <c r="V19" s="4" t="s">
        <v>84</v>
      </c>
      <c r="W19" s="4" t="s">
        <v>84</v>
      </c>
      <c r="X19" s="48" t="s">
        <v>87</v>
      </c>
      <c r="Y19" s="48" t="s">
        <v>87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 x14ac:dyDescent="0.25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 x14ac:dyDescent="0.25">
      <c r="B21" s="111" t="s">
        <v>88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 x14ac:dyDescent="0.25">
      <c r="B22" s="111" t="s">
        <v>89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 x14ac:dyDescent="0.25">
      <c r="B23" s="111" t="s">
        <v>90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 x14ac:dyDescent="0.25">
      <c r="B24" s="111" t="s">
        <v>91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 x14ac:dyDescent="0.25">
      <c r="B25" t="s">
        <v>65</v>
      </c>
    </row>
    <row r="26" spans="1:32" x14ac:dyDescent="0.25">
      <c r="B26" s="5" t="s">
        <v>66</v>
      </c>
    </row>
    <row r="27" spans="1:32" x14ac:dyDescent="0.25">
      <c r="B27" s="5" t="s">
        <v>67</v>
      </c>
    </row>
    <row r="28" spans="1:32" x14ac:dyDescent="0.25">
      <c r="B28" s="1" t="s">
        <v>68</v>
      </c>
    </row>
    <row r="29" spans="1:32" x14ac:dyDescent="0.25">
      <c r="B29" s="7" t="s">
        <v>69</v>
      </c>
    </row>
    <row r="30" spans="1:32" x14ac:dyDescent="0.25">
      <c r="B30" s="3" t="s">
        <v>70</v>
      </c>
    </row>
    <row r="31" spans="1:32" x14ac:dyDescent="0.25">
      <c r="B31" s="5" t="s">
        <v>71</v>
      </c>
    </row>
    <row r="32" spans="1:32" x14ac:dyDescent="0.25">
      <c r="B32" s="3" t="s">
        <v>72</v>
      </c>
    </row>
    <row r="33" spans="2:2" x14ac:dyDescent="0.25">
      <c r="B33" s="4" t="s">
        <v>73</v>
      </c>
    </row>
    <row r="34" spans="2:2" x14ac:dyDescent="0.25">
      <c r="B34" s="25" t="s">
        <v>74</v>
      </c>
    </row>
    <row r="35" spans="2:2" x14ac:dyDescent="0.25">
      <c r="B35" s="4" t="s">
        <v>92</v>
      </c>
    </row>
    <row r="36" spans="2:2" x14ac:dyDescent="0.25">
      <c r="B36" s="28" t="s">
        <v>76</v>
      </c>
    </row>
    <row r="37" spans="2:2" x14ac:dyDescent="0.25">
      <c r="B37" s="17" t="s">
        <v>77</v>
      </c>
    </row>
    <row r="38" spans="2:2" x14ac:dyDescent="0.25">
      <c r="B38" s="48" t="s">
        <v>93</v>
      </c>
    </row>
  </sheetData>
  <mergeCells count="2">
    <mergeCell ref="B1:B3"/>
    <mergeCell ref="C1:AF1"/>
  </mergeCells>
  <conditionalFormatting sqref="C22:AF24">
    <cfRule type="cellIs" dxfId="15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workbookViewId="0">
      <selection activeCell="L24" sqref="L24"/>
    </sheetView>
  </sheetViews>
  <sheetFormatPr baseColWidth="10" defaultColWidth="8.85546875" defaultRowHeight="15" x14ac:dyDescent="0.25"/>
  <cols>
    <col min="2" max="2" width="31.140625" customWidth="1"/>
    <col min="3" max="33" width="4.7109375" customWidth="1"/>
    <col min="34" max="34" width="8.85546875" style="91" customWidth="1"/>
  </cols>
  <sheetData>
    <row r="1" spans="1:37" ht="15" customHeight="1" x14ac:dyDescent="0.25">
      <c r="A1" s="6"/>
      <c r="B1" s="142"/>
      <c r="C1" s="155" t="s">
        <v>94</v>
      </c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55"/>
      <c r="AE1" s="155"/>
      <c r="AF1" s="155"/>
      <c r="AG1" s="155"/>
    </row>
    <row r="2" spans="1:37" x14ac:dyDescent="0.25">
      <c r="A2" s="6"/>
      <c r="B2" s="142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 x14ac:dyDescent="0.25">
      <c r="A3" s="6"/>
      <c r="B3" s="14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 x14ac:dyDescent="0.25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 x14ac:dyDescent="0.25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 x14ac:dyDescent="0.25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 x14ac:dyDescent="0.25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 x14ac:dyDescent="0.25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 x14ac:dyDescent="0.2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 x14ac:dyDescent="0.25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 x14ac:dyDescent="0.25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 x14ac:dyDescent="0.25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 x14ac:dyDescent="0.25">
      <c r="A13" s="34" t="s">
        <v>12</v>
      </c>
      <c r="B13" s="33" t="s">
        <v>83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 x14ac:dyDescent="0.25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 x14ac:dyDescent="0.25">
      <c r="A15" s="34" t="s">
        <v>12</v>
      </c>
      <c r="B15" s="33" t="s">
        <v>183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 x14ac:dyDescent="0.2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 x14ac:dyDescent="0.25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84</v>
      </c>
      <c r="R17" s="4" t="s">
        <v>84</v>
      </c>
      <c r="S17" s="4" t="s">
        <v>84</v>
      </c>
      <c r="T17" s="4" t="s">
        <v>84</v>
      </c>
      <c r="U17" s="4" t="s">
        <v>84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 x14ac:dyDescent="0.25">
      <c r="A18" s="34" t="s">
        <v>28</v>
      </c>
      <c r="B18" s="35" t="s">
        <v>60</v>
      </c>
      <c r="C18" s="120" t="s">
        <v>84</v>
      </c>
      <c r="D18" s="120" t="s">
        <v>84</v>
      </c>
      <c r="E18" s="4" t="s">
        <v>84</v>
      </c>
      <c r="F18" s="4" t="s">
        <v>84</v>
      </c>
      <c r="G18" s="4" t="s">
        <v>84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85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 x14ac:dyDescent="0.25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85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82</v>
      </c>
      <c r="R19" s="118" t="s">
        <v>82</v>
      </c>
      <c r="S19" s="118" t="s">
        <v>82</v>
      </c>
      <c r="T19" s="118" t="s">
        <v>82</v>
      </c>
      <c r="U19" s="118" t="s">
        <v>82</v>
      </c>
      <c r="V19" s="28" t="s">
        <v>7</v>
      </c>
      <c r="W19" s="28" t="s">
        <v>7</v>
      </c>
      <c r="X19" s="118" t="s">
        <v>82</v>
      </c>
      <c r="Y19" s="118" t="s">
        <v>82</v>
      </c>
      <c r="Z19" s="118" t="s">
        <v>82</v>
      </c>
      <c r="AA19" s="28" t="s">
        <v>7</v>
      </c>
      <c r="AB19" s="118" t="s">
        <v>82</v>
      </c>
      <c r="AC19" s="28" t="s">
        <v>7</v>
      </c>
      <c r="AD19" s="28" t="s">
        <v>7</v>
      </c>
      <c r="AE19" s="118" t="s">
        <v>82</v>
      </c>
      <c r="AF19" s="5" t="s">
        <v>11</v>
      </c>
      <c r="AG19" s="5" t="s">
        <v>11</v>
      </c>
    </row>
    <row r="21" spans="1:33" x14ac:dyDescent="0.25">
      <c r="B21" s="111" t="s">
        <v>88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 x14ac:dyDescent="0.25">
      <c r="B22" s="111" t="s">
        <v>89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 x14ac:dyDescent="0.25">
      <c r="B23" s="111" t="s">
        <v>90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 x14ac:dyDescent="0.25">
      <c r="B24" s="111" t="s">
        <v>91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 x14ac:dyDescent="0.25">
      <c r="B26" t="s">
        <v>65</v>
      </c>
    </row>
    <row r="27" spans="1:33" x14ac:dyDescent="0.25">
      <c r="B27" s="5" t="s">
        <v>66</v>
      </c>
    </row>
    <row r="28" spans="1:33" x14ac:dyDescent="0.25">
      <c r="B28" s="5" t="s">
        <v>67</v>
      </c>
    </row>
    <row r="29" spans="1:33" x14ac:dyDescent="0.25">
      <c r="B29" s="1" t="s">
        <v>68</v>
      </c>
    </row>
    <row r="30" spans="1:33" x14ac:dyDescent="0.25">
      <c r="B30" s="7" t="s">
        <v>69</v>
      </c>
    </row>
    <row r="31" spans="1:33" x14ac:dyDescent="0.25">
      <c r="B31" s="3" t="s">
        <v>70</v>
      </c>
    </row>
    <row r="32" spans="1:33" x14ac:dyDescent="0.25">
      <c r="B32" s="5" t="s">
        <v>71</v>
      </c>
    </row>
    <row r="33" spans="2:2" x14ac:dyDescent="0.25">
      <c r="B33" s="3" t="s">
        <v>72</v>
      </c>
    </row>
    <row r="34" spans="2:2" x14ac:dyDescent="0.25">
      <c r="B34" s="4" t="s">
        <v>73</v>
      </c>
    </row>
    <row r="35" spans="2:2" x14ac:dyDescent="0.25">
      <c r="B35" s="25" t="s">
        <v>74</v>
      </c>
    </row>
    <row r="36" spans="2:2" x14ac:dyDescent="0.25">
      <c r="B36" s="4" t="s">
        <v>92</v>
      </c>
    </row>
    <row r="37" spans="2:2" x14ac:dyDescent="0.25">
      <c r="B37" s="28" t="s">
        <v>76</v>
      </c>
    </row>
    <row r="38" spans="2:2" x14ac:dyDescent="0.25">
      <c r="B38" s="17" t="s">
        <v>77</v>
      </c>
    </row>
  </sheetData>
  <mergeCells count="2">
    <mergeCell ref="B1:B3"/>
    <mergeCell ref="C1:AG1"/>
  </mergeCells>
  <conditionalFormatting sqref="C22:AG24">
    <cfRule type="cellIs" dxfId="14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abSelected="1" workbookViewId="0">
      <selection activeCell="AM19" sqref="AM19"/>
    </sheetView>
  </sheetViews>
  <sheetFormatPr baseColWidth="10" defaultColWidth="8.85546875" defaultRowHeight="15" x14ac:dyDescent="0.25"/>
  <cols>
    <col min="2" max="2" width="25.5703125" customWidth="1"/>
    <col min="3" max="33" width="4.7109375" customWidth="1"/>
    <col min="34" max="34" width="4" style="91" bestFit="1" customWidth="1"/>
  </cols>
  <sheetData>
    <row r="1" spans="1:34" x14ac:dyDescent="0.25">
      <c r="A1" s="6"/>
      <c r="B1" s="142"/>
      <c r="C1" s="155" t="s">
        <v>95</v>
      </c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55"/>
      <c r="AE1" s="155"/>
      <c r="AF1" s="155"/>
      <c r="AG1" s="155"/>
    </row>
    <row r="2" spans="1:34" x14ac:dyDescent="0.25">
      <c r="A2" s="6"/>
      <c r="B2" s="142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 x14ac:dyDescent="0.25">
      <c r="A3" s="6"/>
      <c r="B3" s="14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25">
      <c r="A4" s="63" t="s">
        <v>12</v>
      </c>
      <c r="B4" s="62" t="s">
        <v>13</v>
      </c>
      <c r="C4" s="5" t="s">
        <v>14</v>
      </c>
      <c r="D4" s="1" t="s">
        <v>14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14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 x14ac:dyDescent="0.25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14</v>
      </c>
      <c r="H5" s="5" t="s">
        <v>14</v>
      </c>
      <c r="I5" s="1" t="s">
        <v>14</v>
      </c>
      <c r="J5" s="1" t="s">
        <v>14</v>
      </c>
      <c r="K5" s="1" t="s">
        <v>14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5" t="s">
        <v>14</v>
      </c>
      <c r="Y5" s="5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 x14ac:dyDescent="0.2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14</v>
      </c>
      <c r="O6" s="1" t="s">
        <v>14</v>
      </c>
      <c r="P6" s="1" t="s">
        <v>14</v>
      </c>
      <c r="Q6" s="1" t="s">
        <v>14</v>
      </c>
      <c r="R6" s="1" t="s">
        <v>14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 x14ac:dyDescent="0.25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1" t="s">
        <v>14</v>
      </c>
      <c r="Y7" s="1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 x14ac:dyDescent="0.2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 x14ac:dyDescent="0.2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 x14ac:dyDescent="0.25">
      <c r="A10" s="34" t="s">
        <v>12</v>
      </c>
      <c r="B10" s="33" t="s">
        <v>23</v>
      </c>
      <c r="C10" s="124" t="s">
        <v>7</v>
      </c>
      <c r="D10" s="125" t="s">
        <v>7</v>
      </c>
      <c r="E10" s="125" t="s">
        <v>7</v>
      </c>
      <c r="F10" s="125" t="s">
        <v>7</v>
      </c>
      <c r="G10" s="126" t="s">
        <v>20</v>
      </c>
      <c r="H10" s="126" t="s">
        <v>20</v>
      </c>
      <c r="I10" s="126" t="s">
        <v>20</v>
      </c>
      <c r="J10" s="126" t="s">
        <v>20</v>
      </c>
      <c r="K10" s="126" t="s">
        <v>20</v>
      </c>
      <c r="L10" s="125" t="s">
        <v>7</v>
      </c>
      <c r="M10" s="125" t="s">
        <v>7</v>
      </c>
      <c r="N10" s="131" t="s">
        <v>16</v>
      </c>
      <c r="O10" s="131" t="s">
        <v>16</v>
      </c>
      <c r="P10" s="131" t="s">
        <v>16</v>
      </c>
      <c r="Q10" s="131" t="s">
        <v>16</v>
      </c>
      <c r="R10" s="131" t="s">
        <v>16</v>
      </c>
      <c r="S10" s="131" t="s">
        <v>17</v>
      </c>
      <c r="T10" s="131" t="s">
        <v>17</v>
      </c>
      <c r="U10" s="129" t="s">
        <v>7</v>
      </c>
      <c r="V10" s="129" t="s">
        <v>7</v>
      </c>
      <c r="W10" s="129" t="s">
        <v>7</v>
      </c>
      <c r="X10" s="129" t="s">
        <v>7</v>
      </c>
      <c r="Y10" s="129" t="s">
        <v>7</v>
      </c>
      <c r="Z10" s="129" t="s">
        <v>7</v>
      </c>
      <c r="AA10" s="129" t="s">
        <v>7</v>
      </c>
      <c r="AB10" s="131" t="s">
        <v>16</v>
      </c>
      <c r="AC10" s="131" t="s">
        <v>16</v>
      </c>
      <c r="AD10" s="131" t="s">
        <v>16</v>
      </c>
      <c r="AE10" s="131" t="s">
        <v>16</v>
      </c>
      <c r="AF10" s="131" t="s">
        <v>16</v>
      </c>
      <c r="AG10" s="131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 x14ac:dyDescent="0.25">
      <c r="A11" s="34" t="s">
        <v>12</v>
      </c>
      <c r="B11" s="33" t="s">
        <v>52</v>
      </c>
      <c r="C11" s="127" t="s">
        <v>14</v>
      </c>
      <c r="D11" s="128" t="s">
        <v>14</v>
      </c>
      <c r="E11" s="128" t="s">
        <v>15</v>
      </c>
      <c r="F11" s="128" t="s">
        <v>15</v>
      </c>
      <c r="G11" s="129" t="s">
        <v>7</v>
      </c>
      <c r="H11" s="129" t="s">
        <v>7</v>
      </c>
      <c r="I11" s="130" t="s">
        <v>4</v>
      </c>
      <c r="J11" s="129" t="s">
        <v>7</v>
      </c>
      <c r="K11" s="129" t="s">
        <v>7</v>
      </c>
      <c r="L11" s="129" t="s">
        <v>7</v>
      </c>
      <c r="M11" s="129" t="s">
        <v>7</v>
      </c>
      <c r="N11" s="126" t="s">
        <v>20</v>
      </c>
      <c r="O11" s="126" t="s">
        <v>20</v>
      </c>
      <c r="P11" s="126" t="s">
        <v>20</v>
      </c>
      <c r="Q11" s="126" t="s">
        <v>20</v>
      </c>
      <c r="R11" s="126" t="s">
        <v>20</v>
      </c>
      <c r="S11" s="129" t="s">
        <v>7</v>
      </c>
      <c r="T11" s="129" t="s">
        <v>7</v>
      </c>
      <c r="U11" s="131" t="s">
        <v>16</v>
      </c>
      <c r="V11" s="131" t="s">
        <v>16</v>
      </c>
      <c r="W11" s="131" t="s">
        <v>16</v>
      </c>
      <c r="X11" s="131" t="s">
        <v>16</v>
      </c>
      <c r="Y11" s="131" t="s">
        <v>16</v>
      </c>
      <c r="Z11" s="131" t="s">
        <v>17</v>
      </c>
      <c r="AA11" s="131" t="s">
        <v>17</v>
      </c>
      <c r="AB11" s="129" t="s">
        <v>7</v>
      </c>
      <c r="AC11" s="129" t="s">
        <v>7</v>
      </c>
      <c r="AD11" s="129" t="s">
        <v>7</v>
      </c>
      <c r="AE11" s="129" t="s">
        <v>7</v>
      </c>
      <c r="AF11" s="129" t="s">
        <v>7</v>
      </c>
      <c r="AG11" s="129" t="s">
        <v>7</v>
      </c>
      <c r="AH11" s="91">
        <f t="shared" si="0"/>
        <v>144</v>
      </c>
    </row>
    <row r="12" spans="1:34" x14ac:dyDescent="0.25">
      <c r="A12" s="34" t="s">
        <v>12</v>
      </c>
      <c r="B12" s="33" t="s">
        <v>24</v>
      </c>
      <c r="C12" s="132" t="s">
        <v>4</v>
      </c>
      <c r="D12" s="129" t="s">
        <v>7</v>
      </c>
      <c r="E12" s="129" t="s">
        <v>7</v>
      </c>
      <c r="F12" s="129" t="s">
        <v>7</v>
      </c>
      <c r="G12" s="128" t="s">
        <v>14</v>
      </c>
      <c r="H12" s="128" t="s">
        <v>14</v>
      </c>
      <c r="I12" s="128" t="s">
        <v>14</v>
      </c>
      <c r="J12" s="128" t="s">
        <v>14</v>
      </c>
      <c r="K12" s="128" t="s">
        <v>14</v>
      </c>
      <c r="L12" s="128" t="s">
        <v>15</v>
      </c>
      <c r="M12" s="128" t="s">
        <v>15</v>
      </c>
      <c r="N12" s="129" t="s">
        <v>7</v>
      </c>
      <c r="O12" s="129" t="s">
        <v>7</v>
      </c>
      <c r="P12" s="129" t="s">
        <v>7</v>
      </c>
      <c r="Q12" s="129" t="s">
        <v>7</v>
      </c>
      <c r="R12" s="129" t="s">
        <v>7</v>
      </c>
      <c r="S12" s="129" t="s">
        <v>7</v>
      </c>
      <c r="T12" s="129" t="s">
        <v>7</v>
      </c>
      <c r="U12" s="126" t="s">
        <v>20</v>
      </c>
      <c r="V12" s="126" t="s">
        <v>20</v>
      </c>
      <c r="W12" s="126" t="s">
        <v>20</v>
      </c>
      <c r="X12" s="126" t="s">
        <v>20</v>
      </c>
      <c r="Y12" s="126" t="s">
        <v>20</v>
      </c>
      <c r="Z12" s="129" t="s">
        <v>7</v>
      </c>
      <c r="AA12" s="129" t="s">
        <v>7</v>
      </c>
      <c r="AB12" s="131" t="s">
        <v>16</v>
      </c>
      <c r="AC12" s="131" t="s">
        <v>16</v>
      </c>
      <c r="AD12" s="131" t="s">
        <v>16</v>
      </c>
      <c r="AE12" s="131" t="s">
        <v>16</v>
      </c>
      <c r="AF12" s="131" t="s">
        <v>16</v>
      </c>
      <c r="AG12" s="131" t="s">
        <v>17</v>
      </c>
      <c r="AH12" s="91">
        <f t="shared" si="0"/>
        <v>156</v>
      </c>
    </row>
    <row r="13" spans="1:34" x14ac:dyDescent="0.25">
      <c r="A13" s="34" t="s">
        <v>12</v>
      </c>
      <c r="B13" s="33" t="s">
        <v>83</v>
      </c>
      <c r="C13" s="131" t="s">
        <v>16</v>
      </c>
      <c r="D13" s="131" t="s">
        <v>16</v>
      </c>
      <c r="E13" s="131" t="s">
        <v>17</v>
      </c>
      <c r="F13" s="131" t="s">
        <v>17</v>
      </c>
      <c r="G13" s="129" t="s">
        <v>7</v>
      </c>
      <c r="H13" s="129" t="s">
        <v>7</v>
      </c>
      <c r="I13" s="129" t="s">
        <v>7</v>
      </c>
      <c r="J13" s="130" t="s">
        <v>4</v>
      </c>
      <c r="K13" s="129" t="s">
        <v>7</v>
      </c>
      <c r="L13" s="129" t="s">
        <v>7</v>
      </c>
      <c r="M13" s="129" t="s">
        <v>7</v>
      </c>
      <c r="N13" s="131" t="s">
        <v>16</v>
      </c>
      <c r="O13" s="131" t="s">
        <v>16</v>
      </c>
      <c r="P13" s="131" t="s">
        <v>16</v>
      </c>
      <c r="Q13" s="131" t="s">
        <v>16</v>
      </c>
      <c r="R13" s="131" t="s">
        <v>16</v>
      </c>
      <c r="S13" s="131" t="s">
        <v>17</v>
      </c>
      <c r="T13" s="131" t="s">
        <v>17</v>
      </c>
      <c r="U13" s="129" t="s">
        <v>7</v>
      </c>
      <c r="V13" s="129" t="s">
        <v>7</v>
      </c>
      <c r="W13" s="129" t="s">
        <v>7</v>
      </c>
      <c r="X13" s="129" t="s">
        <v>7</v>
      </c>
      <c r="Y13" s="129" t="s">
        <v>7</v>
      </c>
      <c r="Z13" s="129" t="s">
        <v>7</v>
      </c>
      <c r="AA13" s="129" t="s">
        <v>7</v>
      </c>
      <c r="AB13" s="126" t="s">
        <v>20</v>
      </c>
      <c r="AC13" s="126" t="s">
        <v>20</v>
      </c>
      <c r="AD13" s="126" t="s">
        <v>20</v>
      </c>
      <c r="AE13" s="126" t="s">
        <v>20</v>
      </c>
      <c r="AF13" s="126" t="s">
        <v>20</v>
      </c>
      <c r="AG13" s="129" t="s">
        <v>7</v>
      </c>
      <c r="AH13" s="91">
        <f t="shared" si="0"/>
        <v>144</v>
      </c>
    </row>
    <row r="14" spans="1:34" x14ac:dyDescent="0.25">
      <c r="A14" s="34" t="s">
        <v>12</v>
      </c>
      <c r="B14" s="33" t="s">
        <v>53</v>
      </c>
      <c r="C14" s="134" t="s">
        <v>20</v>
      </c>
      <c r="D14" s="133" t="s">
        <v>20</v>
      </c>
      <c r="E14" s="129" t="s">
        <v>7</v>
      </c>
      <c r="F14" s="129" t="s">
        <v>7</v>
      </c>
      <c r="G14" s="131" t="s">
        <v>16</v>
      </c>
      <c r="H14" s="131" t="s">
        <v>16</v>
      </c>
      <c r="I14" s="131" t="s">
        <v>16</v>
      </c>
      <c r="J14" s="131" t="s">
        <v>16</v>
      </c>
      <c r="K14" s="131" t="s">
        <v>16</v>
      </c>
      <c r="L14" s="131" t="s">
        <v>17</v>
      </c>
      <c r="M14" s="131" t="s">
        <v>17</v>
      </c>
      <c r="N14" s="129" t="s">
        <v>7</v>
      </c>
      <c r="O14" s="129" t="s">
        <v>7</v>
      </c>
      <c r="P14" s="129" t="s">
        <v>7</v>
      </c>
      <c r="Q14" s="129" t="s">
        <v>7</v>
      </c>
      <c r="R14" s="129" t="s">
        <v>7</v>
      </c>
      <c r="S14" s="129" t="s">
        <v>7</v>
      </c>
      <c r="T14" s="129" t="s">
        <v>7</v>
      </c>
      <c r="U14" s="131" t="s">
        <v>16</v>
      </c>
      <c r="V14" s="131" t="s">
        <v>16</v>
      </c>
      <c r="W14" s="131" t="s">
        <v>16</v>
      </c>
      <c r="X14" s="131" t="s">
        <v>16</v>
      </c>
      <c r="Y14" s="131" t="s">
        <v>16</v>
      </c>
      <c r="Z14" s="131" t="s">
        <v>17</v>
      </c>
      <c r="AA14" s="131" t="s">
        <v>17</v>
      </c>
      <c r="AB14" s="129" t="s">
        <v>7</v>
      </c>
      <c r="AC14" s="129" t="s">
        <v>7</v>
      </c>
      <c r="AD14" s="129" t="s">
        <v>7</v>
      </c>
      <c r="AE14" s="129" t="s">
        <v>7</v>
      </c>
      <c r="AF14" s="129" t="s">
        <v>7</v>
      </c>
      <c r="AG14" s="129" t="s">
        <v>7</v>
      </c>
      <c r="AH14" s="91">
        <f t="shared" si="0"/>
        <v>144</v>
      </c>
    </row>
    <row r="15" spans="1:34" x14ac:dyDescent="0.25">
      <c r="A15" s="34"/>
    </row>
    <row r="16" spans="1:34" x14ac:dyDescent="0.25">
      <c r="A16" s="34" t="s">
        <v>12</v>
      </c>
      <c r="B16" s="52" t="s">
        <v>183</v>
      </c>
      <c r="C16" s="159" t="s">
        <v>7</v>
      </c>
      <c r="D16" s="159" t="s">
        <v>7</v>
      </c>
      <c r="E16" s="160" t="s">
        <v>7</v>
      </c>
      <c r="F16" s="160" t="s">
        <v>7</v>
      </c>
      <c r="G16" s="161" t="s">
        <v>14</v>
      </c>
      <c r="H16" s="161" t="s">
        <v>14</v>
      </c>
      <c r="I16" s="161" t="s">
        <v>14</v>
      </c>
      <c r="J16" s="161" t="s">
        <v>14</v>
      </c>
      <c r="K16" s="161" t="s">
        <v>14</v>
      </c>
      <c r="L16" s="160" t="s">
        <v>7</v>
      </c>
      <c r="M16" s="160" t="s">
        <v>7</v>
      </c>
      <c r="N16" s="161" t="s">
        <v>14</v>
      </c>
      <c r="O16" s="161" t="s">
        <v>14</v>
      </c>
      <c r="P16" s="161" t="s">
        <v>14</v>
      </c>
      <c r="Q16" s="161" t="s">
        <v>14</v>
      </c>
      <c r="R16" s="161" t="s">
        <v>14</v>
      </c>
      <c r="S16" s="160" t="s">
        <v>7</v>
      </c>
      <c r="T16" s="160" t="s">
        <v>7</v>
      </c>
      <c r="U16" s="161" t="s">
        <v>14</v>
      </c>
      <c r="V16" s="161" t="s">
        <v>14</v>
      </c>
      <c r="W16" s="161" t="s">
        <v>14</v>
      </c>
      <c r="X16" s="161" t="s">
        <v>14</v>
      </c>
      <c r="Y16" s="161" t="s">
        <v>14</v>
      </c>
      <c r="Z16" s="160" t="s">
        <v>7</v>
      </c>
      <c r="AA16" s="160" t="s">
        <v>7</v>
      </c>
      <c r="AB16" s="161" t="s">
        <v>14</v>
      </c>
      <c r="AC16" s="161" t="s">
        <v>14</v>
      </c>
      <c r="AD16" s="161" t="s">
        <v>14</v>
      </c>
      <c r="AE16" s="161" t="s">
        <v>14</v>
      </c>
      <c r="AF16" s="161" t="s">
        <v>14</v>
      </c>
      <c r="AG16" s="160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 x14ac:dyDescent="0.25">
      <c r="A17" s="34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</row>
    <row r="18" spans="1:34" x14ac:dyDescent="0.25">
      <c r="A18" s="34" t="s">
        <v>28</v>
      </c>
      <c r="B18" s="33" t="s">
        <v>29</v>
      </c>
      <c r="C18" s="28" t="s">
        <v>85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25" t="s">
        <v>11</v>
      </c>
      <c r="V18" s="25" t="s">
        <v>11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84</v>
      </c>
      <c r="AC18" s="4" t="s">
        <v>84</v>
      </c>
      <c r="AD18" s="4" t="s">
        <v>84</v>
      </c>
      <c r="AE18" s="4" t="s">
        <v>84</v>
      </c>
      <c r="AF18" s="4" t="s">
        <v>84</v>
      </c>
      <c r="AG18" s="28" t="s">
        <v>30</v>
      </c>
      <c r="AH18"/>
    </row>
    <row r="19" spans="1:34" x14ac:dyDescent="0.25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25" t="s">
        <v>32</v>
      </c>
      <c r="S19" s="28" t="s">
        <v>30</v>
      </c>
      <c r="T19" s="28" t="s">
        <v>30</v>
      </c>
      <c r="U19" s="4" t="s">
        <v>14</v>
      </c>
      <c r="V19" s="4" t="s">
        <v>14</v>
      </c>
      <c r="W19" s="4" t="s">
        <v>14</v>
      </c>
      <c r="X19" s="4" t="s">
        <v>14</v>
      </c>
      <c r="Y19" s="4" t="s">
        <v>14</v>
      </c>
      <c r="Z19" s="28" t="s">
        <v>7</v>
      </c>
      <c r="AA19" s="28" t="s">
        <v>7</v>
      </c>
      <c r="AB19" s="4" t="s">
        <v>14</v>
      </c>
      <c r="AC19" s="4" t="s">
        <v>14</v>
      </c>
      <c r="AD19" s="4" t="s">
        <v>14</v>
      </c>
      <c r="AE19" s="4" t="s">
        <v>14</v>
      </c>
      <c r="AF19" s="4" t="s">
        <v>14</v>
      </c>
      <c r="AG19" s="28" t="s">
        <v>7</v>
      </c>
    </row>
    <row r="20" spans="1:34" x14ac:dyDescent="0.25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4" t="s">
        <v>84</v>
      </c>
      <c r="V20" s="4" t="s">
        <v>84</v>
      </c>
      <c r="W20" s="4" t="s">
        <v>84</v>
      </c>
      <c r="X20" s="4" t="s">
        <v>84</v>
      </c>
      <c r="Y20" s="4" t="s">
        <v>84</v>
      </c>
      <c r="Z20" s="28" t="s">
        <v>30</v>
      </c>
      <c r="AA20" s="28" t="s">
        <v>30</v>
      </c>
      <c r="AB20" s="25" t="s">
        <v>11</v>
      </c>
      <c r="AC20" s="25" t="s">
        <v>11</v>
      </c>
      <c r="AD20" s="25" t="s">
        <v>11</v>
      </c>
      <c r="AE20" s="25" t="s">
        <v>11</v>
      </c>
      <c r="AF20" s="25" t="s">
        <v>11</v>
      </c>
      <c r="AG20" s="28" t="s">
        <v>7</v>
      </c>
    </row>
    <row r="22" spans="1:34" x14ac:dyDescent="0.25">
      <c r="B22" s="111" t="s">
        <v>88</v>
      </c>
      <c r="C22" s="110">
        <f>SUM(C23:C25)</f>
        <v>4</v>
      </c>
      <c r="D22" s="110">
        <f t="shared" ref="D22:AG22" si="2">SUM(D23:D25)</f>
        <v>5</v>
      </c>
      <c r="E22" s="110">
        <f t="shared" si="2"/>
        <v>4</v>
      </c>
      <c r="F22" s="110">
        <f t="shared" si="2"/>
        <v>4</v>
      </c>
      <c r="G22" s="110">
        <f t="shared" si="2"/>
        <v>5</v>
      </c>
      <c r="H22" s="110">
        <f t="shared" si="2"/>
        <v>4</v>
      </c>
      <c r="I22" s="110">
        <f t="shared" si="2"/>
        <v>5</v>
      </c>
      <c r="J22" s="110">
        <f t="shared" si="2"/>
        <v>5</v>
      </c>
      <c r="K22" s="110">
        <f t="shared" si="2"/>
        <v>5</v>
      </c>
      <c r="L22" s="110">
        <f t="shared" si="2"/>
        <v>4</v>
      </c>
      <c r="M22" s="110">
        <f t="shared" si="2"/>
        <v>4</v>
      </c>
      <c r="N22" s="110">
        <f t="shared" si="2"/>
        <v>4</v>
      </c>
      <c r="O22" s="110">
        <f t="shared" si="2"/>
        <v>5</v>
      </c>
      <c r="P22" s="110">
        <f t="shared" si="2"/>
        <v>5</v>
      </c>
      <c r="Q22" s="110">
        <f t="shared" si="2"/>
        <v>5</v>
      </c>
      <c r="R22" s="110">
        <f t="shared" si="2"/>
        <v>5</v>
      </c>
      <c r="S22" s="110">
        <f t="shared" si="2"/>
        <v>4</v>
      </c>
      <c r="T22" s="110">
        <f t="shared" si="2"/>
        <v>4</v>
      </c>
      <c r="U22" s="110">
        <f t="shared" si="2"/>
        <v>6</v>
      </c>
      <c r="V22" s="110">
        <f t="shared" si="2"/>
        <v>6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 x14ac:dyDescent="0.25">
      <c r="B23" s="111" t="s">
        <v>89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 x14ac:dyDescent="0.25">
      <c r="B24" s="111" t="s">
        <v>90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 x14ac:dyDescent="0.25">
      <c r="B25" s="111" t="s">
        <v>91</v>
      </c>
      <c r="C25" s="112">
        <f>COUNTIF(C4:C20,"M/F")+COUNTIF(C4:C20,"M1")+COUNTIF(C4:C20,"M3")+COUNTIF(C4:C20,"M3/G")+COUNTIF(C4:C20,"M2")</f>
        <v>0</v>
      </c>
      <c r="D25" s="112">
        <f>COUNTIF(D4:D20,"M/F")+COUNTIF(D4:D20,"M1")+COUNTIF(D4:D20,"M3")+COUNTIF(D4:D20,"M3/G")+COUNTIF(D4:D20,"M2")</f>
        <v>1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1</v>
      </c>
      <c r="H25" s="112">
        <f t="shared" si="5"/>
        <v>0</v>
      </c>
      <c r="I25" s="112">
        <f t="shared" si="5"/>
        <v>1</v>
      </c>
      <c r="J25" s="112">
        <f t="shared" si="5"/>
        <v>1</v>
      </c>
      <c r="K25" s="112">
        <f t="shared" si="5"/>
        <v>1</v>
      </c>
      <c r="L25" s="112">
        <f t="shared" si="5"/>
        <v>2</v>
      </c>
      <c r="M25" s="112">
        <f t="shared" si="5"/>
        <v>2</v>
      </c>
      <c r="N25" s="112">
        <f t="shared" si="5"/>
        <v>0</v>
      </c>
      <c r="O25" s="112">
        <f>COUNTIF(O4:O20,"M/F")+COUNTIF(O4:O20,"M1")+COUNTIF(O4:O20,"M3")+COUNTIF(O4:O20,"M3/G")+COUNTIF(O4:O20,"M2")</f>
        <v>1</v>
      </c>
      <c r="P25" s="112">
        <f t="shared" si="5"/>
        <v>1</v>
      </c>
      <c r="Q25" s="112">
        <f t="shared" si="5"/>
        <v>1</v>
      </c>
      <c r="R25" s="112">
        <f t="shared" si="5"/>
        <v>1</v>
      </c>
      <c r="S25" s="112">
        <f t="shared" si="5"/>
        <v>2</v>
      </c>
      <c r="T25" s="112">
        <f t="shared" si="5"/>
        <v>2</v>
      </c>
      <c r="U25" s="112">
        <f t="shared" si="5"/>
        <v>2</v>
      </c>
      <c r="V25" s="112">
        <f t="shared" si="5"/>
        <v>2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 x14ac:dyDescent="0.25">
      <c r="B27" t="s">
        <v>65</v>
      </c>
    </row>
    <row r="28" spans="1:34" x14ac:dyDescent="0.25">
      <c r="B28" s="5" t="s">
        <v>66</v>
      </c>
    </row>
    <row r="29" spans="1:34" x14ac:dyDescent="0.25">
      <c r="B29" s="5" t="s">
        <v>67</v>
      </c>
    </row>
    <row r="30" spans="1:34" x14ac:dyDescent="0.25">
      <c r="B30" s="1" t="s">
        <v>68</v>
      </c>
    </row>
    <row r="31" spans="1:34" x14ac:dyDescent="0.25">
      <c r="B31" s="7" t="s">
        <v>69</v>
      </c>
    </row>
    <row r="32" spans="1:34" x14ac:dyDescent="0.25">
      <c r="B32" s="3" t="s">
        <v>70</v>
      </c>
    </row>
    <row r="33" spans="2:2" x14ac:dyDescent="0.25">
      <c r="B33" s="5" t="s">
        <v>71</v>
      </c>
    </row>
    <row r="34" spans="2:2" x14ac:dyDescent="0.25">
      <c r="B34" s="3" t="s">
        <v>72</v>
      </c>
    </row>
    <row r="35" spans="2:2" x14ac:dyDescent="0.25">
      <c r="B35" s="4" t="s">
        <v>73</v>
      </c>
    </row>
    <row r="36" spans="2:2" x14ac:dyDescent="0.25">
      <c r="B36" s="25" t="s">
        <v>74</v>
      </c>
    </row>
    <row r="37" spans="2:2" x14ac:dyDescent="0.25">
      <c r="B37" s="4" t="s">
        <v>92</v>
      </c>
    </row>
    <row r="38" spans="2:2" x14ac:dyDescent="0.25">
      <c r="B38" s="28" t="s">
        <v>76</v>
      </c>
    </row>
    <row r="39" spans="2:2" x14ac:dyDescent="0.25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39"/>
  <sheetViews>
    <sheetView workbookViewId="0">
      <selection activeCell="L25" sqref="L25"/>
    </sheetView>
  </sheetViews>
  <sheetFormatPr baseColWidth="10" defaultColWidth="8.85546875" defaultRowHeight="15" x14ac:dyDescent="0.2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 x14ac:dyDescent="0.25">
      <c r="A1" s="6"/>
      <c r="B1" s="142"/>
      <c r="C1" s="156" t="s">
        <v>96</v>
      </c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156"/>
    </row>
    <row r="2" spans="1:34" x14ac:dyDescent="0.25">
      <c r="A2" s="6"/>
      <c r="B2" s="142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 x14ac:dyDescent="0.25">
      <c r="A3" s="6"/>
      <c r="B3" s="14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 x14ac:dyDescent="0.25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28" t="s">
        <v>7</v>
      </c>
      <c r="AH4"/>
    </row>
    <row r="5" spans="1:34" x14ac:dyDescent="0.25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 x14ac:dyDescent="0.25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28" t="s">
        <v>7</v>
      </c>
      <c r="J6" s="28" t="s">
        <v>7</v>
      </c>
      <c r="K6" s="7" t="s">
        <v>20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28" t="s">
        <v>7</v>
      </c>
      <c r="AH6"/>
    </row>
    <row r="7" spans="1:34" x14ac:dyDescent="0.25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 x14ac:dyDescent="0.25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 x14ac:dyDescent="0.2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25">
      <c r="A10" s="34" t="s">
        <v>12</v>
      </c>
      <c r="B10" s="122" t="s">
        <v>23</v>
      </c>
      <c r="C10" s="131" t="s">
        <v>17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6" t="s">
        <v>20</v>
      </c>
      <c r="L10" s="126" t="s">
        <v>20</v>
      </c>
      <c r="M10" s="126" t="s">
        <v>20</v>
      </c>
      <c r="N10" s="126" t="s">
        <v>20</v>
      </c>
      <c r="O10" s="126" t="s">
        <v>20</v>
      </c>
      <c r="P10" s="125" t="s">
        <v>7</v>
      </c>
      <c r="Q10" s="125" t="s">
        <v>7</v>
      </c>
      <c r="R10" s="131" t="s">
        <v>16</v>
      </c>
      <c r="S10" s="131" t="s">
        <v>16</v>
      </c>
      <c r="T10" s="131" t="s">
        <v>16</v>
      </c>
      <c r="U10" s="131" t="s">
        <v>16</v>
      </c>
      <c r="V10" s="131" t="s">
        <v>16</v>
      </c>
      <c r="W10" s="131" t="s">
        <v>17</v>
      </c>
      <c r="X10" s="131" t="s">
        <v>17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H10"/>
    </row>
    <row r="11" spans="1:34" x14ac:dyDescent="0.25">
      <c r="A11" s="34" t="s">
        <v>12</v>
      </c>
      <c r="B11" s="33" t="s">
        <v>52</v>
      </c>
      <c r="C11" s="125" t="s">
        <v>7</v>
      </c>
      <c r="D11" s="131" t="s">
        <v>16</v>
      </c>
      <c r="E11" s="131" t="s">
        <v>16</v>
      </c>
      <c r="F11" s="131" t="s">
        <v>16</v>
      </c>
      <c r="G11" s="131" t="s">
        <v>16</v>
      </c>
      <c r="H11" s="131" t="s">
        <v>16</v>
      </c>
      <c r="I11" s="131" t="s">
        <v>17</v>
      </c>
      <c r="J11" s="131" t="s">
        <v>17</v>
      </c>
      <c r="K11" s="125" t="s">
        <v>7</v>
      </c>
      <c r="L11" s="125" t="s">
        <v>7</v>
      </c>
      <c r="M11" s="125" t="s">
        <v>7</v>
      </c>
      <c r="N11" s="125" t="s">
        <v>7</v>
      </c>
      <c r="O11" s="125" t="s">
        <v>7</v>
      </c>
      <c r="P11" s="125" t="s">
        <v>7</v>
      </c>
      <c r="Q11" s="125" t="s">
        <v>7</v>
      </c>
      <c r="R11" s="126" t="s">
        <v>20</v>
      </c>
      <c r="S11" s="126" t="s">
        <v>20</v>
      </c>
      <c r="T11" s="126" t="s">
        <v>20</v>
      </c>
      <c r="U11" s="126" t="s">
        <v>20</v>
      </c>
      <c r="V11" s="126" t="s">
        <v>20</v>
      </c>
      <c r="W11" s="125" t="s">
        <v>7</v>
      </c>
      <c r="X11" s="125" t="s">
        <v>7</v>
      </c>
      <c r="Y11" s="131" t="s">
        <v>16</v>
      </c>
      <c r="Z11" s="131" t="s">
        <v>16</v>
      </c>
      <c r="AA11" s="131" t="s">
        <v>16</v>
      </c>
      <c r="AB11" s="131" t="s">
        <v>16</v>
      </c>
      <c r="AC11" s="131" t="s">
        <v>16</v>
      </c>
      <c r="AD11" s="131" t="s">
        <v>17</v>
      </c>
      <c r="AH11"/>
    </row>
    <row r="12" spans="1:34" x14ac:dyDescent="0.25">
      <c r="A12" s="34" t="s">
        <v>12</v>
      </c>
      <c r="B12" s="33" t="s">
        <v>24</v>
      </c>
      <c r="C12" s="131" t="s">
        <v>17</v>
      </c>
      <c r="D12" s="125" t="s">
        <v>7</v>
      </c>
      <c r="E12" s="125" t="s">
        <v>7</v>
      </c>
      <c r="F12" s="125" t="s">
        <v>7</v>
      </c>
      <c r="G12" s="125" t="s">
        <v>7</v>
      </c>
      <c r="H12" s="125" t="s">
        <v>7</v>
      </c>
      <c r="I12" s="125" t="s">
        <v>7</v>
      </c>
      <c r="J12" s="125" t="s">
        <v>7</v>
      </c>
      <c r="K12" s="131" t="s">
        <v>16</v>
      </c>
      <c r="L12" s="131" t="s">
        <v>16</v>
      </c>
      <c r="M12" s="131" t="s">
        <v>16</v>
      </c>
      <c r="N12" s="131" t="s">
        <v>16</v>
      </c>
      <c r="O12" s="131" t="s">
        <v>16</v>
      </c>
      <c r="P12" s="131" t="s">
        <v>17</v>
      </c>
      <c r="Q12" s="131" t="s">
        <v>17</v>
      </c>
      <c r="R12" s="125" t="s">
        <v>7</v>
      </c>
      <c r="S12" s="125" t="s">
        <v>7</v>
      </c>
      <c r="T12" s="125" t="s">
        <v>7</v>
      </c>
      <c r="U12" s="125" t="s">
        <v>7</v>
      </c>
      <c r="V12" s="125" t="s">
        <v>7</v>
      </c>
      <c r="W12" s="125" t="s">
        <v>7</v>
      </c>
      <c r="X12" s="125" t="s">
        <v>7</v>
      </c>
      <c r="Y12" s="126" t="s">
        <v>20</v>
      </c>
      <c r="Z12" s="126" t="s">
        <v>20</v>
      </c>
      <c r="AA12" s="126" t="s">
        <v>20</v>
      </c>
      <c r="AB12" s="126" t="s">
        <v>20</v>
      </c>
      <c r="AC12" s="126" t="s">
        <v>20</v>
      </c>
      <c r="AD12" s="125" t="s">
        <v>7</v>
      </c>
      <c r="AH12"/>
    </row>
    <row r="13" spans="1:34" x14ac:dyDescent="0.25">
      <c r="A13" s="34" t="s">
        <v>12</v>
      </c>
      <c r="B13" s="33" t="s">
        <v>83</v>
      </c>
      <c r="C13" s="125" t="s">
        <v>7</v>
      </c>
      <c r="D13" s="131" t="s">
        <v>16</v>
      </c>
      <c r="E13" s="131" t="s">
        <v>16</v>
      </c>
      <c r="F13" s="131" t="s">
        <v>16</v>
      </c>
      <c r="G13" s="131" t="s">
        <v>16</v>
      </c>
      <c r="H13" s="131" t="s">
        <v>16</v>
      </c>
      <c r="I13" s="131" t="s">
        <v>17</v>
      </c>
      <c r="J13" s="131" t="s">
        <v>17</v>
      </c>
      <c r="K13" s="125" t="s">
        <v>7</v>
      </c>
      <c r="L13" s="125" t="s">
        <v>7</v>
      </c>
      <c r="M13" s="125" t="s">
        <v>7</v>
      </c>
      <c r="N13" s="125" t="s">
        <v>7</v>
      </c>
      <c r="O13" s="125" t="s">
        <v>7</v>
      </c>
      <c r="P13" s="125" t="s">
        <v>7</v>
      </c>
      <c r="Q13" s="125" t="s">
        <v>7</v>
      </c>
      <c r="R13" s="131" t="s">
        <v>16</v>
      </c>
      <c r="S13" s="131" t="s">
        <v>16</v>
      </c>
      <c r="T13" s="131" t="s">
        <v>16</v>
      </c>
      <c r="U13" s="131" t="s">
        <v>16</v>
      </c>
      <c r="V13" s="131" t="s">
        <v>16</v>
      </c>
      <c r="W13" s="131" t="s">
        <v>17</v>
      </c>
      <c r="X13" s="131" t="s">
        <v>17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25" t="s">
        <v>7</v>
      </c>
      <c r="AD13" s="125" t="s">
        <v>7</v>
      </c>
      <c r="AH13"/>
    </row>
    <row r="14" spans="1:34" x14ac:dyDescent="0.25">
      <c r="A14" s="34" t="s">
        <v>12</v>
      </c>
      <c r="B14" s="33" t="s">
        <v>53</v>
      </c>
      <c r="C14" s="125" t="s">
        <v>7</v>
      </c>
      <c r="D14" s="126" t="s">
        <v>20</v>
      </c>
      <c r="E14" s="126" t="s">
        <v>20</v>
      </c>
      <c r="F14" s="126" t="s">
        <v>20</v>
      </c>
      <c r="G14" s="126" t="s">
        <v>20</v>
      </c>
      <c r="H14" s="126" t="s">
        <v>20</v>
      </c>
      <c r="I14" s="125" t="s">
        <v>7</v>
      </c>
      <c r="J14" s="125" t="s">
        <v>7</v>
      </c>
      <c r="K14" s="131" t="s">
        <v>16</v>
      </c>
      <c r="L14" s="131" t="s">
        <v>16</v>
      </c>
      <c r="M14" s="131" t="s">
        <v>16</v>
      </c>
      <c r="N14" s="131" t="s">
        <v>16</v>
      </c>
      <c r="O14" s="131" t="s">
        <v>16</v>
      </c>
      <c r="P14" s="131" t="s">
        <v>17</v>
      </c>
      <c r="Q14" s="131" t="s">
        <v>17</v>
      </c>
      <c r="R14" s="125" t="s">
        <v>7</v>
      </c>
      <c r="S14" s="125" t="s">
        <v>7</v>
      </c>
      <c r="T14" s="125" t="s">
        <v>7</v>
      </c>
      <c r="U14" s="125" t="s">
        <v>7</v>
      </c>
      <c r="V14" s="125" t="s">
        <v>7</v>
      </c>
      <c r="W14" s="125" t="s">
        <v>7</v>
      </c>
      <c r="X14" s="125" t="s">
        <v>7</v>
      </c>
      <c r="Y14" s="131" t="s">
        <v>16</v>
      </c>
      <c r="Z14" s="131" t="s">
        <v>16</v>
      </c>
      <c r="AA14" s="131" t="s">
        <v>16</v>
      </c>
      <c r="AB14" s="131" t="s">
        <v>16</v>
      </c>
      <c r="AC14" s="131" t="s">
        <v>16</v>
      </c>
      <c r="AD14" s="131" t="s">
        <v>17</v>
      </c>
      <c r="AH14"/>
    </row>
    <row r="15" spans="1:34" x14ac:dyDescent="0.2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25">
      <c r="A16" s="34"/>
      <c r="B16" s="52" t="s">
        <v>183</v>
      </c>
      <c r="C16" s="160" t="s">
        <v>7</v>
      </c>
      <c r="D16" s="5" t="s">
        <v>14</v>
      </c>
      <c r="E16" s="5" t="s">
        <v>14</v>
      </c>
      <c r="F16" s="5" t="s">
        <v>14</v>
      </c>
      <c r="G16" s="5" t="s">
        <v>14</v>
      </c>
      <c r="H16" s="5" t="s">
        <v>14</v>
      </c>
      <c r="I16" s="160" t="s">
        <v>7</v>
      </c>
      <c r="J16" s="160" t="s">
        <v>7</v>
      </c>
      <c r="K16" s="5" t="s">
        <v>14</v>
      </c>
      <c r="L16" s="5" t="s">
        <v>14</v>
      </c>
      <c r="M16" s="5" t="s">
        <v>14</v>
      </c>
      <c r="N16" s="5" t="s">
        <v>14</v>
      </c>
      <c r="O16" s="5" t="s">
        <v>14</v>
      </c>
      <c r="P16" s="160" t="s">
        <v>7</v>
      </c>
      <c r="Q16" s="160" t="s">
        <v>7</v>
      </c>
      <c r="R16" s="5" t="s">
        <v>14</v>
      </c>
      <c r="S16" s="5" t="s">
        <v>14</v>
      </c>
      <c r="T16" s="5" t="s">
        <v>14</v>
      </c>
      <c r="U16" s="5" t="s">
        <v>14</v>
      </c>
      <c r="V16" s="5" t="s">
        <v>14</v>
      </c>
      <c r="W16" s="160" t="s">
        <v>7</v>
      </c>
      <c r="X16" s="160" t="s">
        <v>7</v>
      </c>
      <c r="Y16" s="5" t="s">
        <v>14</v>
      </c>
      <c r="Z16" s="5" t="s">
        <v>14</v>
      </c>
      <c r="AA16" s="5" t="s">
        <v>14</v>
      </c>
      <c r="AB16" s="5" t="s">
        <v>14</v>
      </c>
      <c r="AC16" s="5" t="s">
        <v>14</v>
      </c>
      <c r="AD16" s="160" t="s">
        <v>7</v>
      </c>
      <c r="AH16"/>
    </row>
    <row r="17" spans="1:34" x14ac:dyDescent="0.25">
      <c r="A17" s="34"/>
      <c r="E17" s="123"/>
      <c r="F17" s="123"/>
      <c r="G17" s="123"/>
      <c r="H17" s="123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123"/>
      <c r="Z17" s="123"/>
      <c r="AA17" s="123"/>
      <c r="AB17" s="123"/>
      <c r="AC17" s="123"/>
      <c r="AD17" s="50"/>
      <c r="AH17"/>
    </row>
    <row r="18" spans="1:34" x14ac:dyDescent="0.25">
      <c r="A18" s="34" t="s">
        <v>28</v>
      </c>
      <c r="B18" s="33" t="s">
        <v>29</v>
      </c>
      <c r="C18" s="28" t="s">
        <v>30</v>
      </c>
      <c r="D18" s="25" t="s">
        <v>11</v>
      </c>
      <c r="E18" s="25" t="s">
        <v>11</v>
      </c>
      <c r="F18" s="25" t="s">
        <v>11</v>
      </c>
      <c r="G18" s="25" t="s">
        <v>11</v>
      </c>
      <c r="H18" s="25" t="s">
        <v>11</v>
      </c>
      <c r="I18" s="28" t="s">
        <v>7</v>
      </c>
      <c r="J18" s="28" t="s">
        <v>7</v>
      </c>
      <c r="K18" s="4" t="s">
        <v>14</v>
      </c>
      <c r="L18" s="4" t="s">
        <v>14</v>
      </c>
      <c r="M18" s="4" t="s">
        <v>14</v>
      </c>
      <c r="N18" s="4" t="s">
        <v>14</v>
      </c>
      <c r="O18" s="4" t="s">
        <v>14</v>
      </c>
      <c r="P18" s="28" t="s">
        <v>7</v>
      </c>
      <c r="Q18" s="28" t="s">
        <v>7</v>
      </c>
      <c r="R18" s="4" t="s">
        <v>84</v>
      </c>
      <c r="S18" s="4" t="s">
        <v>84</v>
      </c>
      <c r="T18" s="4" t="s">
        <v>84</v>
      </c>
      <c r="U18" s="4" t="s">
        <v>84</v>
      </c>
      <c r="V18" s="4" t="s">
        <v>84</v>
      </c>
      <c r="W18" s="28" t="s">
        <v>30</v>
      </c>
      <c r="X18" s="28" t="s">
        <v>30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8" t="s">
        <v>7</v>
      </c>
      <c r="AH18"/>
    </row>
    <row r="19" spans="1:34" x14ac:dyDescent="0.25">
      <c r="A19" s="34" t="s">
        <v>28</v>
      </c>
      <c r="B19" s="35" t="s">
        <v>60</v>
      </c>
      <c r="C19" s="28" t="s">
        <v>7</v>
      </c>
      <c r="D19" s="4" t="s">
        <v>84</v>
      </c>
      <c r="E19" s="4" t="s">
        <v>84</v>
      </c>
      <c r="F19" s="4" t="s">
        <v>84</v>
      </c>
      <c r="G19" s="4" t="s">
        <v>84</v>
      </c>
      <c r="H19" s="4" t="s">
        <v>84</v>
      </c>
      <c r="I19" s="28" t="s">
        <v>30</v>
      </c>
      <c r="J19" s="28" t="s">
        <v>30</v>
      </c>
      <c r="K19" s="25" t="s">
        <v>11</v>
      </c>
      <c r="L19" s="25" t="s">
        <v>11</v>
      </c>
      <c r="M19" s="25" t="s">
        <v>11</v>
      </c>
      <c r="N19" s="25" t="s">
        <v>11</v>
      </c>
      <c r="O19" s="25" t="s">
        <v>11</v>
      </c>
      <c r="P19" s="28" t="s">
        <v>7</v>
      </c>
      <c r="Q19" s="28" t="s">
        <v>7</v>
      </c>
      <c r="R19" s="4" t="s">
        <v>14</v>
      </c>
      <c r="S19" s="4" t="s">
        <v>14</v>
      </c>
      <c r="T19" s="4" t="s">
        <v>14</v>
      </c>
      <c r="U19" s="4" t="s">
        <v>14</v>
      </c>
      <c r="V19" s="4" t="s">
        <v>14</v>
      </c>
      <c r="W19" s="28" t="s">
        <v>7</v>
      </c>
      <c r="X19" s="28" t="s">
        <v>7</v>
      </c>
      <c r="Y19" s="4" t="s">
        <v>84</v>
      </c>
      <c r="Z19" s="4" t="s">
        <v>84</v>
      </c>
      <c r="AA19" s="4" t="s">
        <v>84</v>
      </c>
      <c r="AB19" s="4" t="s">
        <v>84</v>
      </c>
      <c r="AC19" s="4" t="s">
        <v>84</v>
      </c>
      <c r="AD19" s="28" t="s">
        <v>30</v>
      </c>
      <c r="AH19"/>
    </row>
    <row r="20" spans="1:34" x14ac:dyDescent="0.25">
      <c r="A20" s="34" t="s">
        <v>28</v>
      </c>
      <c r="B20" s="35" t="s">
        <v>34</v>
      </c>
      <c r="C20" s="28" t="s">
        <v>7</v>
      </c>
      <c r="D20" s="4" t="s">
        <v>14</v>
      </c>
      <c r="E20" s="4" t="s">
        <v>14</v>
      </c>
      <c r="F20" s="4" t="s">
        <v>14</v>
      </c>
      <c r="G20" s="4" t="s">
        <v>14</v>
      </c>
      <c r="H20" s="4" t="s">
        <v>14</v>
      </c>
      <c r="I20" s="28" t="s">
        <v>7</v>
      </c>
      <c r="J20" s="28" t="s">
        <v>7</v>
      </c>
      <c r="K20" s="4" t="s">
        <v>84</v>
      </c>
      <c r="L20" s="4" t="s">
        <v>84</v>
      </c>
      <c r="M20" s="4" t="s">
        <v>84</v>
      </c>
      <c r="N20" s="4" t="s">
        <v>84</v>
      </c>
      <c r="O20" s="4" t="s">
        <v>84</v>
      </c>
      <c r="P20" s="28" t="s">
        <v>30</v>
      </c>
      <c r="Q20" s="28" t="s">
        <v>30</v>
      </c>
      <c r="R20" s="25" t="s">
        <v>11</v>
      </c>
      <c r="S20" s="25" t="s">
        <v>11</v>
      </c>
      <c r="T20" s="25" t="s">
        <v>11</v>
      </c>
      <c r="U20" s="25" t="s">
        <v>11</v>
      </c>
      <c r="V20" s="25" t="s">
        <v>11</v>
      </c>
      <c r="W20" s="28" t="s">
        <v>7</v>
      </c>
      <c r="X20" s="28" t="s">
        <v>7</v>
      </c>
      <c r="Y20" s="4" t="s">
        <v>14</v>
      </c>
      <c r="Z20" s="4" t="s">
        <v>14</v>
      </c>
      <c r="AA20" s="4" t="s">
        <v>14</v>
      </c>
      <c r="AB20" s="4" t="s">
        <v>14</v>
      </c>
      <c r="AC20" s="4" t="s">
        <v>14</v>
      </c>
      <c r="AD20" s="28" t="s">
        <v>7</v>
      </c>
      <c r="AH20"/>
    </row>
    <row r="22" spans="1:34" x14ac:dyDescent="0.25">
      <c r="B22" s="111" t="s">
        <v>88</v>
      </c>
      <c r="C22" s="110">
        <f t="shared" ref="C22:AD22" si="0">SUM(C23:C25)</f>
        <v>4</v>
      </c>
      <c r="D22" s="110">
        <f t="shared" si="0"/>
        <v>6</v>
      </c>
      <c r="E22" s="110">
        <f t="shared" si="0"/>
        <v>4</v>
      </c>
      <c r="F22" s="110">
        <f t="shared" si="0"/>
        <v>6</v>
      </c>
      <c r="G22" s="110">
        <f t="shared" si="0"/>
        <v>6</v>
      </c>
      <c r="H22" s="110">
        <f t="shared" si="0"/>
        <v>6</v>
      </c>
      <c r="I22" s="110">
        <f t="shared" si="0"/>
        <v>4</v>
      </c>
      <c r="J22" s="110">
        <f t="shared" si="0"/>
        <v>4</v>
      </c>
      <c r="K22" s="110">
        <f t="shared" si="0"/>
        <v>6</v>
      </c>
      <c r="L22" s="110">
        <f t="shared" si="0"/>
        <v>6</v>
      </c>
      <c r="M22" s="110">
        <f t="shared" si="0"/>
        <v>6</v>
      </c>
      <c r="N22" s="110">
        <f t="shared" si="0"/>
        <v>6</v>
      </c>
      <c r="O22" s="110">
        <f t="shared" si="0"/>
        <v>6</v>
      </c>
      <c r="P22" s="110">
        <f t="shared" si="0"/>
        <v>4</v>
      </c>
      <c r="Q22" s="110">
        <f t="shared" si="0"/>
        <v>4</v>
      </c>
      <c r="R22" s="110">
        <f t="shared" si="0"/>
        <v>6</v>
      </c>
      <c r="S22" s="110">
        <f t="shared" si="0"/>
        <v>6</v>
      </c>
      <c r="T22" s="110">
        <f t="shared" si="0"/>
        <v>6</v>
      </c>
      <c r="U22" s="110">
        <f t="shared" si="0"/>
        <v>6</v>
      </c>
      <c r="V22" s="110">
        <f t="shared" si="0"/>
        <v>6</v>
      </c>
      <c r="W22" s="110">
        <f t="shared" si="0"/>
        <v>4</v>
      </c>
      <c r="X22" s="110">
        <f t="shared" si="0"/>
        <v>4</v>
      </c>
      <c r="Y22" s="110">
        <f t="shared" si="0"/>
        <v>6</v>
      </c>
      <c r="Z22" s="110">
        <f t="shared" si="0"/>
        <v>6</v>
      </c>
      <c r="AA22" s="110">
        <f t="shared" si="0"/>
        <v>6</v>
      </c>
      <c r="AB22" s="110">
        <f t="shared" si="0"/>
        <v>6</v>
      </c>
      <c r="AC22" s="110">
        <f t="shared" si="0"/>
        <v>6</v>
      </c>
      <c r="AD22" s="110">
        <f t="shared" si="0"/>
        <v>4</v>
      </c>
    </row>
    <row r="23" spans="1:34" x14ac:dyDescent="0.25">
      <c r="B23" s="111" t="s">
        <v>89</v>
      </c>
      <c r="C23" s="112">
        <f>COUNTIF(C4:C20,"T")</f>
        <v>0</v>
      </c>
      <c r="D23" s="112">
        <f>COUNTIF(D4:D20,"T")</f>
        <v>2</v>
      </c>
      <c r="E23" s="112">
        <f>COUNTIF(E4:E20,"T")</f>
        <v>2</v>
      </c>
      <c r="F23" s="112">
        <f>COUNTIF(F4:F20,"T")</f>
        <v>2</v>
      </c>
      <c r="G23" s="112">
        <f>COUNTIF(G4:G20,"T")</f>
        <v>2</v>
      </c>
      <c r="H23" s="112">
        <f>COUNTIF(H4:H20,"T")</f>
        <v>2</v>
      </c>
      <c r="I23" s="112">
        <f>COUNTIF(I4:I20,"T")</f>
        <v>0</v>
      </c>
      <c r="J23" s="112">
        <f>COUNTIF(J4:J20,"T")</f>
        <v>0</v>
      </c>
      <c r="K23" s="112">
        <f>COUNTIF(K4:K20,"T")</f>
        <v>2</v>
      </c>
      <c r="L23" s="112">
        <f>COUNTIF(L4:L20,"T")</f>
        <v>2</v>
      </c>
      <c r="M23" s="112">
        <f>COUNTIF(M4:M20,"T")</f>
        <v>2</v>
      </c>
      <c r="N23" s="112">
        <f>COUNTIF(N4:N20,"T")</f>
        <v>2</v>
      </c>
      <c r="O23" s="112">
        <f>COUNTIF(O4:O20,"T")</f>
        <v>2</v>
      </c>
      <c r="P23" s="112">
        <f>COUNTIF(P4:P20,"T")</f>
        <v>0</v>
      </c>
      <c r="Q23" s="112">
        <f>COUNTIF(Q4:Q20,"T")</f>
        <v>0</v>
      </c>
      <c r="R23" s="112">
        <f>COUNTIF(R4:R20,"T")</f>
        <v>2</v>
      </c>
      <c r="S23" s="112">
        <f>COUNTIF(S4:S20,"T")</f>
        <v>2</v>
      </c>
      <c r="T23" s="112">
        <f>COUNTIF(T4:T20,"T")</f>
        <v>2</v>
      </c>
      <c r="U23" s="112">
        <f>COUNTIF(U4:U20,"T")</f>
        <v>2</v>
      </c>
      <c r="V23" s="112">
        <f>COUNTIF(V4:V20,"T")</f>
        <v>2</v>
      </c>
      <c r="W23" s="112">
        <f>COUNTIF(W4:W20,"T")</f>
        <v>0</v>
      </c>
      <c r="X23" s="112">
        <f>COUNTIF(X4:X20,"T")</f>
        <v>0</v>
      </c>
      <c r="Y23" s="112">
        <f>COUNTIF(Y4:Y20,"T")</f>
        <v>2</v>
      </c>
      <c r="Z23" s="112">
        <f>COUNTIF(Z4:Z20,"T")</f>
        <v>2</v>
      </c>
      <c r="AA23" s="112">
        <f>COUNTIF(AA4:AA20,"T")</f>
        <v>2</v>
      </c>
      <c r="AB23" s="112">
        <f>COUNTIF(AB4:AB20,"T")</f>
        <v>2</v>
      </c>
      <c r="AC23" s="112">
        <f>COUNTIF(AC4:AC20,"T")</f>
        <v>2</v>
      </c>
      <c r="AD23" s="112">
        <f>COUNTIF(AD4:AD20,"T")</f>
        <v>0</v>
      </c>
    </row>
    <row r="24" spans="1:34" x14ac:dyDescent="0.25">
      <c r="B24" s="111" t="s">
        <v>90</v>
      </c>
      <c r="C24" s="112">
        <f>COUNTIF(C4:C20,"N")+COUNTIF(C4:C20,"NF")</f>
        <v>2</v>
      </c>
      <c r="D24" s="112">
        <f>COUNTIF(D4:D20,"N")+COUNTIF(D4:D20,"NF")</f>
        <v>2</v>
      </c>
      <c r="E24" s="112">
        <f>COUNTIF(E4:E20,"N")+COUNTIF(E4:E20,"NF")</f>
        <v>2</v>
      </c>
      <c r="F24" s="112">
        <f>COUNTIF(F4:F20,"N")+COUNTIF(F4:F20,"NF")</f>
        <v>2</v>
      </c>
      <c r="G24" s="112">
        <f>COUNTIF(G4:G20,"N")+COUNTIF(G4:G20,"NF")</f>
        <v>2</v>
      </c>
      <c r="H24" s="112">
        <f>COUNTIF(H4:H20,"N")+COUNTIF(H4:H20,"NF")</f>
        <v>2</v>
      </c>
      <c r="I24" s="112">
        <f>COUNTIF(I4:I20,"N")+COUNTIF(I4:I20,"NF")</f>
        <v>2</v>
      </c>
      <c r="J24" s="112">
        <f>COUNTIF(J4:J20,"N")+COUNTIF(J4:J20,"NF")</f>
        <v>2</v>
      </c>
      <c r="K24" s="112">
        <f>COUNTIF(K4:K20,"N")+COUNTIF(K4:K20,"NF")</f>
        <v>2</v>
      </c>
      <c r="L24" s="112">
        <f>COUNTIF(L4:L20,"N")+COUNTIF(L4:L20,"NF")</f>
        <v>2</v>
      </c>
      <c r="M24" s="112">
        <f>COUNTIF(M4:M20,"N")+COUNTIF(M4:M20,"NF")</f>
        <v>2</v>
      </c>
      <c r="N24" s="112">
        <f>COUNTIF(N4:N20,"N")+COUNTIF(N4:N20,"NF")</f>
        <v>2</v>
      </c>
      <c r="O24" s="112">
        <f>COUNTIF(O4:O20,"N")+COUNTIF(O4:O20,"NF")</f>
        <v>2</v>
      </c>
      <c r="P24" s="112">
        <f>COUNTIF(P4:P20,"N")+COUNTIF(P4:P20,"NF")</f>
        <v>2</v>
      </c>
      <c r="Q24" s="112">
        <f>COUNTIF(Q4:Q20,"N")+COUNTIF(Q4:Q20,"NF")</f>
        <v>2</v>
      </c>
      <c r="R24" s="112">
        <f>COUNTIF(R4:R20,"N")+COUNTIF(R4:R20,"NF")</f>
        <v>2</v>
      </c>
      <c r="S24" s="112">
        <f>COUNTIF(S4:S20,"N")+COUNTIF(S4:S20,"NF")</f>
        <v>2</v>
      </c>
      <c r="T24" s="112">
        <f>COUNTIF(T4:T20,"N")+COUNTIF(T4:T20,"NF")</f>
        <v>2</v>
      </c>
      <c r="U24" s="112">
        <f>COUNTIF(U4:U20,"N")+COUNTIF(U4:U20,"NF")</f>
        <v>2</v>
      </c>
      <c r="V24" s="112">
        <f>COUNTIF(V4:V20,"N")+COUNTIF(V4:V20,"NF")</f>
        <v>2</v>
      </c>
      <c r="W24" s="112">
        <f>COUNTIF(W4:W20,"N")+COUNTIF(W4:W20,"NF")</f>
        <v>2</v>
      </c>
      <c r="X24" s="112">
        <f>COUNTIF(X4:X20,"N")+COUNTIF(X4:X20,"NF")</f>
        <v>2</v>
      </c>
      <c r="Y24" s="112">
        <f>COUNTIF(Y4:Y20,"N")+COUNTIF(Y4:Y20,"NF")</f>
        <v>2</v>
      </c>
      <c r="Z24" s="112">
        <f>COUNTIF(Z4:Z20,"N")+COUNTIF(Z4:Z20,"NF")</f>
        <v>2</v>
      </c>
      <c r="AA24" s="112">
        <f>COUNTIF(AA4:AA20,"N")+COUNTIF(AA4:AA20,"NF")</f>
        <v>2</v>
      </c>
      <c r="AB24" s="112">
        <f>COUNTIF(AB4:AB20,"N")+COUNTIF(AB4:AB20,"NF")</f>
        <v>2</v>
      </c>
      <c r="AC24" s="112">
        <f>COUNTIF(AC4:AC20,"N")+COUNTIF(AC4:AC20,"NF")</f>
        <v>2</v>
      </c>
      <c r="AD24" s="112">
        <f>COUNTIF(AD4:AD20,"N")+COUNTIF(AD4:AD20,"NF")</f>
        <v>2</v>
      </c>
    </row>
    <row r="25" spans="1:34" x14ac:dyDescent="0.25">
      <c r="B25" s="111" t="s">
        <v>91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0</v>
      </c>
      <c r="F25" s="112">
        <f>COUNTIF(F4:F20,"M/F")+COUNTIF(F4:F20,"M1")+COUNTIF(F4:F20,"M3")+COUNTIF(F4:F20,"M3/G")+COUNTIF(F4:F20,"M2")</f>
        <v>2</v>
      </c>
      <c r="G25" s="112">
        <f>COUNTIF(G4:G20,"M/F")+COUNTIF(G4:G20,"M1")+COUNTIF(G4:G20,"M3")+COUNTIF(G4:G20,"M3/G")+COUNTIF(G4:G20,"M2")</f>
        <v>2</v>
      </c>
      <c r="H25" s="112">
        <f>COUNTIF(H4:H20,"M/F")+COUNTIF(H4:H20,"M1")+COUNTIF(H4:H20,"M3")+COUNTIF(H4:H20,"M3/G")+COUNTIF(H4:H20,"M2")</f>
        <v>2</v>
      </c>
      <c r="I25" s="112">
        <f>COUNTIF(I4:I20,"M/F")+COUNTIF(I4:I20,"M1")+COUNTIF(I4:I20,"M3")+COUNTIF(I4:I20,"M3/G")+COUNTIF(I4:I20,"M2")</f>
        <v>2</v>
      </c>
      <c r="J25" s="112">
        <f>COUNTIF(J4:J20,"M/F")+COUNTIF(J4:J20,"M1")+COUNTIF(J4:J20,"M3")+COUNTIF(J4:J20,"M3/G")+COUNTIF(J4:J20,"M2")</f>
        <v>2</v>
      </c>
      <c r="K25" s="112">
        <f>COUNTIF(K4:K20,"M/F")+COUNTIF(K4:K20,"M1")+COUNTIF(K4:K20,"M3")+COUNTIF(K4:K20,"M3/G")+COUNTIF(K4:K20,"M2")</f>
        <v>2</v>
      </c>
      <c r="L25" s="112">
        <f>COUNTIF(L4:L20,"M/F")+COUNTIF(L4:L20,"M1")+COUNTIF(L4:L20,"M3")+COUNTIF(L4:L20,"M3/G")+COUNTIF(L4:L20,"M2")</f>
        <v>2</v>
      </c>
      <c r="M25" s="112">
        <f>COUNTIF(M4:M20,"M/F")+COUNTIF(M4:M20,"M1")+COUNTIF(M4:M20,"M3")+COUNTIF(M4:M20,"M3/G")+COUNTIF(M4:M20,"M2")</f>
        <v>2</v>
      </c>
      <c r="N25" s="112">
        <f>COUNTIF(N4:N20,"M/F")+COUNTIF(N4:N20,"M1")+COUNTIF(N4:N20,"M3")+COUNTIF(N4:N20,"M3/G")+COUNTIF(N4:N20,"M2")</f>
        <v>2</v>
      </c>
      <c r="O25" s="112">
        <f>COUNTIF(O4:O20,"M/F")+COUNTIF(O4:O20,"M1")+COUNTIF(O4:O20,"M3")+COUNTIF(O4:O20,"M3/G")+COUNTIF(O4:O20,"M2")</f>
        <v>2</v>
      </c>
      <c r="P25" s="112">
        <f>COUNTIF(P4:P20,"M/F")+COUNTIF(P4:P20,"M1")+COUNTIF(P4:P20,"M3")+COUNTIF(P4:P20,"M3/G")+COUNTIF(P4:P20,"M2")</f>
        <v>2</v>
      </c>
      <c r="Q25" s="112">
        <f>COUNTIF(Q4:Q20,"M/F")+COUNTIF(Q4:Q20,"M1")+COUNTIF(Q4:Q20,"M3")+COUNTIF(Q4:Q20,"M3/G")+COUNTIF(Q4:Q20,"M2")</f>
        <v>2</v>
      </c>
      <c r="R25" s="112">
        <f>COUNTIF(R4:R20,"M/F")+COUNTIF(R4:R20,"M1")+COUNTIF(R4:R20,"M3")+COUNTIF(R4:R20,"M3/G")+COUNTIF(R4:R20,"M2")</f>
        <v>2</v>
      </c>
      <c r="S25" s="112">
        <f>COUNTIF(S4:S20,"M/F")+COUNTIF(S4:S20,"M1")+COUNTIF(S4:S20,"M3")+COUNTIF(S4:S20,"M3/G")+COUNTIF(S4:S20,"M2")</f>
        <v>2</v>
      </c>
      <c r="T25" s="112">
        <f>COUNTIF(T4:T20,"M/F")+COUNTIF(T4:T20,"M1")+COUNTIF(T4:T20,"M3")+COUNTIF(T4:T20,"M3/G")+COUNTIF(T4:T20,"M2")</f>
        <v>2</v>
      </c>
      <c r="U25" s="112">
        <f>COUNTIF(U4:U20,"M/F")+COUNTIF(U4:U20,"M1")+COUNTIF(U4:U20,"M3")+COUNTIF(U4:U20,"M3/G")+COUNTIF(U4:U20,"M2")</f>
        <v>2</v>
      </c>
      <c r="V25" s="112">
        <f>COUNTIF(V4:V20,"M/F")+COUNTIF(V4:V20,"M1")+COUNTIF(V4:V20,"M3")+COUNTIF(V4:V20,"M3/G")+COUNTIF(V4:V20,"M2")</f>
        <v>2</v>
      </c>
      <c r="W25" s="112">
        <f>COUNTIF(W4:W20,"M/F")+COUNTIF(W4:W20,"M1")+COUNTIF(W4:W20,"M3")+COUNTIF(W4:W20,"M3/G")+COUNTIF(W4:W20,"M2")</f>
        <v>2</v>
      </c>
      <c r="X25" s="112">
        <f>COUNTIF(X4:X20,"M/F")+COUNTIF(X4:X20,"M1")+COUNTIF(X4:X20,"M3")+COUNTIF(X4:X20,"M3/G")+COUNTIF(X4:X20,"M2")</f>
        <v>2</v>
      </c>
      <c r="Y25" s="112">
        <f>COUNTIF(Y4:Y20,"M/F")+COUNTIF(Y4:Y20,"M1")+COUNTIF(Y4:Y20,"M3")+COUNTIF(Y4:Y20,"M3/G")+COUNTIF(Y4:Y20,"M2")</f>
        <v>2</v>
      </c>
      <c r="Z25" s="112">
        <f>COUNTIF(Z4:Z20,"M/F")+COUNTIF(Z4:Z20,"M1")+COUNTIF(Z4:Z20,"M3")+COUNTIF(Z4:Z20,"M3/G")+COUNTIF(Z4:Z20,"M2")</f>
        <v>2</v>
      </c>
      <c r="AA25" s="112">
        <f>COUNTIF(AA4:AA20,"M/F")+COUNTIF(AA4:AA20,"M1")+COUNTIF(AA4:AA20,"M3")+COUNTIF(AA4:AA20,"M3/G")+COUNTIF(AA4:AA20,"M2")</f>
        <v>2</v>
      </c>
      <c r="AB25" s="112">
        <f>COUNTIF(AB4:AB20,"M/F")+COUNTIF(AB4:AB20,"M1")+COUNTIF(AB4:AB20,"M3")+COUNTIF(AB4:AB20,"M3/G")+COUNTIF(AB4:AB20,"M2")</f>
        <v>2</v>
      </c>
      <c r="AC25" s="112">
        <f>COUNTIF(AC4:AC20,"M/F")+COUNTIF(AC4:AC20,"M1")+COUNTIF(AC4:AC20,"M3")+COUNTIF(AC4:AC20,"M3/G")+COUNTIF(AC4:AC20,"M2")</f>
        <v>2</v>
      </c>
      <c r="AD25" s="112">
        <f>COUNTIF(AD4:AD20,"M/F")+COUNTIF(AD4:AD20,"M1")+COUNTIF(AD4:AD20,"M3")+COUNTIF(AD4:AD20,"M3/G")+COUNTIF(AD4:AD20,"M2")</f>
        <v>2</v>
      </c>
    </row>
    <row r="27" spans="1:34" x14ac:dyDescent="0.25">
      <c r="B27" t="s">
        <v>65</v>
      </c>
    </row>
    <row r="28" spans="1:34" x14ac:dyDescent="0.25">
      <c r="B28" s="5" t="s">
        <v>66</v>
      </c>
    </row>
    <row r="29" spans="1:34" x14ac:dyDescent="0.25">
      <c r="B29" s="5" t="s">
        <v>67</v>
      </c>
    </row>
    <row r="30" spans="1:34" x14ac:dyDescent="0.25">
      <c r="B30" s="1" t="s">
        <v>68</v>
      </c>
    </row>
    <row r="31" spans="1:34" x14ac:dyDescent="0.25">
      <c r="B31" s="7" t="s">
        <v>69</v>
      </c>
    </row>
    <row r="32" spans="1:34" x14ac:dyDescent="0.25">
      <c r="B32" s="3" t="s">
        <v>70</v>
      </c>
    </row>
    <row r="33" spans="2:2" x14ac:dyDescent="0.25">
      <c r="B33" s="5" t="s">
        <v>71</v>
      </c>
    </row>
    <row r="34" spans="2:2" x14ac:dyDescent="0.25">
      <c r="B34" s="3" t="s">
        <v>72</v>
      </c>
    </row>
    <row r="35" spans="2:2" x14ac:dyDescent="0.25">
      <c r="B35" s="4" t="s">
        <v>73</v>
      </c>
    </row>
    <row r="36" spans="2:2" x14ac:dyDescent="0.25">
      <c r="B36" s="25" t="s">
        <v>74</v>
      </c>
    </row>
    <row r="37" spans="2:2" x14ac:dyDescent="0.25">
      <c r="B37" s="4" t="s">
        <v>92</v>
      </c>
    </row>
    <row r="38" spans="2:2" x14ac:dyDescent="0.25">
      <c r="B38" s="28" t="s">
        <v>76</v>
      </c>
    </row>
    <row r="39" spans="2:2" x14ac:dyDescent="0.25">
      <c r="B39" s="17" t="s">
        <v>77</v>
      </c>
    </row>
  </sheetData>
  <mergeCells count="2">
    <mergeCell ref="B1:B3"/>
    <mergeCell ref="C1:AD1"/>
  </mergeCells>
  <conditionalFormatting sqref="C23:AD25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9"/>
  <sheetViews>
    <sheetView workbookViewId="0">
      <selection activeCell="C10" sqref="C10:AG14"/>
    </sheetView>
  </sheetViews>
  <sheetFormatPr baseColWidth="10" defaultColWidth="8.85546875" defaultRowHeight="15" x14ac:dyDescent="0.2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 x14ac:dyDescent="0.25">
      <c r="A1" s="6"/>
      <c r="B1" s="142"/>
      <c r="C1" s="157" t="s">
        <v>97</v>
      </c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158"/>
      <c r="AE1" s="158"/>
      <c r="AF1" s="158"/>
      <c r="AG1" s="158"/>
    </row>
    <row r="2" spans="1:34" x14ac:dyDescent="0.25">
      <c r="A2" s="6"/>
      <c r="B2" s="142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 s="84" t="s">
        <v>1</v>
      </c>
      <c r="AH2"/>
    </row>
    <row r="3" spans="1:34" x14ac:dyDescent="0.25">
      <c r="A3" s="6"/>
      <c r="B3" s="14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25">
      <c r="A4" s="63" t="s">
        <v>12</v>
      </c>
      <c r="B4" s="62" t="s">
        <v>13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 s="28" t="s">
        <v>7</v>
      </c>
      <c r="AH4"/>
    </row>
    <row r="5" spans="1:34" x14ac:dyDescent="0.25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 s="5" t="s">
        <v>14</v>
      </c>
      <c r="AH5"/>
    </row>
    <row r="6" spans="1:34" x14ac:dyDescent="0.25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 s="28" t="s">
        <v>7</v>
      </c>
      <c r="AH6"/>
    </row>
    <row r="7" spans="1:34" x14ac:dyDescent="0.25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 s="1" t="s">
        <v>14</v>
      </c>
      <c r="AH7"/>
    </row>
    <row r="8" spans="1:34" x14ac:dyDescent="0.25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 s="7" t="s">
        <v>20</v>
      </c>
      <c r="AH8"/>
    </row>
    <row r="9" spans="1:34" x14ac:dyDescent="0.2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25">
      <c r="A10" s="34" t="s">
        <v>12</v>
      </c>
      <c r="B10" s="122" t="s">
        <v>23</v>
      </c>
      <c r="C10" s="125" t="s">
        <v>7</v>
      </c>
      <c r="D10" s="131" t="s">
        <v>16</v>
      </c>
      <c r="E10" s="131" t="s">
        <v>16</v>
      </c>
      <c r="F10" s="131" t="s">
        <v>16</v>
      </c>
      <c r="G10" s="131" t="s">
        <v>16</v>
      </c>
      <c r="H10" s="131" t="s">
        <v>16</v>
      </c>
      <c r="I10" s="131" t="s">
        <v>17</v>
      </c>
      <c r="J10" s="131" t="s">
        <v>17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6" t="s">
        <v>20</v>
      </c>
      <c r="S10" s="126" t="s">
        <v>20</v>
      </c>
      <c r="T10" s="126" t="s">
        <v>20</v>
      </c>
      <c r="U10" s="126" t="s">
        <v>20</v>
      </c>
      <c r="V10" s="126" t="s">
        <v>20</v>
      </c>
      <c r="W10" s="125" t="s">
        <v>7</v>
      </c>
      <c r="X10" s="125" t="s">
        <v>7</v>
      </c>
      <c r="Y10" s="131" t="s">
        <v>16</v>
      </c>
      <c r="Z10" s="131" t="s">
        <v>16</v>
      </c>
      <c r="AA10" s="131" t="s">
        <v>16</v>
      </c>
      <c r="AB10" s="131" t="s">
        <v>16</v>
      </c>
      <c r="AC10" s="131" t="s">
        <v>16</v>
      </c>
      <c r="AD10" s="131" t="s">
        <v>17</v>
      </c>
      <c r="AE10" s="131" t="s">
        <v>17</v>
      </c>
      <c r="AF10" s="125" t="s">
        <v>7</v>
      </c>
      <c r="AG10" s="125" t="s">
        <v>7</v>
      </c>
      <c r="AH10"/>
    </row>
    <row r="11" spans="1:34" x14ac:dyDescent="0.25">
      <c r="A11" s="34" t="s">
        <v>12</v>
      </c>
      <c r="B11" s="33" t="s">
        <v>52</v>
      </c>
      <c r="C11" s="131" t="s">
        <v>17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31" t="s">
        <v>16</v>
      </c>
      <c r="L11" s="131" t="s">
        <v>16</v>
      </c>
      <c r="M11" s="131" t="s">
        <v>16</v>
      </c>
      <c r="N11" s="131" t="s">
        <v>16</v>
      </c>
      <c r="O11" s="131" t="s">
        <v>16</v>
      </c>
      <c r="P11" s="131" t="s">
        <v>17</v>
      </c>
      <c r="Q11" s="131" t="s">
        <v>17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6" t="s">
        <v>20</v>
      </c>
      <c r="Z11" s="126" t="s">
        <v>20</v>
      </c>
      <c r="AA11" s="126" t="s">
        <v>20</v>
      </c>
      <c r="AB11" s="126" t="s">
        <v>20</v>
      </c>
      <c r="AC11" s="126" t="s">
        <v>20</v>
      </c>
      <c r="AD11" s="125" t="s">
        <v>7</v>
      </c>
      <c r="AE11" s="125" t="s">
        <v>7</v>
      </c>
      <c r="AF11" s="131" t="s">
        <v>16</v>
      </c>
      <c r="AG11" s="131" t="s">
        <v>16</v>
      </c>
      <c r="AH11"/>
    </row>
    <row r="12" spans="1:34" x14ac:dyDescent="0.25">
      <c r="A12" s="34" t="s">
        <v>12</v>
      </c>
      <c r="B12" s="33" t="s">
        <v>24</v>
      </c>
      <c r="C12" s="125" t="s">
        <v>7</v>
      </c>
      <c r="D12" s="131" t="s">
        <v>16</v>
      </c>
      <c r="E12" s="131" t="s">
        <v>16</v>
      </c>
      <c r="F12" s="131" t="s">
        <v>16</v>
      </c>
      <c r="G12" s="131" t="s">
        <v>16</v>
      </c>
      <c r="H12" s="131" t="s">
        <v>16</v>
      </c>
      <c r="I12" s="131" t="s">
        <v>17</v>
      </c>
      <c r="J12" s="131" t="s">
        <v>17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31" t="s">
        <v>16</v>
      </c>
      <c r="S12" s="131" t="s">
        <v>16</v>
      </c>
      <c r="T12" s="131" t="s">
        <v>16</v>
      </c>
      <c r="U12" s="131" t="s">
        <v>16</v>
      </c>
      <c r="V12" s="131" t="s">
        <v>16</v>
      </c>
      <c r="W12" s="131" t="s">
        <v>17</v>
      </c>
      <c r="X12" s="131" t="s">
        <v>17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6" t="s">
        <v>20</v>
      </c>
      <c r="AG12" s="126" t="s">
        <v>20</v>
      </c>
      <c r="AH12"/>
    </row>
    <row r="13" spans="1:34" x14ac:dyDescent="0.25">
      <c r="A13" s="34" t="s">
        <v>12</v>
      </c>
      <c r="B13" s="33" t="s">
        <v>83</v>
      </c>
      <c r="C13" s="125" t="s">
        <v>7</v>
      </c>
      <c r="D13" s="126" t="s">
        <v>20</v>
      </c>
      <c r="E13" s="126" t="s">
        <v>20</v>
      </c>
      <c r="F13" s="126" t="s">
        <v>20</v>
      </c>
      <c r="G13" s="126" t="s">
        <v>20</v>
      </c>
      <c r="H13" s="126" t="s">
        <v>20</v>
      </c>
      <c r="I13" s="125" t="s">
        <v>7</v>
      </c>
      <c r="J13" s="125" t="s">
        <v>7</v>
      </c>
      <c r="K13" s="131" t="s">
        <v>16</v>
      </c>
      <c r="L13" s="131" t="s">
        <v>16</v>
      </c>
      <c r="M13" s="131" t="s">
        <v>16</v>
      </c>
      <c r="N13" s="131" t="s">
        <v>16</v>
      </c>
      <c r="O13" s="131" t="s">
        <v>16</v>
      </c>
      <c r="P13" s="131" t="s">
        <v>17</v>
      </c>
      <c r="Q13" s="131" t="s">
        <v>17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31" t="s">
        <v>16</v>
      </c>
      <c r="Z13" s="131" t="s">
        <v>16</v>
      </c>
      <c r="AA13" s="131" t="s">
        <v>16</v>
      </c>
      <c r="AB13" s="131" t="s">
        <v>16</v>
      </c>
      <c r="AC13" s="131" t="s">
        <v>16</v>
      </c>
      <c r="AD13" s="131" t="s">
        <v>17</v>
      </c>
      <c r="AE13" s="131" t="s">
        <v>17</v>
      </c>
      <c r="AF13" s="125" t="s">
        <v>7</v>
      </c>
      <c r="AG13" s="125" t="s">
        <v>7</v>
      </c>
      <c r="AH13"/>
    </row>
    <row r="14" spans="1:34" x14ac:dyDescent="0.25">
      <c r="A14" s="34" t="s">
        <v>12</v>
      </c>
      <c r="B14" s="33" t="s">
        <v>53</v>
      </c>
      <c r="C14" s="131" t="s">
        <v>17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6" t="s">
        <v>20</v>
      </c>
      <c r="L14" s="126" t="s">
        <v>20</v>
      </c>
      <c r="M14" s="126" t="s">
        <v>20</v>
      </c>
      <c r="N14" s="126" t="s">
        <v>20</v>
      </c>
      <c r="O14" s="126" t="s">
        <v>20</v>
      </c>
      <c r="P14" s="125" t="s">
        <v>7</v>
      </c>
      <c r="Q14" s="125" t="s">
        <v>7</v>
      </c>
      <c r="R14" s="131" t="s">
        <v>16</v>
      </c>
      <c r="S14" s="131" t="s">
        <v>16</v>
      </c>
      <c r="T14" s="131" t="s">
        <v>16</v>
      </c>
      <c r="U14" s="131" t="s">
        <v>16</v>
      </c>
      <c r="V14" s="131" t="s">
        <v>16</v>
      </c>
      <c r="W14" s="131" t="s">
        <v>17</v>
      </c>
      <c r="X14" s="131" t="s">
        <v>17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31" t="s">
        <v>16</v>
      </c>
      <c r="AG14" s="131" t="s">
        <v>16</v>
      </c>
      <c r="AH14"/>
    </row>
    <row r="15" spans="1:34" x14ac:dyDescent="0.25">
      <c r="A15" s="34"/>
      <c r="AH15"/>
    </row>
    <row r="16" spans="1:34" x14ac:dyDescent="0.25">
      <c r="A16" s="34"/>
      <c r="B16" s="52" t="s">
        <v>183</v>
      </c>
      <c r="C16" s="160" t="s">
        <v>7</v>
      </c>
      <c r="D16" s="5" t="s">
        <v>14</v>
      </c>
      <c r="E16" s="5" t="s">
        <v>14</v>
      </c>
      <c r="F16" s="5" t="s">
        <v>14</v>
      </c>
      <c r="G16" s="5" t="s">
        <v>14</v>
      </c>
      <c r="H16" s="5" t="s">
        <v>14</v>
      </c>
      <c r="I16" s="160" t="s">
        <v>7</v>
      </c>
      <c r="J16" s="160" t="s">
        <v>7</v>
      </c>
      <c r="K16" s="5" t="s">
        <v>14</v>
      </c>
      <c r="L16" s="5" t="s">
        <v>14</v>
      </c>
      <c r="M16" s="5" t="s">
        <v>14</v>
      </c>
      <c r="N16" s="5" t="s">
        <v>14</v>
      </c>
      <c r="O16" s="5" t="s">
        <v>14</v>
      </c>
      <c r="P16" s="160" t="s">
        <v>7</v>
      </c>
      <c r="Q16" s="160" t="s">
        <v>7</v>
      </c>
      <c r="R16" s="5" t="s">
        <v>14</v>
      </c>
      <c r="S16" s="5" t="s">
        <v>14</v>
      </c>
      <c r="T16" s="5" t="s">
        <v>14</v>
      </c>
      <c r="U16" s="5" t="s">
        <v>14</v>
      </c>
      <c r="V16" s="5" t="s">
        <v>14</v>
      </c>
      <c r="W16" s="160" t="s">
        <v>7</v>
      </c>
      <c r="X16" s="160" t="s">
        <v>7</v>
      </c>
      <c r="Y16" s="5" t="s">
        <v>14</v>
      </c>
      <c r="Z16" s="5" t="s">
        <v>14</v>
      </c>
      <c r="AA16" s="5" t="s">
        <v>14</v>
      </c>
      <c r="AB16" s="5" t="s">
        <v>14</v>
      </c>
      <c r="AC16" s="5" t="s">
        <v>14</v>
      </c>
      <c r="AD16" s="160" t="s">
        <v>7</v>
      </c>
      <c r="AE16" s="160" t="s">
        <v>7</v>
      </c>
      <c r="AF16" s="5" t="s">
        <v>14</v>
      </c>
      <c r="AG16" s="5" t="s">
        <v>14</v>
      </c>
      <c r="AH16"/>
    </row>
    <row r="17" spans="1:34" x14ac:dyDescent="0.25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 x14ac:dyDescent="0.25">
      <c r="A18" s="34" t="s">
        <v>28</v>
      </c>
      <c r="B18" s="33" t="s">
        <v>29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84</v>
      </c>
      <c r="L18" s="4" t="s">
        <v>84</v>
      </c>
      <c r="M18" s="4" t="s">
        <v>84</v>
      </c>
      <c r="N18" s="4" t="s">
        <v>84</v>
      </c>
      <c r="O18" s="4" t="s">
        <v>84</v>
      </c>
      <c r="P18" s="28" t="s">
        <v>30</v>
      </c>
      <c r="Q18" s="28" t="s">
        <v>30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84</v>
      </c>
      <c r="AG18" s="4" t="s">
        <v>84</v>
      </c>
      <c r="AH18"/>
    </row>
    <row r="19" spans="1:34" x14ac:dyDescent="0.25">
      <c r="A19" s="34" t="s">
        <v>28</v>
      </c>
      <c r="B19" s="35" t="s">
        <v>60</v>
      </c>
      <c r="C19" s="28" t="s">
        <v>30</v>
      </c>
      <c r="D19" s="25" t="s">
        <v>11</v>
      </c>
      <c r="E19" s="25" t="s">
        <v>11</v>
      </c>
      <c r="F19" s="25" t="s">
        <v>11</v>
      </c>
      <c r="G19" s="25" t="s">
        <v>11</v>
      </c>
      <c r="H19" s="25" t="s">
        <v>11</v>
      </c>
      <c r="I19" s="28" t="s">
        <v>7</v>
      </c>
      <c r="J19" s="28" t="s">
        <v>7</v>
      </c>
      <c r="K19" s="4" t="s">
        <v>14</v>
      </c>
      <c r="L19" s="4" t="s">
        <v>14</v>
      </c>
      <c r="M19" s="4" t="s">
        <v>14</v>
      </c>
      <c r="N19" s="4" t="s">
        <v>14</v>
      </c>
      <c r="O19" s="4" t="s">
        <v>14</v>
      </c>
      <c r="P19" s="28" t="s">
        <v>7</v>
      </c>
      <c r="Q19" s="28" t="s">
        <v>7</v>
      </c>
      <c r="R19" s="4" t="s">
        <v>84</v>
      </c>
      <c r="S19" s="4" t="s">
        <v>84</v>
      </c>
      <c r="T19" s="4" t="s">
        <v>84</v>
      </c>
      <c r="U19" s="4" t="s">
        <v>84</v>
      </c>
      <c r="V19" s="4" t="s">
        <v>84</v>
      </c>
      <c r="W19" s="28" t="s">
        <v>30</v>
      </c>
      <c r="X19" s="28" t="s">
        <v>30</v>
      </c>
      <c r="Y19" s="25" t="s">
        <v>11</v>
      </c>
      <c r="Z19" s="25" t="s">
        <v>11</v>
      </c>
      <c r="AA19" s="25" t="s">
        <v>11</v>
      </c>
      <c r="AB19" s="25" t="s">
        <v>11</v>
      </c>
      <c r="AC19" s="25" t="s">
        <v>11</v>
      </c>
      <c r="AD19" s="28" t="s">
        <v>7</v>
      </c>
      <c r="AE19" s="28" t="s">
        <v>7</v>
      </c>
      <c r="AF19" s="4" t="s">
        <v>14</v>
      </c>
      <c r="AG19" s="4" t="s">
        <v>14</v>
      </c>
      <c r="AH19"/>
    </row>
    <row r="20" spans="1:34" x14ac:dyDescent="0.25">
      <c r="A20" s="34" t="s">
        <v>28</v>
      </c>
      <c r="B20" s="35" t="s">
        <v>34</v>
      </c>
      <c r="C20" s="28" t="s">
        <v>7</v>
      </c>
      <c r="D20" s="4" t="s">
        <v>84</v>
      </c>
      <c r="E20" s="4" t="s">
        <v>84</v>
      </c>
      <c r="F20" s="4" t="s">
        <v>84</v>
      </c>
      <c r="G20" s="4" t="s">
        <v>84</v>
      </c>
      <c r="H20" s="4" t="s">
        <v>84</v>
      </c>
      <c r="I20" s="28" t="s">
        <v>30</v>
      </c>
      <c r="J20" s="28" t="s">
        <v>30</v>
      </c>
      <c r="K20" s="25" t="s">
        <v>11</v>
      </c>
      <c r="L20" s="25" t="s">
        <v>11</v>
      </c>
      <c r="M20" s="25" t="s">
        <v>11</v>
      </c>
      <c r="N20" s="25" t="s">
        <v>11</v>
      </c>
      <c r="O20" s="25" t="s">
        <v>11</v>
      </c>
      <c r="P20" s="28" t="s">
        <v>7</v>
      </c>
      <c r="Q20" s="28" t="s">
        <v>7</v>
      </c>
      <c r="R20" s="4" t="s">
        <v>14</v>
      </c>
      <c r="S20" s="4" t="s">
        <v>14</v>
      </c>
      <c r="T20" s="4" t="s">
        <v>14</v>
      </c>
      <c r="U20" s="4" t="s">
        <v>14</v>
      </c>
      <c r="V20" s="4" t="s">
        <v>14</v>
      </c>
      <c r="W20" s="28" t="s">
        <v>7</v>
      </c>
      <c r="X20" s="28" t="s">
        <v>7</v>
      </c>
      <c r="Y20" s="4" t="s">
        <v>84</v>
      </c>
      <c r="Z20" s="4" t="s">
        <v>84</v>
      </c>
      <c r="AA20" s="4" t="s">
        <v>84</v>
      </c>
      <c r="AB20" s="4" t="s">
        <v>84</v>
      </c>
      <c r="AC20" s="4" t="s">
        <v>84</v>
      </c>
      <c r="AD20" s="28" t="s">
        <v>30</v>
      </c>
      <c r="AE20" s="28" t="s">
        <v>30</v>
      </c>
      <c r="AF20" s="25" t="s">
        <v>11</v>
      </c>
      <c r="AG20" s="25" t="s">
        <v>11</v>
      </c>
      <c r="AH20"/>
    </row>
    <row r="22" spans="1:34" x14ac:dyDescent="0.25">
      <c r="B22" s="111" t="s">
        <v>88</v>
      </c>
      <c r="C22" s="110">
        <f t="shared" ref="C22:AG22" si="0">SUM(C23:C25)</f>
        <v>4</v>
      </c>
      <c r="D22" s="110">
        <f t="shared" si="0"/>
        <v>6</v>
      </c>
      <c r="E22" s="110">
        <f t="shared" si="0"/>
        <v>4</v>
      </c>
      <c r="F22" s="110">
        <f t="shared" si="0"/>
        <v>6</v>
      </c>
      <c r="G22" s="110">
        <f t="shared" si="0"/>
        <v>6</v>
      </c>
      <c r="H22" s="110">
        <f t="shared" si="0"/>
        <v>6</v>
      </c>
      <c r="I22" s="110">
        <f t="shared" si="0"/>
        <v>4</v>
      </c>
      <c r="J22" s="110">
        <f t="shared" si="0"/>
        <v>4</v>
      </c>
      <c r="K22" s="110">
        <f t="shared" si="0"/>
        <v>6</v>
      </c>
      <c r="L22" s="110">
        <f t="shared" si="0"/>
        <v>6</v>
      </c>
      <c r="M22" s="110">
        <f t="shared" si="0"/>
        <v>6</v>
      </c>
      <c r="N22" s="110">
        <f t="shared" si="0"/>
        <v>6</v>
      </c>
      <c r="O22" s="110">
        <f t="shared" si="0"/>
        <v>6</v>
      </c>
      <c r="P22" s="110">
        <f t="shared" si="0"/>
        <v>4</v>
      </c>
      <c r="Q22" s="110">
        <f t="shared" si="0"/>
        <v>4</v>
      </c>
      <c r="R22" s="110">
        <f t="shared" si="0"/>
        <v>6</v>
      </c>
      <c r="S22" s="110">
        <f t="shared" si="0"/>
        <v>6</v>
      </c>
      <c r="T22" s="110">
        <f t="shared" si="0"/>
        <v>6</v>
      </c>
      <c r="U22" s="110">
        <f t="shared" si="0"/>
        <v>6</v>
      </c>
      <c r="V22" s="110">
        <f t="shared" si="0"/>
        <v>6</v>
      </c>
      <c r="W22" s="110">
        <f t="shared" si="0"/>
        <v>4</v>
      </c>
      <c r="X22" s="110">
        <f t="shared" si="0"/>
        <v>4</v>
      </c>
      <c r="Y22" s="110">
        <f t="shared" si="0"/>
        <v>6</v>
      </c>
      <c r="Z22" s="110">
        <f t="shared" si="0"/>
        <v>6</v>
      </c>
      <c r="AA22" s="110">
        <f t="shared" si="0"/>
        <v>6</v>
      </c>
      <c r="AB22" s="110">
        <f t="shared" si="0"/>
        <v>6</v>
      </c>
      <c r="AC22" s="110">
        <f t="shared" si="0"/>
        <v>6</v>
      </c>
      <c r="AD22" s="110">
        <f t="shared" si="0"/>
        <v>4</v>
      </c>
      <c r="AE22" s="110">
        <f t="shared" si="0"/>
        <v>4</v>
      </c>
      <c r="AF22" s="110">
        <f t="shared" si="0"/>
        <v>6</v>
      </c>
      <c r="AG22" s="110">
        <f t="shared" si="0"/>
        <v>6</v>
      </c>
    </row>
    <row r="23" spans="1:34" x14ac:dyDescent="0.25">
      <c r="B23" s="111" t="s">
        <v>89</v>
      </c>
      <c r="C23" s="112">
        <f t="shared" ref="C23:AG23" si="1">COUNTIF(C4:C20,"T")</f>
        <v>0</v>
      </c>
      <c r="D23" s="112">
        <f t="shared" si="1"/>
        <v>2</v>
      </c>
      <c r="E23" s="112">
        <f t="shared" si="1"/>
        <v>2</v>
      </c>
      <c r="F23" s="112">
        <f t="shared" si="1"/>
        <v>2</v>
      </c>
      <c r="G23" s="112">
        <f t="shared" si="1"/>
        <v>2</v>
      </c>
      <c r="H23" s="112">
        <f t="shared" si="1"/>
        <v>2</v>
      </c>
      <c r="I23" s="112">
        <f t="shared" si="1"/>
        <v>0</v>
      </c>
      <c r="J23" s="112">
        <f t="shared" si="1"/>
        <v>0</v>
      </c>
      <c r="K23" s="112">
        <f t="shared" si="1"/>
        <v>2</v>
      </c>
      <c r="L23" s="112">
        <f t="shared" si="1"/>
        <v>2</v>
      </c>
      <c r="M23" s="112">
        <f t="shared" si="1"/>
        <v>2</v>
      </c>
      <c r="N23" s="112">
        <f t="shared" si="1"/>
        <v>2</v>
      </c>
      <c r="O23" s="112">
        <f t="shared" si="1"/>
        <v>2</v>
      </c>
      <c r="P23" s="112">
        <f t="shared" si="1"/>
        <v>0</v>
      </c>
      <c r="Q23" s="112">
        <f t="shared" si="1"/>
        <v>0</v>
      </c>
      <c r="R23" s="112">
        <f t="shared" si="1"/>
        <v>2</v>
      </c>
      <c r="S23" s="112">
        <f t="shared" si="1"/>
        <v>2</v>
      </c>
      <c r="T23" s="112">
        <f t="shared" si="1"/>
        <v>2</v>
      </c>
      <c r="U23" s="112">
        <f t="shared" si="1"/>
        <v>2</v>
      </c>
      <c r="V23" s="112">
        <f t="shared" si="1"/>
        <v>2</v>
      </c>
      <c r="W23" s="112">
        <f t="shared" si="1"/>
        <v>0</v>
      </c>
      <c r="X23" s="112">
        <f t="shared" si="1"/>
        <v>0</v>
      </c>
      <c r="Y23" s="112">
        <f t="shared" si="1"/>
        <v>2</v>
      </c>
      <c r="Z23" s="112">
        <f t="shared" si="1"/>
        <v>2</v>
      </c>
      <c r="AA23" s="112">
        <f t="shared" si="1"/>
        <v>2</v>
      </c>
      <c r="AB23" s="112">
        <f t="shared" si="1"/>
        <v>2</v>
      </c>
      <c r="AC23" s="112">
        <f t="shared" si="1"/>
        <v>2</v>
      </c>
      <c r="AD23" s="112">
        <f t="shared" si="1"/>
        <v>0</v>
      </c>
      <c r="AE23" s="112">
        <f t="shared" si="1"/>
        <v>0</v>
      </c>
      <c r="AF23" s="112">
        <f t="shared" si="1"/>
        <v>2</v>
      </c>
      <c r="AG23" s="112">
        <f t="shared" si="1"/>
        <v>2</v>
      </c>
    </row>
    <row r="24" spans="1:34" x14ac:dyDescent="0.25">
      <c r="B24" s="111" t="s">
        <v>90</v>
      </c>
      <c r="C24" s="112">
        <f t="shared" ref="C24:AG24" si="2">COUNTIF(C4:C20,"N")+COUNTIF(C4:C20,"NF")</f>
        <v>2</v>
      </c>
      <c r="D24" s="112">
        <f t="shared" si="2"/>
        <v>2</v>
      </c>
      <c r="E24" s="112">
        <f t="shared" si="2"/>
        <v>2</v>
      </c>
      <c r="F24" s="112">
        <f t="shared" si="2"/>
        <v>2</v>
      </c>
      <c r="G24" s="112">
        <f t="shared" si="2"/>
        <v>2</v>
      </c>
      <c r="H24" s="112">
        <f t="shared" si="2"/>
        <v>2</v>
      </c>
      <c r="I24" s="112">
        <f t="shared" si="2"/>
        <v>2</v>
      </c>
      <c r="J24" s="112">
        <f t="shared" si="2"/>
        <v>2</v>
      </c>
      <c r="K24" s="112">
        <f t="shared" si="2"/>
        <v>2</v>
      </c>
      <c r="L24" s="112">
        <f t="shared" si="2"/>
        <v>2</v>
      </c>
      <c r="M24" s="112">
        <f t="shared" si="2"/>
        <v>2</v>
      </c>
      <c r="N24" s="112">
        <f t="shared" si="2"/>
        <v>2</v>
      </c>
      <c r="O24" s="112">
        <f t="shared" si="2"/>
        <v>2</v>
      </c>
      <c r="P24" s="112">
        <f t="shared" si="2"/>
        <v>2</v>
      </c>
      <c r="Q24" s="112">
        <f t="shared" si="2"/>
        <v>2</v>
      </c>
      <c r="R24" s="112">
        <f t="shared" si="2"/>
        <v>2</v>
      </c>
      <c r="S24" s="112">
        <f t="shared" si="2"/>
        <v>2</v>
      </c>
      <c r="T24" s="112">
        <f t="shared" si="2"/>
        <v>2</v>
      </c>
      <c r="U24" s="112">
        <f t="shared" si="2"/>
        <v>2</v>
      </c>
      <c r="V24" s="112">
        <f t="shared" si="2"/>
        <v>2</v>
      </c>
      <c r="W24" s="112">
        <f t="shared" si="2"/>
        <v>2</v>
      </c>
      <c r="X24" s="112">
        <f t="shared" si="2"/>
        <v>2</v>
      </c>
      <c r="Y24" s="112">
        <f t="shared" si="2"/>
        <v>2</v>
      </c>
      <c r="Z24" s="112">
        <f t="shared" si="2"/>
        <v>2</v>
      </c>
      <c r="AA24" s="112">
        <f t="shared" si="2"/>
        <v>2</v>
      </c>
      <c r="AB24" s="112">
        <f t="shared" si="2"/>
        <v>2</v>
      </c>
      <c r="AC24" s="112">
        <f t="shared" si="2"/>
        <v>2</v>
      </c>
      <c r="AD24" s="112">
        <f t="shared" si="2"/>
        <v>2</v>
      </c>
      <c r="AE24" s="112">
        <f t="shared" si="2"/>
        <v>2</v>
      </c>
      <c r="AF24" s="112">
        <f t="shared" si="2"/>
        <v>2</v>
      </c>
      <c r="AG24" s="112">
        <f t="shared" si="2"/>
        <v>2</v>
      </c>
    </row>
    <row r="25" spans="1:34" x14ac:dyDescent="0.25">
      <c r="B25" s="111" t="s">
        <v>91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0</v>
      </c>
      <c r="F25" s="112">
        <f t="shared" ref="F25:AG25" si="3">COUNTIF(F4:F20,"M/F")+COUNTIF(F4:F20,"M1")+COUNTIF(F4:F20,"M3")+COUNTIF(F4:F20,"M3/G")+COUNTIF(F4:F20,"M2")</f>
        <v>2</v>
      </c>
      <c r="G25" s="112">
        <f t="shared" si="3"/>
        <v>2</v>
      </c>
      <c r="H25" s="112">
        <f t="shared" si="3"/>
        <v>2</v>
      </c>
      <c r="I25" s="112">
        <f t="shared" si="3"/>
        <v>2</v>
      </c>
      <c r="J25" s="112">
        <f t="shared" si="3"/>
        <v>2</v>
      </c>
      <c r="K25" s="112">
        <f t="shared" si="3"/>
        <v>2</v>
      </c>
      <c r="L25" s="112">
        <f t="shared" si="3"/>
        <v>2</v>
      </c>
      <c r="M25" s="112">
        <f t="shared" si="3"/>
        <v>2</v>
      </c>
      <c r="N25" s="112">
        <f t="shared" si="3"/>
        <v>2</v>
      </c>
      <c r="O25" s="112">
        <f t="shared" si="3"/>
        <v>2</v>
      </c>
      <c r="P25" s="112">
        <f t="shared" si="3"/>
        <v>2</v>
      </c>
      <c r="Q25" s="112">
        <f t="shared" si="3"/>
        <v>2</v>
      </c>
      <c r="R25" s="112">
        <f t="shared" si="3"/>
        <v>2</v>
      </c>
      <c r="S25" s="112">
        <f t="shared" si="3"/>
        <v>2</v>
      </c>
      <c r="T25" s="112">
        <f t="shared" si="3"/>
        <v>2</v>
      </c>
      <c r="U25" s="112">
        <f t="shared" si="3"/>
        <v>2</v>
      </c>
      <c r="V25" s="112">
        <f t="shared" si="3"/>
        <v>2</v>
      </c>
      <c r="W25" s="112">
        <f t="shared" si="3"/>
        <v>2</v>
      </c>
      <c r="X25" s="112">
        <f t="shared" si="3"/>
        <v>2</v>
      </c>
      <c r="Y25" s="112">
        <f t="shared" si="3"/>
        <v>2</v>
      </c>
      <c r="Z25" s="112">
        <f t="shared" si="3"/>
        <v>2</v>
      </c>
      <c r="AA25" s="112">
        <f t="shared" si="3"/>
        <v>2</v>
      </c>
      <c r="AB25" s="112">
        <f t="shared" si="3"/>
        <v>2</v>
      </c>
      <c r="AC25" s="112">
        <f t="shared" si="3"/>
        <v>2</v>
      </c>
      <c r="AD25" s="112">
        <f t="shared" si="3"/>
        <v>2</v>
      </c>
      <c r="AE25" s="112">
        <f t="shared" si="3"/>
        <v>2</v>
      </c>
      <c r="AF25" s="112">
        <f t="shared" si="3"/>
        <v>2</v>
      </c>
      <c r="AG25" s="112">
        <f t="shared" si="3"/>
        <v>2</v>
      </c>
    </row>
    <row r="27" spans="1:34" x14ac:dyDescent="0.25">
      <c r="B27" t="s">
        <v>65</v>
      </c>
    </row>
    <row r="28" spans="1:34" x14ac:dyDescent="0.25">
      <c r="B28" s="5" t="s">
        <v>66</v>
      </c>
    </row>
    <row r="29" spans="1:34" x14ac:dyDescent="0.25">
      <c r="B29" s="5" t="s">
        <v>67</v>
      </c>
    </row>
    <row r="30" spans="1:34" x14ac:dyDescent="0.25">
      <c r="B30" s="1" t="s">
        <v>68</v>
      </c>
    </row>
    <row r="31" spans="1:34" x14ac:dyDescent="0.25">
      <c r="B31" s="7" t="s">
        <v>69</v>
      </c>
    </row>
    <row r="32" spans="1:34" x14ac:dyDescent="0.25">
      <c r="B32" s="3" t="s">
        <v>70</v>
      </c>
    </row>
    <row r="33" spans="2:2" x14ac:dyDescent="0.25">
      <c r="B33" s="5" t="s">
        <v>71</v>
      </c>
    </row>
    <row r="34" spans="2:2" x14ac:dyDescent="0.25">
      <c r="B34" s="3" t="s">
        <v>72</v>
      </c>
    </row>
    <row r="35" spans="2:2" x14ac:dyDescent="0.25">
      <c r="B35" s="4" t="s">
        <v>73</v>
      </c>
    </row>
    <row r="36" spans="2:2" x14ac:dyDescent="0.25">
      <c r="B36" s="25" t="s">
        <v>74</v>
      </c>
    </row>
    <row r="37" spans="2:2" x14ac:dyDescent="0.25">
      <c r="B37" s="4" t="s">
        <v>92</v>
      </c>
    </row>
    <row r="38" spans="2:2" x14ac:dyDescent="0.25">
      <c r="B38" s="28" t="s">
        <v>76</v>
      </c>
    </row>
    <row r="39" spans="2:2" x14ac:dyDescent="0.25">
      <c r="B39" s="17" t="s">
        <v>77</v>
      </c>
    </row>
  </sheetData>
  <mergeCells count="2">
    <mergeCell ref="B1:B3"/>
    <mergeCell ref="C1:AG1"/>
  </mergeCells>
  <conditionalFormatting sqref="C23:AG25">
    <cfRule type="cellIs" dxfId="11" priority="1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BD4F9-6F97-4633-8059-4244F5A9F3BA}">
  <dimension ref="A1:AG39"/>
  <sheetViews>
    <sheetView workbookViewId="0">
      <selection activeCell="C10" sqref="C10:AF14"/>
    </sheetView>
  </sheetViews>
  <sheetFormatPr baseColWidth="10" defaultColWidth="8.85546875" defaultRowHeight="15" x14ac:dyDescent="0.2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 x14ac:dyDescent="0.25">
      <c r="A1" s="6"/>
      <c r="B1" s="142"/>
      <c r="C1" s="157" t="s">
        <v>98</v>
      </c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158"/>
      <c r="AE1" s="158"/>
      <c r="AF1" s="158"/>
    </row>
    <row r="2" spans="1:33" x14ac:dyDescent="0.25">
      <c r="A2" s="6"/>
      <c r="B2" s="142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 x14ac:dyDescent="0.25">
      <c r="A3" s="6"/>
      <c r="B3" s="14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2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5" t="s">
        <v>14</v>
      </c>
      <c r="AD4" s="5" t="s">
        <v>14</v>
      </c>
      <c r="AE4" s="5" t="s">
        <v>14</v>
      </c>
      <c r="AF4" s="5" t="s">
        <v>14</v>
      </c>
      <c r="AG4"/>
    </row>
    <row r="5" spans="1:33" x14ac:dyDescent="0.2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7" t="s">
        <v>20</v>
      </c>
      <c r="P5" s="7" t="s">
        <v>20</v>
      </c>
      <c r="Q5" s="7" t="s">
        <v>20</v>
      </c>
      <c r="R5" s="7" t="s">
        <v>20</v>
      </c>
      <c r="S5" s="7" t="s">
        <v>20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28" t="s">
        <v>7</v>
      </c>
      <c r="AG5"/>
    </row>
    <row r="6" spans="1:33" x14ac:dyDescent="0.2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5" t="s">
        <v>14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1" t="s">
        <v>14</v>
      </c>
      <c r="AD6" s="1" t="s">
        <v>14</v>
      </c>
      <c r="AE6" s="1" t="s">
        <v>14</v>
      </c>
      <c r="AF6" s="1" t="s">
        <v>14</v>
      </c>
      <c r="AG6"/>
    </row>
    <row r="7" spans="1:33" x14ac:dyDescent="0.25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5" t="s">
        <v>15</v>
      </c>
      <c r="G7" s="5" t="s">
        <v>15</v>
      </c>
      <c r="H7" s="28" t="s">
        <v>7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5" t="s">
        <v>14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/>
    </row>
    <row r="8" spans="1:33" x14ac:dyDescent="0.25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28" t="s">
        <v>7</v>
      </c>
      <c r="G8" s="28" t="s">
        <v>7</v>
      </c>
      <c r="H8" s="1" t="s">
        <v>14</v>
      </c>
      <c r="I8" s="1" t="s">
        <v>14</v>
      </c>
      <c r="J8" s="1" t="s">
        <v>14</v>
      </c>
      <c r="K8" s="1" t="s">
        <v>14</v>
      </c>
      <c r="L8" s="1" t="s">
        <v>14</v>
      </c>
      <c r="M8" s="5" t="s">
        <v>15</v>
      </c>
      <c r="N8" s="5" t="s">
        <v>15</v>
      </c>
      <c r="O8" s="28" t="s">
        <v>7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/>
    </row>
    <row r="9" spans="1:33" x14ac:dyDescent="0.25">
      <c r="A9" s="34"/>
      <c r="AG9"/>
    </row>
    <row r="10" spans="1:33" x14ac:dyDescent="0.25">
      <c r="A10" s="34" t="s">
        <v>12</v>
      </c>
      <c r="B10" s="122" t="s">
        <v>23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31" t="s">
        <v>16</v>
      </c>
      <c r="I10" s="131" t="s">
        <v>16</v>
      </c>
      <c r="J10" s="131" t="s">
        <v>16</v>
      </c>
      <c r="K10" s="131" t="s">
        <v>16</v>
      </c>
      <c r="L10" s="131" t="s">
        <v>16</v>
      </c>
      <c r="M10" s="131" t="s">
        <v>17</v>
      </c>
      <c r="N10" s="131" t="s">
        <v>17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6" t="s">
        <v>20</v>
      </c>
      <c r="W10" s="126" t="s">
        <v>20</v>
      </c>
      <c r="X10" s="126" t="s">
        <v>20</v>
      </c>
      <c r="Y10" s="126" t="s">
        <v>20</v>
      </c>
      <c r="Z10" s="126" t="s">
        <v>20</v>
      </c>
      <c r="AA10" s="125" t="s">
        <v>7</v>
      </c>
      <c r="AB10" s="125" t="s">
        <v>7</v>
      </c>
      <c r="AC10" s="131" t="s">
        <v>16</v>
      </c>
      <c r="AD10" s="131" t="s">
        <v>16</v>
      </c>
      <c r="AE10" s="131" t="s">
        <v>16</v>
      </c>
      <c r="AF10" s="131" t="s">
        <v>16</v>
      </c>
      <c r="AG10"/>
    </row>
    <row r="11" spans="1:33" x14ac:dyDescent="0.25">
      <c r="A11" s="34" t="s">
        <v>12</v>
      </c>
      <c r="B11" s="33" t="s">
        <v>52</v>
      </c>
      <c r="C11" s="131" t="s">
        <v>16</v>
      </c>
      <c r="D11" s="131" t="s">
        <v>16</v>
      </c>
      <c r="E11" s="131" t="s">
        <v>16</v>
      </c>
      <c r="F11" s="131" t="s">
        <v>17</v>
      </c>
      <c r="G11" s="131" t="s">
        <v>17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31" t="s">
        <v>16</v>
      </c>
      <c r="P11" s="131" t="s">
        <v>16</v>
      </c>
      <c r="Q11" s="131" t="s">
        <v>16</v>
      </c>
      <c r="R11" s="131" t="s">
        <v>16</v>
      </c>
      <c r="S11" s="131" t="s">
        <v>16</v>
      </c>
      <c r="T11" s="131" t="s">
        <v>17</v>
      </c>
      <c r="U11" s="131" t="s">
        <v>17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6" t="s">
        <v>20</v>
      </c>
      <c r="AD11" s="126" t="s">
        <v>20</v>
      </c>
      <c r="AE11" s="126" t="s">
        <v>20</v>
      </c>
      <c r="AF11" s="126" t="s">
        <v>20</v>
      </c>
      <c r="AG11"/>
    </row>
    <row r="12" spans="1:33" x14ac:dyDescent="0.25">
      <c r="A12" s="34" t="s">
        <v>12</v>
      </c>
      <c r="B12" s="33" t="s">
        <v>24</v>
      </c>
      <c r="C12" s="126" t="s">
        <v>20</v>
      </c>
      <c r="D12" s="126" t="s">
        <v>20</v>
      </c>
      <c r="E12" s="126" t="s">
        <v>20</v>
      </c>
      <c r="F12" s="125" t="s">
        <v>7</v>
      </c>
      <c r="G12" s="125" t="s">
        <v>7</v>
      </c>
      <c r="H12" s="131" t="s">
        <v>16</v>
      </c>
      <c r="I12" s="131" t="s">
        <v>16</v>
      </c>
      <c r="J12" s="131" t="s">
        <v>16</v>
      </c>
      <c r="K12" s="131" t="s">
        <v>16</v>
      </c>
      <c r="L12" s="131" t="s">
        <v>16</v>
      </c>
      <c r="M12" s="131" t="s">
        <v>17</v>
      </c>
      <c r="N12" s="131" t="s">
        <v>17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31" t="s">
        <v>16</v>
      </c>
      <c r="W12" s="131" t="s">
        <v>16</v>
      </c>
      <c r="X12" s="131" t="s">
        <v>16</v>
      </c>
      <c r="Y12" s="131" t="s">
        <v>16</v>
      </c>
      <c r="Z12" s="131" t="s">
        <v>16</v>
      </c>
      <c r="AA12" s="131" t="s">
        <v>17</v>
      </c>
      <c r="AB12" s="131" t="s">
        <v>17</v>
      </c>
      <c r="AC12" s="125" t="s">
        <v>7</v>
      </c>
      <c r="AD12" s="125" t="s">
        <v>7</v>
      </c>
      <c r="AE12" s="125" t="s">
        <v>7</v>
      </c>
      <c r="AF12" s="125" t="s">
        <v>7</v>
      </c>
      <c r="AG12"/>
    </row>
    <row r="13" spans="1:33" x14ac:dyDescent="0.25">
      <c r="A13" s="34" t="s">
        <v>12</v>
      </c>
      <c r="B13" s="33" t="s">
        <v>83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6" t="s">
        <v>20</v>
      </c>
      <c r="I13" s="126" t="s">
        <v>20</v>
      </c>
      <c r="J13" s="126" t="s">
        <v>20</v>
      </c>
      <c r="K13" s="126" t="s">
        <v>20</v>
      </c>
      <c r="L13" s="126" t="s">
        <v>20</v>
      </c>
      <c r="M13" s="125" t="s">
        <v>7</v>
      </c>
      <c r="N13" s="125" t="s">
        <v>7</v>
      </c>
      <c r="O13" s="131" t="s">
        <v>16</v>
      </c>
      <c r="P13" s="131" t="s">
        <v>16</v>
      </c>
      <c r="Q13" s="131" t="s">
        <v>16</v>
      </c>
      <c r="R13" s="131" t="s">
        <v>16</v>
      </c>
      <c r="S13" s="131" t="s">
        <v>16</v>
      </c>
      <c r="T13" s="131" t="s">
        <v>17</v>
      </c>
      <c r="U13" s="131" t="s">
        <v>17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31" t="s">
        <v>16</v>
      </c>
      <c r="AD13" s="131" t="s">
        <v>16</v>
      </c>
      <c r="AE13" s="131" t="s">
        <v>16</v>
      </c>
      <c r="AF13" s="131" t="s">
        <v>16</v>
      </c>
      <c r="AG13"/>
    </row>
    <row r="14" spans="1:33" x14ac:dyDescent="0.25">
      <c r="A14" s="34" t="s">
        <v>12</v>
      </c>
      <c r="B14" s="33" t="s">
        <v>53</v>
      </c>
      <c r="C14" s="131" t="s">
        <v>16</v>
      </c>
      <c r="D14" s="131" t="s">
        <v>16</v>
      </c>
      <c r="E14" s="131" t="s">
        <v>16</v>
      </c>
      <c r="F14" s="131" t="s">
        <v>17</v>
      </c>
      <c r="G14" s="131" t="s">
        <v>17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6" t="s">
        <v>20</v>
      </c>
      <c r="P14" s="126" t="s">
        <v>20</v>
      </c>
      <c r="Q14" s="126" t="s">
        <v>20</v>
      </c>
      <c r="R14" s="126" t="s">
        <v>20</v>
      </c>
      <c r="S14" s="126" t="s">
        <v>20</v>
      </c>
      <c r="T14" s="125" t="s">
        <v>7</v>
      </c>
      <c r="U14" s="125" t="s">
        <v>7</v>
      </c>
      <c r="V14" s="131" t="s">
        <v>16</v>
      </c>
      <c r="W14" s="131" t="s">
        <v>16</v>
      </c>
      <c r="X14" s="131" t="s">
        <v>16</v>
      </c>
      <c r="Y14" s="131" t="s">
        <v>16</v>
      </c>
      <c r="Z14" s="131" t="s">
        <v>16</v>
      </c>
      <c r="AA14" s="131" t="s">
        <v>17</v>
      </c>
      <c r="AB14" s="131" t="s">
        <v>17</v>
      </c>
      <c r="AC14" s="125" t="s">
        <v>7</v>
      </c>
      <c r="AD14" s="125" t="s">
        <v>7</v>
      </c>
      <c r="AE14" s="125" t="s">
        <v>7</v>
      </c>
      <c r="AF14" s="125" t="s">
        <v>7</v>
      </c>
      <c r="AG14"/>
    </row>
    <row r="15" spans="1:33" x14ac:dyDescent="0.2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25">
      <c r="A16" s="34"/>
      <c r="B16" s="52" t="s">
        <v>183</v>
      </c>
      <c r="C16" s="5" t="s">
        <v>14</v>
      </c>
      <c r="D16" s="5" t="s">
        <v>14</v>
      </c>
      <c r="E16" s="5" t="s">
        <v>14</v>
      </c>
      <c r="F16" s="160" t="s">
        <v>7</v>
      </c>
      <c r="G16" s="160" t="s">
        <v>7</v>
      </c>
      <c r="H16" s="5" t="s">
        <v>14</v>
      </c>
      <c r="I16" s="5" t="s">
        <v>14</v>
      </c>
      <c r="J16" s="5" t="s">
        <v>14</v>
      </c>
      <c r="K16" s="5" t="s">
        <v>14</v>
      </c>
      <c r="L16" s="5" t="s">
        <v>14</v>
      </c>
      <c r="M16" s="160" t="s">
        <v>7</v>
      </c>
      <c r="N16" s="160" t="s">
        <v>7</v>
      </c>
      <c r="O16" s="5" t="s">
        <v>14</v>
      </c>
      <c r="P16" s="5" t="s">
        <v>14</v>
      </c>
      <c r="Q16" s="5" t="s">
        <v>14</v>
      </c>
      <c r="R16" s="5" t="s">
        <v>14</v>
      </c>
      <c r="S16" s="5" t="s">
        <v>14</v>
      </c>
      <c r="T16" s="160" t="s">
        <v>7</v>
      </c>
      <c r="U16" s="160" t="s">
        <v>7</v>
      </c>
      <c r="V16" s="5" t="s">
        <v>14</v>
      </c>
      <c r="W16" s="5" t="s">
        <v>14</v>
      </c>
      <c r="X16" s="5" t="s">
        <v>14</v>
      </c>
      <c r="Y16" s="5" t="s">
        <v>14</v>
      </c>
      <c r="Z16" s="5" t="s">
        <v>14</v>
      </c>
      <c r="AA16" s="160" t="s">
        <v>7</v>
      </c>
      <c r="AB16" s="160" t="s">
        <v>7</v>
      </c>
      <c r="AC16" s="5" t="s">
        <v>14</v>
      </c>
      <c r="AD16" s="5" t="s">
        <v>14</v>
      </c>
      <c r="AE16" s="5" t="s">
        <v>14</v>
      </c>
      <c r="AF16" s="5" t="s">
        <v>14</v>
      </c>
      <c r="AG16"/>
    </row>
    <row r="17" spans="1:33" x14ac:dyDescent="0.25">
      <c r="A17" s="34"/>
      <c r="E17" s="50"/>
      <c r="F17" s="50"/>
      <c r="G17" s="50"/>
      <c r="H17" s="123"/>
      <c r="I17" s="123"/>
      <c r="J17" s="123"/>
      <c r="K17" s="123"/>
      <c r="L17" s="123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123"/>
      <c r="AD17" s="123"/>
      <c r="AG17"/>
    </row>
    <row r="18" spans="1:33" x14ac:dyDescent="0.25">
      <c r="A18" s="34" t="s">
        <v>28</v>
      </c>
      <c r="B18" s="33" t="s">
        <v>29</v>
      </c>
      <c r="C18" s="4" t="s">
        <v>84</v>
      </c>
      <c r="D18" s="4" t="s">
        <v>84</v>
      </c>
      <c r="E18" s="4" t="s">
        <v>84</v>
      </c>
      <c r="F18" s="28" t="s">
        <v>7</v>
      </c>
      <c r="G18" s="28" t="s">
        <v>7</v>
      </c>
      <c r="H18" s="25" t="s">
        <v>11</v>
      </c>
      <c r="I18" s="25" t="s">
        <v>11</v>
      </c>
      <c r="J18" s="25" t="s">
        <v>11</v>
      </c>
      <c r="K18" s="25" t="s">
        <v>11</v>
      </c>
      <c r="L18" s="25" t="s">
        <v>11</v>
      </c>
      <c r="M18" s="28" t="s">
        <v>7</v>
      </c>
      <c r="N18" s="28" t="s">
        <v>7</v>
      </c>
      <c r="O18" s="4" t="s">
        <v>14</v>
      </c>
      <c r="P18" s="4" t="s">
        <v>14</v>
      </c>
      <c r="Q18" s="4" t="s">
        <v>14</v>
      </c>
      <c r="R18" s="4" t="s">
        <v>14</v>
      </c>
      <c r="S18" s="4" t="s">
        <v>14</v>
      </c>
      <c r="T18" s="28" t="s">
        <v>7</v>
      </c>
      <c r="U18" s="28" t="s">
        <v>7</v>
      </c>
      <c r="V18" s="4" t="s">
        <v>84</v>
      </c>
      <c r="W18" s="4" t="s">
        <v>84</v>
      </c>
      <c r="X18" s="4" t="s">
        <v>84</v>
      </c>
      <c r="Y18" s="4" t="s">
        <v>84</v>
      </c>
      <c r="Z18" s="4" t="s">
        <v>84</v>
      </c>
      <c r="AA18" s="28" t="s">
        <v>7</v>
      </c>
      <c r="AB18" s="28" t="s">
        <v>7</v>
      </c>
      <c r="AC18" s="25" t="s">
        <v>11</v>
      </c>
      <c r="AD18" s="25" t="s">
        <v>11</v>
      </c>
      <c r="AE18" s="25" t="s">
        <v>11</v>
      </c>
      <c r="AF18" s="25" t="s">
        <v>11</v>
      </c>
      <c r="AG18"/>
    </row>
    <row r="19" spans="1:33" x14ac:dyDescent="0.25">
      <c r="A19" s="34" t="s">
        <v>28</v>
      </c>
      <c r="B19" s="35" t="s">
        <v>60</v>
      </c>
      <c r="C19" s="4" t="s">
        <v>14</v>
      </c>
      <c r="D19" s="4" t="s">
        <v>14</v>
      </c>
      <c r="E19" s="4" t="s">
        <v>14</v>
      </c>
      <c r="F19" s="28" t="s">
        <v>7</v>
      </c>
      <c r="G19" s="28" t="s">
        <v>7</v>
      </c>
      <c r="H19" s="4" t="s">
        <v>84</v>
      </c>
      <c r="I19" s="4" t="s">
        <v>84</v>
      </c>
      <c r="J19" s="4" t="s">
        <v>84</v>
      </c>
      <c r="K19" s="4" t="s">
        <v>84</v>
      </c>
      <c r="L19" s="4" t="s">
        <v>84</v>
      </c>
      <c r="M19" s="28" t="s">
        <v>7</v>
      </c>
      <c r="N19" s="28" t="s">
        <v>7</v>
      </c>
      <c r="O19" s="25" t="s">
        <v>11</v>
      </c>
      <c r="P19" s="25" t="s">
        <v>11</v>
      </c>
      <c r="Q19" s="25" t="s">
        <v>11</v>
      </c>
      <c r="R19" s="25" t="s">
        <v>11</v>
      </c>
      <c r="S19" s="25" t="s">
        <v>11</v>
      </c>
      <c r="T19" s="28" t="s">
        <v>7</v>
      </c>
      <c r="U19" s="28" t="s">
        <v>7</v>
      </c>
      <c r="V19" s="4" t="s">
        <v>14</v>
      </c>
      <c r="W19" s="4" t="s">
        <v>14</v>
      </c>
      <c r="X19" s="4" t="s">
        <v>14</v>
      </c>
      <c r="Y19" s="4" t="s">
        <v>14</v>
      </c>
      <c r="Z19" s="4" t="s">
        <v>14</v>
      </c>
      <c r="AA19" s="28" t="s">
        <v>7</v>
      </c>
      <c r="AB19" s="28" t="s">
        <v>7</v>
      </c>
      <c r="AC19" s="4" t="s">
        <v>84</v>
      </c>
      <c r="AD19" s="4" t="s">
        <v>84</v>
      </c>
      <c r="AE19" s="4" t="s">
        <v>84</v>
      </c>
      <c r="AF19" s="4" t="s">
        <v>84</v>
      </c>
      <c r="AG19"/>
    </row>
    <row r="20" spans="1:33" x14ac:dyDescent="0.25">
      <c r="A20" s="34" t="s">
        <v>28</v>
      </c>
      <c r="B20" s="35" t="s">
        <v>34</v>
      </c>
      <c r="C20" s="25" t="s">
        <v>11</v>
      </c>
      <c r="D20" s="25" t="s">
        <v>11</v>
      </c>
      <c r="E20" s="25" t="s">
        <v>11</v>
      </c>
      <c r="F20" s="28" t="s">
        <v>7</v>
      </c>
      <c r="G20" s="28" t="s">
        <v>7</v>
      </c>
      <c r="H20" s="4" t="s">
        <v>14</v>
      </c>
      <c r="I20" s="4" t="s">
        <v>14</v>
      </c>
      <c r="J20" s="4" t="s">
        <v>14</v>
      </c>
      <c r="K20" s="4" t="s">
        <v>14</v>
      </c>
      <c r="L20" s="4" t="s">
        <v>14</v>
      </c>
      <c r="M20" s="28" t="s">
        <v>7</v>
      </c>
      <c r="N20" s="28" t="s">
        <v>7</v>
      </c>
      <c r="O20" s="4" t="s">
        <v>84</v>
      </c>
      <c r="P20" s="4" t="s">
        <v>84</v>
      </c>
      <c r="Q20" s="4" t="s">
        <v>84</v>
      </c>
      <c r="R20" s="4" t="s">
        <v>84</v>
      </c>
      <c r="S20" s="4" t="s">
        <v>84</v>
      </c>
      <c r="T20" s="28" t="s">
        <v>7</v>
      </c>
      <c r="U20" s="28" t="s">
        <v>7</v>
      </c>
      <c r="V20" s="25" t="s">
        <v>11</v>
      </c>
      <c r="W20" s="25" t="s">
        <v>11</v>
      </c>
      <c r="X20" s="25" t="s">
        <v>11</v>
      </c>
      <c r="Y20" s="25" t="s">
        <v>11</v>
      </c>
      <c r="Z20" s="25" t="s">
        <v>11</v>
      </c>
      <c r="AA20" s="28" t="s">
        <v>7</v>
      </c>
      <c r="AB20" s="28" t="s">
        <v>7</v>
      </c>
      <c r="AC20" s="4" t="s">
        <v>14</v>
      </c>
      <c r="AD20" s="4" t="s">
        <v>14</v>
      </c>
      <c r="AE20" s="4" t="s">
        <v>14</v>
      </c>
      <c r="AF20" s="4" t="s">
        <v>14</v>
      </c>
      <c r="AG20"/>
    </row>
    <row r="21" spans="1:33" x14ac:dyDescent="0.25">
      <c r="AG21"/>
    </row>
    <row r="22" spans="1:33" x14ac:dyDescent="0.25">
      <c r="B22" s="111" t="s">
        <v>88</v>
      </c>
      <c r="C22" s="110">
        <f t="shared" ref="C22:AF22" si="0">SUM(C23:C25)</f>
        <v>6</v>
      </c>
      <c r="D22" s="110">
        <f t="shared" si="0"/>
        <v>6</v>
      </c>
      <c r="E22" s="110">
        <f t="shared" si="0"/>
        <v>4</v>
      </c>
      <c r="F22" s="110">
        <f t="shared" si="0"/>
        <v>4</v>
      </c>
      <c r="G22" s="110">
        <f t="shared" si="0"/>
        <v>4</v>
      </c>
      <c r="H22" s="110">
        <f t="shared" si="0"/>
        <v>6</v>
      </c>
      <c r="I22" s="110">
        <f t="shared" si="0"/>
        <v>6</v>
      </c>
      <c r="J22" s="110">
        <f t="shared" si="0"/>
        <v>6</v>
      </c>
      <c r="K22" s="110">
        <f t="shared" si="0"/>
        <v>6</v>
      </c>
      <c r="L22" s="110">
        <f t="shared" si="0"/>
        <v>6</v>
      </c>
      <c r="M22" s="110">
        <f t="shared" si="0"/>
        <v>4</v>
      </c>
      <c r="N22" s="110">
        <f t="shared" si="0"/>
        <v>4</v>
      </c>
      <c r="O22" s="110">
        <f t="shared" si="0"/>
        <v>6</v>
      </c>
      <c r="P22" s="110">
        <f t="shared" si="0"/>
        <v>6</v>
      </c>
      <c r="Q22" s="110">
        <f t="shared" si="0"/>
        <v>6</v>
      </c>
      <c r="R22" s="110">
        <f t="shared" si="0"/>
        <v>6</v>
      </c>
      <c r="S22" s="110">
        <f t="shared" si="0"/>
        <v>6</v>
      </c>
      <c r="T22" s="110">
        <f t="shared" si="0"/>
        <v>4</v>
      </c>
      <c r="U22" s="110">
        <f t="shared" si="0"/>
        <v>4</v>
      </c>
      <c r="V22" s="110">
        <f t="shared" si="0"/>
        <v>6</v>
      </c>
      <c r="W22" s="110">
        <f t="shared" si="0"/>
        <v>6</v>
      </c>
      <c r="X22" s="110">
        <f t="shared" si="0"/>
        <v>6</v>
      </c>
      <c r="Y22" s="110">
        <f t="shared" si="0"/>
        <v>6</v>
      </c>
      <c r="Z22" s="110">
        <f t="shared" si="0"/>
        <v>6</v>
      </c>
      <c r="AA22" s="110">
        <f t="shared" si="0"/>
        <v>4</v>
      </c>
      <c r="AB22" s="110">
        <f t="shared" si="0"/>
        <v>4</v>
      </c>
      <c r="AC22" s="110">
        <f t="shared" si="0"/>
        <v>6</v>
      </c>
      <c r="AD22" s="110">
        <f t="shared" si="0"/>
        <v>6</v>
      </c>
      <c r="AE22" s="110">
        <f t="shared" si="0"/>
        <v>6</v>
      </c>
      <c r="AF22" s="110">
        <f t="shared" si="0"/>
        <v>6</v>
      </c>
    </row>
    <row r="23" spans="1:33" x14ac:dyDescent="0.25">
      <c r="B23" s="111" t="s">
        <v>89</v>
      </c>
      <c r="C23" s="112">
        <f t="shared" ref="C23:AF23" si="1">COUNTIF(C4:C20,"T")</f>
        <v>2</v>
      </c>
      <c r="D23" s="112">
        <f t="shared" si="1"/>
        <v>2</v>
      </c>
      <c r="E23" s="112">
        <f t="shared" si="1"/>
        <v>2</v>
      </c>
      <c r="F23" s="112">
        <f t="shared" si="1"/>
        <v>0</v>
      </c>
      <c r="G23" s="112">
        <f t="shared" si="1"/>
        <v>0</v>
      </c>
      <c r="H23" s="112">
        <f t="shared" si="1"/>
        <v>2</v>
      </c>
      <c r="I23" s="112">
        <f t="shared" si="1"/>
        <v>2</v>
      </c>
      <c r="J23" s="112">
        <f t="shared" si="1"/>
        <v>2</v>
      </c>
      <c r="K23" s="112">
        <f t="shared" si="1"/>
        <v>2</v>
      </c>
      <c r="L23" s="112">
        <f t="shared" si="1"/>
        <v>2</v>
      </c>
      <c r="M23" s="112">
        <f t="shared" si="1"/>
        <v>0</v>
      </c>
      <c r="N23" s="112">
        <f t="shared" si="1"/>
        <v>0</v>
      </c>
      <c r="O23" s="112">
        <f t="shared" si="1"/>
        <v>2</v>
      </c>
      <c r="P23" s="112">
        <f t="shared" si="1"/>
        <v>2</v>
      </c>
      <c r="Q23" s="112">
        <f t="shared" si="1"/>
        <v>2</v>
      </c>
      <c r="R23" s="112">
        <f t="shared" si="1"/>
        <v>2</v>
      </c>
      <c r="S23" s="112">
        <f t="shared" si="1"/>
        <v>2</v>
      </c>
      <c r="T23" s="112">
        <f t="shared" si="1"/>
        <v>0</v>
      </c>
      <c r="U23" s="112">
        <f t="shared" si="1"/>
        <v>0</v>
      </c>
      <c r="V23" s="112">
        <f t="shared" si="1"/>
        <v>2</v>
      </c>
      <c r="W23" s="112">
        <f t="shared" si="1"/>
        <v>2</v>
      </c>
      <c r="X23" s="112">
        <f t="shared" si="1"/>
        <v>2</v>
      </c>
      <c r="Y23" s="112">
        <f t="shared" si="1"/>
        <v>2</v>
      </c>
      <c r="Z23" s="112">
        <f t="shared" si="1"/>
        <v>2</v>
      </c>
      <c r="AA23" s="112">
        <f t="shared" si="1"/>
        <v>0</v>
      </c>
      <c r="AB23" s="112">
        <f t="shared" si="1"/>
        <v>0</v>
      </c>
      <c r="AC23" s="112">
        <f t="shared" si="1"/>
        <v>2</v>
      </c>
      <c r="AD23" s="112">
        <f t="shared" si="1"/>
        <v>2</v>
      </c>
      <c r="AE23" s="112">
        <f t="shared" si="1"/>
        <v>2</v>
      </c>
      <c r="AF23" s="112">
        <f t="shared" si="1"/>
        <v>2</v>
      </c>
    </row>
    <row r="24" spans="1:33" x14ac:dyDescent="0.25">
      <c r="B24" s="111" t="s">
        <v>90</v>
      </c>
      <c r="C24" s="112">
        <f t="shared" ref="C24:AF24" si="2">COUNTIF(C4:C20,"N")+COUNTIF(C4:C20,"NF")</f>
        <v>2</v>
      </c>
      <c r="D24" s="112">
        <f t="shared" si="2"/>
        <v>2</v>
      </c>
      <c r="E24" s="112">
        <f t="shared" si="2"/>
        <v>2</v>
      </c>
      <c r="F24" s="112">
        <f t="shared" si="2"/>
        <v>2</v>
      </c>
      <c r="G24" s="112">
        <f t="shared" si="2"/>
        <v>2</v>
      </c>
      <c r="H24" s="112">
        <f t="shared" si="2"/>
        <v>2</v>
      </c>
      <c r="I24" s="112">
        <f t="shared" si="2"/>
        <v>2</v>
      </c>
      <c r="J24" s="112">
        <f t="shared" si="2"/>
        <v>2</v>
      </c>
      <c r="K24" s="112">
        <f t="shared" si="2"/>
        <v>2</v>
      </c>
      <c r="L24" s="112">
        <f t="shared" si="2"/>
        <v>2</v>
      </c>
      <c r="M24" s="112">
        <f t="shared" si="2"/>
        <v>2</v>
      </c>
      <c r="N24" s="112">
        <f t="shared" si="2"/>
        <v>2</v>
      </c>
      <c r="O24" s="112">
        <f t="shared" si="2"/>
        <v>2</v>
      </c>
      <c r="P24" s="112">
        <f t="shared" si="2"/>
        <v>2</v>
      </c>
      <c r="Q24" s="112">
        <f t="shared" si="2"/>
        <v>2</v>
      </c>
      <c r="R24" s="112">
        <f t="shared" si="2"/>
        <v>2</v>
      </c>
      <c r="S24" s="112">
        <f t="shared" si="2"/>
        <v>2</v>
      </c>
      <c r="T24" s="112">
        <f t="shared" si="2"/>
        <v>2</v>
      </c>
      <c r="U24" s="112">
        <f t="shared" si="2"/>
        <v>2</v>
      </c>
      <c r="V24" s="112">
        <f t="shared" si="2"/>
        <v>2</v>
      </c>
      <c r="W24" s="112">
        <f t="shared" si="2"/>
        <v>2</v>
      </c>
      <c r="X24" s="112">
        <f t="shared" si="2"/>
        <v>2</v>
      </c>
      <c r="Y24" s="112">
        <f t="shared" si="2"/>
        <v>2</v>
      </c>
      <c r="Z24" s="112">
        <f t="shared" si="2"/>
        <v>2</v>
      </c>
      <c r="AA24" s="112">
        <f t="shared" si="2"/>
        <v>2</v>
      </c>
      <c r="AB24" s="112">
        <f t="shared" si="2"/>
        <v>2</v>
      </c>
      <c r="AC24" s="112">
        <f t="shared" si="2"/>
        <v>2</v>
      </c>
      <c r="AD24" s="112">
        <f t="shared" si="2"/>
        <v>2</v>
      </c>
      <c r="AE24" s="112">
        <f t="shared" si="2"/>
        <v>2</v>
      </c>
      <c r="AF24" s="112">
        <f t="shared" si="2"/>
        <v>2</v>
      </c>
    </row>
    <row r="25" spans="1:33" x14ac:dyDescent="0.25">
      <c r="B25" s="111" t="s">
        <v>91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0</v>
      </c>
      <c r="F25" s="112">
        <f t="shared" ref="F25:AF25" si="3">COUNTIF(F4:F20,"M/F")+COUNTIF(F4:F20,"M1")+COUNTIF(F4:F20,"M3")+COUNTIF(F4:F20,"M3/G")+COUNTIF(F4:F20,"M2")</f>
        <v>2</v>
      </c>
      <c r="G25" s="112">
        <f t="shared" si="3"/>
        <v>2</v>
      </c>
      <c r="H25" s="112">
        <f t="shared" si="3"/>
        <v>2</v>
      </c>
      <c r="I25" s="112">
        <f t="shared" si="3"/>
        <v>2</v>
      </c>
      <c r="J25" s="112">
        <f t="shared" si="3"/>
        <v>2</v>
      </c>
      <c r="K25" s="112">
        <f t="shared" si="3"/>
        <v>2</v>
      </c>
      <c r="L25" s="112">
        <f t="shared" si="3"/>
        <v>2</v>
      </c>
      <c r="M25" s="112">
        <f t="shared" si="3"/>
        <v>2</v>
      </c>
      <c r="N25" s="112">
        <f t="shared" si="3"/>
        <v>2</v>
      </c>
      <c r="O25" s="112">
        <f t="shared" si="3"/>
        <v>2</v>
      </c>
      <c r="P25" s="112">
        <f t="shared" si="3"/>
        <v>2</v>
      </c>
      <c r="Q25" s="112">
        <f t="shared" si="3"/>
        <v>2</v>
      </c>
      <c r="R25" s="112">
        <f t="shared" si="3"/>
        <v>2</v>
      </c>
      <c r="S25" s="112">
        <f t="shared" si="3"/>
        <v>2</v>
      </c>
      <c r="T25" s="112">
        <f t="shared" si="3"/>
        <v>2</v>
      </c>
      <c r="U25" s="112">
        <f t="shared" si="3"/>
        <v>2</v>
      </c>
      <c r="V25" s="112">
        <f t="shared" si="3"/>
        <v>2</v>
      </c>
      <c r="W25" s="112">
        <f t="shared" si="3"/>
        <v>2</v>
      </c>
      <c r="X25" s="112">
        <f t="shared" si="3"/>
        <v>2</v>
      </c>
      <c r="Y25" s="112">
        <f t="shared" si="3"/>
        <v>2</v>
      </c>
      <c r="Z25" s="112">
        <f t="shared" si="3"/>
        <v>2</v>
      </c>
      <c r="AA25" s="112">
        <f t="shared" si="3"/>
        <v>2</v>
      </c>
      <c r="AB25" s="112">
        <f t="shared" si="3"/>
        <v>2</v>
      </c>
      <c r="AC25" s="112">
        <f t="shared" si="3"/>
        <v>2</v>
      </c>
      <c r="AD25" s="112">
        <f t="shared" si="3"/>
        <v>2</v>
      </c>
      <c r="AE25" s="112">
        <f t="shared" si="3"/>
        <v>2</v>
      </c>
      <c r="AF25" s="112">
        <f t="shared" si="3"/>
        <v>2</v>
      </c>
    </row>
    <row r="27" spans="1:33" x14ac:dyDescent="0.25">
      <c r="B27" t="s">
        <v>65</v>
      </c>
    </row>
    <row r="28" spans="1:33" x14ac:dyDescent="0.25">
      <c r="B28" s="5" t="s">
        <v>66</v>
      </c>
    </row>
    <row r="29" spans="1:33" x14ac:dyDescent="0.25">
      <c r="B29" s="5" t="s">
        <v>67</v>
      </c>
    </row>
    <row r="30" spans="1:33" x14ac:dyDescent="0.25">
      <c r="B30" s="1" t="s">
        <v>68</v>
      </c>
    </row>
    <row r="31" spans="1:33" x14ac:dyDescent="0.25">
      <c r="B31" s="7" t="s">
        <v>69</v>
      </c>
    </row>
    <row r="32" spans="1:33" x14ac:dyDescent="0.25">
      <c r="B32" s="3" t="s">
        <v>70</v>
      </c>
    </row>
    <row r="33" spans="2:2" x14ac:dyDescent="0.25">
      <c r="B33" s="5" t="s">
        <v>71</v>
      </c>
    </row>
    <row r="34" spans="2:2" x14ac:dyDescent="0.25">
      <c r="B34" s="3" t="s">
        <v>72</v>
      </c>
    </row>
    <row r="35" spans="2:2" x14ac:dyDescent="0.25">
      <c r="B35" s="4" t="s">
        <v>73</v>
      </c>
    </row>
    <row r="36" spans="2:2" x14ac:dyDescent="0.25">
      <c r="B36" s="25" t="s">
        <v>74</v>
      </c>
    </row>
    <row r="37" spans="2:2" x14ac:dyDescent="0.25">
      <c r="B37" s="4" t="s">
        <v>92</v>
      </c>
    </row>
    <row r="38" spans="2:2" x14ac:dyDescent="0.25">
      <c r="B38" s="28" t="s">
        <v>76</v>
      </c>
    </row>
    <row r="39" spans="2:2" x14ac:dyDescent="0.25">
      <c r="B39" s="17" t="s">
        <v>77</v>
      </c>
    </row>
  </sheetData>
  <mergeCells count="2">
    <mergeCell ref="B1:B3"/>
    <mergeCell ref="C1:AF1"/>
  </mergeCells>
  <conditionalFormatting sqref="C23:AF25">
    <cfRule type="cellIs" dxfId="10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B48C2-EAB6-46CB-BAEC-605EE998C4F6}">
  <dimension ref="A1:AH39"/>
  <sheetViews>
    <sheetView workbookViewId="0">
      <selection activeCell="C10" sqref="C10:AG14"/>
    </sheetView>
  </sheetViews>
  <sheetFormatPr baseColWidth="10" defaultColWidth="8.85546875" defaultRowHeight="15" x14ac:dyDescent="0.2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 x14ac:dyDescent="0.25">
      <c r="A1" s="6"/>
      <c r="B1" s="142"/>
      <c r="C1" s="157" t="s">
        <v>99</v>
      </c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158"/>
      <c r="AE1" s="158"/>
      <c r="AF1" s="158"/>
      <c r="AG1" s="158"/>
    </row>
    <row r="2" spans="1:34" x14ac:dyDescent="0.25">
      <c r="A2" s="6"/>
      <c r="B2" s="142"/>
      <c r="C2" s="85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5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 x14ac:dyDescent="0.25">
      <c r="A3" s="6"/>
      <c r="B3" s="14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25">
      <c r="A4" s="63" t="s">
        <v>12</v>
      </c>
      <c r="B4" s="62" t="s">
        <v>13</v>
      </c>
      <c r="C4" s="5" t="s">
        <v>14</v>
      </c>
      <c r="D4" s="5" t="s">
        <v>15</v>
      </c>
      <c r="E4" s="5" t="s">
        <v>15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28" t="s">
        <v>7</v>
      </c>
      <c r="M4" s="7" t="s">
        <v>20</v>
      </c>
      <c r="N4" s="7" t="s">
        <v>20</v>
      </c>
      <c r="O4" s="7" t="s">
        <v>20</v>
      </c>
      <c r="P4" s="7" t="s">
        <v>20</v>
      </c>
      <c r="Q4" s="7" t="s">
        <v>20</v>
      </c>
      <c r="R4" s="28" t="s">
        <v>7</v>
      </c>
      <c r="S4" s="28" t="s">
        <v>7</v>
      </c>
      <c r="T4" s="1" t="s">
        <v>14</v>
      </c>
      <c r="U4" s="1" t="s">
        <v>14</v>
      </c>
      <c r="V4" s="1" t="s">
        <v>14</v>
      </c>
      <c r="W4" s="1" t="s">
        <v>14</v>
      </c>
      <c r="X4" s="1" t="s">
        <v>14</v>
      </c>
      <c r="Y4" s="5" t="s">
        <v>15</v>
      </c>
      <c r="Z4" s="5" t="s">
        <v>15</v>
      </c>
      <c r="AA4" s="28" t="s">
        <v>7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 x14ac:dyDescent="0.2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5" t="s">
        <v>14</v>
      </c>
      <c r="G5" s="5" t="s">
        <v>14</v>
      </c>
      <c r="H5" s="5" t="s">
        <v>14</v>
      </c>
      <c r="I5" s="5" t="s">
        <v>14</v>
      </c>
      <c r="J5" s="5" t="s">
        <v>14</v>
      </c>
      <c r="K5" s="5" t="s">
        <v>15</v>
      </c>
      <c r="L5" s="5" t="s">
        <v>15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7" t="s">
        <v>20</v>
      </c>
      <c r="U5" s="7" t="s">
        <v>20</v>
      </c>
      <c r="V5" s="7" t="s">
        <v>20</v>
      </c>
      <c r="W5" s="7" t="s">
        <v>20</v>
      </c>
      <c r="X5" s="7" t="s">
        <v>20</v>
      </c>
      <c r="Y5" s="28" t="s">
        <v>7</v>
      </c>
      <c r="Z5" s="28" t="s">
        <v>7</v>
      </c>
      <c r="AA5" s="1" t="s">
        <v>14</v>
      </c>
      <c r="AB5" s="1" t="s">
        <v>14</v>
      </c>
      <c r="AC5" s="1" t="s">
        <v>14</v>
      </c>
      <c r="AD5" s="1" t="s">
        <v>14</v>
      </c>
      <c r="AE5" s="1" t="s">
        <v>14</v>
      </c>
      <c r="AF5" s="5" t="s">
        <v>15</v>
      </c>
      <c r="AG5" s="5" t="s">
        <v>15</v>
      </c>
      <c r="AH5"/>
    </row>
    <row r="6" spans="1:34" x14ac:dyDescent="0.25">
      <c r="A6" s="34" t="s">
        <v>12</v>
      </c>
      <c r="B6" s="33" t="s">
        <v>21</v>
      </c>
      <c r="C6" s="1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5" t="s">
        <v>14</v>
      </c>
      <c r="N6" s="5" t="s">
        <v>14</v>
      </c>
      <c r="O6" s="5" t="s">
        <v>14</v>
      </c>
      <c r="P6" s="5" t="s">
        <v>14</v>
      </c>
      <c r="Q6" s="5" t="s">
        <v>14</v>
      </c>
      <c r="R6" s="5" t="s">
        <v>15</v>
      </c>
      <c r="S6" s="5" t="s">
        <v>15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7" t="s">
        <v>20</v>
      </c>
      <c r="AB6" s="7" t="s">
        <v>20</v>
      </c>
      <c r="AC6" s="7" t="s">
        <v>20</v>
      </c>
      <c r="AD6" s="7" t="s">
        <v>20</v>
      </c>
      <c r="AE6" s="7" t="s">
        <v>20</v>
      </c>
      <c r="AF6" s="28" t="s">
        <v>7</v>
      </c>
      <c r="AG6" s="28" t="s">
        <v>7</v>
      </c>
      <c r="AH6"/>
    </row>
    <row r="7" spans="1:34" x14ac:dyDescent="0.25">
      <c r="A7" s="34" t="s">
        <v>12</v>
      </c>
      <c r="B7" s="33" t="s">
        <v>22</v>
      </c>
      <c r="C7" s="7" t="s">
        <v>20</v>
      </c>
      <c r="D7" s="28" t="s">
        <v>7</v>
      </c>
      <c r="E7" s="28" t="s">
        <v>7</v>
      </c>
      <c r="F7" s="1" t="s">
        <v>14</v>
      </c>
      <c r="G7" s="1" t="s">
        <v>14</v>
      </c>
      <c r="H7" s="1" t="s">
        <v>14</v>
      </c>
      <c r="I7" s="1" t="s">
        <v>14</v>
      </c>
      <c r="J7" s="1" t="s">
        <v>14</v>
      </c>
      <c r="K7" s="5" t="s">
        <v>15</v>
      </c>
      <c r="L7" s="5" t="s">
        <v>15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5" t="s">
        <v>14</v>
      </c>
      <c r="U7" s="5" t="s">
        <v>14</v>
      </c>
      <c r="V7" s="5" t="s">
        <v>14</v>
      </c>
      <c r="W7" s="5" t="s">
        <v>14</v>
      </c>
      <c r="X7" s="5" t="s">
        <v>14</v>
      </c>
      <c r="Y7" s="5" t="s">
        <v>15</v>
      </c>
      <c r="Z7" s="5" t="s">
        <v>15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28" t="s">
        <v>7</v>
      </c>
      <c r="AH7"/>
    </row>
    <row r="8" spans="1:34" x14ac:dyDescent="0.2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7" t="s">
        <v>20</v>
      </c>
      <c r="G8" s="7" t="s">
        <v>20</v>
      </c>
      <c r="H8" s="7" t="s">
        <v>20</v>
      </c>
      <c r="I8" s="7" t="s">
        <v>20</v>
      </c>
      <c r="J8" s="7" t="s">
        <v>20</v>
      </c>
      <c r="K8" s="28" t="s">
        <v>7</v>
      </c>
      <c r="L8" s="28" t="s">
        <v>7</v>
      </c>
      <c r="M8" s="1" t="s">
        <v>14</v>
      </c>
      <c r="N8" s="1" t="s">
        <v>14</v>
      </c>
      <c r="O8" s="1" t="s">
        <v>14</v>
      </c>
      <c r="P8" s="1" t="s">
        <v>14</v>
      </c>
      <c r="Q8" s="1" t="s">
        <v>14</v>
      </c>
      <c r="R8" s="5" t="s">
        <v>15</v>
      </c>
      <c r="S8" s="5" t="s">
        <v>15</v>
      </c>
      <c r="T8" s="28" t="s">
        <v>7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5" t="s">
        <v>14</v>
      </c>
      <c r="AB8" s="5" t="s">
        <v>14</v>
      </c>
      <c r="AC8" s="5" t="s">
        <v>14</v>
      </c>
      <c r="AD8" s="5" t="s">
        <v>14</v>
      </c>
      <c r="AE8" s="5" t="s">
        <v>14</v>
      </c>
      <c r="AF8" s="5" t="s">
        <v>15</v>
      </c>
      <c r="AG8" s="5" t="s">
        <v>15</v>
      </c>
      <c r="AH8"/>
    </row>
    <row r="9" spans="1:34" x14ac:dyDescent="0.2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25">
      <c r="A10" s="34" t="s">
        <v>12</v>
      </c>
      <c r="B10" s="52" t="s">
        <v>23</v>
      </c>
      <c r="C10" s="160" t="s">
        <v>7</v>
      </c>
      <c r="D10" s="160" t="s">
        <v>7</v>
      </c>
      <c r="E10" s="160" t="s">
        <v>7</v>
      </c>
      <c r="F10" s="160" t="s">
        <v>7</v>
      </c>
      <c r="G10" s="160" t="s">
        <v>7</v>
      </c>
      <c r="H10" s="160" t="s">
        <v>7</v>
      </c>
      <c r="I10" s="160" t="s">
        <v>7</v>
      </c>
      <c r="J10" s="160" t="s">
        <v>7</v>
      </c>
      <c r="K10" s="160" t="s">
        <v>7</v>
      </c>
      <c r="L10" s="160" t="s">
        <v>7</v>
      </c>
      <c r="M10" s="160" t="s">
        <v>7</v>
      </c>
      <c r="N10" s="160" t="s">
        <v>7</v>
      </c>
      <c r="O10" s="160" t="s">
        <v>7</v>
      </c>
      <c r="P10" s="160" t="s">
        <v>7</v>
      </c>
      <c r="Q10" s="160" t="s">
        <v>7</v>
      </c>
      <c r="R10" s="160" t="s">
        <v>7</v>
      </c>
      <c r="S10" s="160" t="s">
        <v>7</v>
      </c>
      <c r="T10" s="160" t="s">
        <v>7</v>
      </c>
      <c r="U10" s="160" t="s">
        <v>7</v>
      </c>
      <c r="V10" s="160" t="s">
        <v>7</v>
      </c>
      <c r="W10" s="160" t="s">
        <v>7</v>
      </c>
      <c r="X10" s="160" t="s">
        <v>7</v>
      </c>
      <c r="Y10" s="160" t="s">
        <v>7</v>
      </c>
      <c r="Z10" s="160" t="s">
        <v>7</v>
      </c>
      <c r="AA10" s="160" t="s">
        <v>7</v>
      </c>
      <c r="AB10" s="160" t="s">
        <v>7</v>
      </c>
      <c r="AC10" s="160" t="s">
        <v>7</v>
      </c>
      <c r="AD10" s="160" t="s">
        <v>7</v>
      </c>
      <c r="AE10" s="160" t="s">
        <v>7</v>
      </c>
      <c r="AF10" s="160" t="s">
        <v>7</v>
      </c>
      <c r="AG10" s="160" t="s">
        <v>7</v>
      </c>
      <c r="AH10"/>
    </row>
    <row r="11" spans="1:34" x14ac:dyDescent="0.25">
      <c r="A11" s="34" t="s">
        <v>12</v>
      </c>
      <c r="B11" s="52" t="s">
        <v>52</v>
      </c>
      <c r="C11" s="160" t="s">
        <v>7</v>
      </c>
      <c r="D11" s="160" t="s">
        <v>7</v>
      </c>
      <c r="E11" s="160" t="s">
        <v>7</v>
      </c>
      <c r="F11" s="160" t="s">
        <v>7</v>
      </c>
      <c r="G11" s="160" t="s">
        <v>7</v>
      </c>
      <c r="H11" s="160" t="s">
        <v>7</v>
      </c>
      <c r="I11" s="160" t="s">
        <v>7</v>
      </c>
      <c r="J11" s="160" t="s">
        <v>7</v>
      </c>
      <c r="K11" s="160" t="s">
        <v>7</v>
      </c>
      <c r="L11" s="160" t="s">
        <v>7</v>
      </c>
      <c r="M11" s="160" t="s">
        <v>7</v>
      </c>
      <c r="N11" s="160" t="s">
        <v>7</v>
      </c>
      <c r="O11" s="160" t="s">
        <v>7</v>
      </c>
      <c r="P11" s="160" t="s">
        <v>7</v>
      </c>
      <c r="Q11" s="160" t="s">
        <v>7</v>
      </c>
      <c r="R11" s="160" t="s">
        <v>7</v>
      </c>
      <c r="S11" s="160" t="s">
        <v>7</v>
      </c>
      <c r="T11" s="160" t="s">
        <v>7</v>
      </c>
      <c r="U11" s="160" t="s">
        <v>7</v>
      </c>
      <c r="V11" s="160" t="s">
        <v>7</v>
      </c>
      <c r="W11" s="160" t="s">
        <v>7</v>
      </c>
      <c r="X11" s="160" t="s">
        <v>7</v>
      </c>
      <c r="Y11" s="160" t="s">
        <v>7</v>
      </c>
      <c r="Z11" s="160" t="s">
        <v>7</v>
      </c>
      <c r="AA11" s="160" t="s">
        <v>7</v>
      </c>
      <c r="AB11" s="160" t="s">
        <v>7</v>
      </c>
      <c r="AC11" s="160" t="s">
        <v>7</v>
      </c>
      <c r="AD11" s="160" t="s">
        <v>7</v>
      </c>
      <c r="AE11" s="160" t="s">
        <v>7</v>
      </c>
      <c r="AF11" s="160" t="s">
        <v>7</v>
      </c>
      <c r="AG11" s="160" t="s">
        <v>7</v>
      </c>
      <c r="AH11"/>
    </row>
    <row r="12" spans="1:34" x14ac:dyDescent="0.25">
      <c r="A12" s="34" t="s">
        <v>12</v>
      </c>
      <c r="B12" s="52" t="s">
        <v>24</v>
      </c>
      <c r="C12" s="160" t="s">
        <v>7</v>
      </c>
      <c r="D12" s="160" t="s">
        <v>7</v>
      </c>
      <c r="E12" s="160" t="s">
        <v>7</v>
      </c>
      <c r="F12" s="160" t="s">
        <v>7</v>
      </c>
      <c r="G12" s="160" t="s">
        <v>7</v>
      </c>
      <c r="H12" s="160" t="s">
        <v>7</v>
      </c>
      <c r="I12" s="160" t="s">
        <v>7</v>
      </c>
      <c r="J12" s="160" t="s">
        <v>7</v>
      </c>
      <c r="K12" s="160" t="s">
        <v>7</v>
      </c>
      <c r="L12" s="160" t="s">
        <v>7</v>
      </c>
      <c r="M12" s="160" t="s">
        <v>7</v>
      </c>
      <c r="N12" s="160" t="s">
        <v>7</v>
      </c>
      <c r="O12" s="160" t="s">
        <v>7</v>
      </c>
      <c r="P12" s="160" t="s">
        <v>7</v>
      </c>
      <c r="Q12" s="160" t="s">
        <v>7</v>
      </c>
      <c r="R12" s="160" t="s">
        <v>7</v>
      </c>
      <c r="S12" s="160" t="s">
        <v>7</v>
      </c>
      <c r="T12" s="160" t="s">
        <v>7</v>
      </c>
      <c r="U12" s="160" t="s">
        <v>7</v>
      </c>
      <c r="V12" s="160" t="s">
        <v>7</v>
      </c>
      <c r="W12" s="160" t="s">
        <v>7</v>
      </c>
      <c r="X12" s="160" t="s">
        <v>7</v>
      </c>
      <c r="Y12" s="160" t="s">
        <v>7</v>
      </c>
      <c r="Z12" s="160" t="s">
        <v>7</v>
      </c>
      <c r="AA12" s="160" t="s">
        <v>7</v>
      </c>
      <c r="AB12" s="160" t="s">
        <v>7</v>
      </c>
      <c r="AC12" s="160" t="s">
        <v>7</v>
      </c>
      <c r="AD12" s="160" t="s">
        <v>7</v>
      </c>
      <c r="AE12" s="160" t="s">
        <v>7</v>
      </c>
      <c r="AF12" s="160" t="s">
        <v>7</v>
      </c>
      <c r="AG12" s="160" t="s">
        <v>7</v>
      </c>
      <c r="AH12"/>
    </row>
    <row r="13" spans="1:34" x14ac:dyDescent="0.25">
      <c r="A13" s="34" t="s">
        <v>12</v>
      </c>
      <c r="B13" s="52" t="s">
        <v>83</v>
      </c>
      <c r="C13" s="160" t="s">
        <v>7</v>
      </c>
      <c r="D13" s="160" t="s">
        <v>7</v>
      </c>
      <c r="E13" s="160" t="s">
        <v>7</v>
      </c>
      <c r="F13" s="160" t="s">
        <v>7</v>
      </c>
      <c r="G13" s="160" t="s">
        <v>7</v>
      </c>
      <c r="H13" s="160" t="s">
        <v>7</v>
      </c>
      <c r="I13" s="160" t="s">
        <v>7</v>
      </c>
      <c r="J13" s="160" t="s">
        <v>7</v>
      </c>
      <c r="K13" s="160" t="s">
        <v>7</v>
      </c>
      <c r="L13" s="160" t="s">
        <v>7</v>
      </c>
      <c r="M13" s="160" t="s">
        <v>7</v>
      </c>
      <c r="N13" s="160" t="s">
        <v>7</v>
      </c>
      <c r="O13" s="160" t="s">
        <v>7</v>
      </c>
      <c r="P13" s="160" t="s">
        <v>7</v>
      </c>
      <c r="Q13" s="160" t="s">
        <v>7</v>
      </c>
      <c r="R13" s="160" t="s">
        <v>7</v>
      </c>
      <c r="S13" s="160" t="s">
        <v>7</v>
      </c>
      <c r="T13" s="160" t="s">
        <v>7</v>
      </c>
      <c r="U13" s="160" t="s">
        <v>7</v>
      </c>
      <c r="V13" s="160" t="s">
        <v>7</v>
      </c>
      <c r="W13" s="160" t="s">
        <v>7</v>
      </c>
      <c r="X13" s="160" t="s">
        <v>7</v>
      </c>
      <c r="Y13" s="160" t="s">
        <v>7</v>
      </c>
      <c r="Z13" s="160" t="s">
        <v>7</v>
      </c>
      <c r="AA13" s="160" t="s">
        <v>7</v>
      </c>
      <c r="AB13" s="160" t="s">
        <v>7</v>
      </c>
      <c r="AC13" s="160" t="s">
        <v>7</v>
      </c>
      <c r="AD13" s="160" t="s">
        <v>7</v>
      </c>
      <c r="AE13" s="160" t="s">
        <v>7</v>
      </c>
      <c r="AF13" s="160" t="s">
        <v>7</v>
      </c>
      <c r="AG13" s="160" t="s">
        <v>7</v>
      </c>
      <c r="AH13"/>
    </row>
    <row r="14" spans="1:34" ht="14.25" customHeight="1" x14ac:dyDescent="0.25">
      <c r="A14" s="34" t="s">
        <v>12</v>
      </c>
      <c r="B14" s="52" t="s">
        <v>53</v>
      </c>
      <c r="C14" s="160" t="s">
        <v>7</v>
      </c>
      <c r="D14" s="160" t="s">
        <v>7</v>
      </c>
      <c r="E14" s="160" t="s">
        <v>7</v>
      </c>
      <c r="F14" s="160" t="s">
        <v>7</v>
      </c>
      <c r="G14" s="160" t="s">
        <v>7</v>
      </c>
      <c r="H14" s="160" t="s">
        <v>7</v>
      </c>
      <c r="I14" s="160" t="s">
        <v>7</v>
      </c>
      <c r="J14" s="160" t="s">
        <v>7</v>
      </c>
      <c r="K14" s="160" t="s">
        <v>7</v>
      </c>
      <c r="L14" s="160" t="s">
        <v>7</v>
      </c>
      <c r="M14" s="160" t="s">
        <v>7</v>
      </c>
      <c r="N14" s="160" t="s">
        <v>7</v>
      </c>
      <c r="O14" s="160" t="s">
        <v>7</v>
      </c>
      <c r="P14" s="160" t="s">
        <v>7</v>
      </c>
      <c r="Q14" s="160" t="s">
        <v>7</v>
      </c>
      <c r="R14" s="160" t="s">
        <v>7</v>
      </c>
      <c r="S14" s="160" t="s">
        <v>7</v>
      </c>
      <c r="T14" s="160" t="s">
        <v>7</v>
      </c>
      <c r="U14" s="160" t="s">
        <v>7</v>
      </c>
      <c r="V14" s="160" t="s">
        <v>7</v>
      </c>
      <c r="W14" s="160" t="s">
        <v>7</v>
      </c>
      <c r="X14" s="160" t="s">
        <v>7</v>
      </c>
      <c r="Y14" s="160" t="s">
        <v>7</v>
      </c>
      <c r="Z14" s="160" t="s">
        <v>7</v>
      </c>
      <c r="AA14" s="160" t="s">
        <v>7</v>
      </c>
      <c r="AB14" s="160" t="s">
        <v>7</v>
      </c>
      <c r="AC14" s="160" t="s">
        <v>7</v>
      </c>
      <c r="AD14" s="160" t="s">
        <v>7</v>
      </c>
      <c r="AE14" s="160" t="s">
        <v>7</v>
      </c>
      <c r="AF14" s="160" t="s">
        <v>7</v>
      </c>
      <c r="AG14" s="160" t="s">
        <v>7</v>
      </c>
      <c r="AH14"/>
    </row>
    <row r="15" spans="1:34" ht="14.25" customHeight="1" x14ac:dyDescent="0.25">
      <c r="A15" s="34"/>
      <c r="B15" s="162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/>
    </row>
    <row r="16" spans="1:34" x14ac:dyDescent="0.25">
      <c r="A16" s="34"/>
      <c r="B16" s="52" t="s">
        <v>183</v>
      </c>
      <c r="C16" s="125" t="s">
        <v>7</v>
      </c>
      <c r="D16" s="125" t="s">
        <v>7</v>
      </c>
      <c r="E16" s="125" t="s">
        <v>7</v>
      </c>
      <c r="F16" s="125" t="s">
        <v>7</v>
      </c>
      <c r="G16" s="125" t="s">
        <v>7</v>
      </c>
      <c r="H16" s="125" t="s">
        <v>7</v>
      </c>
      <c r="I16" s="125" t="s">
        <v>7</v>
      </c>
      <c r="J16" s="125" t="s">
        <v>7</v>
      </c>
      <c r="K16" s="125" t="s">
        <v>7</v>
      </c>
      <c r="L16" s="125" t="s">
        <v>7</v>
      </c>
      <c r="M16" s="125" t="s">
        <v>7</v>
      </c>
      <c r="N16" s="125" t="s">
        <v>7</v>
      </c>
      <c r="O16" s="125" t="s">
        <v>7</v>
      </c>
      <c r="P16" s="125" t="s">
        <v>7</v>
      </c>
      <c r="Q16" s="125" t="s">
        <v>7</v>
      </c>
      <c r="R16" s="125" t="s">
        <v>7</v>
      </c>
      <c r="S16" s="125" t="s">
        <v>7</v>
      </c>
      <c r="T16" s="125" t="s">
        <v>7</v>
      </c>
      <c r="U16" s="125" t="s">
        <v>7</v>
      </c>
      <c r="V16" s="125" t="s">
        <v>7</v>
      </c>
      <c r="W16" s="125" t="s">
        <v>7</v>
      </c>
      <c r="X16" s="125" t="s">
        <v>7</v>
      </c>
      <c r="Y16" s="125" t="s">
        <v>7</v>
      </c>
      <c r="Z16" s="125" t="s">
        <v>7</v>
      </c>
      <c r="AA16" s="125" t="s">
        <v>7</v>
      </c>
      <c r="AB16" s="125" t="s">
        <v>7</v>
      </c>
      <c r="AC16" s="125" t="s">
        <v>7</v>
      </c>
      <c r="AD16" s="125" t="s">
        <v>7</v>
      </c>
      <c r="AE16" s="125" t="s">
        <v>7</v>
      </c>
      <c r="AF16" s="125" t="s">
        <v>7</v>
      </c>
      <c r="AG16" s="125" t="s">
        <v>7</v>
      </c>
      <c r="AH16"/>
    </row>
    <row r="17" spans="1:34" x14ac:dyDescent="0.25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123"/>
      <c r="U17" s="123"/>
      <c r="V17" s="123"/>
      <c r="W17" s="123"/>
      <c r="X17" s="123"/>
      <c r="Y17" s="50"/>
      <c r="Z17" s="50"/>
      <c r="AA17" s="50"/>
      <c r="AB17" s="50"/>
      <c r="AC17" s="50"/>
      <c r="AD17" s="50"/>
      <c r="AH17"/>
    </row>
    <row r="18" spans="1:34" x14ac:dyDescent="0.25">
      <c r="A18" s="34" t="s">
        <v>28</v>
      </c>
      <c r="B18" s="33" t="s">
        <v>29</v>
      </c>
      <c r="C18" s="25" t="s">
        <v>11</v>
      </c>
      <c r="D18" s="28" t="s">
        <v>7</v>
      </c>
      <c r="E18" s="28" t="s">
        <v>7</v>
      </c>
      <c r="F18" s="4" t="s">
        <v>14</v>
      </c>
      <c r="G18" s="4" t="s">
        <v>14</v>
      </c>
      <c r="H18" s="4" t="s">
        <v>14</v>
      </c>
      <c r="I18" s="4" t="s">
        <v>14</v>
      </c>
      <c r="J18" s="4" t="s">
        <v>14</v>
      </c>
      <c r="K18" s="28" t="s">
        <v>7</v>
      </c>
      <c r="L18" s="28" t="s">
        <v>7</v>
      </c>
      <c r="M18" s="4" t="s">
        <v>84</v>
      </c>
      <c r="N18" s="4" t="s">
        <v>84</v>
      </c>
      <c r="O18" s="4" t="s">
        <v>84</v>
      </c>
      <c r="P18" s="4" t="s">
        <v>84</v>
      </c>
      <c r="Q18" s="4" t="s">
        <v>84</v>
      </c>
      <c r="R18" s="28" t="s">
        <v>7</v>
      </c>
      <c r="S18" s="28" t="s">
        <v>7</v>
      </c>
      <c r="T18" s="25" t="s">
        <v>11</v>
      </c>
      <c r="U18" s="25" t="s">
        <v>11</v>
      </c>
      <c r="V18" s="25" t="s">
        <v>11</v>
      </c>
      <c r="W18" s="25" t="s">
        <v>11</v>
      </c>
      <c r="X18" s="25" t="s">
        <v>11</v>
      </c>
      <c r="Y18" s="28" t="s">
        <v>7</v>
      </c>
      <c r="Z18" s="28" t="s">
        <v>7</v>
      </c>
      <c r="AA18" s="4" t="s">
        <v>14</v>
      </c>
      <c r="AB18" s="4" t="s">
        <v>14</v>
      </c>
      <c r="AC18" s="4" t="s">
        <v>14</v>
      </c>
      <c r="AD18" s="4" t="s">
        <v>14</v>
      </c>
      <c r="AE18" s="4" t="s">
        <v>14</v>
      </c>
      <c r="AF18" s="28" t="s">
        <v>7</v>
      </c>
      <c r="AG18" s="28" t="s">
        <v>7</v>
      </c>
      <c r="AH18"/>
    </row>
    <row r="19" spans="1:34" x14ac:dyDescent="0.25">
      <c r="A19" s="34" t="s">
        <v>28</v>
      </c>
      <c r="B19" s="35" t="s">
        <v>60</v>
      </c>
      <c r="C19" s="4" t="s">
        <v>84</v>
      </c>
      <c r="D19" s="28" t="s">
        <v>7</v>
      </c>
      <c r="E19" s="28" t="s">
        <v>7</v>
      </c>
      <c r="F19" s="25" t="s">
        <v>11</v>
      </c>
      <c r="G19" s="25" t="s">
        <v>11</v>
      </c>
      <c r="H19" s="25" t="s">
        <v>11</v>
      </c>
      <c r="I19" s="25" t="s">
        <v>11</v>
      </c>
      <c r="J19" s="25" t="s">
        <v>11</v>
      </c>
      <c r="K19" s="28" t="s">
        <v>7</v>
      </c>
      <c r="L19" s="28" t="s">
        <v>7</v>
      </c>
      <c r="M19" s="4" t="s">
        <v>14</v>
      </c>
      <c r="N19" s="4" t="s">
        <v>14</v>
      </c>
      <c r="O19" s="4" t="s">
        <v>14</v>
      </c>
      <c r="P19" s="4" t="s">
        <v>14</v>
      </c>
      <c r="Q19" s="4" t="s">
        <v>14</v>
      </c>
      <c r="R19" s="28" t="s">
        <v>7</v>
      </c>
      <c r="S19" s="28" t="s">
        <v>7</v>
      </c>
      <c r="T19" s="4" t="s">
        <v>84</v>
      </c>
      <c r="U19" s="4" t="s">
        <v>84</v>
      </c>
      <c r="V19" s="4" t="s">
        <v>84</v>
      </c>
      <c r="W19" s="4" t="s">
        <v>84</v>
      </c>
      <c r="X19" s="4" t="s">
        <v>84</v>
      </c>
      <c r="Y19" s="28" t="s">
        <v>7</v>
      </c>
      <c r="Z19" s="2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8" t="s">
        <v>7</v>
      </c>
      <c r="AG19" s="28" t="s">
        <v>7</v>
      </c>
      <c r="AH19"/>
    </row>
    <row r="20" spans="1:34" x14ac:dyDescent="0.25">
      <c r="A20" s="34" t="s">
        <v>28</v>
      </c>
      <c r="B20" s="35" t="s">
        <v>34</v>
      </c>
      <c r="C20" s="4" t="s">
        <v>14</v>
      </c>
      <c r="D20" s="28" t="s">
        <v>7</v>
      </c>
      <c r="E20" s="28" t="s">
        <v>7</v>
      </c>
      <c r="F20" s="4" t="s">
        <v>84</v>
      </c>
      <c r="G20" s="4" t="s">
        <v>84</v>
      </c>
      <c r="H20" s="4" t="s">
        <v>84</v>
      </c>
      <c r="I20" s="4" t="s">
        <v>84</v>
      </c>
      <c r="J20" s="4" t="s">
        <v>84</v>
      </c>
      <c r="K20" s="28" t="s">
        <v>7</v>
      </c>
      <c r="L20" s="28" t="s">
        <v>7</v>
      </c>
      <c r="M20" s="25" t="s">
        <v>11</v>
      </c>
      <c r="N20" s="25" t="s">
        <v>11</v>
      </c>
      <c r="O20" s="25" t="s">
        <v>11</v>
      </c>
      <c r="P20" s="25" t="s">
        <v>11</v>
      </c>
      <c r="Q20" s="25" t="s">
        <v>11</v>
      </c>
      <c r="R20" s="28" t="s">
        <v>7</v>
      </c>
      <c r="S20" s="28" t="s">
        <v>7</v>
      </c>
      <c r="T20" s="4" t="s">
        <v>14</v>
      </c>
      <c r="U20" s="4" t="s">
        <v>14</v>
      </c>
      <c r="V20" s="4" t="s">
        <v>14</v>
      </c>
      <c r="W20" s="4" t="s">
        <v>14</v>
      </c>
      <c r="X20" s="4" t="s">
        <v>14</v>
      </c>
      <c r="Y20" s="28" t="s">
        <v>7</v>
      </c>
      <c r="Z20" s="28" t="s">
        <v>7</v>
      </c>
      <c r="AA20" s="4" t="s">
        <v>84</v>
      </c>
      <c r="AB20" s="4" t="s">
        <v>84</v>
      </c>
      <c r="AC20" s="4" t="s">
        <v>84</v>
      </c>
      <c r="AD20" s="4" t="s">
        <v>84</v>
      </c>
      <c r="AE20" s="4" t="s">
        <v>84</v>
      </c>
      <c r="AF20" s="28" t="s">
        <v>7</v>
      </c>
      <c r="AG20" s="28" t="s">
        <v>7</v>
      </c>
      <c r="AH20"/>
    </row>
    <row r="22" spans="1:34" x14ac:dyDescent="0.25">
      <c r="B22" s="111" t="s">
        <v>88</v>
      </c>
      <c r="C22" s="110">
        <f t="shared" ref="C22:AG22" si="0">SUM(C23:C25)</f>
        <v>3</v>
      </c>
      <c r="D22" s="110">
        <f t="shared" si="0"/>
        <v>2</v>
      </c>
      <c r="E22" s="110">
        <f t="shared" si="0"/>
        <v>0</v>
      </c>
      <c r="F22" s="110">
        <f t="shared" si="0"/>
        <v>3</v>
      </c>
      <c r="G22" s="110">
        <f t="shared" si="0"/>
        <v>3</v>
      </c>
      <c r="H22" s="110">
        <f t="shared" si="0"/>
        <v>3</v>
      </c>
      <c r="I22" s="110">
        <f t="shared" si="0"/>
        <v>3</v>
      </c>
      <c r="J22" s="110">
        <f t="shared" si="0"/>
        <v>3</v>
      </c>
      <c r="K22" s="110">
        <f t="shared" si="0"/>
        <v>2</v>
      </c>
      <c r="L22" s="110">
        <f t="shared" si="0"/>
        <v>2</v>
      </c>
      <c r="M22" s="110">
        <f t="shared" si="0"/>
        <v>3</v>
      </c>
      <c r="N22" s="110">
        <f t="shared" si="0"/>
        <v>3</v>
      </c>
      <c r="O22" s="110">
        <f t="shared" si="0"/>
        <v>3</v>
      </c>
      <c r="P22" s="110">
        <f t="shared" si="0"/>
        <v>3</v>
      </c>
      <c r="Q22" s="110">
        <f t="shared" si="0"/>
        <v>3</v>
      </c>
      <c r="R22" s="110">
        <f t="shared" si="0"/>
        <v>2</v>
      </c>
      <c r="S22" s="110">
        <f t="shared" si="0"/>
        <v>2</v>
      </c>
      <c r="T22" s="110">
        <f t="shared" si="0"/>
        <v>3</v>
      </c>
      <c r="U22" s="110">
        <f t="shared" si="0"/>
        <v>3</v>
      </c>
      <c r="V22" s="110">
        <f t="shared" si="0"/>
        <v>3</v>
      </c>
      <c r="W22" s="110">
        <f t="shared" si="0"/>
        <v>3</v>
      </c>
      <c r="X22" s="110">
        <f t="shared" si="0"/>
        <v>3</v>
      </c>
      <c r="Y22" s="110">
        <f t="shared" si="0"/>
        <v>2</v>
      </c>
      <c r="Z22" s="110">
        <f t="shared" si="0"/>
        <v>2</v>
      </c>
      <c r="AA22" s="110">
        <f t="shared" si="0"/>
        <v>3</v>
      </c>
      <c r="AB22" s="110">
        <f t="shared" si="0"/>
        <v>3</v>
      </c>
      <c r="AC22" s="110">
        <f t="shared" si="0"/>
        <v>3</v>
      </c>
      <c r="AD22" s="110">
        <f t="shared" si="0"/>
        <v>3</v>
      </c>
      <c r="AE22" s="110">
        <f t="shared" si="0"/>
        <v>3</v>
      </c>
      <c r="AF22" s="110">
        <f t="shared" si="0"/>
        <v>2</v>
      </c>
      <c r="AG22" s="110">
        <f t="shared" si="0"/>
        <v>2</v>
      </c>
    </row>
    <row r="23" spans="1:34" x14ac:dyDescent="0.25">
      <c r="B23" s="111" t="s">
        <v>89</v>
      </c>
      <c r="C23" s="112">
        <f>COUNTIF(C4:C20,"T")</f>
        <v>1</v>
      </c>
      <c r="D23" s="112">
        <f>COUNTIF(D4:D20,"T")</f>
        <v>0</v>
      </c>
      <c r="E23" s="112">
        <f>COUNTIF(E4:E20,"T")</f>
        <v>0</v>
      </c>
      <c r="F23" s="112">
        <f>COUNTIF(F4:F20,"T")</f>
        <v>1</v>
      </c>
      <c r="G23" s="112">
        <f>COUNTIF(G4:G20,"T")</f>
        <v>1</v>
      </c>
      <c r="H23" s="112">
        <f>COUNTIF(H4:H20,"T")</f>
        <v>1</v>
      </c>
      <c r="I23" s="112">
        <f>COUNTIF(I4:I20,"T")</f>
        <v>1</v>
      </c>
      <c r="J23" s="112">
        <f>COUNTIF(J4:J20,"T")</f>
        <v>1</v>
      </c>
      <c r="K23" s="112">
        <f>COUNTIF(K4:K20,"T")</f>
        <v>0</v>
      </c>
      <c r="L23" s="112">
        <f>COUNTIF(L4:L20,"T")</f>
        <v>0</v>
      </c>
      <c r="M23" s="112">
        <f>COUNTIF(M4:M20,"T")</f>
        <v>1</v>
      </c>
      <c r="N23" s="112">
        <f>COUNTIF(N4:N20,"T")</f>
        <v>1</v>
      </c>
      <c r="O23" s="112">
        <f>COUNTIF(O4:O20,"T")</f>
        <v>1</v>
      </c>
      <c r="P23" s="112">
        <f>COUNTIF(P4:P20,"T")</f>
        <v>1</v>
      </c>
      <c r="Q23" s="112">
        <f>COUNTIF(Q4:Q20,"T")</f>
        <v>1</v>
      </c>
      <c r="R23" s="112">
        <f>COUNTIF(R4:R20,"T")</f>
        <v>0</v>
      </c>
      <c r="S23" s="112">
        <f>COUNTIF(S4:S20,"T")</f>
        <v>0</v>
      </c>
      <c r="T23" s="112">
        <f>COUNTIF(T4:T20,"T")</f>
        <v>1</v>
      </c>
      <c r="U23" s="112">
        <f>COUNTIF(U4:U20,"T")</f>
        <v>1</v>
      </c>
      <c r="V23" s="112">
        <f>COUNTIF(V4:V20,"T")</f>
        <v>1</v>
      </c>
      <c r="W23" s="112">
        <f>COUNTIF(W4:W20,"T")</f>
        <v>1</v>
      </c>
      <c r="X23" s="112">
        <f>COUNTIF(X4:X20,"T")</f>
        <v>1</v>
      </c>
      <c r="Y23" s="112">
        <f>COUNTIF(Y4:Y20,"T")</f>
        <v>0</v>
      </c>
      <c r="Z23" s="112">
        <f>COUNTIF(Z4:Z20,"T")</f>
        <v>0</v>
      </c>
      <c r="AA23" s="112">
        <f>COUNTIF(AA4:AA20,"T")</f>
        <v>1</v>
      </c>
      <c r="AB23" s="112">
        <f>COUNTIF(AB4:AB20,"T")</f>
        <v>1</v>
      </c>
      <c r="AC23" s="112">
        <f>COUNTIF(AC4:AC20,"T")</f>
        <v>1</v>
      </c>
      <c r="AD23" s="112">
        <f>COUNTIF(AD4:AD20,"T")</f>
        <v>1</v>
      </c>
      <c r="AE23" s="112">
        <f>COUNTIF(AE4:AE20,"T")</f>
        <v>1</v>
      </c>
      <c r="AF23" s="112">
        <f>COUNTIF(AF4:AF20,"T")</f>
        <v>0</v>
      </c>
      <c r="AG23" s="112">
        <f>COUNTIF(AG4:AG20,"T")</f>
        <v>0</v>
      </c>
    </row>
    <row r="24" spans="1:34" x14ac:dyDescent="0.25">
      <c r="B24" s="111" t="s">
        <v>90</v>
      </c>
      <c r="C24" s="112">
        <f>COUNTIF(C4:C20,"N")+COUNTIF(C4:C20,"NF")</f>
        <v>0</v>
      </c>
      <c r="D24" s="112">
        <f>COUNTIF(D4:D20,"N")+COUNTIF(D4:D20,"NF")</f>
        <v>0</v>
      </c>
      <c r="E24" s="112">
        <f>COUNTIF(E4:E20,"N")+COUNTIF(E4:E20,"NF")</f>
        <v>0</v>
      </c>
      <c r="F24" s="112">
        <f>COUNTIF(F4:F20,"N")+COUNTIF(F4:F20,"NF")</f>
        <v>0</v>
      </c>
      <c r="G24" s="112">
        <f>COUNTIF(G4:G20,"N")+COUNTIF(G4:G20,"NF")</f>
        <v>0</v>
      </c>
      <c r="H24" s="112">
        <f>COUNTIF(H4:H20,"N")+COUNTIF(H4:H20,"NF")</f>
        <v>0</v>
      </c>
      <c r="I24" s="112">
        <f>COUNTIF(I4:I20,"N")+COUNTIF(I4:I20,"NF")</f>
        <v>0</v>
      </c>
      <c r="J24" s="112">
        <f>COUNTIF(J4:J20,"N")+COUNTIF(J4:J20,"NF")</f>
        <v>0</v>
      </c>
      <c r="K24" s="112">
        <f>COUNTIF(K4:K20,"N")+COUNTIF(K4:K20,"NF")</f>
        <v>0</v>
      </c>
      <c r="L24" s="112">
        <f>COUNTIF(L4:L20,"N")+COUNTIF(L4:L20,"NF")</f>
        <v>0</v>
      </c>
      <c r="M24" s="112">
        <f>COUNTIF(M4:M20,"N")+COUNTIF(M4:M20,"NF")</f>
        <v>0</v>
      </c>
      <c r="N24" s="112">
        <f>COUNTIF(N4:N20,"N")+COUNTIF(N4:N20,"NF")</f>
        <v>0</v>
      </c>
      <c r="O24" s="112">
        <f>COUNTIF(O4:O20,"N")+COUNTIF(O4:O20,"NF")</f>
        <v>0</v>
      </c>
      <c r="P24" s="112">
        <f>COUNTIF(P4:P20,"N")+COUNTIF(P4:P20,"NF")</f>
        <v>0</v>
      </c>
      <c r="Q24" s="112">
        <f>COUNTIF(Q4:Q20,"N")+COUNTIF(Q4:Q20,"NF")</f>
        <v>0</v>
      </c>
      <c r="R24" s="112">
        <f>COUNTIF(R4:R20,"N")+COUNTIF(R4:R20,"NF")</f>
        <v>0</v>
      </c>
      <c r="S24" s="112">
        <f>COUNTIF(S4:S20,"N")+COUNTIF(S4:S20,"NF")</f>
        <v>0</v>
      </c>
      <c r="T24" s="112">
        <f>COUNTIF(T4:T20,"N")+COUNTIF(T4:T20,"NF")</f>
        <v>0</v>
      </c>
      <c r="U24" s="112">
        <f>COUNTIF(U4:U20,"N")+COUNTIF(U4:U20,"NF")</f>
        <v>0</v>
      </c>
      <c r="V24" s="112">
        <f>COUNTIF(V4:V20,"N")+COUNTIF(V4:V20,"NF")</f>
        <v>0</v>
      </c>
      <c r="W24" s="112">
        <f>COUNTIF(W4:W20,"N")+COUNTIF(W4:W20,"NF")</f>
        <v>0</v>
      </c>
      <c r="X24" s="112">
        <f>COUNTIF(X4:X20,"N")+COUNTIF(X4:X20,"NF")</f>
        <v>0</v>
      </c>
      <c r="Y24" s="112">
        <f>COUNTIF(Y4:Y20,"N")+COUNTIF(Y4:Y20,"NF")</f>
        <v>0</v>
      </c>
      <c r="Z24" s="112">
        <f>COUNTIF(Z4:Z20,"N")+COUNTIF(Z4:Z20,"NF")</f>
        <v>0</v>
      </c>
      <c r="AA24" s="112">
        <f>COUNTIF(AA4:AA20,"N")+COUNTIF(AA4:AA20,"NF")</f>
        <v>0</v>
      </c>
      <c r="AB24" s="112">
        <f>COUNTIF(AB4:AB20,"N")+COUNTIF(AB4:AB20,"NF")</f>
        <v>0</v>
      </c>
      <c r="AC24" s="112">
        <f>COUNTIF(AC4:AC20,"N")+COUNTIF(AC4:AC20,"NF")</f>
        <v>0</v>
      </c>
      <c r="AD24" s="112">
        <f>COUNTIF(AD4:AD20,"N")+COUNTIF(AD4:AD20,"NF")</f>
        <v>0</v>
      </c>
      <c r="AE24" s="112">
        <f>COUNTIF(AE4:AE20,"N")+COUNTIF(AE4:AE20,"NF")</f>
        <v>0</v>
      </c>
      <c r="AF24" s="112">
        <f>COUNTIF(AF4:AF20,"N")+COUNTIF(AF4:AF20,"NF")</f>
        <v>0</v>
      </c>
      <c r="AG24" s="112">
        <f>COUNTIF(AG4:AG20,"N")+COUNTIF(AG4:AG20,"NF")</f>
        <v>0</v>
      </c>
    </row>
    <row r="25" spans="1:34" x14ac:dyDescent="0.25">
      <c r="B25" s="111" t="s">
        <v>91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0</v>
      </c>
      <c r="F25" s="112">
        <f>COUNTIF(F4:F20,"M/F")+COUNTIF(F4:F20,"M1")+COUNTIF(F4:F20,"M3")+COUNTIF(F4:F20,"M3/G")+COUNTIF(F4:F20,"M2")</f>
        <v>2</v>
      </c>
      <c r="G25" s="112">
        <f>COUNTIF(G4:G20,"M/F")+COUNTIF(G4:G20,"M1")+COUNTIF(G4:G20,"M3")+COUNTIF(G4:G20,"M3/G")+COUNTIF(G4:G20,"M2")</f>
        <v>2</v>
      </c>
      <c r="H25" s="112">
        <f>COUNTIF(H4:H20,"M/F")+COUNTIF(H4:H20,"M1")+COUNTIF(H4:H20,"M3")+COUNTIF(H4:H20,"M3/G")+COUNTIF(H4:H20,"M2")</f>
        <v>2</v>
      </c>
      <c r="I25" s="112">
        <f>COUNTIF(I4:I20,"M/F")+COUNTIF(I4:I20,"M1")+COUNTIF(I4:I20,"M3")+COUNTIF(I4:I20,"M3/G")+COUNTIF(I4:I20,"M2")</f>
        <v>2</v>
      </c>
      <c r="J25" s="112">
        <f>COUNTIF(J4:J20,"M/F")+COUNTIF(J4:J20,"M1")+COUNTIF(J4:J20,"M3")+COUNTIF(J4:J20,"M3/G")+COUNTIF(J4:J20,"M2")</f>
        <v>2</v>
      </c>
      <c r="K25" s="112">
        <f>COUNTIF(K4:K20,"M/F")+COUNTIF(K4:K20,"M1")+COUNTIF(K4:K20,"M3")+COUNTIF(K4:K20,"M3/G")+COUNTIF(K4:K20,"M2")</f>
        <v>2</v>
      </c>
      <c r="L25" s="112">
        <f>COUNTIF(L4:L20,"M/F")+COUNTIF(L4:L20,"M1")+COUNTIF(L4:L20,"M3")+COUNTIF(L4:L20,"M3/G")+COUNTIF(L4:L20,"M2")</f>
        <v>2</v>
      </c>
      <c r="M25" s="112">
        <f>COUNTIF(M4:M20,"M/F")+COUNTIF(M4:M20,"M1")+COUNTIF(M4:M20,"M3")+COUNTIF(M4:M20,"M3/G")+COUNTIF(M4:M20,"M2")</f>
        <v>2</v>
      </c>
      <c r="N25" s="112">
        <f>COUNTIF(N4:N20,"M/F")+COUNTIF(N4:N20,"M1")+COUNTIF(N4:N20,"M3")+COUNTIF(N4:N20,"M3/G")+COUNTIF(N4:N20,"M2")</f>
        <v>2</v>
      </c>
      <c r="O25" s="112">
        <f>COUNTIF(O4:O20,"M/F")+COUNTIF(O4:O20,"M1")+COUNTIF(O4:O20,"M3")+COUNTIF(O4:O20,"M3/G")+COUNTIF(O4:O20,"M2")</f>
        <v>2</v>
      </c>
      <c r="P25" s="112">
        <f>COUNTIF(P4:P20,"M/F")+COUNTIF(P4:P20,"M1")+COUNTIF(P4:P20,"M3")+COUNTIF(P4:P20,"M3/G")+COUNTIF(P4:P20,"M2")</f>
        <v>2</v>
      </c>
      <c r="Q25" s="112">
        <f>COUNTIF(Q4:Q20,"M/F")+COUNTIF(Q4:Q20,"M1")+COUNTIF(Q4:Q20,"M3")+COUNTIF(Q4:Q20,"M3/G")+COUNTIF(Q4:Q20,"M2")</f>
        <v>2</v>
      </c>
      <c r="R25" s="112">
        <f>COUNTIF(R4:R20,"M/F")+COUNTIF(R4:R20,"M1")+COUNTIF(R4:R20,"M3")+COUNTIF(R4:R20,"M3/G")+COUNTIF(R4:R20,"M2")</f>
        <v>2</v>
      </c>
      <c r="S25" s="112">
        <f>COUNTIF(S4:S20,"M/F")+COUNTIF(S4:S20,"M1")+COUNTIF(S4:S20,"M3")+COUNTIF(S4:S20,"M3/G")+COUNTIF(S4:S20,"M2")</f>
        <v>2</v>
      </c>
      <c r="T25" s="112">
        <f>COUNTIF(T4:T20,"M/F")+COUNTIF(T4:T20,"M1")+COUNTIF(T4:T20,"M3")+COUNTIF(T4:T20,"M3/G")+COUNTIF(T4:T20,"M2")</f>
        <v>2</v>
      </c>
      <c r="U25" s="112">
        <f>COUNTIF(U4:U20,"M/F")+COUNTIF(U4:U20,"M1")+COUNTIF(U4:U20,"M3")+COUNTIF(U4:U20,"M3/G")+COUNTIF(U4:U20,"M2")</f>
        <v>2</v>
      </c>
      <c r="V25" s="112">
        <f>COUNTIF(V4:V20,"M/F")+COUNTIF(V4:V20,"M1")+COUNTIF(V4:V20,"M3")+COUNTIF(V4:V20,"M3/G")+COUNTIF(V4:V20,"M2")</f>
        <v>2</v>
      </c>
      <c r="W25" s="112">
        <f>COUNTIF(W4:W20,"M/F")+COUNTIF(W4:W20,"M1")+COUNTIF(W4:W20,"M3")+COUNTIF(W4:W20,"M3/G")+COUNTIF(W4:W20,"M2")</f>
        <v>2</v>
      </c>
      <c r="X25" s="112">
        <f>COUNTIF(X4:X20,"M/F")+COUNTIF(X4:X20,"M1")+COUNTIF(X4:X20,"M3")+COUNTIF(X4:X20,"M3/G")+COUNTIF(X4:X20,"M2")</f>
        <v>2</v>
      </c>
      <c r="Y25" s="112">
        <f>COUNTIF(Y4:Y20,"M/F")+COUNTIF(Y4:Y20,"M1")+COUNTIF(Y4:Y20,"M3")+COUNTIF(Y4:Y20,"M3/G")+COUNTIF(Y4:Y20,"M2")</f>
        <v>2</v>
      </c>
      <c r="Z25" s="112">
        <f>COUNTIF(Z4:Z20,"M/F")+COUNTIF(Z4:Z20,"M1")+COUNTIF(Z4:Z20,"M3")+COUNTIF(Z4:Z20,"M3/G")+COUNTIF(Z4:Z20,"M2")</f>
        <v>2</v>
      </c>
      <c r="AA25" s="112">
        <f>COUNTIF(AA4:AA20,"M/F")+COUNTIF(AA4:AA20,"M1")+COUNTIF(AA4:AA20,"M3")+COUNTIF(AA4:AA20,"M3/G")+COUNTIF(AA4:AA20,"M2")</f>
        <v>2</v>
      </c>
      <c r="AB25" s="112">
        <f>COUNTIF(AB4:AB20,"M/F")+COUNTIF(AB4:AB20,"M1")+COUNTIF(AB4:AB20,"M3")+COUNTIF(AB4:AB20,"M3/G")+COUNTIF(AB4:AB20,"M2")</f>
        <v>2</v>
      </c>
      <c r="AC25" s="112">
        <f>COUNTIF(AC4:AC20,"M/F")+COUNTIF(AC4:AC20,"M1")+COUNTIF(AC4:AC20,"M3")+COUNTIF(AC4:AC20,"M3/G")+COUNTIF(AC4:AC20,"M2")</f>
        <v>2</v>
      </c>
      <c r="AD25" s="112">
        <f>COUNTIF(AD4:AD20,"M/F")+COUNTIF(AD4:AD20,"M1")+COUNTIF(AD4:AD20,"M3")+COUNTIF(AD4:AD20,"M3/G")+COUNTIF(AD4:AD20,"M2")</f>
        <v>2</v>
      </c>
      <c r="AE25" s="112">
        <f>COUNTIF(AE4:AE20,"M/F")+COUNTIF(AE4:AE20,"M1")+COUNTIF(AE4:AE20,"M3")+COUNTIF(AE4:AE20,"M3/G")+COUNTIF(AE4:AE20,"M2")</f>
        <v>2</v>
      </c>
      <c r="AF25" s="112">
        <f>COUNTIF(AF4:AF20,"M/F")+COUNTIF(AF4:AF20,"M1")+COUNTIF(AF4:AF20,"M3")+COUNTIF(AF4:AF20,"M3/G")+COUNTIF(AF4:AF20,"M2")</f>
        <v>2</v>
      </c>
      <c r="AG25" s="112">
        <f>COUNTIF(AG4:AG20,"M/F")+COUNTIF(AG4:AG20,"M1")+COUNTIF(AG4:AG20,"M3")+COUNTIF(AG4:AG20,"M3/G")+COUNTIF(AG4:AG20,"M2")</f>
        <v>2</v>
      </c>
    </row>
    <row r="27" spans="1:34" x14ac:dyDescent="0.25">
      <c r="B27" t="s">
        <v>65</v>
      </c>
    </row>
    <row r="28" spans="1:34" x14ac:dyDescent="0.25">
      <c r="B28" s="5" t="s">
        <v>66</v>
      </c>
    </row>
    <row r="29" spans="1:34" x14ac:dyDescent="0.25">
      <c r="B29" s="5" t="s">
        <v>67</v>
      </c>
    </row>
    <row r="30" spans="1:34" x14ac:dyDescent="0.25">
      <c r="B30" s="1" t="s">
        <v>68</v>
      </c>
    </row>
    <row r="31" spans="1:34" x14ac:dyDescent="0.25">
      <c r="B31" s="7" t="s">
        <v>69</v>
      </c>
    </row>
    <row r="32" spans="1:34" x14ac:dyDescent="0.25">
      <c r="B32" s="3" t="s">
        <v>70</v>
      </c>
    </row>
    <row r="33" spans="2:2" x14ac:dyDescent="0.25">
      <c r="B33" s="5" t="s">
        <v>71</v>
      </c>
    </row>
    <row r="34" spans="2:2" x14ac:dyDescent="0.25">
      <c r="B34" s="3" t="s">
        <v>72</v>
      </c>
    </row>
    <row r="35" spans="2:2" x14ac:dyDescent="0.25">
      <c r="B35" s="4" t="s">
        <v>73</v>
      </c>
    </row>
    <row r="36" spans="2:2" x14ac:dyDescent="0.25">
      <c r="B36" s="25" t="s">
        <v>74</v>
      </c>
    </row>
    <row r="37" spans="2:2" x14ac:dyDescent="0.25">
      <c r="B37" s="4" t="s">
        <v>92</v>
      </c>
    </row>
    <row r="38" spans="2:2" x14ac:dyDescent="0.25">
      <c r="B38" s="28" t="s">
        <v>76</v>
      </c>
    </row>
    <row r="39" spans="2:2" x14ac:dyDescent="0.25">
      <c r="B39" s="17" t="s">
        <v>77</v>
      </c>
    </row>
  </sheetData>
  <mergeCells count="2">
    <mergeCell ref="B1:B3"/>
    <mergeCell ref="C1:AG1"/>
  </mergeCells>
  <conditionalFormatting sqref="C23:AG25">
    <cfRule type="cellIs" dxfId="9" priority="1" operator="equal">
      <formula>1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B1F4E-A2A0-434F-A6D1-93213795F973}">
  <dimension ref="A1:AG37"/>
  <sheetViews>
    <sheetView workbookViewId="0">
      <selection activeCell="C10" sqref="C10:AF14"/>
    </sheetView>
  </sheetViews>
  <sheetFormatPr baseColWidth="10" defaultColWidth="8.85546875" defaultRowHeight="15" x14ac:dyDescent="0.2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 x14ac:dyDescent="0.25">
      <c r="A1" s="6"/>
      <c r="B1" s="142"/>
      <c r="C1" s="157" t="s">
        <v>100</v>
      </c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158"/>
      <c r="AE1" s="158"/>
      <c r="AF1" s="158"/>
    </row>
    <row r="2" spans="1:33" x14ac:dyDescent="0.25">
      <c r="A2" s="6"/>
      <c r="B2" s="142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3" x14ac:dyDescent="0.25">
      <c r="A3" s="6"/>
      <c r="B3" s="14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25">
      <c r="A4" s="63" t="s">
        <v>12</v>
      </c>
      <c r="B4" s="62" t="s">
        <v>13</v>
      </c>
      <c r="C4" s="5" t="s">
        <v>14</v>
      </c>
      <c r="D4" s="5" t="s">
        <v>14</v>
      </c>
      <c r="E4" s="5" t="s">
        <v>14</v>
      </c>
      <c r="F4" s="5" t="s">
        <v>14</v>
      </c>
      <c r="G4" s="5" t="s">
        <v>14</v>
      </c>
      <c r="H4" s="5" t="s">
        <v>15</v>
      </c>
      <c r="I4" s="5" t="s">
        <v>15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28" t="s">
        <v>7</v>
      </c>
      <c r="Q4" s="7" t="s">
        <v>20</v>
      </c>
      <c r="R4" s="7" t="s">
        <v>20</v>
      </c>
      <c r="S4" s="7" t="s">
        <v>20</v>
      </c>
      <c r="T4" s="7" t="s">
        <v>20</v>
      </c>
      <c r="U4" s="7" t="s">
        <v>20</v>
      </c>
      <c r="V4" s="28" t="s">
        <v>7</v>
      </c>
      <c r="W4" s="28" t="s">
        <v>7</v>
      </c>
      <c r="X4" s="1" t="s">
        <v>14</v>
      </c>
      <c r="Y4" s="1" t="s">
        <v>14</v>
      </c>
      <c r="Z4" s="1" t="s">
        <v>14</v>
      </c>
      <c r="AA4" s="1" t="s">
        <v>14</v>
      </c>
      <c r="AB4" s="1" t="s">
        <v>14</v>
      </c>
      <c r="AC4" s="5" t="s">
        <v>15</v>
      </c>
      <c r="AD4" s="5" t="s">
        <v>15</v>
      </c>
      <c r="AE4" s="28" t="s">
        <v>7</v>
      </c>
      <c r="AF4" s="28" t="s">
        <v>7</v>
      </c>
      <c r="AG4"/>
    </row>
    <row r="5" spans="1:33" x14ac:dyDescent="0.2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5" t="s">
        <v>14</v>
      </c>
      <c r="K5" s="5" t="s">
        <v>14</v>
      </c>
      <c r="L5" s="5" t="s">
        <v>14</v>
      </c>
      <c r="M5" s="5" t="s">
        <v>14</v>
      </c>
      <c r="N5" s="5" t="s">
        <v>14</v>
      </c>
      <c r="O5" s="5" t="s">
        <v>15</v>
      </c>
      <c r="P5" s="5" t="s">
        <v>15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28" t="s">
        <v>7</v>
      </c>
      <c r="X5" s="7" t="s">
        <v>20</v>
      </c>
      <c r="Y5" s="7" t="s">
        <v>20</v>
      </c>
      <c r="Z5" s="7" t="s">
        <v>20</v>
      </c>
      <c r="AA5" s="7" t="s">
        <v>20</v>
      </c>
      <c r="AB5" s="7" t="s">
        <v>20</v>
      </c>
      <c r="AC5" s="28" t="s">
        <v>7</v>
      </c>
      <c r="AD5" s="28" t="s">
        <v>7</v>
      </c>
      <c r="AE5" s="1" t="s">
        <v>14</v>
      </c>
      <c r="AF5" s="1" t="s">
        <v>14</v>
      </c>
      <c r="AG5"/>
    </row>
    <row r="6" spans="1:33" x14ac:dyDescent="0.25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1" t="s">
        <v>14</v>
      </c>
      <c r="G6" s="1" t="s">
        <v>14</v>
      </c>
      <c r="H6" s="5" t="s">
        <v>15</v>
      </c>
      <c r="I6" s="5" t="s">
        <v>15</v>
      </c>
      <c r="J6" s="28" t="s">
        <v>7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5" t="s">
        <v>15</v>
      </c>
      <c r="W6" s="5" t="s">
        <v>15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28" t="s">
        <v>7</v>
      </c>
      <c r="AE6" s="7" t="s">
        <v>20</v>
      </c>
      <c r="AF6" s="7" t="s">
        <v>20</v>
      </c>
      <c r="AG6"/>
    </row>
    <row r="7" spans="1:33" x14ac:dyDescent="0.25">
      <c r="A7" s="34" t="s">
        <v>12</v>
      </c>
      <c r="B7" s="33" t="s">
        <v>22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1" t="s">
        <v>14</v>
      </c>
      <c r="K7" s="1" t="s">
        <v>14</v>
      </c>
      <c r="L7" s="1" t="s">
        <v>14</v>
      </c>
      <c r="M7" s="1" t="s">
        <v>14</v>
      </c>
      <c r="N7" s="1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5" t="s">
        <v>14</v>
      </c>
      <c r="Y7" s="5" t="s">
        <v>14</v>
      </c>
      <c r="Z7" s="5" t="s">
        <v>14</v>
      </c>
      <c r="AA7" s="5" t="s">
        <v>14</v>
      </c>
      <c r="AB7" s="5" t="s">
        <v>14</v>
      </c>
      <c r="AC7" s="5" t="s">
        <v>15</v>
      </c>
      <c r="AD7" s="5" t="s">
        <v>15</v>
      </c>
      <c r="AE7" s="28" t="s">
        <v>7</v>
      </c>
      <c r="AF7" s="28" t="s">
        <v>7</v>
      </c>
      <c r="AG7"/>
    </row>
    <row r="8" spans="1:33" x14ac:dyDescent="0.2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28" t="s">
        <v>7</v>
      </c>
      <c r="J8" s="7" t="s">
        <v>20</v>
      </c>
      <c r="K8" s="7" t="s">
        <v>20</v>
      </c>
      <c r="L8" s="7" t="s">
        <v>20</v>
      </c>
      <c r="M8" s="7" t="s">
        <v>20</v>
      </c>
      <c r="N8" s="7" t="s">
        <v>20</v>
      </c>
      <c r="O8" s="28" t="s">
        <v>7</v>
      </c>
      <c r="P8" s="28" t="s">
        <v>7</v>
      </c>
      <c r="Q8" s="1" t="s">
        <v>14</v>
      </c>
      <c r="R8" s="1" t="s">
        <v>14</v>
      </c>
      <c r="S8" s="1" t="s">
        <v>14</v>
      </c>
      <c r="T8" s="1" t="s">
        <v>14</v>
      </c>
      <c r="U8" s="1" t="s">
        <v>14</v>
      </c>
      <c r="V8" s="5" t="s">
        <v>15</v>
      </c>
      <c r="W8" s="5" t="s">
        <v>15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5" t="s">
        <v>14</v>
      </c>
      <c r="AF8" s="5" t="s">
        <v>14</v>
      </c>
      <c r="AG8"/>
    </row>
    <row r="9" spans="1:33" x14ac:dyDescent="0.2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25">
      <c r="A10" s="34" t="s">
        <v>12</v>
      </c>
      <c r="B10" s="122" t="s">
        <v>101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5" t="s">
        <v>7</v>
      </c>
      <c r="W10" s="125" t="s">
        <v>7</v>
      </c>
      <c r="X10" s="125" t="s">
        <v>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E10" s="125" t="s">
        <v>7</v>
      </c>
      <c r="AF10" s="125" t="s">
        <v>7</v>
      </c>
      <c r="AG10"/>
    </row>
    <row r="11" spans="1:33" x14ac:dyDescent="0.25">
      <c r="A11" s="34" t="s">
        <v>12</v>
      </c>
      <c r="B11" s="33" t="s">
        <v>52</v>
      </c>
      <c r="C11" s="125" t="s">
        <v>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25" t="s">
        <v>7</v>
      </c>
      <c r="P11" s="125" t="s">
        <v>7</v>
      </c>
      <c r="Q11" s="125" t="s">
        <v>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5" t="s">
        <v>7</v>
      </c>
      <c r="AD11" s="125" t="s">
        <v>7</v>
      </c>
      <c r="AE11" s="125" t="s">
        <v>7</v>
      </c>
      <c r="AF11" s="125" t="s">
        <v>7</v>
      </c>
      <c r="AG11"/>
    </row>
    <row r="12" spans="1:33" x14ac:dyDescent="0.25">
      <c r="A12" s="34" t="s">
        <v>12</v>
      </c>
      <c r="B12" s="33" t="s">
        <v>24</v>
      </c>
      <c r="C12" s="125" t="s">
        <v>7</v>
      </c>
      <c r="D12" s="125" t="s">
        <v>7</v>
      </c>
      <c r="E12" s="125" t="s">
        <v>7</v>
      </c>
      <c r="F12" s="125" t="s">
        <v>7</v>
      </c>
      <c r="G12" s="125" t="s">
        <v>7</v>
      </c>
      <c r="H12" s="125" t="s">
        <v>7</v>
      </c>
      <c r="I12" s="125" t="s">
        <v>7</v>
      </c>
      <c r="J12" s="125" t="s">
        <v>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25" t="s">
        <v>7</v>
      </c>
      <c r="W12" s="125" t="s">
        <v>7</v>
      </c>
      <c r="X12" s="125" t="s">
        <v>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5" t="s">
        <v>7</v>
      </c>
      <c r="AG12"/>
    </row>
    <row r="13" spans="1:33" x14ac:dyDescent="0.25">
      <c r="A13" s="34" t="s">
        <v>12</v>
      </c>
      <c r="B13" s="33" t="s">
        <v>83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5" t="s">
        <v>7</v>
      </c>
      <c r="I13" s="125" t="s">
        <v>7</v>
      </c>
      <c r="J13" s="125" t="s">
        <v>7</v>
      </c>
      <c r="K13" s="125" t="s">
        <v>7</v>
      </c>
      <c r="L13" s="125" t="s">
        <v>7</v>
      </c>
      <c r="M13" s="125" t="s">
        <v>7</v>
      </c>
      <c r="N13" s="125" t="s">
        <v>7</v>
      </c>
      <c r="O13" s="125" t="s">
        <v>7</v>
      </c>
      <c r="P13" s="125" t="s">
        <v>7</v>
      </c>
      <c r="Q13" s="125" t="s">
        <v>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25" t="s">
        <v>7</v>
      </c>
      <c r="AD13" s="125" t="s">
        <v>7</v>
      </c>
      <c r="AE13" s="125" t="s">
        <v>7</v>
      </c>
      <c r="AF13" s="125" t="s">
        <v>7</v>
      </c>
      <c r="AG13"/>
    </row>
    <row r="14" spans="1:33" x14ac:dyDescent="0.25">
      <c r="A14" s="34" t="s">
        <v>12</v>
      </c>
      <c r="B14" s="33" t="s">
        <v>53</v>
      </c>
      <c r="C14" s="125" t="s">
        <v>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5" t="s">
        <v>7</v>
      </c>
      <c r="P14" s="125" t="s">
        <v>7</v>
      </c>
      <c r="Q14" s="125" t="s">
        <v>7</v>
      </c>
      <c r="R14" s="125" t="s">
        <v>7</v>
      </c>
      <c r="S14" s="125" t="s">
        <v>7</v>
      </c>
      <c r="T14" s="125" t="s">
        <v>7</v>
      </c>
      <c r="U14" s="125" t="s">
        <v>7</v>
      </c>
      <c r="V14" s="125" t="s">
        <v>7</v>
      </c>
      <c r="W14" s="125" t="s">
        <v>7</v>
      </c>
      <c r="X14" s="125" t="s">
        <v>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25" t="s">
        <v>7</v>
      </c>
      <c r="AG14"/>
    </row>
    <row r="15" spans="1:33" x14ac:dyDescent="0.2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25">
      <c r="A16" s="34" t="s">
        <v>28</v>
      </c>
      <c r="B16" s="33" t="s">
        <v>29</v>
      </c>
      <c r="C16" s="4" t="s">
        <v>84</v>
      </c>
      <c r="D16" s="4" t="s">
        <v>84</v>
      </c>
      <c r="E16" s="4" t="s">
        <v>84</v>
      </c>
      <c r="F16" s="4" t="s">
        <v>84</v>
      </c>
      <c r="G16" s="4" t="s">
        <v>84</v>
      </c>
      <c r="H16" s="28" t="s">
        <v>7</v>
      </c>
      <c r="I16" s="28" t="s">
        <v>7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28" t="s">
        <v>7</v>
      </c>
      <c r="P16" s="28" t="s">
        <v>7</v>
      </c>
      <c r="Q16" s="4" t="s">
        <v>14</v>
      </c>
      <c r="R16" s="4" t="s">
        <v>14</v>
      </c>
      <c r="S16" s="4" t="s">
        <v>14</v>
      </c>
      <c r="T16" s="4" t="s">
        <v>14</v>
      </c>
      <c r="U16" s="4" t="s">
        <v>14</v>
      </c>
      <c r="V16" s="28" t="s">
        <v>7</v>
      </c>
      <c r="W16" s="28" t="s">
        <v>7</v>
      </c>
      <c r="X16" s="4" t="s">
        <v>84</v>
      </c>
      <c r="Y16" s="4" t="s">
        <v>84</v>
      </c>
      <c r="Z16" s="4" t="s">
        <v>84</v>
      </c>
      <c r="AA16" s="4" t="s">
        <v>84</v>
      </c>
      <c r="AB16" s="4" t="s">
        <v>84</v>
      </c>
      <c r="AC16" s="28" t="s">
        <v>7</v>
      </c>
      <c r="AD16" s="28" t="s">
        <v>7</v>
      </c>
      <c r="AE16" s="25" t="s">
        <v>11</v>
      </c>
      <c r="AF16" s="25" t="s">
        <v>11</v>
      </c>
      <c r="AG16"/>
    </row>
    <row r="17" spans="1:33" x14ac:dyDescent="0.25">
      <c r="A17" s="34" t="s">
        <v>28</v>
      </c>
      <c r="B17" s="35" t="s">
        <v>60</v>
      </c>
      <c r="C17" s="4" t="s">
        <v>14</v>
      </c>
      <c r="D17" s="4" t="s">
        <v>14</v>
      </c>
      <c r="E17" s="4" t="s">
        <v>14</v>
      </c>
      <c r="F17" s="4" t="s">
        <v>14</v>
      </c>
      <c r="G17" s="4" t="s">
        <v>14</v>
      </c>
      <c r="H17" s="28" t="s">
        <v>7</v>
      </c>
      <c r="I17" s="28" t="s">
        <v>7</v>
      </c>
      <c r="J17" s="4" t="s">
        <v>84</v>
      </c>
      <c r="K17" s="4" t="s">
        <v>84</v>
      </c>
      <c r="L17" s="4" t="s">
        <v>84</v>
      </c>
      <c r="M17" s="4" t="s">
        <v>84</v>
      </c>
      <c r="N17" s="4" t="s">
        <v>84</v>
      </c>
      <c r="O17" s="28" t="s">
        <v>7</v>
      </c>
      <c r="P17" s="28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8" t="s">
        <v>7</v>
      </c>
      <c r="W17" s="28" t="s">
        <v>7</v>
      </c>
      <c r="X17" s="4" t="s">
        <v>14</v>
      </c>
      <c r="Y17" s="4" t="s">
        <v>14</v>
      </c>
      <c r="Z17" s="4" t="s">
        <v>14</v>
      </c>
      <c r="AA17" s="4" t="s">
        <v>14</v>
      </c>
      <c r="AB17" s="4" t="s">
        <v>14</v>
      </c>
      <c r="AC17" s="28" t="s">
        <v>7</v>
      </c>
      <c r="AD17" s="28" t="s">
        <v>7</v>
      </c>
      <c r="AE17" s="4" t="s">
        <v>84</v>
      </c>
      <c r="AF17" s="4" t="s">
        <v>84</v>
      </c>
      <c r="AG17"/>
    </row>
    <row r="18" spans="1:33" x14ac:dyDescent="0.25">
      <c r="A18" s="34" t="s">
        <v>28</v>
      </c>
      <c r="B18" s="35" t="s">
        <v>34</v>
      </c>
      <c r="C18" s="25" t="s">
        <v>11</v>
      </c>
      <c r="D18" s="25" t="s">
        <v>11</v>
      </c>
      <c r="E18" s="25" t="s">
        <v>11</v>
      </c>
      <c r="F18" s="25" t="s">
        <v>11</v>
      </c>
      <c r="G18" s="25" t="s">
        <v>11</v>
      </c>
      <c r="H18" s="28" t="s">
        <v>7</v>
      </c>
      <c r="I18" s="28" t="s">
        <v>7</v>
      </c>
      <c r="J18" s="4" t="s">
        <v>14</v>
      </c>
      <c r="K18" s="4" t="s">
        <v>14</v>
      </c>
      <c r="L18" s="4" t="s">
        <v>14</v>
      </c>
      <c r="M18" s="4" t="s">
        <v>14</v>
      </c>
      <c r="N18" s="4" t="s">
        <v>14</v>
      </c>
      <c r="O18" s="28" t="s">
        <v>7</v>
      </c>
      <c r="P18" s="28" t="s">
        <v>7</v>
      </c>
      <c r="Q18" s="4" t="s">
        <v>84</v>
      </c>
      <c r="R18" s="4" t="s">
        <v>84</v>
      </c>
      <c r="S18" s="4" t="s">
        <v>84</v>
      </c>
      <c r="T18" s="4" t="s">
        <v>84</v>
      </c>
      <c r="U18" s="4" t="s">
        <v>84</v>
      </c>
      <c r="V18" s="28" t="s">
        <v>7</v>
      </c>
      <c r="W18" s="28" t="s">
        <v>7</v>
      </c>
      <c r="X18" s="25" t="s">
        <v>11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8" t="s">
        <v>7</v>
      </c>
      <c r="AD18" s="28" t="s">
        <v>7</v>
      </c>
      <c r="AE18" s="4" t="s">
        <v>14</v>
      </c>
      <c r="AF18" s="4" t="s">
        <v>14</v>
      </c>
      <c r="AG18"/>
    </row>
    <row r="19" spans="1:33" x14ac:dyDescent="0.25">
      <c r="H19" t="s">
        <v>102</v>
      </c>
      <c r="AG19"/>
    </row>
    <row r="20" spans="1:33" x14ac:dyDescent="0.25">
      <c r="B20" s="111" t="s">
        <v>88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2</v>
      </c>
      <c r="I20" s="110">
        <f t="shared" si="0"/>
        <v>2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2</v>
      </c>
      <c r="P20" s="110">
        <f t="shared" si="0"/>
        <v>2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2</v>
      </c>
      <c r="W20" s="110">
        <f t="shared" si="0"/>
        <v>2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2</v>
      </c>
      <c r="AD20" s="110">
        <f t="shared" si="0"/>
        <v>2</v>
      </c>
      <c r="AE20" s="110">
        <f t="shared" si="0"/>
        <v>3</v>
      </c>
      <c r="AF20" s="110">
        <f t="shared" si="0"/>
        <v>3</v>
      </c>
    </row>
    <row r="21" spans="1:33" x14ac:dyDescent="0.25">
      <c r="B21" s="111" t="s">
        <v>89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0</v>
      </c>
      <c r="I21" s="112">
        <f t="shared" si="1"/>
        <v>0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0</v>
      </c>
      <c r="P21" s="112">
        <f t="shared" si="1"/>
        <v>0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0</v>
      </c>
      <c r="W21" s="112">
        <f t="shared" si="1"/>
        <v>0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0</v>
      </c>
      <c r="AD21" s="112">
        <f t="shared" si="1"/>
        <v>0</v>
      </c>
      <c r="AE21" s="112">
        <f t="shared" si="1"/>
        <v>1</v>
      </c>
      <c r="AF21" s="112">
        <f t="shared" si="1"/>
        <v>1</v>
      </c>
    </row>
    <row r="22" spans="1:33" x14ac:dyDescent="0.25">
      <c r="B22" s="111" t="s">
        <v>90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25">
      <c r="B23" s="111" t="s">
        <v>91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25">
      <c r="B25" t="s">
        <v>65</v>
      </c>
    </row>
    <row r="26" spans="1:33" x14ac:dyDescent="0.25">
      <c r="B26" s="5" t="s">
        <v>66</v>
      </c>
    </row>
    <row r="27" spans="1:33" x14ac:dyDescent="0.25">
      <c r="B27" s="5" t="s">
        <v>67</v>
      </c>
    </row>
    <row r="28" spans="1:33" x14ac:dyDescent="0.25">
      <c r="B28" s="1" t="s">
        <v>68</v>
      </c>
    </row>
    <row r="29" spans="1:33" x14ac:dyDescent="0.25">
      <c r="B29" s="7" t="s">
        <v>69</v>
      </c>
    </row>
    <row r="30" spans="1:33" x14ac:dyDescent="0.25">
      <c r="B30" s="3" t="s">
        <v>70</v>
      </c>
    </row>
    <row r="31" spans="1:33" x14ac:dyDescent="0.25">
      <c r="B31" s="5" t="s">
        <v>71</v>
      </c>
    </row>
    <row r="32" spans="1:33" x14ac:dyDescent="0.25">
      <c r="B32" s="3" t="s">
        <v>72</v>
      </c>
    </row>
    <row r="33" spans="2:2" x14ac:dyDescent="0.25">
      <c r="B33" s="4" t="s">
        <v>73</v>
      </c>
    </row>
    <row r="34" spans="2:2" x14ac:dyDescent="0.25">
      <c r="B34" s="25" t="s">
        <v>74</v>
      </c>
    </row>
    <row r="35" spans="2:2" x14ac:dyDescent="0.25">
      <c r="B35" s="4" t="s">
        <v>92</v>
      </c>
    </row>
    <row r="36" spans="2:2" x14ac:dyDescent="0.25">
      <c r="B36" s="28" t="s">
        <v>76</v>
      </c>
    </row>
    <row r="37" spans="2:2" x14ac:dyDescent="0.25">
      <c r="B37" s="17" t="s">
        <v>77</v>
      </c>
    </row>
  </sheetData>
  <mergeCells count="2">
    <mergeCell ref="B1:B3"/>
    <mergeCell ref="C1:AF1"/>
  </mergeCells>
  <conditionalFormatting sqref="C21:AF23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37"/>
  <sheetViews>
    <sheetView workbookViewId="0">
      <selection activeCell="C10" sqref="C10:AG14"/>
    </sheetView>
  </sheetViews>
  <sheetFormatPr baseColWidth="10" defaultColWidth="8.85546875" defaultRowHeight="15" x14ac:dyDescent="0.25"/>
  <cols>
    <col min="2" max="2" width="25.5703125" customWidth="1"/>
    <col min="3" max="33" width="4.7109375" customWidth="1"/>
    <col min="34" max="34" width="4" style="91" bestFit="1" customWidth="1"/>
  </cols>
  <sheetData>
    <row r="1" spans="1:36" ht="24" customHeight="1" x14ac:dyDescent="0.25">
      <c r="A1" s="6"/>
      <c r="B1" s="142"/>
      <c r="C1" s="157" t="s">
        <v>103</v>
      </c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158"/>
      <c r="AE1" s="158"/>
      <c r="AF1" s="158"/>
      <c r="AG1" s="158"/>
    </row>
    <row r="2" spans="1:36" x14ac:dyDescent="0.25">
      <c r="A2" s="6"/>
      <c r="B2" s="142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 x14ac:dyDescent="0.25">
      <c r="A3" s="6"/>
      <c r="B3" s="14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 x14ac:dyDescent="0.2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5" t="s">
        <v>14</v>
      </c>
      <c r="I4" s="5" t="s">
        <v>14</v>
      </c>
      <c r="J4" s="5" t="s">
        <v>14</v>
      </c>
      <c r="K4" s="5" t="s">
        <v>14</v>
      </c>
      <c r="L4" s="5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1" t="s">
        <v>14</v>
      </c>
      <c r="AD4" s="1" t="s">
        <v>14</v>
      </c>
      <c r="AE4" s="1" t="s">
        <v>14</v>
      </c>
      <c r="AF4" s="1" t="s">
        <v>14</v>
      </c>
      <c r="AG4" s="1" t="s">
        <v>14</v>
      </c>
      <c r="AH4"/>
    </row>
    <row r="5" spans="1:36" x14ac:dyDescent="0.2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5" t="s">
        <v>14</v>
      </c>
      <c r="P5" s="5" t="s">
        <v>14</v>
      </c>
      <c r="Q5" s="5" t="s">
        <v>14</v>
      </c>
      <c r="R5" s="5" t="s">
        <v>14</v>
      </c>
      <c r="S5" s="5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 x14ac:dyDescent="0.25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5" t="s">
        <v>14</v>
      </c>
      <c r="W6" s="5" t="s">
        <v>14</v>
      </c>
      <c r="X6" s="5" t="s">
        <v>14</v>
      </c>
      <c r="Y6" s="5" t="s">
        <v>14</v>
      </c>
      <c r="Z6" s="5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 x14ac:dyDescent="0.25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28" t="s">
        <v>7</v>
      </c>
      <c r="H7" s="7" t="s">
        <v>20</v>
      </c>
      <c r="I7" s="7" t="s">
        <v>20</v>
      </c>
      <c r="J7" s="7" t="s">
        <v>20</v>
      </c>
      <c r="K7" s="7" t="s">
        <v>20</v>
      </c>
      <c r="L7" s="7" t="s">
        <v>20</v>
      </c>
      <c r="M7" s="28" t="s">
        <v>7</v>
      </c>
      <c r="N7" s="28" t="s">
        <v>7</v>
      </c>
      <c r="O7" s="1" t="s">
        <v>14</v>
      </c>
      <c r="P7" s="1" t="s">
        <v>14</v>
      </c>
      <c r="Q7" s="1" t="s">
        <v>14</v>
      </c>
      <c r="R7" s="1" t="s">
        <v>14</v>
      </c>
      <c r="S7" s="1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5" t="s">
        <v>14</v>
      </c>
      <c r="AD7" s="5" t="s">
        <v>14</v>
      </c>
      <c r="AE7" s="5" t="s">
        <v>14</v>
      </c>
      <c r="AF7" s="5" t="s">
        <v>14</v>
      </c>
      <c r="AG7" s="5" t="s">
        <v>14</v>
      </c>
      <c r="AH7"/>
    </row>
    <row r="8" spans="1:36" x14ac:dyDescent="0.2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15</v>
      </c>
      <c r="G8" s="5" t="s">
        <v>15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28" t="s">
        <v>7</v>
      </c>
      <c r="O8" s="7" t="s">
        <v>20</v>
      </c>
      <c r="P8" s="7" t="s">
        <v>20</v>
      </c>
      <c r="Q8" s="7" t="s">
        <v>20</v>
      </c>
      <c r="R8" s="7" t="s">
        <v>20</v>
      </c>
      <c r="S8" s="7" t="s">
        <v>20</v>
      </c>
      <c r="T8" s="28" t="s">
        <v>7</v>
      </c>
      <c r="U8" s="28" t="s">
        <v>7</v>
      </c>
      <c r="V8" s="1" t="s">
        <v>14</v>
      </c>
      <c r="W8" s="1" t="s">
        <v>14</v>
      </c>
      <c r="X8" s="1" t="s">
        <v>14</v>
      </c>
      <c r="Y8" s="1" t="s">
        <v>14</v>
      </c>
      <c r="Z8" s="1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6" x14ac:dyDescent="0.2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6" x14ac:dyDescent="0.25">
      <c r="A10" s="34" t="s">
        <v>12</v>
      </c>
      <c r="B10" s="33" t="s">
        <v>23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5" t="s">
        <v>7</v>
      </c>
      <c r="W10" s="125" t="s">
        <v>7</v>
      </c>
      <c r="X10" s="125" t="s">
        <v>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E10" s="125" t="s">
        <v>7</v>
      </c>
      <c r="AF10" s="125" t="s">
        <v>7</v>
      </c>
      <c r="AG10" s="125" t="s">
        <v>7</v>
      </c>
      <c r="AH10"/>
    </row>
    <row r="11" spans="1:36" x14ac:dyDescent="0.25">
      <c r="A11" s="34" t="s">
        <v>12</v>
      </c>
      <c r="B11" s="33" t="s">
        <v>52</v>
      </c>
      <c r="C11" s="125" t="s">
        <v>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25" t="s">
        <v>7</v>
      </c>
      <c r="P11" s="125" t="s">
        <v>7</v>
      </c>
      <c r="Q11" s="125" t="s">
        <v>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5" t="s">
        <v>7</v>
      </c>
      <c r="AD11" s="125" t="s">
        <v>7</v>
      </c>
      <c r="AE11" s="125" t="s">
        <v>7</v>
      </c>
      <c r="AF11" s="125" t="s">
        <v>7</v>
      </c>
      <c r="AG11" s="125" t="s">
        <v>7</v>
      </c>
      <c r="AH11"/>
    </row>
    <row r="12" spans="1:36" x14ac:dyDescent="0.25">
      <c r="A12" s="34" t="s">
        <v>12</v>
      </c>
      <c r="B12" s="33" t="s">
        <v>24</v>
      </c>
      <c r="C12" s="125" t="s">
        <v>7</v>
      </c>
      <c r="D12" s="125" t="s">
        <v>7</v>
      </c>
      <c r="E12" s="125" t="s">
        <v>7</v>
      </c>
      <c r="F12" s="125" t="s">
        <v>7</v>
      </c>
      <c r="G12" s="125" t="s">
        <v>7</v>
      </c>
      <c r="H12" s="125" t="s">
        <v>7</v>
      </c>
      <c r="I12" s="125" t="s">
        <v>7</v>
      </c>
      <c r="J12" s="125" t="s">
        <v>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25" t="s">
        <v>7</v>
      </c>
      <c r="W12" s="125" t="s">
        <v>7</v>
      </c>
      <c r="X12" s="125" t="s">
        <v>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5" t="s">
        <v>7</v>
      </c>
      <c r="AG12" s="125" t="s">
        <v>7</v>
      </c>
      <c r="AH12"/>
    </row>
    <row r="13" spans="1:36" x14ac:dyDescent="0.25">
      <c r="A13" s="34" t="s">
        <v>12</v>
      </c>
      <c r="B13" s="33" t="s">
        <v>83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5" t="s">
        <v>7</v>
      </c>
      <c r="I13" s="125" t="s">
        <v>7</v>
      </c>
      <c r="J13" s="125" t="s">
        <v>7</v>
      </c>
      <c r="K13" s="125" t="s">
        <v>7</v>
      </c>
      <c r="L13" s="125" t="s">
        <v>7</v>
      </c>
      <c r="M13" s="125" t="s">
        <v>7</v>
      </c>
      <c r="N13" s="125" t="s">
        <v>7</v>
      </c>
      <c r="O13" s="125" t="s">
        <v>7</v>
      </c>
      <c r="P13" s="125" t="s">
        <v>7</v>
      </c>
      <c r="Q13" s="125" t="s">
        <v>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25" t="s">
        <v>7</v>
      </c>
      <c r="AD13" s="125" t="s">
        <v>7</v>
      </c>
      <c r="AE13" s="125" t="s">
        <v>7</v>
      </c>
      <c r="AF13" s="125" t="s">
        <v>7</v>
      </c>
      <c r="AG13" s="125" t="s">
        <v>7</v>
      </c>
      <c r="AH13"/>
    </row>
    <row r="14" spans="1:36" x14ac:dyDescent="0.25">
      <c r="A14" s="34" t="s">
        <v>12</v>
      </c>
      <c r="B14" s="33" t="s">
        <v>53</v>
      </c>
      <c r="C14" s="125" t="s">
        <v>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5" t="s">
        <v>7</v>
      </c>
      <c r="P14" s="125" t="s">
        <v>7</v>
      </c>
      <c r="Q14" s="125" t="s">
        <v>7</v>
      </c>
      <c r="R14" s="125" t="s">
        <v>7</v>
      </c>
      <c r="S14" s="125" t="s">
        <v>7</v>
      </c>
      <c r="T14" s="125" t="s">
        <v>7</v>
      </c>
      <c r="U14" s="125" t="s">
        <v>7</v>
      </c>
      <c r="V14" s="125" t="s">
        <v>7</v>
      </c>
      <c r="W14" s="125" t="s">
        <v>7</v>
      </c>
      <c r="X14" s="125" t="s">
        <v>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25" t="s">
        <v>7</v>
      </c>
      <c r="AG14" s="125" t="s">
        <v>7</v>
      </c>
      <c r="AH14"/>
      <c r="AJ14" s="135"/>
    </row>
    <row r="15" spans="1:36" x14ac:dyDescent="0.2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6" x14ac:dyDescent="0.25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8" t="s">
        <v>7</v>
      </c>
      <c r="G16" s="28" t="s">
        <v>7</v>
      </c>
      <c r="H16" s="4" t="s">
        <v>14</v>
      </c>
      <c r="I16" s="4" t="s">
        <v>14</v>
      </c>
      <c r="J16" s="4" t="s">
        <v>14</v>
      </c>
      <c r="K16" s="4" t="s">
        <v>14</v>
      </c>
      <c r="L16" s="4" t="s">
        <v>14</v>
      </c>
      <c r="M16" s="28" t="s">
        <v>7</v>
      </c>
      <c r="N16" s="28" t="s">
        <v>7</v>
      </c>
      <c r="O16" s="4" t="s">
        <v>84</v>
      </c>
      <c r="P16" s="4" t="s">
        <v>84</v>
      </c>
      <c r="Q16" s="4" t="s">
        <v>84</v>
      </c>
      <c r="R16" s="4" t="s">
        <v>84</v>
      </c>
      <c r="S16" s="4" t="s">
        <v>84</v>
      </c>
      <c r="T16" s="28" t="s">
        <v>7</v>
      </c>
      <c r="U16" s="28" t="s">
        <v>7</v>
      </c>
      <c r="V16" s="25" t="s">
        <v>11</v>
      </c>
      <c r="W16" s="25" t="s">
        <v>11</v>
      </c>
      <c r="X16" s="25" t="s">
        <v>11</v>
      </c>
      <c r="Y16" s="25" t="s">
        <v>11</v>
      </c>
      <c r="Z16" s="25" t="s">
        <v>11</v>
      </c>
      <c r="AA16" s="28" t="s">
        <v>7</v>
      </c>
      <c r="AB16" s="28" t="s">
        <v>7</v>
      </c>
      <c r="AC16" s="4" t="s">
        <v>14</v>
      </c>
      <c r="AD16" s="4" t="s">
        <v>14</v>
      </c>
      <c r="AE16" s="4" t="s">
        <v>14</v>
      </c>
      <c r="AF16" s="4" t="s">
        <v>14</v>
      </c>
      <c r="AG16" s="4" t="s">
        <v>14</v>
      </c>
      <c r="AH16"/>
    </row>
    <row r="17" spans="1:34" x14ac:dyDescent="0.25">
      <c r="A17" s="34" t="s">
        <v>28</v>
      </c>
      <c r="B17" s="35" t="s">
        <v>60</v>
      </c>
      <c r="C17" s="4" t="s">
        <v>84</v>
      </c>
      <c r="D17" s="4" t="s">
        <v>84</v>
      </c>
      <c r="E17" s="4" t="s">
        <v>84</v>
      </c>
      <c r="F17" s="28" t="s">
        <v>7</v>
      </c>
      <c r="G17" s="28" t="s">
        <v>7</v>
      </c>
      <c r="H17" s="25" t="s">
        <v>11</v>
      </c>
      <c r="I17" s="25" t="s">
        <v>11</v>
      </c>
      <c r="J17" s="25" t="s">
        <v>11</v>
      </c>
      <c r="K17" s="25" t="s">
        <v>11</v>
      </c>
      <c r="L17" s="25" t="s">
        <v>11</v>
      </c>
      <c r="M17" s="28" t="s">
        <v>7</v>
      </c>
      <c r="N17" s="28" t="s">
        <v>7</v>
      </c>
      <c r="O17" s="4" t="s">
        <v>14</v>
      </c>
      <c r="P17" s="4" t="s">
        <v>14</v>
      </c>
      <c r="Q17" s="4" t="s">
        <v>14</v>
      </c>
      <c r="R17" s="4" t="s">
        <v>14</v>
      </c>
      <c r="S17" s="4" t="s">
        <v>14</v>
      </c>
      <c r="T17" s="28" t="s">
        <v>7</v>
      </c>
      <c r="U17" s="28" t="s">
        <v>7</v>
      </c>
      <c r="V17" s="4" t="s">
        <v>84</v>
      </c>
      <c r="W17" s="4" t="s">
        <v>84</v>
      </c>
      <c r="X17" s="4" t="s">
        <v>84</v>
      </c>
      <c r="Y17" s="4" t="s">
        <v>84</v>
      </c>
      <c r="Z17" s="4" t="s">
        <v>84</v>
      </c>
      <c r="AA17" s="28" t="s">
        <v>7</v>
      </c>
      <c r="AB17" s="28" t="s">
        <v>7</v>
      </c>
      <c r="AC17" s="25" t="s">
        <v>11</v>
      </c>
      <c r="AD17" s="25" t="s">
        <v>11</v>
      </c>
      <c r="AE17" s="25" t="s">
        <v>11</v>
      </c>
      <c r="AF17" s="25" t="s">
        <v>11</v>
      </c>
      <c r="AG17" s="25" t="s">
        <v>11</v>
      </c>
      <c r="AH17"/>
    </row>
    <row r="18" spans="1:34" x14ac:dyDescent="0.25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28" t="s">
        <v>7</v>
      </c>
      <c r="G18" s="28" t="s">
        <v>7</v>
      </c>
      <c r="H18" s="4" t="s">
        <v>84</v>
      </c>
      <c r="I18" s="4" t="s">
        <v>84</v>
      </c>
      <c r="J18" s="4" t="s">
        <v>84</v>
      </c>
      <c r="K18" s="4" t="s">
        <v>84</v>
      </c>
      <c r="L18" s="4" t="s">
        <v>84</v>
      </c>
      <c r="M18" s="28" t="s">
        <v>7</v>
      </c>
      <c r="N18" s="28" t="s">
        <v>7</v>
      </c>
      <c r="O18" s="25" t="s">
        <v>11</v>
      </c>
      <c r="P18" s="25" t="s">
        <v>11</v>
      </c>
      <c r="Q18" s="25" t="s">
        <v>11</v>
      </c>
      <c r="R18" s="25" t="s">
        <v>11</v>
      </c>
      <c r="S18" s="25" t="s">
        <v>11</v>
      </c>
      <c r="T18" s="28" t="s">
        <v>7</v>
      </c>
      <c r="U18" s="28" t="s">
        <v>7</v>
      </c>
      <c r="V18" s="4" t="s">
        <v>14</v>
      </c>
      <c r="W18" s="4" t="s">
        <v>14</v>
      </c>
      <c r="X18" s="4" t="s">
        <v>14</v>
      </c>
      <c r="Y18" s="4" t="s">
        <v>14</v>
      </c>
      <c r="Z18" s="4" t="s">
        <v>14</v>
      </c>
      <c r="AA18" s="28" t="s">
        <v>7</v>
      </c>
      <c r="AB18" s="28" t="s">
        <v>7</v>
      </c>
      <c r="AC18" s="4" t="s">
        <v>84</v>
      </c>
      <c r="AD18" s="4" t="s">
        <v>84</v>
      </c>
      <c r="AE18" s="4" t="s">
        <v>84</v>
      </c>
      <c r="AF18" s="4" t="s">
        <v>84</v>
      </c>
      <c r="AG18" s="4" t="s">
        <v>84</v>
      </c>
      <c r="AH18"/>
    </row>
    <row r="19" spans="1:34" x14ac:dyDescent="0.25">
      <c r="AH19"/>
    </row>
    <row r="20" spans="1:34" x14ac:dyDescent="0.25">
      <c r="B20" s="111" t="s">
        <v>88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2</v>
      </c>
      <c r="G20" s="110">
        <f t="shared" si="0"/>
        <v>2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2</v>
      </c>
      <c r="N20" s="110">
        <f t="shared" si="0"/>
        <v>2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2</v>
      </c>
      <c r="U20" s="110">
        <f t="shared" si="0"/>
        <v>2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2</v>
      </c>
      <c r="AB20" s="110">
        <f t="shared" si="0"/>
        <v>2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 x14ac:dyDescent="0.25">
      <c r="B21" s="111" t="s">
        <v>89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0</v>
      </c>
      <c r="G21" s="112">
        <f t="shared" si="1"/>
        <v>0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0</v>
      </c>
      <c r="N21" s="112">
        <f t="shared" si="1"/>
        <v>0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0</v>
      </c>
      <c r="U21" s="112">
        <f t="shared" si="1"/>
        <v>0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0</v>
      </c>
      <c r="AB21" s="112">
        <f t="shared" si="1"/>
        <v>0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 x14ac:dyDescent="0.25">
      <c r="B22" s="111" t="s">
        <v>90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25">
      <c r="B23" s="111" t="s">
        <v>91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25">
      <c r="B25" t="s">
        <v>65</v>
      </c>
    </row>
    <row r="26" spans="1:34" x14ac:dyDescent="0.25">
      <c r="B26" s="5" t="s">
        <v>66</v>
      </c>
    </row>
    <row r="27" spans="1:34" x14ac:dyDescent="0.25">
      <c r="B27" s="5" t="s">
        <v>67</v>
      </c>
    </row>
    <row r="28" spans="1:34" x14ac:dyDescent="0.25">
      <c r="B28" s="1" t="s">
        <v>68</v>
      </c>
    </row>
    <row r="29" spans="1:34" x14ac:dyDescent="0.25">
      <c r="B29" s="7" t="s">
        <v>69</v>
      </c>
    </row>
    <row r="30" spans="1:34" x14ac:dyDescent="0.25">
      <c r="B30" s="3" t="s">
        <v>70</v>
      </c>
    </row>
    <row r="31" spans="1:34" x14ac:dyDescent="0.25">
      <c r="B31" s="5" t="s">
        <v>71</v>
      </c>
    </row>
    <row r="32" spans="1:34" x14ac:dyDescent="0.25">
      <c r="B32" s="3" t="s">
        <v>72</v>
      </c>
    </row>
    <row r="33" spans="2:2" x14ac:dyDescent="0.25">
      <c r="B33" s="4" t="s">
        <v>73</v>
      </c>
    </row>
    <row r="34" spans="2:2" x14ac:dyDescent="0.25">
      <c r="B34" s="25" t="s">
        <v>74</v>
      </c>
    </row>
    <row r="35" spans="2:2" x14ac:dyDescent="0.25">
      <c r="B35" s="4" t="s">
        <v>92</v>
      </c>
    </row>
    <row r="36" spans="2:2" x14ac:dyDescent="0.25">
      <c r="B36" s="28" t="s">
        <v>76</v>
      </c>
    </row>
    <row r="37" spans="2:2" x14ac:dyDescent="0.25">
      <c r="B37" s="17" t="s">
        <v>77</v>
      </c>
    </row>
  </sheetData>
  <mergeCells count="2">
    <mergeCell ref="B1:B3"/>
    <mergeCell ref="C1:AG1"/>
  </mergeCells>
  <conditionalFormatting sqref="C21:AG23">
    <cfRule type="cellIs" dxfId="7" priority="1" operator="equal">
      <formula>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C10" sqref="C10:AG14"/>
    </sheetView>
  </sheetViews>
  <sheetFormatPr baseColWidth="10" defaultColWidth="8.85546875" defaultRowHeight="15" x14ac:dyDescent="0.2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 x14ac:dyDescent="0.25">
      <c r="A1" s="6"/>
      <c r="B1" s="142"/>
      <c r="C1" s="157" t="s">
        <v>104</v>
      </c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158"/>
      <c r="AE1" s="158"/>
      <c r="AF1" s="158"/>
      <c r="AG1" s="158"/>
    </row>
    <row r="2" spans="1:34" x14ac:dyDescent="0.25">
      <c r="A2" s="6"/>
      <c r="B2" s="142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 x14ac:dyDescent="0.25">
      <c r="A3" s="6"/>
      <c r="B3" s="14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25">
      <c r="A4" s="63" t="s">
        <v>12</v>
      </c>
      <c r="B4" s="62" t="s">
        <v>13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 x14ac:dyDescent="0.25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 x14ac:dyDescent="0.25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 x14ac:dyDescent="0.25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 x14ac:dyDescent="0.25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 x14ac:dyDescent="0.2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2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 x14ac:dyDescent="0.2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 x14ac:dyDescent="0.2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 x14ac:dyDescent="0.25">
      <c r="A13" s="34" t="s">
        <v>12</v>
      </c>
      <c r="B13" s="33" t="s">
        <v>83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 x14ac:dyDescent="0.2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 x14ac:dyDescent="0.2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25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84</v>
      </c>
      <c r="F16" s="4" t="s">
        <v>84</v>
      </c>
      <c r="G16" s="4" t="s">
        <v>84</v>
      </c>
      <c r="H16" s="4" t="s">
        <v>84</v>
      </c>
      <c r="I16" s="4" t="s">
        <v>84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84</v>
      </c>
      <c r="AA16" s="4" t="s">
        <v>84</v>
      </c>
      <c r="AB16" s="4" t="s">
        <v>84</v>
      </c>
      <c r="AC16" s="4" t="s">
        <v>84</v>
      </c>
      <c r="AD16" s="4" t="s">
        <v>84</v>
      </c>
      <c r="AE16" s="28" t="s">
        <v>7</v>
      </c>
      <c r="AF16" s="28" t="s">
        <v>7</v>
      </c>
      <c r="AG16" s="25" t="s">
        <v>11</v>
      </c>
      <c r="AH16"/>
    </row>
    <row r="17" spans="1:34" x14ac:dyDescent="0.25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84</v>
      </c>
      <c r="M17" s="4" t="s">
        <v>84</v>
      </c>
      <c r="N17" s="4" t="s">
        <v>84</v>
      </c>
      <c r="O17" s="4" t="s">
        <v>84</v>
      </c>
      <c r="P17" s="4" t="s">
        <v>84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84</v>
      </c>
      <c r="AH17"/>
    </row>
    <row r="18" spans="1:34" x14ac:dyDescent="0.25">
      <c r="A18" s="34" t="s">
        <v>28</v>
      </c>
      <c r="B18" s="35" t="s">
        <v>34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84</v>
      </c>
      <c r="T18" s="4" t="s">
        <v>84</v>
      </c>
      <c r="U18" s="4" t="s">
        <v>84</v>
      </c>
      <c r="V18" s="4" t="s">
        <v>84</v>
      </c>
      <c r="W18" s="4" t="s">
        <v>84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 x14ac:dyDescent="0.25">
      <c r="AH19"/>
    </row>
    <row r="20" spans="1:34" x14ac:dyDescent="0.25">
      <c r="B20" s="111" t="s">
        <v>88</v>
      </c>
      <c r="C20" s="110">
        <f t="shared" ref="C20:AG20" si="0">SUM(C21:C23)</f>
        <v>2</v>
      </c>
      <c r="D20" s="110">
        <f t="shared" si="0"/>
        <v>2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2</v>
      </c>
      <c r="K20" s="110">
        <f t="shared" si="0"/>
        <v>2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2</v>
      </c>
      <c r="R20" s="110">
        <f t="shared" si="0"/>
        <v>2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2</v>
      </c>
      <c r="Y20" s="110">
        <f t="shared" si="0"/>
        <v>2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2</v>
      </c>
      <c r="AF20" s="110">
        <f t="shared" si="0"/>
        <v>2</v>
      </c>
      <c r="AG20" s="110">
        <f t="shared" si="0"/>
        <v>3</v>
      </c>
    </row>
    <row r="21" spans="1:34" x14ac:dyDescent="0.25">
      <c r="B21" s="111" t="s">
        <v>89</v>
      </c>
      <c r="C21" s="112">
        <f t="shared" ref="C21:AG21" si="1">COUNTIF(C4:C18,"T")</f>
        <v>0</v>
      </c>
      <c r="D21" s="112">
        <f t="shared" si="1"/>
        <v>0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0</v>
      </c>
      <c r="K21" s="112">
        <f t="shared" si="1"/>
        <v>0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0</v>
      </c>
      <c r="R21" s="112">
        <f t="shared" si="1"/>
        <v>0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0</v>
      </c>
      <c r="Y21" s="112">
        <f t="shared" si="1"/>
        <v>0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0</v>
      </c>
      <c r="AF21" s="112">
        <f t="shared" si="1"/>
        <v>0</v>
      </c>
      <c r="AG21" s="112">
        <f t="shared" si="1"/>
        <v>1</v>
      </c>
    </row>
    <row r="22" spans="1:34" x14ac:dyDescent="0.25">
      <c r="B22" s="111" t="s">
        <v>90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25">
      <c r="B23" s="111" t="s">
        <v>91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25">
      <c r="B25" t="s">
        <v>65</v>
      </c>
    </row>
    <row r="26" spans="1:34" x14ac:dyDescent="0.25">
      <c r="B26" s="5" t="s">
        <v>66</v>
      </c>
    </row>
    <row r="27" spans="1:34" x14ac:dyDescent="0.25">
      <c r="B27" s="5" t="s">
        <v>67</v>
      </c>
    </row>
    <row r="28" spans="1:34" x14ac:dyDescent="0.25">
      <c r="B28" s="1" t="s">
        <v>68</v>
      </c>
    </row>
    <row r="29" spans="1:34" x14ac:dyDescent="0.25">
      <c r="B29" s="7" t="s">
        <v>69</v>
      </c>
    </row>
    <row r="30" spans="1:34" x14ac:dyDescent="0.25">
      <c r="B30" s="3" t="s">
        <v>70</v>
      </c>
    </row>
    <row r="31" spans="1:34" x14ac:dyDescent="0.25">
      <c r="B31" s="5" t="s">
        <v>71</v>
      </c>
    </row>
    <row r="32" spans="1:34" x14ac:dyDescent="0.25">
      <c r="B32" s="3" t="s">
        <v>72</v>
      </c>
    </row>
    <row r="33" spans="2:2" x14ac:dyDescent="0.25">
      <c r="B33" s="4" t="s">
        <v>73</v>
      </c>
    </row>
    <row r="34" spans="2:2" x14ac:dyDescent="0.25">
      <c r="B34" s="25" t="s">
        <v>74</v>
      </c>
    </row>
    <row r="35" spans="2:2" x14ac:dyDescent="0.25">
      <c r="B35" s="4" t="s">
        <v>92</v>
      </c>
    </row>
    <row r="36" spans="2:2" x14ac:dyDescent="0.25">
      <c r="B36" s="28" t="s">
        <v>76</v>
      </c>
    </row>
    <row r="37" spans="2:2" x14ac:dyDescent="0.25">
      <c r="B37" s="17" t="s">
        <v>77</v>
      </c>
    </row>
  </sheetData>
  <mergeCells count="2">
    <mergeCell ref="B1:B3"/>
    <mergeCell ref="C1:AG1"/>
  </mergeCells>
  <conditionalFormatting sqref="C21:AG23">
    <cfRule type="cellIs" dxfId="6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W14" sqref="W14:AA14"/>
    </sheetView>
  </sheetViews>
  <sheetFormatPr baseColWidth="10" defaultColWidth="8.85546875" defaultRowHeight="15" x14ac:dyDescent="0.25"/>
  <cols>
    <col min="2" max="2" width="25.5703125" customWidth="1"/>
    <col min="3" max="32" width="4.7109375" customWidth="1"/>
    <col min="33" max="33" width="9.5703125" style="91" customWidth="1"/>
  </cols>
  <sheetData>
    <row r="1" spans="1:33" ht="24" customHeight="1" x14ac:dyDescent="0.25">
      <c r="A1" s="6"/>
      <c r="B1" s="142"/>
      <c r="C1" s="157" t="s">
        <v>105</v>
      </c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158"/>
      <c r="AE1" s="158"/>
      <c r="AF1" s="158"/>
      <c r="AG1"/>
    </row>
    <row r="2" spans="1:33" x14ac:dyDescent="0.25">
      <c r="A2" s="6"/>
      <c r="B2" s="142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 x14ac:dyDescent="0.25">
      <c r="A3" s="6"/>
      <c r="B3" s="14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25">
      <c r="A4" s="63" t="s">
        <v>12</v>
      </c>
      <c r="B4" s="62" t="s">
        <v>13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 x14ac:dyDescent="0.25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 x14ac:dyDescent="0.2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 x14ac:dyDescent="0.25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 x14ac:dyDescent="0.2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 x14ac:dyDescent="0.2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2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/>
    </row>
    <row r="11" spans="1:33" x14ac:dyDescent="0.2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/>
    </row>
    <row r="12" spans="1:33" x14ac:dyDescent="0.2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 x14ac:dyDescent="0.25">
      <c r="A13" s="34" t="s">
        <v>12</v>
      </c>
      <c r="B13" s="33" t="s">
        <v>83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/>
    </row>
    <row r="14" spans="1:33" x14ac:dyDescent="0.2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 x14ac:dyDescent="0.2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25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84</v>
      </c>
      <c r="Q16" s="4" t="s">
        <v>84</v>
      </c>
      <c r="R16" s="4" t="s">
        <v>84</v>
      </c>
      <c r="S16" s="4" t="s">
        <v>84</v>
      </c>
      <c r="T16" s="4" t="s">
        <v>84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 x14ac:dyDescent="0.25">
      <c r="A17" s="34" t="s">
        <v>28</v>
      </c>
      <c r="B17" s="35" t="s">
        <v>60</v>
      </c>
      <c r="C17" s="4" t="s">
        <v>84</v>
      </c>
      <c r="D17" s="4" t="s">
        <v>84</v>
      </c>
      <c r="E17" s="4" t="s">
        <v>84</v>
      </c>
      <c r="F17" s="4" t="s">
        <v>84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84</v>
      </c>
      <c r="X17" s="4" t="s">
        <v>84</v>
      </c>
      <c r="Y17" s="4" t="s">
        <v>84</v>
      </c>
      <c r="Z17" s="4" t="s">
        <v>84</v>
      </c>
      <c r="AA17" s="4" t="s">
        <v>84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 x14ac:dyDescent="0.25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84</v>
      </c>
      <c r="J18" s="4" t="s">
        <v>84</v>
      </c>
      <c r="K18" s="4" t="s">
        <v>84</v>
      </c>
      <c r="L18" s="4" t="s">
        <v>84</v>
      </c>
      <c r="M18" s="4" t="s">
        <v>84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84</v>
      </c>
      <c r="AE18" s="4" t="s">
        <v>84</v>
      </c>
      <c r="AF18" s="4" t="s">
        <v>84</v>
      </c>
      <c r="AG18"/>
    </row>
    <row r="19" spans="1:33" x14ac:dyDescent="0.25">
      <c r="AG19"/>
    </row>
    <row r="20" spans="1:33" x14ac:dyDescent="0.25">
      <c r="B20" s="111" t="s">
        <v>88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</row>
    <row r="21" spans="1:33" x14ac:dyDescent="0.25">
      <c r="B21" s="111" t="s">
        <v>89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</row>
    <row r="22" spans="1:33" x14ac:dyDescent="0.25">
      <c r="B22" s="111" t="s">
        <v>90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25">
      <c r="B23" s="111" t="s">
        <v>91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25">
      <c r="B25" t="s">
        <v>65</v>
      </c>
    </row>
    <row r="26" spans="1:33" x14ac:dyDescent="0.25">
      <c r="B26" s="5" t="s">
        <v>66</v>
      </c>
    </row>
    <row r="27" spans="1:33" x14ac:dyDescent="0.25">
      <c r="B27" s="5" t="s">
        <v>67</v>
      </c>
    </row>
    <row r="28" spans="1:33" x14ac:dyDescent="0.25">
      <c r="B28" s="1" t="s">
        <v>68</v>
      </c>
    </row>
    <row r="29" spans="1:33" x14ac:dyDescent="0.25">
      <c r="B29" s="7" t="s">
        <v>69</v>
      </c>
    </row>
    <row r="30" spans="1:33" x14ac:dyDescent="0.25">
      <c r="B30" s="3" t="s">
        <v>70</v>
      </c>
    </row>
    <row r="31" spans="1:33" x14ac:dyDescent="0.25">
      <c r="B31" s="5" t="s">
        <v>71</v>
      </c>
    </row>
    <row r="32" spans="1:33" x14ac:dyDescent="0.25">
      <c r="B32" s="3" t="s">
        <v>72</v>
      </c>
    </row>
    <row r="33" spans="2:2" x14ac:dyDescent="0.25">
      <c r="B33" s="4" t="s">
        <v>73</v>
      </c>
    </row>
    <row r="34" spans="2:2" x14ac:dyDescent="0.25">
      <c r="B34" s="25" t="s">
        <v>74</v>
      </c>
    </row>
    <row r="35" spans="2:2" x14ac:dyDescent="0.25">
      <c r="B35" s="4" t="s">
        <v>92</v>
      </c>
    </row>
    <row r="36" spans="2:2" x14ac:dyDescent="0.25">
      <c r="B36" s="28" t="s">
        <v>76</v>
      </c>
    </row>
    <row r="37" spans="2:2" x14ac:dyDescent="0.25">
      <c r="B37" s="17" t="s">
        <v>77</v>
      </c>
    </row>
  </sheetData>
  <mergeCells count="2">
    <mergeCell ref="B1:B3"/>
    <mergeCell ref="C1:AF1"/>
  </mergeCells>
  <conditionalFormatting sqref="C21:AF23">
    <cfRule type="cellIs" dxfId="5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C10" sqref="C10:AG14"/>
    </sheetView>
  </sheetViews>
  <sheetFormatPr baseColWidth="10" defaultColWidth="8.85546875" defaultRowHeight="15" x14ac:dyDescent="0.2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 x14ac:dyDescent="0.25">
      <c r="A1" s="6"/>
      <c r="B1" s="142"/>
      <c r="C1" s="157" t="s">
        <v>106</v>
      </c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158"/>
      <c r="AE1" s="158"/>
      <c r="AF1" s="158"/>
      <c r="AG1" s="158"/>
    </row>
    <row r="2" spans="1:34" x14ac:dyDescent="0.25">
      <c r="A2" s="6"/>
      <c r="B2" s="142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 x14ac:dyDescent="0.25">
      <c r="A3" s="6"/>
      <c r="B3" s="14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25">
      <c r="A4" s="63" t="s">
        <v>12</v>
      </c>
      <c r="B4" s="62" t="s">
        <v>13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 x14ac:dyDescent="0.2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 x14ac:dyDescent="0.25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 x14ac:dyDescent="0.25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 x14ac:dyDescent="0.25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 x14ac:dyDescent="0.2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2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 x14ac:dyDescent="0.2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 x14ac:dyDescent="0.2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 x14ac:dyDescent="0.25">
      <c r="A13" s="34" t="s">
        <v>12</v>
      </c>
      <c r="B13" s="33" t="s">
        <v>83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 x14ac:dyDescent="0.2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 x14ac:dyDescent="0.2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25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84</v>
      </c>
      <c r="H16" s="4" t="s">
        <v>84</v>
      </c>
      <c r="I16" s="4" t="s">
        <v>84</v>
      </c>
      <c r="J16" s="4" t="s">
        <v>84</v>
      </c>
      <c r="K16" s="4" t="s">
        <v>84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84</v>
      </c>
      <c r="AC16" s="4" t="s">
        <v>84</v>
      </c>
      <c r="AD16" s="4" t="s">
        <v>84</v>
      </c>
      <c r="AE16" s="4" t="s">
        <v>84</v>
      </c>
      <c r="AF16" s="4" t="s">
        <v>84</v>
      </c>
      <c r="AG16" s="28" t="s">
        <v>7</v>
      </c>
      <c r="AH16"/>
    </row>
    <row r="17" spans="1:34" x14ac:dyDescent="0.25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84</v>
      </c>
      <c r="O17" s="4" t="s">
        <v>84</v>
      </c>
      <c r="P17" s="4" t="s">
        <v>84</v>
      </c>
      <c r="Q17" s="4" t="s">
        <v>84</v>
      </c>
      <c r="R17" s="4" t="s">
        <v>84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 x14ac:dyDescent="0.25">
      <c r="A18" s="34" t="s">
        <v>28</v>
      </c>
      <c r="B18" s="35" t="s">
        <v>34</v>
      </c>
      <c r="C18" s="4" t="s">
        <v>84</v>
      </c>
      <c r="D18" s="4" t="s">
        <v>84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84</v>
      </c>
      <c r="V18" s="4" t="s">
        <v>84</v>
      </c>
      <c r="W18" s="4" t="s">
        <v>84</v>
      </c>
      <c r="X18" s="4" t="s">
        <v>84</v>
      </c>
      <c r="Y18" s="4" t="s">
        <v>84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 x14ac:dyDescent="0.25">
      <c r="B20" s="111" t="s">
        <v>88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 x14ac:dyDescent="0.25">
      <c r="B21" s="111" t="s">
        <v>89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 x14ac:dyDescent="0.25">
      <c r="B22" s="111" t="s">
        <v>90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25">
      <c r="B23" s="111" t="s">
        <v>91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25">
      <c r="B25" t="s">
        <v>65</v>
      </c>
    </row>
    <row r="26" spans="1:34" x14ac:dyDescent="0.25">
      <c r="B26" s="5" t="s">
        <v>66</v>
      </c>
    </row>
    <row r="27" spans="1:34" x14ac:dyDescent="0.25">
      <c r="B27" s="5" t="s">
        <v>67</v>
      </c>
    </row>
    <row r="28" spans="1:34" x14ac:dyDescent="0.25">
      <c r="B28" s="1" t="s">
        <v>68</v>
      </c>
    </row>
    <row r="29" spans="1:34" x14ac:dyDescent="0.25">
      <c r="B29" s="7" t="s">
        <v>69</v>
      </c>
    </row>
    <row r="30" spans="1:34" x14ac:dyDescent="0.25">
      <c r="B30" s="3" t="s">
        <v>70</v>
      </c>
    </row>
    <row r="31" spans="1:34" x14ac:dyDescent="0.25">
      <c r="B31" s="5" t="s">
        <v>71</v>
      </c>
    </row>
    <row r="32" spans="1:34" x14ac:dyDescent="0.25">
      <c r="B32" s="3" t="s">
        <v>72</v>
      </c>
    </row>
    <row r="33" spans="2:2" x14ac:dyDescent="0.25">
      <c r="B33" s="4" t="s">
        <v>73</v>
      </c>
    </row>
    <row r="34" spans="2:2" x14ac:dyDescent="0.25">
      <c r="B34" s="25" t="s">
        <v>74</v>
      </c>
    </row>
    <row r="35" spans="2:2" x14ac:dyDescent="0.25">
      <c r="B35" s="4" t="s">
        <v>92</v>
      </c>
    </row>
    <row r="36" spans="2:2" x14ac:dyDescent="0.25">
      <c r="B36" s="28" t="s">
        <v>76</v>
      </c>
    </row>
    <row r="37" spans="2:2" x14ac:dyDescent="0.25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C10" sqref="C10:AF14"/>
    </sheetView>
  </sheetViews>
  <sheetFormatPr baseColWidth="10" defaultColWidth="8.85546875" defaultRowHeight="15" x14ac:dyDescent="0.2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 x14ac:dyDescent="0.25">
      <c r="A1" s="6"/>
      <c r="B1" s="142"/>
      <c r="C1" s="157" t="s">
        <v>107</v>
      </c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158"/>
      <c r="AE1" s="158"/>
      <c r="AF1" s="158"/>
    </row>
    <row r="2" spans="1:33" x14ac:dyDescent="0.25">
      <c r="A2" s="6"/>
      <c r="B2" s="142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 x14ac:dyDescent="0.25">
      <c r="A3" s="6"/>
      <c r="B3" s="14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25">
      <c r="A4" s="63" t="s">
        <v>12</v>
      </c>
      <c r="B4" s="62" t="s">
        <v>13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 x14ac:dyDescent="0.25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 x14ac:dyDescent="0.25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 x14ac:dyDescent="0.25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 x14ac:dyDescent="0.25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 x14ac:dyDescent="0.2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2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/>
    </row>
    <row r="11" spans="1:33" x14ac:dyDescent="0.2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/>
    </row>
    <row r="12" spans="1:33" x14ac:dyDescent="0.2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 x14ac:dyDescent="0.25">
      <c r="A13" s="34" t="s">
        <v>12</v>
      </c>
      <c r="B13" s="33" t="s">
        <v>83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/>
    </row>
    <row r="14" spans="1:33" x14ac:dyDescent="0.2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 x14ac:dyDescent="0.2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25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84</v>
      </c>
      <c r="S16" s="4" t="s">
        <v>84</v>
      </c>
      <c r="T16" s="4" t="s">
        <v>84</v>
      </c>
      <c r="U16" s="4" t="s">
        <v>84</v>
      </c>
      <c r="V16" s="4" t="s">
        <v>84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 x14ac:dyDescent="0.25">
      <c r="A17" s="34" t="s">
        <v>28</v>
      </c>
      <c r="B17" s="35" t="s">
        <v>60</v>
      </c>
      <c r="C17" s="28" t="s">
        <v>7</v>
      </c>
      <c r="D17" s="4" t="s">
        <v>84</v>
      </c>
      <c r="E17" s="4" t="s">
        <v>84</v>
      </c>
      <c r="F17" s="4" t="s">
        <v>84</v>
      </c>
      <c r="G17" s="4" t="s">
        <v>84</v>
      </c>
      <c r="H17" s="4" t="s">
        <v>84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84</v>
      </c>
      <c r="Z17" s="4" t="s">
        <v>84</v>
      </c>
      <c r="AA17" s="4" t="s">
        <v>84</v>
      </c>
      <c r="AB17" s="4" t="s">
        <v>84</v>
      </c>
      <c r="AC17" s="4" t="s">
        <v>84</v>
      </c>
      <c r="AD17" s="28" t="s">
        <v>7</v>
      </c>
      <c r="AE17" s="28" t="s">
        <v>7</v>
      </c>
      <c r="AF17" s="25" t="s">
        <v>11</v>
      </c>
      <c r="AG17"/>
    </row>
    <row r="18" spans="1:33" x14ac:dyDescent="0.25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84</v>
      </c>
      <c r="L18" s="4" t="s">
        <v>84</v>
      </c>
      <c r="M18" s="4" t="s">
        <v>84</v>
      </c>
      <c r="N18" s="4" t="s">
        <v>84</v>
      </c>
      <c r="O18" s="4" t="s">
        <v>84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84</v>
      </c>
      <c r="AG18"/>
    </row>
    <row r="20" spans="1:33" x14ac:dyDescent="0.25">
      <c r="B20" s="111" t="s">
        <v>88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 x14ac:dyDescent="0.25">
      <c r="B21" s="111" t="s">
        <v>89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 x14ac:dyDescent="0.25">
      <c r="B22" s="111" t="s">
        <v>90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25">
      <c r="B23" s="111" t="s">
        <v>91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25">
      <c r="B25" t="s">
        <v>65</v>
      </c>
    </row>
    <row r="26" spans="1:33" x14ac:dyDescent="0.25">
      <c r="B26" s="5" t="s">
        <v>66</v>
      </c>
    </row>
    <row r="27" spans="1:33" x14ac:dyDescent="0.25">
      <c r="B27" s="5" t="s">
        <v>67</v>
      </c>
    </row>
    <row r="28" spans="1:33" x14ac:dyDescent="0.25">
      <c r="B28" s="1" t="s">
        <v>68</v>
      </c>
    </row>
    <row r="29" spans="1:33" x14ac:dyDescent="0.25">
      <c r="B29" s="7" t="s">
        <v>69</v>
      </c>
    </row>
    <row r="30" spans="1:33" x14ac:dyDescent="0.25">
      <c r="B30" s="3" t="s">
        <v>70</v>
      </c>
    </row>
    <row r="31" spans="1:33" x14ac:dyDescent="0.25">
      <c r="B31" s="5" t="s">
        <v>71</v>
      </c>
    </row>
    <row r="32" spans="1:33" x14ac:dyDescent="0.25">
      <c r="B32" s="3" t="s">
        <v>72</v>
      </c>
    </row>
    <row r="33" spans="2:2" x14ac:dyDescent="0.25">
      <c r="B33" s="4" t="s">
        <v>73</v>
      </c>
    </row>
    <row r="34" spans="2:2" x14ac:dyDescent="0.25">
      <c r="B34" s="25" t="s">
        <v>74</v>
      </c>
    </row>
    <row r="35" spans="2:2" x14ac:dyDescent="0.25">
      <c r="B35" s="4" t="s">
        <v>92</v>
      </c>
    </row>
    <row r="36" spans="2:2" x14ac:dyDescent="0.25">
      <c r="B36" s="28" t="s">
        <v>76</v>
      </c>
    </row>
    <row r="37" spans="2:2" x14ac:dyDescent="0.25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C10" sqref="C10:AG14"/>
    </sheetView>
  </sheetViews>
  <sheetFormatPr baseColWidth="10" defaultColWidth="8.85546875" defaultRowHeight="15" x14ac:dyDescent="0.2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 x14ac:dyDescent="0.25">
      <c r="A1" s="6"/>
      <c r="B1" s="142"/>
      <c r="C1" s="157" t="s">
        <v>108</v>
      </c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158"/>
      <c r="AE1" s="158"/>
      <c r="AF1" s="158"/>
      <c r="AG1" s="158"/>
    </row>
    <row r="2" spans="1:34" x14ac:dyDescent="0.25">
      <c r="A2" s="6"/>
      <c r="B2" s="142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 x14ac:dyDescent="0.25">
      <c r="A3" s="6"/>
      <c r="B3" s="14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2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 x14ac:dyDescent="0.2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 x14ac:dyDescent="0.2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 x14ac:dyDescent="0.25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 x14ac:dyDescent="0.25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 x14ac:dyDescent="0.2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2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 x14ac:dyDescent="0.2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 x14ac:dyDescent="0.2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 x14ac:dyDescent="0.25">
      <c r="A13" s="34" t="s">
        <v>12</v>
      </c>
      <c r="B13" s="33" t="s">
        <v>83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 x14ac:dyDescent="0.2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 x14ac:dyDescent="0.2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25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84</v>
      </c>
      <c r="J16" s="4" t="s">
        <v>84</v>
      </c>
      <c r="K16" s="4" t="s">
        <v>84</v>
      </c>
      <c r="L16" s="4" t="s">
        <v>84</v>
      </c>
      <c r="M16" s="4" t="s">
        <v>84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84</v>
      </c>
      <c r="AE16" s="4" t="s">
        <v>84</v>
      </c>
      <c r="AF16" s="4" t="s">
        <v>84</v>
      </c>
      <c r="AG16" s="4" t="s">
        <v>84</v>
      </c>
      <c r="AH16"/>
    </row>
    <row r="17" spans="1:34" x14ac:dyDescent="0.25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84</v>
      </c>
      <c r="Q17" s="4" t="s">
        <v>84</v>
      </c>
      <c r="R17" s="4" t="s">
        <v>84</v>
      </c>
      <c r="S17" s="4" t="s">
        <v>84</v>
      </c>
      <c r="T17" s="4" t="s">
        <v>84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 x14ac:dyDescent="0.25">
      <c r="A18" s="34" t="s">
        <v>28</v>
      </c>
      <c r="B18" s="35" t="s">
        <v>34</v>
      </c>
      <c r="C18" s="4" t="s">
        <v>84</v>
      </c>
      <c r="D18" s="4" t="s">
        <v>84</v>
      </c>
      <c r="E18" s="4" t="s">
        <v>84</v>
      </c>
      <c r="F18" s="4" t="s">
        <v>84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84</v>
      </c>
      <c r="X18" s="4" t="s">
        <v>84</v>
      </c>
      <c r="Y18" s="4" t="s">
        <v>84</v>
      </c>
      <c r="Z18" s="4" t="s">
        <v>84</v>
      </c>
      <c r="AA18" s="4" t="s">
        <v>84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 x14ac:dyDescent="0.25">
      <c r="B20" s="111" t="s">
        <v>88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 x14ac:dyDescent="0.25">
      <c r="B21" s="111" t="s">
        <v>89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 x14ac:dyDescent="0.25">
      <c r="B22" s="111" t="s">
        <v>90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25">
      <c r="B23" s="111" t="s">
        <v>91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25">
      <c r="B25" t="s">
        <v>65</v>
      </c>
    </row>
    <row r="26" spans="1:34" x14ac:dyDescent="0.25">
      <c r="B26" s="5" t="s">
        <v>66</v>
      </c>
    </row>
    <row r="27" spans="1:34" x14ac:dyDescent="0.25">
      <c r="B27" s="5" t="s">
        <v>67</v>
      </c>
    </row>
    <row r="28" spans="1:34" x14ac:dyDescent="0.25">
      <c r="B28" s="1" t="s">
        <v>68</v>
      </c>
    </row>
    <row r="29" spans="1:34" x14ac:dyDescent="0.25">
      <c r="B29" s="7" t="s">
        <v>69</v>
      </c>
    </row>
    <row r="30" spans="1:34" x14ac:dyDescent="0.25">
      <c r="B30" s="3" t="s">
        <v>70</v>
      </c>
    </row>
    <row r="31" spans="1:34" x14ac:dyDescent="0.25">
      <c r="B31" s="5" t="s">
        <v>71</v>
      </c>
    </row>
    <row r="32" spans="1:34" x14ac:dyDescent="0.25">
      <c r="B32" s="3" t="s">
        <v>72</v>
      </c>
    </row>
    <row r="33" spans="2:2" x14ac:dyDescent="0.25">
      <c r="B33" s="4" t="s">
        <v>73</v>
      </c>
    </row>
    <row r="34" spans="2:2" x14ac:dyDescent="0.25">
      <c r="B34" s="25" t="s">
        <v>74</v>
      </c>
    </row>
    <row r="35" spans="2:2" x14ac:dyDescent="0.25">
      <c r="B35" s="4" t="s">
        <v>92</v>
      </c>
    </row>
    <row r="36" spans="2:2" x14ac:dyDescent="0.25">
      <c r="B36" s="28" t="s">
        <v>76</v>
      </c>
    </row>
    <row r="37" spans="2:2" x14ac:dyDescent="0.25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74"/>
  <sheetViews>
    <sheetView showGridLines="0" topLeftCell="A7" zoomScale="115" zoomScaleNormal="115" workbookViewId="0">
      <selection activeCell="I38" sqref="I38"/>
    </sheetView>
  </sheetViews>
  <sheetFormatPr baseColWidth="10" defaultColWidth="11.42578125" defaultRowHeight="15" x14ac:dyDescent="0.25"/>
  <cols>
    <col min="1" max="1" width="1.85546875" customWidth="1"/>
    <col min="2" max="3" width="2.85546875" customWidth="1"/>
    <col min="4" max="4" width="10.42578125" customWidth="1"/>
    <col min="5" max="5" width="3.7109375" customWidth="1"/>
    <col min="6" max="6" width="3.42578125" customWidth="1"/>
    <col min="7" max="7" width="8.5703125" bestFit="1" customWidth="1"/>
    <col min="8" max="8" width="7.5703125" customWidth="1"/>
    <col min="9" max="9" width="8.42578125" customWidth="1"/>
    <col min="10" max="62" width="3.7109375" customWidth="1"/>
    <col min="63" max="63" width="5" customWidth="1"/>
    <col min="64" max="64" width="4.140625" customWidth="1"/>
  </cols>
  <sheetData>
    <row r="2" spans="4:64" x14ac:dyDescent="0.25">
      <c r="G2" s="101" t="s">
        <v>109</v>
      </c>
      <c r="I2" s="102">
        <f>1800*10</f>
        <v>18000</v>
      </c>
    </row>
    <row r="3" spans="4:64" x14ac:dyDescent="0.25">
      <c r="G3" s="101" t="s">
        <v>110</v>
      </c>
      <c r="I3" s="102">
        <f>366*6*8</f>
        <v>17568</v>
      </c>
    </row>
    <row r="6" spans="4:64" x14ac:dyDescent="0.25">
      <c r="F6" s="95"/>
    </row>
    <row r="7" spans="4:64" x14ac:dyDescent="0.25">
      <c r="D7" s="102"/>
      <c r="E7" s="102"/>
      <c r="F7" s="95"/>
    </row>
    <row r="8" spans="4:64" x14ac:dyDescent="0.25">
      <c r="D8" s="102"/>
      <c r="E8" s="102"/>
      <c r="F8" s="95"/>
    </row>
    <row r="9" spans="4:64" x14ac:dyDescent="0.25">
      <c r="D9" s="102"/>
      <c r="E9" s="102"/>
      <c r="F9" s="95"/>
      <c r="G9" s="99" t="s">
        <v>111</v>
      </c>
      <c r="H9" s="99" t="s">
        <v>112</v>
      </c>
      <c r="I9" s="99" t="s">
        <v>113</v>
      </c>
      <c r="J9" s="99" t="s">
        <v>114</v>
      </c>
      <c r="K9" s="99" t="s">
        <v>115</v>
      </c>
      <c r="L9" s="99" t="s">
        <v>116</v>
      </c>
      <c r="M9" s="99" t="s">
        <v>117</v>
      </c>
      <c r="N9" s="99" t="s">
        <v>118</v>
      </c>
      <c r="O9" s="99" t="s">
        <v>119</v>
      </c>
      <c r="P9" s="99" t="s">
        <v>120</v>
      </c>
      <c r="Q9" s="99" t="s">
        <v>121</v>
      </c>
      <c r="R9" s="99" t="s">
        <v>122</v>
      </c>
      <c r="S9" s="99" t="s">
        <v>123</v>
      </c>
      <c r="T9" s="99" t="s">
        <v>124</v>
      </c>
      <c r="U9" s="99" t="s">
        <v>125</v>
      </c>
      <c r="V9" s="99" t="s">
        <v>126</v>
      </c>
      <c r="W9" s="99" t="s">
        <v>127</v>
      </c>
      <c r="X9" s="99" t="s">
        <v>128</v>
      </c>
      <c r="Y9" s="99" t="s">
        <v>129</v>
      </c>
      <c r="Z9" s="99" t="s">
        <v>130</v>
      </c>
      <c r="AA9" s="99" t="s">
        <v>131</v>
      </c>
      <c r="AB9" s="99" t="s">
        <v>132</v>
      </c>
      <c r="AC9" s="99" t="s">
        <v>133</v>
      </c>
      <c r="AD9" s="99" t="s">
        <v>134</v>
      </c>
      <c r="AE9" s="99" t="s">
        <v>135</v>
      </c>
      <c r="AF9" s="99" t="s">
        <v>136</v>
      </c>
      <c r="AG9" s="99" t="s">
        <v>137</v>
      </c>
      <c r="AH9" s="99" t="s">
        <v>138</v>
      </c>
      <c r="AI9" s="99" t="s">
        <v>139</v>
      </c>
      <c r="AJ9" s="99" t="s">
        <v>140</v>
      </c>
      <c r="AK9" s="99" t="s">
        <v>141</v>
      </c>
      <c r="AL9" s="99" t="s">
        <v>142</v>
      </c>
      <c r="AM9" s="99" t="s">
        <v>143</v>
      </c>
      <c r="AN9" s="99" t="s">
        <v>144</v>
      </c>
      <c r="AO9" s="99" t="s">
        <v>145</v>
      </c>
      <c r="AP9" s="99" t="s">
        <v>146</v>
      </c>
      <c r="AQ9" s="99" t="s">
        <v>147</v>
      </c>
      <c r="AR9" s="99" t="s">
        <v>148</v>
      </c>
      <c r="AS9" s="99" t="s">
        <v>149</v>
      </c>
      <c r="AT9" s="99" t="s">
        <v>150</v>
      </c>
      <c r="AU9" s="99" t="s">
        <v>151</v>
      </c>
      <c r="AV9" s="99" t="s">
        <v>152</v>
      </c>
      <c r="AW9" s="99" t="s">
        <v>153</v>
      </c>
      <c r="AX9" s="99" t="s">
        <v>154</v>
      </c>
      <c r="AY9" s="99" t="s">
        <v>155</v>
      </c>
      <c r="AZ9" s="99" t="s">
        <v>156</v>
      </c>
      <c r="BA9" s="99" t="s">
        <v>157</v>
      </c>
      <c r="BB9" s="99" t="s">
        <v>158</v>
      </c>
      <c r="BC9" s="99" t="s">
        <v>159</v>
      </c>
      <c r="BD9" s="99" t="s">
        <v>160</v>
      </c>
      <c r="BE9" s="99" t="s">
        <v>161</v>
      </c>
      <c r="BF9" s="99" t="s">
        <v>162</v>
      </c>
      <c r="BG9" s="99" t="s">
        <v>163</v>
      </c>
      <c r="BH9" s="99" t="s">
        <v>164</v>
      </c>
      <c r="BI9" s="99" t="s">
        <v>165</v>
      </c>
      <c r="BJ9" s="99" t="s">
        <v>166</v>
      </c>
      <c r="BK9" s="106" t="s">
        <v>167</v>
      </c>
      <c r="BL9" s="106" t="s">
        <v>168</v>
      </c>
    </row>
    <row r="10" spans="4:64" x14ac:dyDescent="0.25">
      <c r="D10" s="102"/>
      <c r="E10" s="102"/>
      <c r="F10" s="95"/>
      <c r="G10" s="97" t="s">
        <v>169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 x14ac:dyDescent="0.25">
      <c r="D11" s="102"/>
      <c r="E11" s="102"/>
      <c r="F11" s="95"/>
      <c r="G11" s="97" t="s">
        <v>170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 x14ac:dyDescent="0.25">
      <c r="D12" s="102"/>
      <c r="E12" s="102"/>
      <c r="F12" s="95"/>
      <c r="G12" s="97" t="s">
        <v>171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 x14ac:dyDescent="0.25">
      <c r="D13" s="102"/>
      <c r="E13" s="102"/>
      <c r="F13" s="95"/>
      <c r="G13" s="97" t="s">
        <v>172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 x14ac:dyDescent="0.25">
      <c r="D14" s="102"/>
      <c r="E14" s="102"/>
      <c r="F14" s="95"/>
      <c r="G14" s="97" t="s">
        <v>173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 x14ac:dyDescent="0.25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 x14ac:dyDescent="0.25">
      <c r="D16" s="102"/>
      <c r="E16" s="102"/>
      <c r="F16" s="95"/>
      <c r="G16" s="97" t="s">
        <v>174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 x14ac:dyDescent="0.25">
      <c r="G17" s="97" t="s">
        <v>175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 x14ac:dyDescent="0.25">
      <c r="G18" s="97" t="s">
        <v>176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 x14ac:dyDescent="0.25">
      <c r="G19" s="97" t="s">
        <v>177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 x14ac:dyDescent="0.25">
      <c r="G20" s="97" t="s">
        <v>178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 x14ac:dyDescent="0.25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 x14ac:dyDescent="0.25">
      <c r="G22" s="101" t="s">
        <v>179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 x14ac:dyDescent="0.25">
      <c r="G23" s="101" t="s">
        <v>180</v>
      </c>
      <c r="H23">
        <f>AVERAGE(H10:H20)</f>
        <v>849.6</v>
      </c>
    </row>
    <row r="27" spans="7:64" x14ac:dyDescent="0.25">
      <c r="G27" s="99" t="s">
        <v>111</v>
      </c>
      <c r="H27" s="99" t="s">
        <v>112</v>
      </c>
      <c r="I27" s="99" t="s">
        <v>113</v>
      </c>
      <c r="J27" s="99" t="s">
        <v>114</v>
      </c>
      <c r="K27" s="99" t="s">
        <v>115</v>
      </c>
      <c r="L27" s="99" t="s">
        <v>116</v>
      </c>
      <c r="M27" s="99" t="s">
        <v>117</v>
      </c>
      <c r="N27" s="99" t="s">
        <v>118</v>
      </c>
      <c r="O27" s="99" t="s">
        <v>119</v>
      </c>
      <c r="P27" s="99" t="s">
        <v>120</v>
      </c>
      <c r="Q27" s="99" t="s">
        <v>121</v>
      </c>
      <c r="R27" s="99" t="s">
        <v>122</v>
      </c>
      <c r="S27" s="99" t="s">
        <v>123</v>
      </c>
      <c r="T27" s="99" t="s">
        <v>124</v>
      </c>
      <c r="U27" s="99" t="s">
        <v>125</v>
      </c>
      <c r="V27" s="99" t="s">
        <v>126</v>
      </c>
      <c r="W27" s="99" t="s">
        <v>127</v>
      </c>
      <c r="X27" s="99" t="s">
        <v>128</v>
      </c>
      <c r="Y27" s="99" t="s">
        <v>129</v>
      </c>
      <c r="Z27" s="99" t="s">
        <v>130</v>
      </c>
      <c r="AA27" s="99" t="s">
        <v>131</v>
      </c>
      <c r="AB27" s="99" t="s">
        <v>132</v>
      </c>
      <c r="AC27" s="99" t="s">
        <v>133</v>
      </c>
      <c r="AD27" s="99" t="s">
        <v>134</v>
      </c>
      <c r="AE27" s="99" t="s">
        <v>135</v>
      </c>
      <c r="AF27" s="99" t="s">
        <v>136</v>
      </c>
      <c r="AG27" s="99" t="s">
        <v>137</v>
      </c>
      <c r="AH27" s="99" t="s">
        <v>138</v>
      </c>
      <c r="AI27" s="99" t="s">
        <v>139</v>
      </c>
      <c r="AJ27" s="99" t="s">
        <v>140</v>
      </c>
      <c r="AK27" s="99" t="s">
        <v>141</v>
      </c>
      <c r="AL27" s="99" t="s">
        <v>142</v>
      </c>
      <c r="AM27" s="99" t="s">
        <v>143</v>
      </c>
      <c r="AN27" s="99" t="s">
        <v>144</v>
      </c>
      <c r="AO27" s="99" t="s">
        <v>145</v>
      </c>
      <c r="AP27" s="99" t="s">
        <v>146</v>
      </c>
      <c r="AQ27" s="99" t="s">
        <v>147</v>
      </c>
      <c r="AR27" s="99" t="s">
        <v>148</v>
      </c>
      <c r="AS27" s="99" t="s">
        <v>149</v>
      </c>
      <c r="AT27" s="99" t="s">
        <v>150</v>
      </c>
      <c r="AU27" s="99" t="s">
        <v>151</v>
      </c>
      <c r="AV27" s="99" t="s">
        <v>152</v>
      </c>
      <c r="AW27" s="99" t="s">
        <v>153</v>
      </c>
      <c r="AX27" s="99" t="s">
        <v>154</v>
      </c>
      <c r="AY27" s="99" t="s">
        <v>155</v>
      </c>
      <c r="AZ27" s="99" t="s">
        <v>156</v>
      </c>
      <c r="BA27" s="99" t="s">
        <v>157</v>
      </c>
      <c r="BB27" s="99" t="s">
        <v>158</v>
      </c>
      <c r="BC27" s="99" t="s">
        <v>159</v>
      </c>
      <c r="BD27" s="99" t="s">
        <v>160</v>
      </c>
      <c r="BE27" s="99" t="s">
        <v>161</v>
      </c>
      <c r="BF27" s="99" t="s">
        <v>162</v>
      </c>
      <c r="BG27" s="99" t="s">
        <v>163</v>
      </c>
      <c r="BH27" s="99" t="s">
        <v>164</v>
      </c>
      <c r="BI27" s="99" t="s">
        <v>165</v>
      </c>
      <c r="BJ27" s="99" t="s">
        <v>166</v>
      </c>
      <c r="BK27" s="106" t="s">
        <v>167</v>
      </c>
      <c r="BL27" s="106" t="s">
        <v>168</v>
      </c>
    </row>
    <row r="28" spans="7:64" x14ac:dyDescent="0.25">
      <c r="G28" s="97" t="s">
        <v>169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 x14ac:dyDescent="0.25">
      <c r="G29" s="97" t="s">
        <v>170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 x14ac:dyDescent="0.25">
      <c r="G30" s="97" t="s">
        <v>171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 x14ac:dyDescent="0.25">
      <c r="G31" s="97" t="s">
        <v>172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 x14ac:dyDescent="0.25">
      <c r="G32" s="97" t="s">
        <v>173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 x14ac:dyDescent="0.25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 x14ac:dyDescent="0.25">
      <c r="G34" s="97" t="s">
        <v>174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 x14ac:dyDescent="0.25">
      <c r="G35" s="97" t="s">
        <v>175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 x14ac:dyDescent="0.25">
      <c r="G36" s="97" t="s">
        <v>176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 x14ac:dyDescent="0.25">
      <c r="G37" s="97" t="s">
        <v>177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 x14ac:dyDescent="0.25">
      <c r="G38" s="97" t="s">
        <v>178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 x14ac:dyDescent="0.25">
      <c r="G40" s="101" t="s">
        <v>179</v>
      </c>
      <c r="H40">
        <f>SUM(H28:H38)</f>
        <v>17424</v>
      </c>
    </row>
    <row r="41" spans="7:64" x14ac:dyDescent="0.25">
      <c r="G41" s="101" t="s">
        <v>180</v>
      </c>
      <c r="H41">
        <f>AVERAGE(H28:H38)</f>
        <v>1742.4</v>
      </c>
      <c r="K41" s="104" t="s">
        <v>181</v>
      </c>
    </row>
    <row r="48" spans="7:64" x14ac:dyDescent="0.25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 x14ac:dyDescent="0.25">
      <c r="I71">
        <f>23*10</f>
        <v>230</v>
      </c>
    </row>
    <row r="72" spans="9:11" x14ac:dyDescent="0.25">
      <c r="I72">
        <f>8*52</f>
        <v>416</v>
      </c>
    </row>
    <row r="74" spans="9:11" x14ac:dyDescent="0.25">
      <c r="I74">
        <f>I72-I71</f>
        <v>186</v>
      </c>
      <c r="K74" s="116">
        <f>I74/10</f>
        <v>18.600000000000001</v>
      </c>
    </row>
  </sheetData>
  <phoneticPr fontId="1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05be82777fdc7fdf29882453c6c6a7cb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4ba72682a79310710f916577017439ba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555FA03-0D71-42C1-B384-265EE4FF1786}">
  <ds:schemaRefs>
    <ds:schemaRef ds:uri="http://schemas.microsoft.com/office/2006/metadata/properties"/>
    <ds:schemaRef ds:uri="http://schemas.microsoft.com/office/infopath/2007/PartnerControls"/>
    <ds:schemaRef ds:uri="f2d69cfc-9e5e-49f5-89c5-c4254f1df494"/>
    <ds:schemaRef ds:uri="c4ea02d4-fa21-4b0d-ae81-62618081dde3"/>
  </ds:schemaRefs>
</ds:datastoreItem>
</file>

<file path=customXml/itemProps2.xml><?xml version="1.0" encoding="utf-8"?>
<ds:datastoreItem xmlns:ds="http://schemas.openxmlformats.org/officeDocument/2006/customXml" ds:itemID="{AC14FB83-56DB-46B1-A14A-5242E72CEA5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d69cfc-9e5e-49f5-89c5-c4254f1df494"/>
    <ds:schemaRef ds:uri="c4ea02d4-fa21-4b0d-ae81-62618081dd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EECE65D-B437-4372-9E5B-6949431F5EB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Julio</vt:lpstr>
      <vt:lpstr>Agosto </vt:lpstr>
      <vt:lpstr>Septiembre</vt:lpstr>
      <vt:lpstr>Octubre</vt:lpstr>
      <vt:lpstr>Noviembre </vt:lpstr>
      <vt:lpstr>Diciembre</vt:lpstr>
      <vt:lpstr>Enero-2026</vt:lpstr>
      <vt:lpstr>Febrero-2026</vt:lpstr>
      <vt:lpstr>Marzo-2026</vt:lpstr>
      <vt:lpstr>Abril-2026</vt:lpstr>
      <vt:lpstr>Mayo-2026</vt:lpstr>
      <vt:lpstr>Junio-2026</vt:lpstr>
      <vt:lpstr>Julio-2026</vt:lpstr>
      <vt:lpstr>Agosto-2026</vt:lpstr>
      <vt:lpstr>Septiembre-2026</vt:lpstr>
      <vt:lpstr>Octubre-2026</vt:lpstr>
      <vt:lpstr>Noviembre-2026</vt:lpstr>
      <vt:lpstr>Diciembre-2026</vt:lpstr>
      <vt:lpstr>Análisis Cuadrante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Hinojosa Alonso Victor</cp:lastModifiedBy>
  <cp:revision/>
  <dcterms:created xsi:type="dcterms:W3CDTF">2025-06-10T09:39:58Z</dcterms:created>
  <dcterms:modified xsi:type="dcterms:W3CDTF">2026-01-05T07:34:58Z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