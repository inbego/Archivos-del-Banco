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Cuadrante Turnos/"/>
    </mc:Choice>
  </mc:AlternateContent>
  <xr:revisionPtr revIDLastSave="2159" documentId="8_{BF395F17-8A36-4A5B-A61D-48748E8233D4}" xr6:coauthVersionLast="47" xr6:coauthVersionMax="47" xr10:uidLastSave="{5DDCF048-55E3-4033-BEE2-C08FCD4AD192}"/>
  <bookViews>
    <workbookView xWindow="-110" yWindow="-110" windowWidth="19200" windowHeight="9020" firstSheet="9" activeTab="9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20" r:id="rId10"/>
    <sheet name="Mayo-2026" sheetId="21" r:id="rId11"/>
    <sheet name="Junio-2026" sheetId="2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5" l="1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C21" i="29" l="1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0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0" i="23"/>
  <c r="M20" i="23"/>
  <c r="AE20" i="23"/>
  <c r="R20" i="23"/>
  <c r="K20" i="23"/>
  <c r="W20" i="23"/>
  <c r="J20" i="23"/>
  <c r="AG20" i="23"/>
  <c r="U20" i="23"/>
  <c r="I20" i="23"/>
  <c r="S20" i="23"/>
  <c r="V20" i="23"/>
  <c r="AD20" i="23"/>
  <c r="Z20" i="23"/>
  <c r="N20" i="23"/>
  <c r="Y20" i="23"/>
  <c r="E20" i="23"/>
  <c r="D20" i="23"/>
  <c r="G20" i="23"/>
  <c r="C20" i="23"/>
  <c r="F20" i="23"/>
  <c r="O20" i="23"/>
  <c r="AC20" i="23"/>
  <c r="AB20" i="23"/>
  <c r="P20" i="23"/>
  <c r="AA20" i="23"/>
  <c r="Q20" i="23"/>
  <c r="AF20" i="23"/>
  <c r="T20" i="23"/>
  <c r="H20" i="23"/>
  <c r="V20" i="22"/>
  <c r="Z20" i="22"/>
  <c r="Y20" i="22"/>
  <c r="J20" i="22"/>
  <c r="N20" i="22"/>
  <c r="M20" i="22"/>
  <c r="Z21" i="21"/>
  <c r="Y21" i="21"/>
  <c r="N21" i="21"/>
  <c r="M21" i="21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B20" i="22"/>
  <c r="D20" i="22"/>
  <c r="O20" i="22"/>
  <c r="C20" i="22"/>
  <c r="P20" i="22"/>
  <c r="H20" i="22"/>
  <c r="AE20" i="22"/>
  <c r="S20" i="22"/>
  <c r="G20" i="22"/>
  <c r="AA20" i="22"/>
  <c r="I20" i="22"/>
  <c r="AF20" i="22"/>
  <c r="T20" i="22"/>
  <c r="X20" i="22"/>
  <c r="L20" i="22"/>
  <c r="AD20" i="22"/>
  <c r="R20" i="22"/>
  <c r="F20" i="22"/>
  <c r="U20" i="22"/>
  <c r="W20" i="22"/>
  <c r="K20" i="22"/>
  <c r="AC20" i="22"/>
  <c r="Q20" i="22"/>
  <c r="E20" i="22"/>
  <c r="W21" i="21"/>
  <c r="L21" i="21"/>
  <c r="X21" i="21"/>
  <c r="K21" i="21"/>
  <c r="AE21" i="21"/>
  <c r="V21" i="21"/>
  <c r="AC21" i="21"/>
  <c r="Q21" i="21"/>
  <c r="E21" i="21"/>
  <c r="AG21" i="21"/>
  <c r="U21" i="21"/>
  <c r="I21" i="21"/>
  <c r="AB21" i="21"/>
  <c r="P21" i="21"/>
  <c r="D21" i="21"/>
  <c r="AD21" i="21"/>
  <c r="R21" i="21"/>
  <c r="F21" i="21"/>
  <c r="AF21" i="21"/>
  <c r="H21" i="21"/>
  <c r="G21" i="21"/>
  <c r="AA21" i="21"/>
  <c r="O21" i="21"/>
  <c r="C21" i="21"/>
  <c r="T21" i="21"/>
  <c r="S21" i="21"/>
  <c r="J21" i="21"/>
  <c r="V21" i="20"/>
  <c r="J21" i="20"/>
  <c r="I21" i="20"/>
  <c r="U21" i="20"/>
  <c r="S21" i="20"/>
  <c r="G21" i="20"/>
  <c r="AD21" i="20"/>
  <c r="C21" i="20"/>
  <c r="Z21" i="20"/>
  <c r="N21" i="20"/>
  <c r="Y21" i="20"/>
  <c r="M21" i="20"/>
  <c r="F21" i="20"/>
  <c r="AC21" i="20"/>
  <c r="Q21" i="20"/>
  <c r="E21" i="20"/>
  <c r="AB21" i="20"/>
  <c r="P21" i="20"/>
  <c r="D21" i="20"/>
  <c r="AA21" i="20"/>
  <c r="X21" i="20"/>
  <c r="L21" i="20"/>
  <c r="AF21" i="20"/>
  <c r="T21" i="20"/>
  <c r="H21" i="20"/>
  <c r="AE21" i="20"/>
  <c r="R21" i="20"/>
  <c r="O21" i="20"/>
  <c r="W21" i="20"/>
  <c r="K21" i="20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I20" i="17"/>
  <c r="I19" i="17"/>
  <c r="I18" i="17"/>
  <c r="I17" i="17"/>
  <c r="I16" i="17"/>
  <c r="I11" i="17"/>
  <c r="I12" i="17"/>
  <c r="I13" i="17"/>
  <c r="I14" i="17"/>
  <c r="I10" i="17"/>
  <c r="I38" i="17"/>
  <c r="I37" i="17"/>
  <c r="I36" i="17"/>
  <c r="I35" i="17"/>
  <c r="I29" i="17"/>
  <c r="I30" i="17"/>
  <c r="I31" i="17"/>
  <c r="I32" i="17"/>
  <c r="I28" i="17"/>
  <c r="H28" i="17"/>
  <c r="E24" i="14"/>
  <c r="K74" i="17"/>
  <c r="I74" i="17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H18" i="17"/>
  <c r="H17" i="17"/>
  <c r="H12" i="17"/>
  <c r="H14" i="17"/>
  <c r="H16" i="17"/>
  <c r="H13" i="17"/>
  <c r="H11" i="17"/>
  <c r="H10" i="17"/>
  <c r="H20" i="17"/>
  <c r="H37" i="17"/>
  <c r="H31" i="17"/>
  <c r="H35" i="17"/>
  <c r="H34" i="17"/>
  <c r="I34" i="17" s="1"/>
  <c r="H30" i="17"/>
  <c r="H29" i="17"/>
  <c r="H32" i="17"/>
  <c r="H36" i="17"/>
  <c r="H38" i="17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AE22" i="15" l="1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</t>
      </text>
    </comment>
    <comment ref="AB6" authorId="1" shapeId="0" xr:uid="{32F81BC9-05B3-41DD-87AB-020559C47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Tener en cuenta cambio horario
</t>
      </text>
    </comment>
    <comment ref="AA13" authorId="2" shapeId="0" xr:uid="{A38EE8CA-7E5B-4089-800E-3E4712793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[Threaded comment]
Your version of Excel allows you to read this threaded comment; however, any edits to it will get removed if the file is opened in a newer version of Excel. Learn more: https://go.microsoft.com/fwlink/?linkid=870924
Comment:
    Médico a primera hora.</t>
      </text>
    </comment>
    <comment ref="AB20" authorId="1" shapeId="0" xr:uid="{E952243D-2C5F-488D-AE16-22AAF78AE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Preparacion para prueba medica del dia siguiente</t>
      </text>
    </comment>
    <comment ref="E20" authorId="1" shapeId="0" xr:uid="{4E3C475F-E43B-4DAE-803E-C501BE1E3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 MEDICA A 1º HORA</t>
      </text>
    </comment>
  </commentList>
</comments>
</file>

<file path=xl/sharedStrings.xml><?xml version="1.0" encoding="utf-8"?>
<sst xmlns="http://schemas.openxmlformats.org/spreadsheetml/2006/main" count="10114" uniqueCount="192">
  <si>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</si>
  <si>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</si>
  <si>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</si>
  <si>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</si>
  <si>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</si>
  <si>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</si>
  <si>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</si>
  <si>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</si>
  <si>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</si>
  <si>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</si>
  <si>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</si>
  <si>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</si>
  <si>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</si>
  <si>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</si>
  <si>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</si>
  <si>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</si>
  <si>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</si>
  <si>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</si>
  <si>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</si>
  <si>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</si>
  <si>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</si>
  <si>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</si>
  <si>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</si>
  <si>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</si>
  <si>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</si>
  <si>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</si>
  <si>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</si>
  <si>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</si>
  <si>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</si>
  <si>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</si>
  <si>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</si>
  <si>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</si>
  <si>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</si>
  <si>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</si>
  <si>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</si>
  <si>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</si>
  <si>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</si>
  <si>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</si>
  <si>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</si>
  <si>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</si>
  <si>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</si>
  <si>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</si>
  <si>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</si>
  <si>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</si>
  <si>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</si>
  <si>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</si>
  <si>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</si>
  <si>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</si>
  <si>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</si>
  <si>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</si>
  <si>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</si>
  <si>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</si>
  <si>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</si>
  <si>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</si>
  <si>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</si>
  <si>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</si>
  <si>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</si>
  <si>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</si>
  <si>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</si>
  <si>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</si>
  <si>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</si>
  <si>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</si>
  <si>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</si>
  <si>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</si>
  <si>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</si>
  <si>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</si>
  <si>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</si>
  <si>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</si>
  <si>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</si>
  <si>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</si>
  <si>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</si>
  <si>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</si>
  <si>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</si>
  <si>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</si>
  <si>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</si>
  <si>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</si>
  <si>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</si>
  <si>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</si>
  <si>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</si>
  <si>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</si>
  <si>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</si>
  <si>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</si>
  <si>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</si>
  <si>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</si>
  <si>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</si>
  <si>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</si>
  <si>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</si>
  <si>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</si>
  <si>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</si>
  <si>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</si>
  <si>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</si>
  <si>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</si>
  <si>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</si>
  <si>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</si>
  <si>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</si>
  <si>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</si>
  <si>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</si>
  <si>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</si>
  <si>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</si>
  <si>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x</t>
  </si>
  <si>
    <t>Erik</t>
  </si>
  <si>
    <t xml:space="preserve">Jared Orta/Cesar  </t>
  </si>
  <si>
    <t>V/G</t>
  </si>
  <si>
    <t>?</t>
  </si>
  <si>
    <t>Marzo</t>
  </si>
  <si>
    <t>Erik/Jorge</t>
  </si>
  <si>
    <t>Jared Orta</t>
  </si>
  <si>
    <t>Cesar</t>
  </si>
  <si>
    <t>ABRIL</t>
  </si>
  <si>
    <t>M1/VJ</t>
  </si>
  <si>
    <t>Mayo</t>
  </si>
  <si>
    <t>Junio</t>
  </si>
  <si>
    <t>VICTOR BODA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</si>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</sst>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  <font>
      <sz val="9"/>
      <color rgb="FF000000"/>
      <name val="Aptos Narrow"/>
    </font>
    <font>
      <sz val="9"/>
      <color rgb="FFFFFFFF"/>
      <name val="Aptos Narrow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left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22" fillId="38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14" borderId="36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4" fillId="23" borderId="20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32385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32385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13335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13335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AF3C0-AC33-4C6B-B3ED-A208E6D91A2D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2C8B1-AAFB-49A3-A243-BB606DB93C94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1FF487-9380-4DF0-A880-3C406ACF9AE5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pane="topRight" activeCell="H8" sqref="H8"/>
      <selection activeCell="A5" sqref="A5"/>
    </sheetView>
  </sheetViews>
  <sheetFormatPr defaultColWidth="0" defaultRowHeight="0" customHeight="1" zeroHeight="1"/>
  <cols>
    <col min="1" max="1" width="10.140625" style="6" bestFit="1" customWidth="1"/>
    <col min="2" max="2" width="3.85546875" style="6" customWidth="1"/>
    <col min="3" max="3" width="6.42578125" style="6" bestFit="1" customWidth="1"/>
    <col min="4" max="4" width="22.140625" style="31" bestFit="1" customWidth="1"/>
    <col min="5" max="35" width="4.7109375" style="6" customWidth="1"/>
    <col min="36" max="36" width="4" style="93" bestFit="1" customWidth="1"/>
    <col min="37" max="16384" width="0" style="6" hidden="1"/>
  </cols>
  <sheetData>
    <row r="1" spans="1:36" ht="18" customHeight="1"/>
    <row r="2" spans="1:36" ht="24" customHeight="1">
      <c r="D2" s="176"/>
      <c r="E2" s="173" t="s">
        <v>0</v>
      </c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</row>
    <row r="3" spans="1:36" ht="18" customHeight="1">
      <c r="B3" s="32"/>
      <c r="D3" s="176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>
      <c r="D4" s="176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>
      <c r="A5" s="177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>
      <c r="A6" s="178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>
      <c r="A7" s="178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>
      <c r="A8" s="178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>
      <c r="A9" s="178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>
      <c r="A10" s="178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>
      <c r="A11" s="178"/>
      <c r="C11" s="34"/>
      <c r="D11" s="36"/>
      <c r="E11" s="183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5"/>
      <c r="AJ11" s="91"/>
    </row>
    <row r="12" spans="1:36" ht="18" customHeight="1">
      <c r="A12" s="178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>
      <c r="A13" s="178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>
      <c r="A14" s="178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>
      <c r="A15" s="178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>
      <c r="A16" s="178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>
      <c r="A17" s="178"/>
      <c r="C17" s="34"/>
      <c r="D17" s="33"/>
      <c r="E17" s="183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5"/>
    </row>
    <row r="18" spans="1:36" ht="18" customHeight="1">
      <c r="A18" s="178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>
      <c r="A19" s="178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>
      <c r="A20" s="178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>
      <c r="A21" s="178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>
      <c r="A22" s="178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>
      <c r="A23" s="178"/>
      <c r="C23" s="34"/>
      <c r="D23" s="35"/>
      <c r="E23" s="180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2"/>
    </row>
    <row r="24" spans="1:36" ht="18" customHeight="1">
      <c r="A24" s="179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/>
    <row r="27" spans="1:36" ht="18" customHeight="1">
      <c r="A27" s="170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>
      <c r="A28" s="171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>
      <c r="A29" s="171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>
      <c r="A30" s="171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>
      <c r="A31" s="171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>
      <c r="A32" s="172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defaultColWidth="8.5703125" defaultRowHeight="14.45"/>
  <cols>
    <col min="1" max="1" width="10.140625" bestFit="1" customWidth="1"/>
    <col min="2" max="2" width="3.85546875" customWidth="1"/>
    <col min="3" max="3" width="6.42578125" bestFit="1" customWidth="1"/>
    <col min="4" max="4" width="27.5703125" customWidth="1"/>
    <col min="5" max="35" width="4.7109375" customWidth="1"/>
    <col min="36" max="36" width="4" bestFit="1" customWidth="1"/>
  </cols>
  <sheetData>
    <row r="1" spans="1:36" ht="15" thickBot="1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>
      <c r="A2" s="6"/>
      <c r="B2" s="6"/>
      <c r="C2" s="6"/>
      <c r="D2" s="176"/>
      <c r="E2" s="173" t="s">
        <v>49</v>
      </c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5"/>
    </row>
    <row r="3" spans="1:36">
      <c r="A3" s="6"/>
      <c r="B3" s="32"/>
      <c r="C3" s="6"/>
      <c r="D3" s="176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>
      <c r="A4" s="6"/>
      <c r="B4" s="6"/>
      <c r="C4" s="6"/>
      <c r="D4" s="176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>
      <c r="A5" s="178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>
      <c r="A6" s="178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>
      <c r="A7" s="178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>
      <c r="A8" s="178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>
      <c r="A9" s="178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>
      <c r="A10" s="178"/>
      <c r="B10" s="6"/>
      <c r="C10" s="34"/>
      <c r="D10" s="36"/>
      <c r="E10" s="183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5"/>
    </row>
    <row r="11" spans="1:36">
      <c r="A11" s="178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>
      <c r="A12" s="178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>
      <c r="A13" s="178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>
      <c r="A14" s="178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>
      <c r="A15" s="178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>
      <c r="A16" s="178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>
      <c r="A17" s="178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>
      <c r="A18" s="178"/>
      <c r="B18" s="6"/>
      <c r="C18" s="34"/>
      <c r="D18" s="33"/>
      <c r="E18" s="183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5"/>
    </row>
    <row r="19" spans="1:35">
      <c r="A19" s="178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>
      <c r="A20" s="178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>
      <c r="A21" s="178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>
      <c r="A22" s="178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>
      <c r="A23" s="178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>
      <c r="A24" s="178"/>
      <c r="B24" s="6"/>
      <c r="C24" s="34"/>
      <c r="E24" s="180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2"/>
    </row>
    <row r="25" spans="1:35" ht="15" thickBot="1">
      <c r="A25" s="179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85" customHeight="1">
      <c r="A28" s="170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85" customHeight="1">
      <c r="A29" s="171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85" customHeight="1">
      <c r="A30" s="171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85" customHeight="1">
      <c r="A31" s="171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>
      <c r="A32" s="171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>
      <c r="A33" s="172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defaultColWidth="8.570312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15" customHeight="1">
      <c r="A1" s="6"/>
      <c r="B1" s="176"/>
      <c r="C1" s="173" t="s">
        <v>57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3">
      <c r="A2" s="6"/>
      <c r="B2" s="176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>
      <c r="A9" s="3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</row>
    <row r="10" spans="1:33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>
      <c r="A15" s="3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</row>
    <row r="16" spans="1:33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>
      <c r="A19" s="3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</row>
    <row r="20" spans="1:32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>
      <c r="A21" s="3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</row>
    <row r="22" spans="1:32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75</v>
      </c>
    </row>
    <row r="35" spans="2:2">
      <c r="B35" s="28" t="s">
        <v>76</v>
      </c>
    </row>
    <row r="36" spans="2:2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AC6" sqref="AC6"/>
    </sheetView>
  </sheetViews>
  <sheetFormatPr defaultColWidth="8.570312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15" customHeight="1">
      <c r="A1" s="6"/>
      <c r="B1" s="176"/>
      <c r="C1" s="186" t="s">
        <v>78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/>
    </row>
    <row r="2" spans="1:34">
      <c r="A2" s="6"/>
      <c r="B2" s="176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>
      <c r="A15" s="3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</row>
    <row r="16" spans="1:34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>
      <c r="AA20" s="86" t="s">
        <v>79</v>
      </c>
      <c r="AB20" s="86"/>
      <c r="AC20" s="86"/>
      <c r="AD20" s="86"/>
      <c r="AE20" s="86"/>
    </row>
    <row r="23" spans="1:33">
      <c r="B23" t="s">
        <v>65</v>
      </c>
    </row>
    <row r="24" spans="1:33">
      <c r="B24" s="5" t="s">
        <v>66</v>
      </c>
    </row>
    <row r="25" spans="1:33">
      <c r="B25" s="5" t="s">
        <v>67</v>
      </c>
    </row>
    <row r="26" spans="1:33">
      <c r="B26" s="1" t="s">
        <v>68</v>
      </c>
    </row>
    <row r="27" spans="1:33">
      <c r="B27" s="7" t="s">
        <v>69</v>
      </c>
    </row>
    <row r="28" spans="1:33">
      <c r="B28" s="3" t="s">
        <v>70</v>
      </c>
    </row>
    <row r="29" spans="1:33">
      <c r="B29" s="5" t="s">
        <v>71</v>
      </c>
    </row>
    <row r="30" spans="1:33">
      <c r="B30" s="3" t="s">
        <v>72</v>
      </c>
    </row>
    <row r="31" spans="1:33">
      <c r="B31" s="4" t="s">
        <v>73</v>
      </c>
    </row>
    <row r="32" spans="1:33">
      <c r="B32" s="25" t="s">
        <v>74</v>
      </c>
    </row>
    <row r="33" spans="2:2">
      <c r="B33" s="4" t="s">
        <v>80</v>
      </c>
    </row>
    <row r="34" spans="2:2">
      <c r="B34" s="28" t="s">
        <v>76</v>
      </c>
    </row>
    <row r="35" spans="2:2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defaultColWidth="8.85546875" defaultRowHeight="14.45"/>
  <cols>
    <col min="2" max="2" width="25.85546875" customWidth="1"/>
    <col min="3" max="32" width="4.7109375" customWidth="1"/>
    <col min="33" max="33" width="4" style="91" bestFit="1" customWidth="1"/>
  </cols>
  <sheetData>
    <row r="1" spans="1:34">
      <c r="A1" s="6"/>
      <c r="B1" s="176"/>
      <c r="C1" s="189" t="s">
        <v>81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</row>
    <row r="2" spans="1:34">
      <c r="A2" s="6"/>
      <c r="B2" s="176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>
      <c r="B25" t="s">
        <v>65</v>
      </c>
    </row>
    <row r="26" spans="1:32">
      <c r="B26" s="5" t="s">
        <v>66</v>
      </c>
    </row>
    <row r="27" spans="1:32">
      <c r="B27" s="5" t="s">
        <v>67</v>
      </c>
    </row>
    <row r="28" spans="1:32">
      <c r="B28" s="1" t="s">
        <v>68</v>
      </c>
    </row>
    <row r="29" spans="1:32">
      <c r="B29" s="7" t="s">
        <v>69</v>
      </c>
    </row>
    <row r="30" spans="1:32">
      <c r="B30" s="3" t="s">
        <v>70</v>
      </c>
    </row>
    <row r="31" spans="1:32">
      <c r="B31" s="5" t="s">
        <v>71</v>
      </c>
    </row>
    <row r="32" spans="1:32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  <row r="38" spans="2:2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workbookViewId="0">
      <selection activeCell="L24" sqref="L24"/>
    </sheetView>
  </sheetViews>
  <sheetFormatPr defaultColWidth="8.85546875" defaultRowHeight="14.45"/>
  <cols>
    <col min="2" max="2" width="31.140625" customWidth="1"/>
    <col min="3" max="33" width="4.7109375" customWidth="1"/>
    <col min="34" max="34" width="8.85546875" style="91" customWidth="1"/>
  </cols>
  <sheetData>
    <row r="1" spans="1:37" ht="15" customHeight="1">
      <c r="A1" s="6"/>
      <c r="B1" s="176"/>
      <c r="C1" s="189" t="s">
        <v>95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</row>
    <row r="2" spans="1:37">
      <c r="A2" s="6"/>
      <c r="B2" s="176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>
      <c r="B26" t="s">
        <v>65</v>
      </c>
    </row>
    <row r="27" spans="1:33">
      <c r="B27" s="5" t="s">
        <v>66</v>
      </c>
    </row>
    <row r="28" spans="1:33">
      <c r="B28" s="5" t="s">
        <v>67</v>
      </c>
    </row>
    <row r="29" spans="1:33">
      <c r="B29" s="1" t="s">
        <v>68</v>
      </c>
    </row>
    <row r="30" spans="1:33">
      <c r="B30" s="7" t="s">
        <v>69</v>
      </c>
    </row>
    <row r="31" spans="1:33">
      <c r="B31" s="3" t="s">
        <v>70</v>
      </c>
    </row>
    <row r="32" spans="1:33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topLeftCell="B7" zoomScaleNormal="100" workbookViewId="0">
      <selection activeCell="N20" sqref="N20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>
      <c r="A1" s="6"/>
      <c r="B1" s="176"/>
      <c r="C1" s="189" t="s">
        <v>97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</row>
    <row r="2" spans="1:34">
      <c r="A2" s="6"/>
      <c r="B2" s="176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33" t="s">
        <v>23</v>
      </c>
      <c r="C10" s="124" t="s">
        <v>7</v>
      </c>
      <c r="D10" s="125" t="s">
        <v>7</v>
      </c>
      <c r="E10" s="125" t="s">
        <v>7</v>
      </c>
      <c r="F10" s="125" t="s">
        <v>7</v>
      </c>
      <c r="G10" s="126" t="s">
        <v>20</v>
      </c>
      <c r="H10" s="126" t="s">
        <v>20</v>
      </c>
      <c r="I10" s="126" t="s">
        <v>20</v>
      </c>
      <c r="J10" s="126" t="s">
        <v>20</v>
      </c>
      <c r="K10" s="126" t="s">
        <v>20</v>
      </c>
      <c r="L10" s="125" t="s">
        <v>7</v>
      </c>
      <c r="M10" s="125" t="s">
        <v>7</v>
      </c>
      <c r="N10" s="131" t="s">
        <v>16</v>
      </c>
      <c r="O10" s="131" t="s">
        <v>16</v>
      </c>
      <c r="P10" s="131" t="s">
        <v>16</v>
      </c>
      <c r="Q10" s="131" t="s">
        <v>16</v>
      </c>
      <c r="R10" s="131" t="s">
        <v>16</v>
      </c>
      <c r="S10" s="131" t="s">
        <v>17</v>
      </c>
      <c r="T10" s="131" t="s">
        <v>17</v>
      </c>
      <c r="U10" s="129" t="s">
        <v>7</v>
      </c>
      <c r="V10" s="129" t="s">
        <v>7</v>
      </c>
      <c r="W10" s="129" t="s">
        <v>7</v>
      </c>
      <c r="X10" s="129" t="s">
        <v>7</v>
      </c>
      <c r="Y10" s="129" t="s">
        <v>7</v>
      </c>
      <c r="Z10" s="129" t="s">
        <v>7</v>
      </c>
      <c r="AA10" s="129" t="s">
        <v>7</v>
      </c>
      <c r="AB10" s="131" t="s">
        <v>16</v>
      </c>
      <c r="AC10" s="131" t="s">
        <v>16</v>
      </c>
      <c r="AD10" s="131" t="s">
        <v>16</v>
      </c>
      <c r="AE10" s="131" t="s">
        <v>16</v>
      </c>
      <c r="AF10" s="131" t="s">
        <v>16</v>
      </c>
      <c r="AG10" s="131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>
      <c r="A11" s="34" t="s">
        <v>12</v>
      </c>
      <c r="B11" s="33" t="s">
        <v>52</v>
      </c>
      <c r="C11" s="127" t="s">
        <v>54</v>
      </c>
      <c r="D11" s="128" t="s">
        <v>14</v>
      </c>
      <c r="E11" s="128" t="s">
        <v>15</v>
      </c>
      <c r="F11" s="128" t="s">
        <v>15</v>
      </c>
      <c r="G11" s="129" t="s">
        <v>7</v>
      </c>
      <c r="H11" s="129" t="s">
        <v>7</v>
      </c>
      <c r="I11" s="130" t="s">
        <v>4</v>
      </c>
      <c r="J11" s="129" t="s">
        <v>7</v>
      </c>
      <c r="K11" s="129" t="s">
        <v>7</v>
      </c>
      <c r="L11" s="129" t="s">
        <v>7</v>
      </c>
      <c r="M11" s="129" t="s">
        <v>7</v>
      </c>
      <c r="N11" s="126" t="s">
        <v>20</v>
      </c>
      <c r="O11" s="126" t="s">
        <v>20</v>
      </c>
      <c r="P11" s="126" t="s">
        <v>20</v>
      </c>
      <c r="Q11" s="126" t="s">
        <v>20</v>
      </c>
      <c r="R11" s="126" t="s">
        <v>20</v>
      </c>
      <c r="S11" s="129" t="s">
        <v>7</v>
      </c>
      <c r="T11" s="129" t="s">
        <v>7</v>
      </c>
      <c r="U11" s="131" t="s">
        <v>16</v>
      </c>
      <c r="V11" s="131" t="s">
        <v>16</v>
      </c>
      <c r="W11" s="131" t="s">
        <v>16</v>
      </c>
      <c r="X11" s="131" t="s">
        <v>16</v>
      </c>
      <c r="Y11" s="131" t="s">
        <v>16</v>
      </c>
      <c r="Z11" s="131" t="s">
        <v>17</v>
      </c>
      <c r="AA11" s="131" t="s">
        <v>17</v>
      </c>
      <c r="AB11" s="129" t="s">
        <v>7</v>
      </c>
      <c r="AC11" s="129" t="s">
        <v>7</v>
      </c>
      <c r="AD11" s="129" t="s">
        <v>7</v>
      </c>
      <c r="AE11" s="129" t="s">
        <v>7</v>
      </c>
      <c r="AF11" s="129" t="s">
        <v>7</v>
      </c>
      <c r="AG11" s="129" t="s">
        <v>7</v>
      </c>
      <c r="AH11" s="91">
        <f t="shared" si="0"/>
        <v>144</v>
      </c>
    </row>
    <row r="12" spans="1:34">
      <c r="A12" s="34" t="s">
        <v>12</v>
      </c>
      <c r="B12" s="33" t="s">
        <v>24</v>
      </c>
      <c r="C12" s="132" t="s">
        <v>4</v>
      </c>
      <c r="D12" s="129" t="s">
        <v>7</v>
      </c>
      <c r="E12" s="129" t="s">
        <v>7</v>
      </c>
      <c r="F12" s="129" t="s">
        <v>7</v>
      </c>
      <c r="G12" s="128" t="s">
        <v>14</v>
      </c>
      <c r="H12" s="128" t="s">
        <v>54</v>
      </c>
      <c r="I12" s="128" t="s">
        <v>14</v>
      </c>
      <c r="J12" s="128" t="s">
        <v>14</v>
      </c>
      <c r="K12" s="128" t="s">
        <v>14</v>
      </c>
      <c r="L12" s="128" t="s">
        <v>15</v>
      </c>
      <c r="M12" s="128" t="s">
        <v>15</v>
      </c>
      <c r="N12" s="129" t="s">
        <v>7</v>
      </c>
      <c r="O12" s="129" t="s">
        <v>7</v>
      </c>
      <c r="P12" s="129" t="s">
        <v>7</v>
      </c>
      <c r="Q12" s="129" t="s">
        <v>7</v>
      </c>
      <c r="R12" s="129" t="s">
        <v>7</v>
      </c>
      <c r="S12" s="129" t="s">
        <v>7</v>
      </c>
      <c r="T12" s="129" t="s">
        <v>7</v>
      </c>
      <c r="U12" s="126" t="s">
        <v>20</v>
      </c>
      <c r="V12" s="126" t="s">
        <v>20</v>
      </c>
      <c r="W12" s="126" t="s">
        <v>20</v>
      </c>
      <c r="X12" s="126" t="s">
        <v>20</v>
      </c>
      <c r="Y12" s="126" t="s">
        <v>20</v>
      </c>
      <c r="Z12" s="129" t="s">
        <v>7</v>
      </c>
      <c r="AA12" s="129" t="s">
        <v>7</v>
      </c>
      <c r="AB12" s="131" t="s">
        <v>16</v>
      </c>
      <c r="AC12" s="131" t="s">
        <v>16</v>
      </c>
      <c r="AD12" s="131" t="s">
        <v>16</v>
      </c>
      <c r="AE12" s="131" t="s">
        <v>16</v>
      </c>
      <c r="AF12" s="131" t="s">
        <v>16</v>
      </c>
      <c r="AG12" s="131" t="s">
        <v>17</v>
      </c>
      <c r="AH12" s="91">
        <f t="shared" si="0"/>
        <v>156</v>
      </c>
    </row>
    <row r="13" spans="1:34">
      <c r="A13" s="34" t="s">
        <v>12</v>
      </c>
      <c r="B13" s="33" t="s">
        <v>84</v>
      </c>
      <c r="C13" s="131" t="s">
        <v>16</v>
      </c>
      <c r="D13" s="131" t="s">
        <v>16</v>
      </c>
      <c r="E13" s="131" t="s">
        <v>17</v>
      </c>
      <c r="F13" s="131" t="s">
        <v>17</v>
      </c>
      <c r="G13" s="129" t="s">
        <v>7</v>
      </c>
      <c r="H13" s="129" t="s">
        <v>7</v>
      </c>
      <c r="I13" s="129" t="s">
        <v>7</v>
      </c>
      <c r="J13" s="130" t="s">
        <v>4</v>
      </c>
      <c r="K13" s="129" t="s">
        <v>7</v>
      </c>
      <c r="L13" s="129" t="s">
        <v>7</v>
      </c>
      <c r="M13" s="129" t="s">
        <v>7</v>
      </c>
      <c r="N13" s="131" t="s">
        <v>16</v>
      </c>
      <c r="O13" s="131" t="s">
        <v>16</v>
      </c>
      <c r="P13" s="131" t="s">
        <v>16</v>
      </c>
      <c r="Q13" s="131" t="s">
        <v>16</v>
      </c>
      <c r="R13" s="131" t="s">
        <v>16</v>
      </c>
      <c r="S13" s="131" t="s">
        <v>17</v>
      </c>
      <c r="T13" s="131" t="s">
        <v>17</v>
      </c>
      <c r="U13" s="129" t="s">
        <v>7</v>
      </c>
      <c r="V13" s="129" t="s">
        <v>7</v>
      </c>
      <c r="W13" s="129" t="s">
        <v>7</v>
      </c>
      <c r="X13" s="129" t="s">
        <v>7</v>
      </c>
      <c r="Y13" s="129" t="s">
        <v>7</v>
      </c>
      <c r="Z13" s="129" t="s">
        <v>7</v>
      </c>
      <c r="AA13" s="129" t="s">
        <v>7</v>
      </c>
      <c r="AB13" s="126" t="s">
        <v>20</v>
      </c>
      <c r="AC13" s="126" t="s">
        <v>20</v>
      </c>
      <c r="AD13" s="126" t="s">
        <v>20</v>
      </c>
      <c r="AE13" s="126" t="s">
        <v>20</v>
      </c>
      <c r="AF13" s="126" t="s">
        <v>20</v>
      </c>
      <c r="AG13" s="129" t="s">
        <v>7</v>
      </c>
      <c r="AH13" s="91">
        <f t="shared" si="0"/>
        <v>144</v>
      </c>
    </row>
    <row r="14" spans="1:34">
      <c r="A14" s="34" t="s">
        <v>12</v>
      </c>
      <c r="B14" s="33" t="s">
        <v>53</v>
      </c>
      <c r="C14" s="134" t="s">
        <v>20</v>
      </c>
      <c r="D14" s="133" t="s">
        <v>20</v>
      </c>
      <c r="E14" s="129" t="s">
        <v>7</v>
      </c>
      <c r="F14" s="129" t="s">
        <v>7</v>
      </c>
      <c r="G14" s="131" t="s">
        <v>16</v>
      </c>
      <c r="H14" s="131" t="s">
        <v>16</v>
      </c>
      <c r="I14" s="131" t="s">
        <v>16</v>
      </c>
      <c r="J14" s="131" t="s">
        <v>16</v>
      </c>
      <c r="K14" s="131" t="s">
        <v>16</v>
      </c>
      <c r="L14" s="131" t="s">
        <v>17</v>
      </c>
      <c r="M14" s="131" t="s">
        <v>17</v>
      </c>
      <c r="N14" s="129" t="s">
        <v>7</v>
      </c>
      <c r="O14" s="129" t="s">
        <v>7</v>
      </c>
      <c r="P14" s="129" t="s">
        <v>7</v>
      </c>
      <c r="Q14" s="129" t="s">
        <v>7</v>
      </c>
      <c r="R14" s="129" t="s">
        <v>7</v>
      </c>
      <c r="S14" s="129" t="s">
        <v>7</v>
      </c>
      <c r="T14" s="129" t="s">
        <v>7</v>
      </c>
      <c r="U14" s="131" t="s">
        <v>16</v>
      </c>
      <c r="V14" s="131" t="s">
        <v>16</v>
      </c>
      <c r="W14" s="131" t="s">
        <v>16</v>
      </c>
      <c r="X14" s="131" t="s">
        <v>16</v>
      </c>
      <c r="Y14" s="131" t="s">
        <v>16</v>
      </c>
      <c r="Z14" s="131" t="s">
        <v>17</v>
      </c>
      <c r="AA14" s="131" t="s">
        <v>17</v>
      </c>
      <c r="AB14" s="129" t="s">
        <v>7</v>
      </c>
      <c r="AC14" s="129" t="s">
        <v>7</v>
      </c>
      <c r="AD14" s="129" t="s">
        <v>7</v>
      </c>
      <c r="AE14" s="129" t="s">
        <v>7</v>
      </c>
      <c r="AF14" s="129" t="s">
        <v>7</v>
      </c>
      <c r="AG14" s="129" t="s">
        <v>7</v>
      </c>
      <c r="AH14" s="91">
        <f t="shared" si="0"/>
        <v>144</v>
      </c>
    </row>
    <row r="15" spans="1:34">
      <c r="A15" s="34"/>
    </row>
    <row r="16" spans="1:34">
      <c r="A16" s="34" t="s">
        <v>12</v>
      </c>
      <c r="B16" s="52" t="s">
        <v>96</v>
      </c>
      <c r="C16" s="136" t="s">
        <v>7</v>
      </c>
      <c r="D16" s="136" t="s">
        <v>7</v>
      </c>
      <c r="E16" s="137" t="s">
        <v>7</v>
      </c>
      <c r="F16" s="137" t="s">
        <v>7</v>
      </c>
      <c r="G16" s="138" t="s">
        <v>54</v>
      </c>
      <c r="H16" s="138" t="s">
        <v>54</v>
      </c>
      <c r="I16" s="138" t="s">
        <v>54</v>
      </c>
      <c r="J16" s="138" t="s">
        <v>54</v>
      </c>
      <c r="K16" s="138" t="s">
        <v>54</v>
      </c>
      <c r="L16" s="137" t="s">
        <v>7</v>
      </c>
      <c r="M16" s="137" t="s">
        <v>7</v>
      </c>
      <c r="N16" s="138" t="s">
        <v>54</v>
      </c>
      <c r="O16" s="138" t="s">
        <v>54</v>
      </c>
      <c r="P16" s="138" t="s">
        <v>54</v>
      </c>
      <c r="Q16" s="138" t="s">
        <v>54</v>
      </c>
      <c r="R16" s="138" t="s">
        <v>54</v>
      </c>
      <c r="S16" s="137" t="s">
        <v>7</v>
      </c>
      <c r="T16" s="137" t="s">
        <v>7</v>
      </c>
      <c r="U16" s="138" t="s">
        <v>54</v>
      </c>
      <c r="V16" s="138" t="s">
        <v>54</v>
      </c>
      <c r="W16" s="138" t="s">
        <v>54</v>
      </c>
      <c r="X16" s="138" t="s">
        <v>54</v>
      </c>
      <c r="Y16" s="138" t="s">
        <v>54</v>
      </c>
      <c r="Z16" s="137" t="s">
        <v>7</v>
      </c>
      <c r="AA16" s="137" t="s">
        <v>7</v>
      </c>
      <c r="AB16" s="138" t="s">
        <v>54</v>
      </c>
      <c r="AC16" s="138" t="s">
        <v>54</v>
      </c>
      <c r="AD16" s="138" t="s">
        <v>54</v>
      </c>
      <c r="AE16" s="138" t="s">
        <v>54</v>
      </c>
      <c r="AF16" s="138" t="s">
        <v>54</v>
      </c>
      <c r="AG16" s="137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>
      <c r="A17" s="34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</row>
    <row r="18" spans="1:34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9"/>
      <c r="V20" s="139"/>
      <c r="W20" s="139"/>
      <c r="X20" s="139"/>
      <c r="Y20" s="139"/>
      <c r="Z20" s="140"/>
      <c r="AA20" s="140"/>
      <c r="AB20" s="141"/>
      <c r="AC20" s="141"/>
      <c r="AD20" s="141"/>
      <c r="AE20" s="141"/>
      <c r="AF20" s="141"/>
      <c r="AG20" s="140"/>
    </row>
    <row r="22" spans="1:34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>
      <c r="B27" t="s">
        <v>65</v>
      </c>
    </row>
    <row r="28" spans="1:34">
      <c r="B28" s="5" t="s">
        <v>66</v>
      </c>
    </row>
    <row r="29" spans="1:34">
      <c r="B29" s="5" t="s">
        <v>67</v>
      </c>
    </row>
    <row r="30" spans="1:34">
      <c r="B30" s="1" t="s">
        <v>68</v>
      </c>
    </row>
    <row r="31" spans="1:34">
      <c r="B31" s="7" t="s">
        <v>69</v>
      </c>
    </row>
    <row r="32" spans="1:34">
      <c r="B32" s="3" t="s">
        <v>70</v>
      </c>
    </row>
    <row r="33" spans="2:2">
      <c r="B33" s="5" t="s">
        <v>71</v>
      </c>
    </row>
    <row r="34" spans="2:2">
      <c r="B34" s="3" t="s">
        <v>72</v>
      </c>
    </row>
    <row r="35" spans="2:2">
      <c r="B35" s="4" t="s">
        <v>73</v>
      </c>
    </row>
    <row r="36" spans="2:2">
      <c r="B36" s="25" t="s">
        <v>74</v>
      </c>
    </row>
    <row r="37" spans="2:2">
      <c r="B37" s="4" t="s">
        <v>93</v>
      </c>
    </row>
    <row r="38" spans="2:2">
      <c r="B38" s="28" t="s">
        <v>76</v>
      </c>
    </row>
    <row r="39" spans="2:2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workbookViewId="0">
      <selection activeCell="AC9" sqref="AC9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0" t="s">
        <v>98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</row>
    <row r="2" spans="1:34">
      <c r="A2" s="6"/>
      <c r="B2" s="176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99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>
      <c r="A9" s="34" t="s">
        <v>12</v>
      </c>
      <c r="B9" s="33" t="s">
        <v>100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>
      <c r="A12" s="34" t="s">
        <v>12</v>
      </c>
      <c r="B12" s="33" t="s">
        <v>101</v>
      </c>
      <c r="C12" s="131" t="s">
        <v>17</v>
      </c>
      <c r="D12" s="125" t="s">
        <v>7</v>
      </c>
      <c r="E12" s="125" t="s">
        <v>7</v>
      </c>
      <c r="F12" s="125" t="s">
        <v>7</v>
      </c>
      <c r="G12" s="109" t="s">
        <v>4</v>
      </c>
      <c r="H12" s="125" t="s">
        <v>7</v>
      </c>
      <c r="I12" s="125" t="s">
        <v>7</v>
      </c>
      <c r="J12" s="125" t="s">
        <v>7</v>
      </c>
      <c r="K12" s="126" t="s">
        <v>20</v>
      </c>
      <c r="L12" s="142" t="s">
        <v>16</v>
      </c>
      <c r="M12" s="126" t="s">
        <v>20</v>
      </c>
      <c r="N12" s="126" t="s">
        <v>20</v>
      </c>
      <c r="O12" s="126" t="s">
        <v>20</v>
      </c>
      <c r="P12" s="125" t="s">
        <v>7</v>
      </c>
      <c r="Q12" s="125" t="s">
        <v>7</v>
      </c>
      <c r="R12" s="144" t="s">
        <v>20</v>
      </c>
      <c r="S12" s="144" t="s">
        <v>20</v>
      </c>
      <c r="T12" s="144" t="s">
        <v>20</v>
      </c>
      <c r="U12" s="144" t="s">
        <v>20</v>
      </c>
      <c r="V12" s="144" t="s">
        <v>20</v>
      </c>
      <c r="W12" s="131" t="s">
        <v>17</v>
      </c>
      <c r="X12" s="131" t="s">
        <v>17</v>
      </c>
      <c r="Y12" s="125" t="s">
        <v>7</v>
      </c>
      <c r="Z12" s="125" t="s">
        <v>7</v>
      </c>
      <c r="AA12" s="125" t="s">
        <v>7</v>
      </c>
      <c r="AB12" s="109" t="s">
        <v>4</v>
      </c>
      <c r="AC12" s="125" t="s">
        <v>7</v>
      </c>
      <c r="AD12" s="125" t="s">
        <v>7</v>
      </c>
      <c r="AH12"/>
    </row>
    <row r="13" spans="1:34">
      <c r="A13" s="34" t="s">
        <v>12</v>
      </c>
      <c r="B13" s="33" t="s">
        <v>52</v>
      </c>
      <c r="C13" s="125" t="s">
        <v>7</v>
      </c>
      <c r="D13" s="131" t="s">
        <v>16</v>
      </c>
      <c r="E13" s="131" t="s">
        <v>16</v>
      </c>
      <c r="F13" s="131" t="s">
        <v>16</v>
      </c>
      <c r="G13" s="131" t="s">
        <v>16</v>
      </c>
      <c r="H13" s="131" t="s">
        <v>16</v>
      </c>
      <c r="I13" s="131" t="s">
        <v>17</v>
      </c>
      <c r="J13" s="131" t="s">
        <v>17</v>
      </c>
      <c r="K13" s="125" t="s">
        <v>7</v>
      </c>
      <c r="L13" s="125" t="s">
        <v>7</v>
      </c>
      <c r="M13" s="125" t="s">
        <v>7</v>
      </c>
      <c r="N13" s="109" t="s">
        <v>4</v>
      </c>
      <c r="O13" s="125" t="s">
        <v>7</v>
      </c>
      <c r="P13" s="125" t="s">
        <v>7</v>
      </c>
      <c r="Q13" s="125" t="s">
        <v>7</v>
      </c>
      <c r="R13" s="143" t="s">
        <v>16</v>
      </c>
      <c r="S13" s="143" t="s">
        <v>16</v>
      </c>
      <c r="T13" s="143" t="s">
        <v>16</v>
      </c>
      <c r="U13" s="143" t="s">
        <v>16</v>
      </c>
      <c r="V13" s="143" t="s">
        <v>16</v>
      </c>
      <c r="W13" s="125" t="s">
        <v>7</v>
      </c>
      <c r="X13" s="125" t="s">
        <v>7</v>
      </c>
      <c r="Y13" s="131" t="s">
        <v>16</v>
      </c>
      <c r="Z13" s="131" t="s">
        <v>16</v>
      </c>
      <c r="AA13" s="131" t="s">
        <v>16</v>
      </c>
      <c r="AB13" s="131" t="s">
        <v>16</v>
      </c>
      <c r="AC13" s="131" t="s">
        <v>16</v>
      </c>
      <c r="AD13" s="131" t="s">
        <v>17</v>
      </c>
      <c r="AH13"/>
    </row>
    <row r="14" spans="1:34">
      <c r="A14" s="34" t="s">
        <v>12</v>
      </c>
      <c r="B14" s="33" t="s">
        <v>24</v>
      </c>
      <c r="C14" s="131" t="s">
        <v>17</v>
      </c>
      <c r="D14" s="125" t="s">
        <v>7</v>
      </c>
      <c r="E14" s="125" t="s">
        <v>7</v>
      </c>
      <c r="F14" s="125" t="s">
        <v>7</v>
      </c>
      <c r="G14" s="125" t="s">
        <v>7</v>
      </c>
      <c r="H14" s="109" t="s">
        <v>4</v>
      </c>
      <c r="I14" s="125" t="s">
        <v>7</v>
      </c>
      <c r="J14" s="125" t="s">
        <v>7</v>
      </c>
      <c r="K14" s="131" t="s">
        <v>16</v>
      </c>
      <c r="L14" s="143" t="s">
        <v>20</v>
      </c>
      <c r="M14" s="131" t="s">
        <v>16</v>
      </c>
      <c r="N14" s="131" t="s">
        <v>16</v>
      </c>
      <c r="O14" s="131" t="s">
        <v>16</v>
      </c>
      <c r="P14" s="131" t="s">
        <v>17</v>
      </c>
      <c r="Q14" s="131" t="s">
        <v>17</v>
      </c>
      <c r="R14" s="125" t="s">
        <v>7</v>
      </c>
      <c r="S14" s="125" t="s">
        <v>7</v>
      </c>
      <c r="T14" s="125" t="s">
        <v>7</v>
      </c>
      <c r="U14" s="109" t="s">
        <v>4</v>
      </c>
      <c r="V14" s="125" t="s">
        <v>7</v>
      </c>
      <c r="W14" s="125" t="s">
        <v>7</v>
      </c>
      <c r="X14" s="125" t="s">
        <v>7</v>
      </c>
      <c r="Y14" s="126" t="s">
        <v>20</v>
      </c>
      <c r="Z14" s="126" t="s">
        <v>20</v>
      </c>
      <c r="AA14" s="126" t="s">
        <v>20</v>
      </c>
      <c r="AB14" s="126" t="s">
        <v>20</v>
      </c>
      <c r="AC14" s="126" t="s">
        <v>20</v>
      </c>
      <c r="AD14" s="125" t="s">
        <v>7</v>
      </c>
      <c r="AH14"/>
    </row>
    <row r="15" spans="1:34">
      <c r="A15" s="34" t="s">
        <v>12</v>
      </c>
      <c r="B15" s="33" t="s">
        <v>84</v>
      </c>
      <c r="C15" s="125" t="s">
        <v>7</v>
      </c>
      <c r="D15" s="131" t="s">
        <v>16</v>
      </c>
      <c r="E15" s="131" t="s">
        <v>16</v>
      </c>
      <c r="F15" s="131" t="s">
        <v>16</v>
      </c>
      <c r="G15" s="131" t="s">
        <v>16</v>
      </c>
      <c r="H15" s="131" t="s">
        <v>16</v>
      </c>
      <c r="I15" s="131" t="s">
        <v>17</v>
      </c>
      <c r="J15" s="131" t="s">
        <v>17</v>
      </c>
      <c r="K15" s="125" t="s">
        <v>7</v>
      </c>
      <c r="L15" s="125" t="s">
        <v>7</v>
      </c>
      <c r="M15" s="125" t="s">
        <v>7</v>
      </c>
      <c r="N15" s="125" t="s">
        <v>7</v>
      </c>
      <c r="O15" s="109" t="s">
        <v>4</v>
      </c>
      <c r="P15" s="125" t="s">
        <v>7</v>
      </c>
      <c r="Q15" s="125" t="s">
        <v>7</v>
      </c>
      <c r="R15" s="131" t="s">
        <v>16</v>
      </c>
      <c r="S15" s="131" t="s">
        <v>16</v>
      </c>
      <c r="T15" s="131" t="s">
        <v>16</v>
      </c>
      <c r="U15" s="131" t="s">
        <v>16</v>
      </c>
      <c r="V15" s="131" t="s">
        <v>16</v>
      </c>
      <c r="W15" s="131" t="s">
        <v>17</v>
      </c>
      <c r="X15" s="131" t="s">
        <v>17</v>
      </c>
      <c r="Y15" s="125" t="s">
        <v>7</v>
      </c>
      <c r="Z15" s="125" t="s">
        <v>7</v>
      </c>
      <c r="AA15" s="125" t="s">
        <v>7</v>
      </c>
      <c r="AB15" s="125" t="s">
        <v>7</v>
      </c>
      <c r="AC15" s="109" t="s">
        <v>4</v>
      </c>
      <c r="AD15" s="125" t="s">
        <v>7</v>
      </c>
      <c r="AH15"/>
    </row>
    <row r="16" spans="1:34">
      <c r="A16" s="34" t="s">
        <v>12</v>
      </c>
      <c r="B16" s="33" t="s">
        <v>53</v>
      </c>
      <c r="C16" s="125" t="s">
        <v>7</v>
      </c>
      <c r="D16" s="126" t="s">
        <v>20</v>
      </c>
      <c r="E16" s="126" t="s">
        <v>20</v>
      </c>
      <c r="F16" s="126" t="s">
        <v>20</v>
      </c>
      <c r="G16" s="126" t="s">
        <v>20</v>
      </c>
      <c r="H16" s="126" t="s">
        <v>20</v>
      </c>
      <c r="I16" s="125" t="s">
        <v>7</v>
      </c>
      <c r="J16" s="125" t="s">
        <v>7</v>
      </c>
      <c r="K16" s="131" t="s">
        <v>16</v>
      </c>
      <c r="L16" s="131" t="s">
        <v>16</v>
      </c>
      <c r="M16" s="131" t="s">
        <v>16</v>
      </c>
      <c r="N16" s="131" t="s">
        <v>16</v>
      </c>
      <c r="O16" s="131" t="s">
        <v>16</v>
      </c>
      <c r="P16" s="131" t="s">
        <v>17</v>
      </c>
      <c r="Q16" s="131" t="s">
        <v>17</v>
      </c>
      <c r="R16" s="125" t="s">
        <v>7</v>
      </c>
      <c r="S16" s="125" t="s">
        <v>7</v>
      </c>
      <c r="T16" s="125" t="s">
        <v>7</v>
      </c>
      <c r="U16" s="125" t="s">
        <v>7</v>
      </c>
      <c r="V16" s="109" t="s">
        <v>4</v>
      </c>
      <c r="W16" s="125" t="s">
        <v>7</v>
      </c>
      <c r="X16" s="125" t="s">
        <v>7</v>
      </c>
      <c r="Y16" s="131" t="s">
        <v>16</v>
      </c>
      <c r="Z16" s="131" t="s">
        <v>16</v>
      </c>
      <c r="AA16" s="131" t="s">
        <v>16</v>
      </c>
      <c r="AB16" s="131" t="s">
        <v>16</v>
      </c>
      <c r="AC16" s="131" t="s">
        <v>16</v>
      </c>
      <c r="AD16" s="131" t="s">
        <v>17</v>
      </c>
      <c r="AH16"/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>
      <c r="A18" s="34"/>
      <c r="B18" s="52" t="s">
        <v>96</v>
      </c>
      <c r="C18" s="137" t="s">
        <v>7</v>
      </c>
      <c r="D18" s="126" t="s">
        <v>20</v>
      </c>
      <c r="E18" s="126" t="s">
        <v>20</v>
      </c>
      <c r="F18" s="126" t="s">
        <v>20</v>
      </c>
      <c r="G18" s="126" t="s">
        <v>20</v>
      </c>
      <c r="H18" s="126" t="s">
        <v>20</v>
      </c>
      <c r="I18" s="137" t="s">
        <v>7</v>
      </c>
      <c r="J18" s="137" t="s">
        <v>7</v>
      </c>
      <c r="K18" s="131" t="s">
        <v>16</v>
      </c>
      <c r="L18" s="131" t="s">
        <v>16</v>
      </c>
      <c r="M18" s="131" t="s">
        <v>16</v>
      </c>
      <c r="N18" s="131" t="s">
        <v>16</v>
      </c>
      <c r="O18" s="131" t="s">
        <v>16</v>
      </c>
      <c r="P18" s="137" t="s">
        <v>7</v>
      </c>
      <c r="Q18" s="137" t="s">
        <v>7</v>
      </c>
      <c r="R18" s="126" t="s">
        <v>20</v>
      </c>
      <c r="S18" s="126" t="s">
        <v>20</v>
      </c>
      <c r="T18" s="126" t="s">
        <v>20</v>
      </c>
      <c r="U18" s="126" t="s">
        <v>20</v>
      </c>
      <c r="V18" s="126" t="s">
        <v>20</v>
      </c>
      <c r="W18" s="137" t="s">
        <v>7</v>
      </c>
      <c r="X18" s="137" t="s">
        <v>7</v>
      </c>
      <c r="Y18" s="131" t="s">
        <v>16</v>
      </c>
      <c r="Z18" s="131" t="s">
        <v>16</v>
      </c>
      <c r="AA18" s="131" t="s">
        <v>16</v>
      </c>
      <c r="AB18" s="131" t="s">
        <v>16</v>
      </c>
      <c r="AC18" s="131" t="s">
        <v>16</v>
      </c>
      <c r="AD18" s="137" t="s">
        <v>7</v>
      </c>
      <c r="AH18"/>
    </row>
    <row r="19" spans="1:34">
      <c r="A19" s="34"/>
      <c r="E19" s="123"/>
      <c r="F19" s="123"/>
      <c r="G19" s="123"/>
      <c r="H19" s="12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3"/>
      <c r="Z19" s="123"/>
      <c r="AA19" s="123"/>
      <c r="AB19" s="123"/>
      <c r="AC19" s="123"/>
      <c r="AD19" s="50"/>
      <c r="AH19"/>
    </row>
    <row r="20" spans="1:34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102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>
      <c r="A22" s="34" t="s">
        <v>28</v>
      </c>
      <c r="B22" s="35" t="s">
        <v>103</v>
      </c>
      <c r="C22" s="137" t="s">
        <v>7</v>
      </c>
      <c r="D22" s="137" t="s">
        <v>7</v>
      </c>
      <c r="E22" s="137" t="s">
        <v>7</v>
      </c>
      <c r="F22" s="137" t="s">
        <v>7</v>
      </c>
      <c r="G22" s="137" t="s">
        <v>7</v>
      </c>
      <c r="H22" s="137" t="s">
        <v>7</v>
      </c>
      <c r="I22" s="137" t="s">
        <v>7</v>
      </c>
      <c r="J22" s="137" t="s">
        <v>7</v>
      </c>
      <c r="K22" s="137" t="s">
        <v>7</v>
      </c>
      <c r="L22" s="137" t="s">
        <v>7</v>
      </c>
      <c r="M22" s="137" t="s">
        <v>7</v>
      </c>
      <c r="N22" s="137" t="s">
        <v>7</v>
      </c>
      <c r="O22" s="137" t="s">
        <v>7</v>
      </c>
      <c r="P22" s="137" t="s">
        <v>7</v>
      </c>
      <c r="Q22" s="137" t="s">
        <v>7</v>
      </c>
      <c r="R22" s="137" t="s">
        <v>7</v>
      </c>
      <c r="S22" s="137" t="s">
        <v>7</v>
      </c>
      <c r="T22" s="137" t="s">
        <v>7</v>
      </c>
      <c r="U22" s="137" t="s">
        <v>7</v>
      </c>
      <c r="V22" s="137" t="s">
        <v>7</v>
      </c>
      <c r="W22" s="137" t="s">
        <v>7</v>
      </c>
      <c r="X22" s="137" t="s">
        <v>7</v>
      </c>
      <c r="Y22" s="137" t="s">
        <v>7</v>
      </c>
      <c r="Z22" s="137" t="s">
        <v>7</v>
      </c>
      <c r="AA22" s="137" t="s">
        <v>7</v>
      </c>
      <c r="AB22" s="137" t="s">
        <v>7</v>
      </c>
      <c r="AC22" s="137" t="s">
        <v>7</v>
      </c>
      <c r="AD22" s="137" t="s">
        <v>7</v>
      </c>
      <c r="AH22"/>
    </row>
    <row r="24" spans="1:34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6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1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>
      <c r="B29" t="s">
        <v>65</v>
      </c>
    </row>
    <row r="30" spans="1:34">
      <c r="B30" s="5" t="s">
        <v>66</v>
      </c>
    </row>
    <row r="31" spans="1:34">
      <c r="B31" s="5" t="s">
        <v>67</v>
      </c>
    </row>
    <row r="32" spans="1:34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topLeftCell="B1" workbookViewId="0">
      <selection activeCell="AG17" sqref="AG17:AG19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1" t="s">
        <v>104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6"/>
      <c r="C2" s="148" t="s">
        <v>6</v>
      </c>
      <c r="D2" s="149" t="s">
        <v>7</v>
      </c>
      <c r="E2" s="149" t="s">
        <v>1</v>
      </c>
      <c r="F2" s="150" t="s">
        <v>2</v>
      </c>
      <c r="G2" s="150" t="s">
        <v>3</v>
      </c>
      <c r="H2" s="150" t="s">
        <v>4</v>
      </c>
      <c r="I2" s="148" t="s">
        <v>5</v>
      </c>
      <c r="J2" s="148" t="s">
        <v>6</v>
      </c>
      <c r="K2" s="149" t="s">
        <v>7</v>
      </c>
      <c r="L2" s="149" t="s">
        <v>1</v>
      </c>
      <c r="M2" s="150" t="s">
        <v>2</v>
      </c>
      <c r="N2" s="150" t="s">
        <v>3</v>
      </c>
      <c r="O2" s="150" t="s">
        <v>4</v>
      </c>
      <c r="P2" s="148" t="s">
        <v>5</v>
      </c>
      <c r="Q2" s="148" t="s">
        <v>6</v>
      </c>
      <c r="R2" s="149" t="s">
        <v>7</v>
      </c>
      <c r="S2" s="149" t="s">
        <v>1</v>
      </c>
      <c r="T2" s="150" t="s">
        <v>2</v>
      </c>
      <c r="U2" s="150" t="s">
        <v>3</v>
      </c>
      <c r="V2" s="150" t="s">
        <v>4</v>
      </c>
      <c r="W2" s="148" t="s">
        <v>5</v>
      </c>
      <c r="X2" s="148" t="s">
        <v>6</v>
      </c>
      <c r="Y2" s="149" t="s">
        <v>7</v>
      </c>
      <c r="Z2" s="149" t="s">
        <v>1</v>
      </c>
      <c r="AA2" s="150" t="s">
        <v>2</v>
      </c>
      <c r="AB2" s="150" t="s">
        <v>3</v>
      </c>
      <c r="AC2" s="150" t="s">
        <v>4</v>
      </c>
      <c r="AD2" s="148" t="s">
        <v>5</v>
      </c>
      <c r="AE2" s="148" t="s">
        <v>6</v>
      </c>
      <c r="AF2" s="149" t="s">
        <v>7</v>
      </c>
      <c r="AG2" s="149" t="s">
        <v>1</v>
      </c>
      <c r="AH2"/>
    </row>
    <row r="3" spans="1:34">
      <c r="A3" s="6"/>
      <c r="B3" s="176"/>
      <c r="C3" s="151">
        <v>1</v>
      </c>
      <c r="D3" s="151">
        <v>2</v>
      </c>
      <c r="E3" s="151">
        <v>3</v>
      </c>
      <c r="F3" s="151">
        <v>4</v>
      </c>
      <c r="G3" s="151">
        <v>5</v>
      </c>
      <c r="H3" s="151">
        <v>6</v>
      </c>
      <c r="I3" s="151">
        <v>7</v>
      </c>
      <c r="J3" s="151">
        <v>8</v>
      </c>
      <c r="K3" s="151">
        <v>9</v>
      </c>
      <c r="L3" s="151">
        <v>10</v>
      </c>
      <c r="M3" s="151">
        <v>11</v>
      </c>
      <c r="N3" s="151">
        <v>12</v>
      </c>
      <c r="O3" s="151">
        <v>13</v>
      </c>
      <c r="P3" s="151">
        <v>14</v>
      </c>
      <c r="Q3" s="151">
        <v>15</v>
      </c>
      <c r="R3" s="151">
        <v>16</v>
      </c>
      <c r="S3" s="151">
        <v>17</v>
      </c>
      <c r="T3" s="151">
        <v>18</v>
      </c>
      <c r="U3" s="151">
        <v>19</v>
      </c>
      <c r="V3" s="151">
        <v>20</v>
      </c>
      <c r="W3" s="151">
        <v>21</v>
      </c>
      <c r="X3" s="151">
        <v>22</v>
      </c>
      <c r="Y3" s="151">
        <v>23</v>
      </c>
      <c r="Z3" s="151">
        <v>24</v>
      </c>
      <c r="AA3" s="151">
        <v>25</v>
      </c>
      <c r="AB3" s="151">
        <v>26</v>
      </c>
      <c r="AC3" s="151">
        <v>27</v>
      </c>
      <c r="AD3" s="151">
        <v>28</v>
      </c>
      <c r="AE3" s="151">
        <v>29</v>
      </c>
      <c r="AF3" s="151">
        <v>30</v>
      </c>
      <c r="AG3" s="151">
        <v>31</v>
      </c>
      <c r="AH3"/>
    </row>
    <row r="4" spans="1:34">
      <c r="A4" s="63" t="s">
        <v>12</v>
      </c>
      <c r="B4" s="62" t="s">
        <v>105</v>
      </c>
      <c r="C4" s="145" t="s">
        <v>7</v>
      </c>
      <c r="D4" s="138" t="s">
        <v>14</v>
      </c>
      <c r="E4" s="138" t="s">
        <v>14</v>
      </c>
      <c r="F4" s="138" t="s">
        <v>14</v>
      </c>
      <c r="G4" s="138" t="s">
        <v>14</v>
      </c>
      <c r="H4" s="138" t="s">
        <v>14</v>
      </c>
      <c r="I4" s="145" t="s">
        <v>7</v>
      </c>
      <c r="J4" s="145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8" t="s">
        <v>15</v>
      </c>
      <c r="Q4" s="138" t="s">
        <v>15</v>
      </c>
      <c r="R4" s="145" t="s">
        <v>7</v>
      </c>
      <c r="S4" s="145" t="s">
        <v>7</v>
      </c>
      <c r="T4" s="145" t="s">
        <v>7</v>
      </c>
      <c r="U4" s="145" t="s">
        <v>7</v>
      </c>
      <c r="V4" s="109" t="s">
        <v>4</v>
      </c>
      <c r="W4" s="145" t="s">
        <v>7</v>
      </c>
      <c r="X4" s="145" t="s">
        <v>7</v>
      </c>
      <c r="Y4" s="138" t="s">
        <v>14</v>
      </c>
      <c r="Z4" s="138" t="s">
        <v>14</v>
      </c>
      <c r="AA4" s="138" t="s">
        <v>14</v>
      </c>
      <c r="AB4" s="138" t="s">
        <v>14</v>
      </c>
      <c r="AC4" s="138" t="s">
        <v>14</v>
      </c>
      <c r="AD4" s="138" t="s">
        <v>15</v>
      </c>
      <c r="AE4" s="138" t="s">
        <v>15</v>
      </c>
      <c r="AF4" s="145" t="s">
        <v>7</v>
      </c>
      <c r="AG4" s="145" t="s">
        <v>7</v>
      </c>
      <c r="AH4"/>
    </row>
    <row r="5" spans="1:34">
      <c r="A5" s="34" t="s">
        <v>12</v>
      </c>
      <c r="B5" s="33" t="s">
        <v>19</v>
      </c>
      <c r="C5" s="138" t="s">
        <v>15</v>
      </c>
      <c r="D5" s="145" t="s">
        <v>7</v>
      </c>
      <c r="E5" s="145" t="s">
        <v>7</v>
      </c>
      <c r="F5" s="145" t="s">
        <v>7</v>
      </c>
      <c r="G5" s="109" t="s">
        <v>4</v>
      </c>
      <c r="H5" s="145" t="s">
        <v>7</v>
      </c>
      <c r="I5" s="145" t="s">
        <v>7</v>
      </c>
      <c r="J5" s="145" t="s">
        <v>7</v>
      </c>
      <c r="K5" s="152" t="s">
        <v>20</v>
      </c>
      <c r="L5" s="152" t="s">
        <v>20</v>
      </c>
      <c r="M5" s="152" t="s">
        <v>20</v>
      </c>
      <c r="N5" s="152" t="s">
        <v>20</v>
      </c>
      <c r="O5" s="152" t="s">
        <v>20</v>
      </c>
      <c r="P5" s="145" t="s">
        <v>7</v>
      </c>
      <c r="Q5" s="145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8" t="s">
        <v>15</v>
      </c>
      <c r="X5" s="138" t="s">
        <v>15</v>
      </c>
      <c r="Y5" s="145" t="s">
        <v>7</v>
      </c>
      <c r="Z5" s="145" t="s">
        <v>7</v>
      </c>
      <c r="AA5" s="145" t="s">
        <v>7</v>
      </c>
      <c r="AB5" s="145" t="s">
        <v>7</v>
      </c>
      <c r="AC5" s="109" t="s">
        <v>4</v>
      </c>
      <c r="AD5" s="145" t="s">
        <v>7</v>
      </c>
      <c r="AE5" s="145" t="s">
        <v>7</v>
      </c>
      <c r="AF5" s="138" t="s">
        <v>14</v>
      </c>
      <c r="AG5" s="138" t="s">
        <v>14</v>
      </c>
      <c r="AH5"/>
    </row>
    <row r="6" spans="1:34">
      <c r="A6" s="34" t="s">
        <v>12</v>
      </c>
      <c r="B6" s="33" t="s">
        <v>21</v>
      </c>
      <c r="C6" s="145" t="s">
        <v>7</v>
      </c>
      <c r="D6" s="152" t="s">
        <v>20</v>
      </c>
      <c r="E6" s="152" t="s">
        <v>20</v>
      </c>
      <c r="F6" s="152" t="s">
        <v>20</v>
      </c>
      <c r="G6" s="152" t="s">
        <v>20</v>
      </c>
      <c r="H6" s="152" t="s">
        <v>20</v>
      </c>
      <c r="I6" s="138" t="s">
        <v>15</v>
      </c>
      <c r="J6" s="138" t="s">
        <v>15</v>
      </c>
      <c r="K6" s="145" t="s">
        <v>7</v>
      </c>
      <c r="L6" s="145" t="s">
        <v>7</v>
      </c>
      <c r="M6" s="145" t="s">
        <v>7</v>
      </c>
      <c r="N6" s="145" t="s">
        <v>7</v>
      </c>
      <c r="O6" s="109" t="s">
        <v>4</v>
      </c>
      <c r="P6" s="145" t="s">
        <v>7</v>
      </c>
      <c r="Q6" s="145" t="s">
        <v>7</v>
      </c>
      <c r="R6" s="152" t="s">
        <v>20</v>
      </c>
      <c r="S6" s="152" t="s">
        <v>20</v>
      </c>
      <c r="T6" s="152" t="s">
        <v>20</v>
      </c>
      <c r="U6" s="152" t="s">
        <v>20</v>
      </c>
      <c r="V6" s="152" t="s">
        <v>20</v>
      </c>
      <c r="W6" s="145" t="s">
        <v>7</v>
      </c>
      <c r="X6" s="145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8" t="s">
        <v>15</v>
      </c>
      <c r="AE6" s="138" t="s">
        <v>15</v>
      </c>
      <c r="AF6" s="145" t="s">
        <v>7</v>
      </c>
      <c r="AG6" s="145" t="s">
        <v>7</v>
      </c>
      <c r="AH6"/>
    </row>
    <row r="7" spans="1:34">
      <c r="A7" s="34" t="s">
        <v>12</v>
      </c>
      <c r="B7" s="33" t="s">
        <v>22</v>
      </c>
      <c r="C7" s="138" t="s">
        <v>15</v>
      </c>
      <c r="D7" s="145" t="s">
        <v>7</v>
      </c>
      <c r="E7" s="145" t="s">
        <v>7</v>
      </c>
      <c r="F7" s="145" t="s">
        <v>7</v>
      </c>
      <c r="G7" s="145" t="s">
        <v>7</v>
      </c>
      <c r="H7" s="109" t="s">
        <v>4</v>
      </c>
      <c r="I7" s="145" t="s">
        <v>7</v>
      </c>
      <c r="J7" s="145" t="s">
        <v>7</v>
      </c>
      <c r="K7" s="138" t="s">
        <v>14</v>
      </c>
      <c r="L7" s="138" t="s">
        <v>14</v>
      </c>
      <c r="M7" s="138" t="s">
        <v>14</v>
      </c>
      <c r="N7" s="138" t="s">
        <v>14</v>
      </c>
      <c r="O7" s="138" t="s">
        <v>14</v>
      </c>
      <c r="P7" s="138" t="s">
        <v>15</v>
      </c>
      <c r="Q7" s="138" t="s">
        <v>15</v>
      </c>
      <c r="R7" s="145" t="s">
        <v>7</v>
      </c>
      <c r="S7" s="145" t="s">
        <v>7</v>
      </c>
      <c r="T7" s="145" t="s">
        <v>7</v>
      </c>
      <c r="U7" s="109" t="s">
        <v>4</v>
      </c>
      <c r="V7" s="145" t="s">
        <v>7</v>
      </c>
      <c r="W7" s="145" t="s">
        <v>7</v>
      </c>
      <c r="X7" s="145" t="s">
        <v>7</v>
      </c>
      <c r="Y7" s="152" t="s">
        <v>20</v>
      </c>
      <c r="Z7" s="152" t="s">
        <v>20</v>
      </c>
      <c r="AA7" s="152" t="s">
        <v>20</v>
      </c>
      <c r="AB7" s="152" t="s">
        <v>20</v>
      </c>
      <c r="AC7" s="152" t="s">
        <v>20</v>
      </c>
      <c r="AD7" s="145" t="s">
        <v>7</v>
      </c>
      <c r="AE7" s="145" t="s">
        <v>7</v>
      </c>
      <c r="AF7" s="121" t="s">
        <v>14</v>
      </c>
      <c r="AG7" s="121" t="s">
        <v>14</v>
      </c>
      <c r="AH7"/>
    </row>
    <row r="8" spans="1:34">
      <c r="A8" s="34" t="s">
        <v>12</v>
      </c>
      <c r="B8" s="33" t="s">
        <v>59</v>
      </c>
      <c r="C8" s="145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8" t="s">
        <v>15</v>
      </c>
      <c r="J8" s="138" t="s">
        <v>15</v>
      </c>
      <c r="K8" s="145" t="s">
        <v>7</v>
      </c>
      <c r="L8" s="145" t="s">
        <v>7</v>
      </c>
      <c r="M8" s="145" t="s">
        <v>7</v>
      </c>
      <c r="N8" s="109" t="s">
        <v>4</v>
      </c>
      <c r="O8" s="145" t="s">
        <v>7</v>
      </c>
      <c r="P8" s="145" t="s">
        <v>7</v>
      </c>
      <c r="Q8" s="145" t="s">
        <v>7</v>
      </c>
      <c r="R8" s="138" t="s">
        <v>14</v>
      </c>
      <c r="S8" s="138" t="s">
        <v>14</v>
      </c>
      <c r="T8" s="138" t="s">
        <v>14</v>
      </c>
      <c r="U8" s="138" t="s">
        <v>14</v>
      </c>
      <c r="V8" s="138" t="s">
        <v>14</v>
      </c>
      <c r="W8" s="138" t="s">
        <v>15</v>
      </c>
      <c r="X8" s="138" t="s">
        <v>15</v>
      </c>
      <c r="Y8" s="145" t="s">
        <v>7</v>
      </c>
      <c r="Z8" s="145" t="s">
        <v>7</v>
      </c>
      <c r="AA8" s="145" t="s">
        <v>7</v>
      </c>
      <c r="AB8" s="109" t="s">
        <v>4</v>
      </c>
      <c r="AC8" s="145" t="s">
        <v>7</v>
      </c>
      <c r="AD8" s="145" t="s">
        <v>7</v>
      </c>
      <c r="AE8" s="145" t="s">
        <v>7</v>
      </c>
      <c r="AF8" s="152" t="s">
        <v>20</v>
      </c>
      <c r="AG8" s="152" t="s">
        <v>20</v>
      </c>
      <c r="AH8"/>
    </row>
    <row r="9" spans="1:34">
      <c r="A9" s="34"/>
      <c r="C9" s="153"/>
      <c r="D9" s="153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3"/>
      <c r="AF9" s="153"/>
      <c r="AG9" s="153"/>
      <c r="AH9"/>
    </row>
    <row r="10" spans="1:34">
      <c r="A10" s="34" t="s">
        <v>12</v>
      </c>
      <c r="B10" s="33" t="s">
        <v>106</v>
      </c>
      <c r="C10" s="137" t="s">
        <v>7</v>
      </c>
      <c r="D10" s="155" t="s">
        <v>16</v>
      </c>
      <c r="E10" s="155" t="s">
        <v>16</v>
      </c>
      <c r="F10" s="155" t="s">
        <v>16</v>
      </c>
      <c r="G10" s="155" t="s">
        <v>16</v>
      </c>
      <c r="H10" s="155" t="s">
        <v>16</v>
      </c>
      <c r="I10" s="155" t="s">
        <v>17</v>
      </c>
      <c r="J10" s="155" t="s">
        <v>17</v>
      </c>
      <c r="K10" s="137" t="s">
        <v>7</v>
      </c>
      <c r="L10" s="137" t="s">
        <v>7</v>
      </c>
      <c r="M10" s="137" t="s">
        <v>7</v>
      </c>
      <c r="N10" s="137" t="s">
        <v>7</v>
      </c>
      <c r="O10" s="137" t="s">
        <v>7</v>
      </c>
      <c r="P10" s="168" t="s">
        <v>17</v>
      </c>
      <c r="Q10" s="168" t="s">
        <v>17</v>
      </c>
      <c r="R10" s="156" t="s">
        <v>20</v>
      </c>
      <c r="S10" s="156" t="s">
        <v>20</v>
      </c>
      <c r="T10" s="156" t="s">
        <v>20</v>
      </c>
      <c r="U10" s="156" t="s">
        <v>20</v>
      </c>
      <c r="V10" s="156" t="s">
        <v>20</v>
      </c>
      <c r="W10" s="164" t="s">
        <v>7</v>
      </c>
      <c r="X10" s="164" t="s">
        <v>7</v>
      </c>
      <c r="Y10" s="168" t="s">
        <v>20</v>
      </c>
      <c r="Z10" s="168" t="s">
        <v>20</v>
      </c>
      <c r="AA10" s="168" t="s">
        <v>20</v>
      </c>
      <c r="AB10" s="168" t="s">
        <v>20</v>
      </c>
      <c r="AC10" s="168" t="s">
        <v>20</v>
      </c>
      <c r="AD10" s="169" t="s">
        <v>7</v>
      </c>
      <c r="AE10" s="169" t="s">
        <v>7</v>
      </c>
      <c r="AF10" s="137" t="s">
        <v>7</v>
      </c>
      <c r="AG10" s="137" t="s">
        <v>7</v>
      </c>
      <c r="AH10"/>
    </row>
    <row r="11" spans="1:34">
      <c r="A11" s="34" t="s">
        <v>12</v>
      </c>
      <c r="B11" s="33" t="s">
        <v>53</v>
      </c>
      <c r="C11" s="155" t="s">
        <v>17</v>
      </c>
      <c r="D11" s="137" t="s">
        <v>7</v>
      </c>
      <c r="E11" s="137" t="s">
        <v>7</v>
      </c>
      <c r="F11" s="137" t="s">
        <v>7</v>
      </c>
      <c r="G11" s="137" t="s">
        <v>7</v>
      </c>
      <c r="H11" s="137" t="s">
        <v>7</v>
      </c>
      <c r="I11" s="137" t="s">
        <v>7</v>
      </c>
      <c r="J11" s="137" t="s">
        <v>7</v>
      </c>
      <c r="K11" s="155" t="s">
        <v>16</v>
      </c>
      <c r="L11" s="155" t="s">
        <v>16</v>
      </c>
      <c r="M11" s="155" t="s">
        <v>16</v>
      </c>
      <c r="N11" s="155" t="s">
        <v>16</v>
      </c>
      <c r="O11" s="155" t="s">
        <v>16</v>
      </c>
      <c r="P11" s="137" t="s">
        <v>7</v>
      </c>
      <c r="Q11" s="137" t="s">
        <v>7</v>
      </c>
      <c r="R11" s="137" t="s">
        <v>7</v>
      </c>
      <c r="S11" s="137" t="s">
        <v>7</v>
      </c>
      <c r="T11" s="137" t="s">
        <v>7</v>
      </c>
      <c r="U11" s="137" t="s">
        <v>7</v>
      </c>
      <c r="V11" s="137" t="s">
        <v>7</v>
      </c>
      <c r="W11" s="137" t="s">
        <v>7</v>
      </c>
      <c r="X11" s="137" t="s">
        <v>7</v>
      </c>
      <c r="Y11" s="168" t="s">
        <v>16</v>
      </c>
      <c r="Z11" s="168" t="s">
        <v>16</v>
      </c>
      <c r="AA11" s="168" t="s">
        <v>16</v>
      </c>
      <c r="AB11" s="168" t="s">
        <v>16</v>
      </c>
      <c r="AC11" s="168" t="s">
        <v>16</v>
      </c>
      <c r="AD11" s="168" t="s">
        <v>17</v>
      </c>
      <c r="AE11" s="168" t="s">
        <v>17</v>
      </c>
      <c r="AF11" s="155" t="s">
        <v>16</v>
      </c>
      <c r="AG11" s="155" t="s">
        <v>16</v>
      </c>
      <c r="AH11"/>
    </row>
    <row r="12" spans="1:34">
      <c r="A12" s="34" t="s">
        <v>12</v>
      </c>
      <c r="B12" s="33" t="s">
        <v>24</v>
      </c>
      <c r="C12" s="137" t="s">
        <v>7</v>
      </c>
      <c r="D12" s="155" t="s">
        <v>16</v>
      </c>
      <c r="E12" s="155" t="s">
        <v>16</v>
      </c>
      <c r="F12" s="155" t="s">
        <v>16</v>
      </c>
      <c r="G12" s="155" t="s">
        <v>16</v>
      </c>
      <c r="H12" s="155" t="s">
        <v>16</v>
      </c>
      <c r="I12" s="155" t="s">
        <v>17</v>
      </c>
      <c r="J12" s="155" t="s">
        <v>17</v>
      </c>
      <c r="K12" s="137" t="s">
        <v>7</v>
      </c>
      <c r="L12" s="137" t="s">
        <v>7</v>
      </c>
      <c r="M12" s="137" t="s">
        <v>7</v>
      </c>
      <c r="N12" s="137" t="s">
        <v>7</v>
      </c>
      <c r="O12" s="137" t="s">
        <v>7</v>
      </c>
      <c r="P12" s="137" t="s">
        <v>7</v>
      </c>
      <c r="Q12" s="137" t="s">
        <v>7</v>
      </c>
      <c r="R12" s="155" t="s">
        <v>16</v>
      </c>
      <c r="S12" s="155" t="s">
        <v>16</v>
      </c>
      <c r="T12" s="155" t="s">
        <v>16</v>
      </c>
      <c r="U12" s="155" t="s">
        <v>16</v>
      </c>
      <c r="V12" s="155" t="s">
        <v>16</v>
      </c>
      <c r="W12" s="155" t="s">
        <v>17</v>
      </c>
      <c r="X12" s="155" t="s">
        <v>17</v>
      </c>
      <c r="Y12" s="137" t="s">
        <v>7</v>
      </c>
      <c r="Z12" s="137" t="s">
        <v>7</v>
      </c>
      <c r="AA12" s="137" t="s">
        <v>7</v>
      </c>
      <c r="AB12" s="137" t="s">
        <v>7</v>
      </c>
      <c r="AC12" s="137" t="s">
        <v>7</v>
      </c>
      <c r="AD12" s="137" t="s">
        <v>7</v>
      </c>
      <c r="AE12" s="137" t="s">
        <v>7</v>
      </c>
      <c r="AF12" s="156" t="s">
        <v>20</v>
      </c>
      <c r="AG12" s="156" t="s">
        <v>20</v>
      </c>
      <c r="AH12"/>
    </row>
    <row r="13" spans="1:34">
      <c r="A13" s="34" t="s">
        <v>12</v>
      </c>
      <c r="B13" s="33" t="s">
        <v>84</v>
      </c>
      <c r="C13" s="137" t="s">
        <v>7</v>
      </c>
      <c r="D13" s="156" t="s">
        <v>20</v>
      </c>
      <c r="E13" s="156" t="s">
        <v>20</v>
      </c>
      <c r="F13" s="156" t="s">
        <v>20</v>
      </c>
      <c r="G13" s="156" t="s">
        <v>20</v>
      </c>
      <c r="H13" s="156" t="s">
        <v>20</v>
      </c>
      <c r="I13" s="137" t="s">
        <v>7</v>
      </c>
      <c r="J13" s="137" t="s">
        <v>7</v>
      </c>
      <c r="K13" s="155" t="s">
        <v>16</v>
      </c>
      <c r="L13" s="155" t="s">
        <v>16</v>
      </c>
      <c r="M13" s="155" t="s">
        <v>16</v>
      </c>
      <c r="N13" s="155" t="s">
        <v>16</v>
      </c>
      <c r="O13" s="155" t="s">
        <v>16</v>
      </c>
      <c r="P13" s="155" t="s">
        <v>17</v>
      </c>
      <c r="Q13" s="155" t="s">
        <v>17</v>
      </c>
      <c r="R13" s="137" t="s">
        <v>7</v>
      </c>
      <c r="S13" s="137" t="s">
        <v>7</v>
      </c>
      <c r="T13" s="137" t="s">
        <v>7</v>
      </c>
      <c r="U13" s="137" t="s">
        <v>7</v>
      </c>
      <c r="V13" s="137" t="s">
        <v>7</v>
      </c>
      <c r="W13" s="137" t="s">
        <v>7</v>
      </c>
      <c r="X13" s="137" t="s">
        <v>7</v>
      </c>
      <c r="Y13" s="155" t="s">
        <v>16</v>
      </c>
      <c r="Z13" s="155" t="s">
        <v>16</v>
      </c>
      <c r="AA13" s="155" t="s">
        <v>16</v>
      </c>
      <c r="AB13" s="155" t="s">
        <v>16</v>
      </c>
      <c r="AC13" s="155" t="s">
        <v>16</v>
      </c>
      <c r="AD13" s="155" t="s">
        <v>17</v>
      </c>
      <c r="AE13" s="155" t="s">
        <v>17</v>
      </c>
      <c r="AF13" s="137" t="s">
        <v>7</v>
      </c>
      <c r="AG13" s="137" t="s">
        <v>7</v>
      </c>
      <c r="AH13"/>
    </row>
    <row r="14" spans="1:34">
      <c r="A14" s="34" t="s">
        <v>12</v>
      </c>
      <c r="B14" s="33" t="s">
        <v>107</v>
      </c>
      <c r="C14" s="164" t="s">
        <v>7</v>
      </c>
      <c r="D14" s="165" t="s">
        <v>20</v>
      </c>
      <c r="E14" s="165" t="s">
        <v>20</v>
      </c>
      <c r="F14" s="165" t="s">
        <v>20</v>
      </c>
      <c r="G14" s="165" t="s">
        <v>20</v>
      </c>
      <c r="H14" s="165" t="s">
        <v>20</v>
      </c>
      <c r="I14" s="158" t="s">
        <v>7</v>
      </c>
      <c r="J14" s="158" t="s">
        <v>7</v>
      </c>
      <c r="K14" s="159" t="s">
        <v>20</v>
      </c>
      <c r="L14" s="159" t="s">
        <v>20</v>
      </c>
      <c r="M14" s="159" t="s">
        <v>20</v>
      </c>
      <c r="N14" s="159" t="s">
        <v>20</v>
      </c>
      <c r="O14" s="159" t="s">
        <v>20</v>
      </c>
      <c r="P14" s="158" t="s">
        <v>7</v>
      </c>
      <c r="Q14" s="158" t="s">
        <v>7</v>
      </c>
      <c r="R14" s="157" t="s">
        <v>16</v>
      </c>
      <c r="S14" s="157" t="s">
        <v>16</v>
      </c>
      <c r="T14" s="157" t="s">
        <v>16</v>
      </c>
      <c r="U14" s="157" t="s">
        <v>16</v>
      </c>
      <c r="V14" s="157" t="s">
        <v>16</v>
      </c>
      <c r="W14" s="166" t="s">
        <v>17</v>
      </c>
      <c r="X14" s="166" t="s">
        <v>17</v>
      </c>
      <c r="Y14" s="158" t="s">
        <v>7</v>
      </c>
      <c r="Z14" s="158" t="s">
        <v>7</v>
      </c>
      <c r="AA14" s="158" t="s">
        <v>7</v>
      </c>
      <c r="AB14" s="158" t="s">
        <v>7</v>
      </c>
      <c r="AC14" s="158" t="s">
        <v>7</v>
      </c>
      <c r="AD14" s="167" t="s">
        <v>7</v>
      </c>
      <c r="AE14" s="167" t="s">
        <v>7</v>
      </c>
      <c r="AF14" s="157" t="s">
        <v>16</v>
      </c>
      <c r="AG14" s="157" t="s">
        <v>16</v>
      </c>
      <c r="AH14"/>
    </row>
    <row r="15" spans="1:34">
      <c r="AH15"/>
    </row>
    <row r="16" spans="1:34">
      <c r="AH16"/>
    </row>
    <row r="17" spans="1:34">
      <c r="A17" s="34" t="s">
        <v>28</v>
      </c>
      <c r="B17" s="33" t="s">
        <v>29</v>
      </c>
      <c r="C17" s="160" t="s">
        <v>30</v>
      </c>
      <c r="D17" s="161" t="s">
        <v>85</v>
      </c>
      <c r="E17" s="161" t="s">
        <v>85</v>
      </c>
      <c r="F17" s="161" t="s">
        <v>85</v>
      </c>
      <c r="G17" s="161" t="s">
        <v>85</v>
      </c>
      <c r="H17" s="161" t="s">
        <v>85</v>
      </c>
      <c r="I17" s="162" t="s">
        <v>30</v>
      </c>
      <c r="J17" s="162" t="s">
        <v>30</v>
      </c>
      <c r="K17" s="146" t="s">
        <v>61</v>
      </c>
      <c r="L17" s="121" t="s">
        <v>11</v>
      </c>
      <c r="M17" s="121" t="s">
        <v>11</v>
      </c>
      <c r="N17" s="121" t="s">
        <v>11</v>
      </c>
      <c r="O17" s="121" t="s">
        <v>11</v>
      </c>
      <c r="P17" s="160" t="s">
        <v>7</v>
      </c>
      <c r="Q17" s="160" t="s">
        <v>7</v>
      </c>
      <c r="R17" s="161" t="s">
        <v>54</v>
      </c>
      <c r="S17" s="161" t="s">
        <v>54</v>
      </c>
      <c r="T17" s="161" t="s">
        <v>54</v>
      </c>
      <c r="U17" s="161" t="s">
        <v>54</v>
      </c>
      <c r="V17" s="161" t="s">
        <v>54</v>
      </c>
      <c r="W17" s="160" t="s">
        <v>7</v>
      </c>
      <c r="X17" s="160" t="s">
        <v>7</v>
      </c>
      <c r="Y17" s="161" t="s">
        <v>85</v>
      </c>
      <c r="Z17" s="161" t="s">
        <v>85</v>
      </c>
      <c r="AA17" s="161" t="s">
        <v>85</v>
      </c>
      <c r="AB17" s="161" t="s">
        <v>85</v>
      </c>
      <c r="AC17" s="161" t="s">
        <v>85</v>
      </c>
      <c r="AD17" s="162" t="s">
        <v>30</v>
      </c>
      <c r="AE17" s="162" t="s">
        <v>30</v>
      </c>
      <c r="AF17" s="163" t="s">
        <v>11</v>
      </c>
      <c r="AG17" s="163" t="s">
        <v>11</v>
      </c>
      <c r="AH17"/>
    </row>
    <row r="18" spans="1:34">
      <c r="A18" s="34" t="s">
        <v>28</v>
      </c>
      <c r="B18" s="35" t="s">
        <v>60</v>
      </c>
      <c r="C18" s="145" t="s">
        <v>7</v>
      </c>
      <c r="D18" s="146" t="s">
        <v>54</v>
      </c>
      <c r="E18" s="146" t="s">
        <v>54</v>
      </c>
      <c r="F18" s="146" t="s">
        <v>54</v>
      </c>
      <c r="G18" s="146" t="s">
        <v>54</v>
      </c>
      <c r="H18" s="146" t="s">
        <v>54</v>
      </c>
      <c r="I18" s="145" t="s">
        <v>7</v>
      </c>
      <c r="J18" s="145" t="s">
        <v>7</v>
      </c>
      <c r="K18" s="163" t="s">
        <v>32</v>
      </c>
      <c r="L18" s="161" t="s">
        <v>85</v>
      </c>
      <c r="M18" s="161" t="s">
        <v>85</v>
      </c>
      <c r="N18" s="161" t="s">
        <v>85</v>
      </c>
      <c r="O18" s="161" t="s">
        <v>85</v>
      </c>
      <c r="P18" s="147" t="s">
        <v>30</v>
      </c>
      <c r="Q18" s="147" t="s">
        <v>30</v>
      </c>
      <c r="R18" s="121" t="s">
        <v>11</v>
      </c>
      <c r="S18" s="121" t="s">
        <v>11</v>
      </c>
      <c r="T18" s="121" t="s">
        <v>11</v>
      </c>
      <c r="U18" s="121" t="s">
        <v>11</v>
      </c>
      <c r="V18" s="121" t="s">
        <v>11</v>
      </c>
      <c r="W18" s="145" t="s">
        <v>7</v>
      </c>
      <c r="X18" s="145" t="s">
        <v>7</v>
      </c>
      <c r="Y18" s="146" t="s">
        <v>54</v>
      </c>
      <c r="Z18" s="146" t="s">
        <v>54</v>
      </c>
      <c r="AA18" s="146" t="s">
        <v>54</v>
      </c>
      <c r="AB18" s="146" t="s">
        <v>54</v>
      </c>
      <c r="AC18" s="146" t="s">
        <v>54</v>
      </c>
      <c r="AD18" s="145" t="s">
        <v>7</v>
      </c>
      <c r="AE18" s="145" t="s">
        <v>7</v>
      </c>
      <c r="AF18" s="146" t="s">
        <v>85</v>
      </c>
      <c r="AG18" s="146" t="s">
        <v>85</v>
      </c>
      <c r="AH18"/>
    </row>
    <row r="19" spans="1:34">
      <c r="A19" s="34" t="s">
        <v>28</v>
      </c>
      <c r="B19" s="62" t="s">
        <v>13</v>
      </c>
      <c r="C19" s="145" t="s">
        <v>7</v>
      </c>
      <c r="D19" s="121" t="s">
        <v>11</v>
      </c>
      <c r="E19" s="121" t="s">
        <v>11</v>
      </c>
      <c r="F19" s="121" t="s">
        <v>11</v>
      </c>
      <c r="G19" s="121" t="s">
        <v>11</v>
      </c>
      <c r="H19" s="121" t="s">
        <v>11</v>
      </c>
      <c r="I19" s="145" t="s">
        <v>7</v>
      </c>
      <c r="J19" s="145" t="s">
        <v>7</v>
      </c>
      <c r="K19" s="146" t="s">
        <v>54</v>
      </c>
      <c r="L19" s="146" t="s">
        <v>54</v>
      </c>
      <c r="M19" s="146" t="s">
        <v>54</v>
      </c>
      <c r="N19" s="146" t="s">
        <v>54</v>
      </c>
      <c r="O19" s="146" t="s">
        <v>54</v>
      </c>
      <c r="P19" s="145" t="s">
        <v>7</v>
      </c>
      <c r="Q19" s="145" t="s">
        <v>7</v>
      </c>
      <c r="R19" s="146" t="s">
        <v>85</v>
      </c>
      <c r="S19" s="146" t="s">
        <v>85</v>
      </c>
      <c r="T19" s="146" t="s">
        <v>85</v>
      </c>
      <c r="U19" s="146" t="s">
        <v>85</v>
      </c>
      <c r="V19" s="146" t="s">
        <v>85</v>
      </c>
      <c r="W19" s="147" t="s">
        <v>30</v>
      </c>
      <c r="X19" s="147" t="s">
        <v>30</v>
      </c>
      <c r="Y19" s="121" t="s">
        <v>11</v>
      </c>
      <c r="Z19" s="121" t="s">
        <v>11</v>
      </c>
      <c r="AA19" s="121" t="s">
        <v>11</v>
      </c>
      <c r="AB19" s="121" t="s">
        <v>11</v>
      </c>
      <c r="AC19" s="121" t="s">
        <v>11</v>
      </c>
      <c r="AD19" s="145" t="s">
        <v>7</v>
      </c>
      <c r="AE19" s="145" t="s">
        <v>7</v>
      </c>
      <c r="AF19" s="146" t="s">
        <v>54</v>
      </c>
      <c r="AG19" s="146" t="s">
        <v>54</v>
      </c>
      <c r="AH19"/>
    </row>
    <row r="21" spans="1:34">
      <c r="B21" s="111" t="s">
        <v>89</v>
      </c>
      <c r="C21" s="110">
        <f t="shared" ref="C21:AG21" si="0">SUM(C22:C24)</f>
        <v>3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>
      <c r="B23" s="111" t="s">
        <v>91</v>
      </c>
      <c r="C23" s="112">
        <f t="shared" ref="C23:AG23" si="2">COUNTIF(C4:C19,"N")+COUNTIF(C4:C19,"NF")</f>
        <v>1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>
      <c r="B26" t="s">
        <v>65</v>
      </c>
    </row>
    <row r="27" spans="1:34">
      <c r="B27" s="5" t="s">
        <v>66</v>
      </c>
    </row>
    <row r="28" spans="1:34">
      <c r="B28" s="5" t="s">
        <v>67</v>
      </c>
    </row>
    <row r="29" spans="1:34">
      <c r="B29" s="1" t="s">
        <v>68</v>
      </c>
    </row>
    <row r="30" spans="1:34">
      <c r="B30" s="7" t="s">
        <v>69</v>
      </c>
    </row>
    <row r="31" spans="1:34">
      <c r="B31" s="3" t="s">
        <v>70</v>
      </c>
    </row>
    <row r="32" spans="1:34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4F9-6F97-4633-8059-4244F5A9F3BA}">
  <dimension ref="A1:AG38"/>
  <sheetViews>
    <sheetView tabSelected="1" topLeftCell="B1" workbookViewId="0">
      <selection activeCell="S19" sqref="S19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6"/>
      <c r="C1" s="191" t="s">
        <v>108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</row>
    <row r="2" spans="1:33">
      <c r="A2" s="6"/>
      <c r="B2" s="176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109</v>
      </c>
      <c r="P4" s="1" t="s">
        <v>109</v>
      </c>
      <c r="Q4" s="1" t="s">
        <v>109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109" t="s">
        <v>4</v>
      </c>
      <c r="Z4" s="28" t="s">
        <v>7</v>
      </c>
      <c r="AA4" s="28" t="s">
        <v>7</v>
      </c>
      <c r="AB4" s="28" t="s">
        <v>7</v>
      </c>
      <c r="AC4" s="5" t="s">
        <v>14</v>
      </c>
      <c r="AD4" s="5" t="s">
        <v>14</v>
      </c>
      <c r="AE4" s="5" t="s">
        <v>14</v>
      </c>
      <c r="AF4" s="5" t="s">
        <v>14</v>
      </c>
      <c r="AG4"/>
    </row>
    <row r="5" spans="1:33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109" t="s">
        <v>4</v>
      </c>
      <c r="AG5"/>
    </row>
    <row r="6" spans="1:33">
      <c r="A6" s="34" t="s">
        <v>12</v>
      </c>
      <c r="B6" s="33" t="s">
        <v>21</v>
      </c>
      <c r="C6" s="28" t="s">
        <v>7</v>
      </c>
      <c r="D6" s="109" t="s">
        <v>4</v>
      </c>
      <c r="E6" s="28" t="s">
        <v>7</v>
      </c>
      <c r="F6" s="28" t="s">
        <v>7</v>
      </c>
      <c r="G6" s="28" t="s">
        <v>7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1" t="s">
        <v>14</v>
      </c>
      <c r="AD6" s="1" t="s">
        <v>14</v>
      </c>
      <c r="AE6" s="1" t="s">
        <v>14</v>
      </c>
      <c r="AF6" s="1" t="s">
        <v>14</v>
      </c>
      <c r="AG6"/>
    </row>
    <row r="7" spans="1:33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5" t="s">
        <v>15</v>
      </c>
      <c r="G7" s="5" t="s">
        <v>15</v>
      </c>
      <c r="H7" s="28" t="s">
        <v>7</v>
      </c>
      <c r="I7" s="28" t="s">
        <v>7</v>
      </c>
      <c r="J7" s="28" t="s">
        <v>7</v>
      </c>
      <c r="K7" s="28" t="s">
        <v>7</v>
      </c>
      <c r="L7" s="109" t="s">
        <v>4</v>
      </c>
      <c r="M7" s="28" t="s">
        <v>7</v>
      </c>
      <c r="N7" s="28" t="s">
        <v>7</v>
      </c>
      <c r="O7" s="5" t="s">
        <v>14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109" t="s">
        <v>4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/>
    </row>
    <row r="8" spans="1:33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28" t="s">
        <v>7</v>
      </c>
      <c r="G8" s="28" t="s">
        <v>7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  <c r="M8" s="5" t="s">
        <v>15</v>
      </c>
      <c r="N8" s="5" t="s">
        <v>15</v>
      </c>
      <c r="O8" s="28" t="s">
        <v>7</v>
      </c>
      <c r="P8" s="28" t="s">
        <v>7</v>
      </c>
      <c r="Q8" s="28" t="s">
        <v>7</v>
      </c>
      <c r="R8" s="28" t="s">
        <v>7</v>
      </c>
      <c r="S8" s="109" t="s">
        <v>4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/>
    </row>
    <row r="9" spans="1:33">
      <c r="A9" s="34"/>
      <c r="AG9"/>
    </row>
    <row r="10" spans="1:33">
      <c r="A10" s="34" t="s">
        <v>12</v>
      </c>
      <c r="B10" s="33" t="s">
        <v>106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31" t="s">
        <v>16</v>
      </c>
      <c r="I10" s="131" t="s">
        <v>16</v>
      </c>
      <c r="J10" s="131" t="s">
        <v>16</v>
      </c>
      <c r="K10" s="131" t="s">
        <v>16</v>
      </c>
      <c r="L10" s="131" t="s">
        <v>16</v>
      </c>
      <c r="M10" s="131" t="s">
        <v>17</v>
      </c>
      <c r="N10" s="131" t="s">
        <v>17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6" t="s">
        <v>20</v>
      </c>
      <c r="W10" s="126" t="s">
        <v>20</v>
      </c>
      <c r="X10" s="126" t="s">
        <v>20</v>
      </c>
      <c r="Y10" s="126" t="s">
        <v>20</v>
      </c>
      <c r="Z10" s="126" t="s">
        <v>20</v>
      </c>
      <c r="AA10" s="125" t="s">
        <v>7</v>
      </c>
      <c r="AB10" s="125" t="s">
        <v>7</v>
      </c>
      <c r="AC10" s="131" t="s">
        <v>16</v>
      </c>
      <c r="AD10" s="131" t="s">
        <v>16</v>
      </c>
      <c r="AE10" s="131" t="s">
        <v>16</v>
      </c>
      <c r="AF10" s="131" t="s">
        <v>16</v>
      </c>
      <c r="AG10"/>
    </row>
    <row r="11" spans="1:33">
      <c r="A11" s="34" t="s">
        <v>12</v>
      </c>
      <c r="B11" s="33" t="s">
        <v>53</v>
      </c>
      <c r="C11" s="131" t="s">
        <v>16</v>
      </c>
      <c r="D11" s="131" t="s">
        <v>16</v>
      </c>
      <c r="E11" s="131" t="s">
        <v>16</v>
      </c>
      <c r="F11" s="131" t="s">
        <v>17</v>
      </c>
      <c r="G11" s="131" t="s">
        <v>17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31" t="s">
        <v>16</v>
      </c>
      <c r="P11" s="131" t="s">
        <v>16</v>
      </c>
      <c r="Q11" s="131" t="s">
        <v>16</v>
      </c>
      <c r="R11" s="131" t="s">
        <v>16</v>
      </c>
      <c r="S11" s="131" t="s">
        <v>16</v>
      </c>
      <c r="T11" s="131" t="s">
        <v>17</v>
      </c>
      <c r="U11" s="131" t="s">
        <v>17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6" t="s">
        <v>20</v>
      </c>
      <c r="AD11" s="126" t="s">
        <v>20</v>
      </c>
      <c r="AE11" s="126" t="s">
        <v>20</v>
      </c>
      <c r="AF11" s="126" t="s">
        <v>20</v>
      </c>
      <c r="AG11"/>
    </row>
    <row r="12" spans="1:33">
      <c r="A12" s="34" t="s">
        <v>12</v>
      </c>
      <c r="B12" s="33" t="s">
        <v>24</v>
      </c>
      <c r="C12" s="126" t="s">
        <v>20</v>
      </c>
      <c r="D12" s="126" t="s">
        <v>20</v>
      </c>
      <c r="E12" s="126" t="s">
        <v>20</v>
      </c>
      <c r="F12" s="125" t="s">
        <v>7</v>
      </c>
      <c r="G12" s="125" t="s">
        <v>7</v>
      </c>
      <c r="H12" s="131" t="s">
        <v>16</v>
      </c>
      <c r="I12" s="131" t="s">
        <v>16</v>
      </c>
      <c r="J12" s="131" t="s">
        <v>16</v>
      </c>
      <c r="K12" s="131" t="s">
        <v>16</v>
      </c>
      <c r="L12" s="131" t="s">
        <v>16</v>
      </c>
      <c r="M12" s="131" t="s">
        <v>17</v>
      </c>
      <c r="N12" s="131" t="s">
        <v>17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31" t="s">
        <v>16</v>
      </c>
      <c r="W12" s="131" t="s">
        <v>16</v>
      </c>
      <c r="X12" s="131" t="s">
        <v>16</v>
      </c>
      <c r="Y12" s="131" t="s">
        <v>16</v>
      </c>
      <c r="Z12" s="131" t="s">
        <v>16</v>
      </c>
      <c r="AA12" s="131" t="s">
        <v>17</v>
      </c>
      <c r="AB12" s="131" t="s">
        <v>17</v>
      </c>
      <c r="AC12" s="125" t="s">
        <v>7</v>
      </c>
      <c r="AD12" s="125" t="s">
        <v>7</v>
      </c>
      <c r="AE12" s="125" t="s">
        <v>7</v>
      </c>
      <c r="AF12" s="125" t="s">
        <v>7</v>
      </c>
      <c r="AG12"/>
    </row>
    <row r="13" spans="1:33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6" t="s">
        <v>20</v>
      </c>
      <c r="I13" s="126" t="s">
        <v>20</v>
      </c>
      <c r="J13" s="126" t="s">
        <v>20</v>
      </c>
      <c r="K13" s="126" t="s">
        <v>20</v>
      </c>
      <c r="L13" s="126" t="s">
        <v>20</v>
      </c>
      <c r="M13" s="125" t="s">
        <v>7</v>
      </c>
      <c r="N13" s="125" t="s">
        <v>7</v>
      </c>
      <c r="O13" s="131" t="s">
        <v>16</v>
      </c>
      <c r="P13" s="131" t="s">
        <v>16</v>
      </c>
      <c r="Q13" s="131" t="s">
        <v>16</v>
      </c>
      <c r="R13" s="131" t="s">
        <v>16</v>
      </c>
      <c r="S13" s="131" t="s">
        <v>16</v>
      </c>
      <c r="T13" s="131" t="s">
        <v>17</v>
      </c>
      <c r="U13" s="131" t="s">
        <v>17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31" t="s">
        <v>16</v>
      </c>
      <c r="AD13" s="131" t="s">
        <v>16</v>
      </c>
      <c r="AE13" s="131" t="s">
        <v>16</v>
      </c>
      <c r="AF13" s="131" t="s">
        <v>16</v>
      </c>
      <c r="AG13"/>
    </row>
    <row r="14" spans="1:33">
      <c r="A14" s="34" t="s">
        <v>12</v>
      </c>
      <c r="B14" s="33" t="s">
        <v>107</v>
      </c>
      <c r="C14" s="131" t="s">
        <v>16</v>
      </c>
      <c r="D14" s="131" t="s">
        <v>16</v>
      </c>
      <c r="E14" s="131" t="s">
        <v>16</v>
      </c>
      <c r="F14" s="131" t="s">
        <v>17</v>
      </c>
      <c r="G14" s="131" t="s">
        <v>17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6" t="s">
        <v>20</v>
      </c>
      <c r="P14" s="126" t="s">
        <v>20</v>
      </c>
      <c r="Q14" s="126" t="s">
        <v>20</v>
      </c>
      <c r="R14" s="126" t="s">
        <v>20</v>
      </c>
      <c r="S14" s="126" t="s">
        <v>20</v>
      </c>
      <c r="T14" s="125" t="s">
        <v>7</v>
      </c>
      <c r="U14" s="125" t="s">
        <v>7</v>
      </c>
      <c r="V14" s="131" t="s">
        <v>16</v>
      </c>
      <c r="W14" s="131" t="s">
        <v>16</v>
      </c>
      <c r="X14" s="131" t="s">
        <v>16</v>
      </c>
      <c r="Y14" s="131" t="s">
        <v>16</v>
      </c>
      <c r="Z14" s="131" t="s">
        <v>16</v>
      </c>
      <c r="AA14" s="131" t="s">
        <v>17</v>
      </c>
      <c r="AB14" s="131" t="s">
        <v>17</v>
      </c>
      <c r="AC14" s="125" t="s">
        <v>7</v>
      </c>
      <c r="AD14" s="125" t="s">
        <v>7</v>
      </c>
      <c r="AE14" s="125" t="s">
        <v>7</v>
      </c>
      <c r="AF14" s="125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/>
      <c r="E16" s="50"/>
      <c r="F16" s="50"/>
      <c r="G16" s="50"/>
      <c r="H16" s="123"/>
      <c r="I16" s="123"/>
      <c r="J16" s="123"/>
      <c r="K16" s="123"/>
      <c r="L16" s="123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123"/>
      <c r="AD16" s="123"/>
      <c r="AG16"/>
    </row>
    <row r="17" spans="1:33" ht="15">
      <c r="A17" s="34" t="s">
        <v>28</v>
      </c>
      <c r="B17" s="33" t="s">
        <v>29</v>
      </c>
      <c r="C17" s="163" t="s">
        <v>11</v>
      </c>
      <c r="D17" s="28" t="s">
        <v>7</v>
      </c>
      <c r="E17" s="28" t="s">
        <v>7</v>
      </c>
      <c r="F17" s="28" t="s">
        <v>7</v>
      </c>
      <c r="G17" s="28" t="s">
        <v>7</v>
      </c>
      <c r="H17" s="146" t="s">
        <v>54</v>
      </c>
      <c r="I17" s="146" t="s">
        <v>54</v>
      </c>
      <c r="J17" s="146" t="s">
        <v>54</v>
      </c>
      <c r="K17" s="146" t="s">
        <v>54</v>
      </c>
      <c r="L17" s="146" t="s">
        <v>54</v>
      </c>
      <c r="M17" s="28" t="s">
        <v>7</v>
      </c>
      <c r="N17" s="28" t="s">
        <v>7</v>
      </c>
      <c r="O17" s="146" t="s">
        <v>85</v>
      </c>
      <c r="P17" s="146" t="s">
        <v>85</v>
      </c>
      <c r="Q17" s="146" t="s">
        <v>85</v>
      </c>
      <c r="R17" s="146" t="s">
        <v>85</v>
      </c>
      <c r="S17" s="146" t="s">
        <v>85</v>
      </c>
      <c r="T17" s="28" t="s">
        <v>7</v>
      </c>
      <c r="U17" s="28" t="s">
        <v>7</v>
      </c>
      <c r="V17" s="163" t="s">
        <v>11</v>
      </c>
      <c r="W17" s="163" t="s">
        <v>11</v>
      </c>
      <c r="X17" s="163" t="s">
        <v>11</v>
      </c>
      <c r="Y17" s="163" t="s">
        <v>11</v>
      </c>
      <c r="Z17" s="163" t="s">
        <v>11</v>
      </c>
      <c r="AA17" s="28" t="s">
        <v>7</v>
      </c>
      <c r="AB17" s="28" t="s">
        <v>7</v>
      </c>
      <c r="AC17" s="146" t="s">
        <v>54</v>
      </c>
      <c r="AD17" s="146" t="s">
        <v>54</v>
      </c>
      <c r="AE17" s="146" t="s">
        <v>54</v>
      </c>
      <c r="AF17" s="146" t="s">
        <v>54</v>
      </c>
      <c r="AG17"/>
    </row>
    <row r="18" spans="1:33" ht="15">
      <c r="A18" s="34" t="s">
        <v>28</v>
      </c>
      <c r="B18" s="35" t="s">
        <v>60</v>
      </c>
      <c r="C18" s="146" t="s">
        <v>85</v>
      </c>
      <c r="D18" s="28" t="s">
        <v>30</v>
      </c>
      <c r="E18" s="28" t="s">
        <v>30</v>
      </c>
      <c r="F18" s="28" t="s">
        <v>30</v>
      </c>
      <c r="G18" s="28" t="s">
        <v>30</v>
      </c>
      <c r="H18" s="163" t="s">
        <v>11</v>
      </c>
      <c r="I18" s="163" t="s">
        <v>11</v>
      </c>
      <c r="J18" s="163" t="s">
        <v>11</v>
      </c>
      <c r="K18" s="163" t="s">
        <v>11</v>
      </c>
      <c r="L18" s="163" t="s">
        <v>11</v>
      </c>
      <c r="M18" s="28" t="s">
        <v>7</v>
      </c>
      <c r="N18" s="28" t="s">
        <v>7</v>
      </c>
      <c r="O18" s="146" t="s">
        <v>54</v>
      </c>
      <c r="P18" s="146" t="s">
        <v>54</v>
      </c>
      <c r="Q18" s="146" t="s">
        <v>54</v>
      </c>
      <c r="R18" s="146" t="s">
        <v>54</v>
      </c>
      <c r="S18" s="146" t="s">
        <v>54</v>
      </c>
      <c r="T18" s="28" t="s">
        <v>7</v>
      </c>
      <c r="U18" s="28" t="s">
        <v>7</v>
      </c>
      <c r="V18" s="146" t="s">
        <v>85</v>
      </c>
      <c r="W18" s="146" t="s">
        <v>85</v>
      </c>
      <c r="X18" s="146" t="s">
        <v>85</v>
      </c>
      <c r="Y18" s="146" t="s">
        <v>85</v>
      </c>
      <c r="Z18" s="146" t="s">
        <v>85</v>
      </c>
      <c r="AA18" s="28" t="s">
        <v>7</v>
      </c>
      <c r="AB18" s="28" t="s">
        <v>7</v>
      </c>
      <c r="AC18" s="163" t="s">
        <v>11</v>
      </c>
      <c r="AD18" s="163" t="s">
        <v>11</v>
      </c>
      <c r="AE18" s="163" t="s">
        <v>11</v>
      </c>
      <c r="AF18" s="163" t="s">
        <v>11</v>
      </c>
      <c r="AG18"/>
    </row>
    <row r="19" spans="1:33" ht="15">
      <c r="A19" s="34" t="s">
        <v>28</v>
      </c>
      <c r="B19" s="62" t="s">
        <v>13</v>
      </c>
      <c r="C19" s="146" t="s">
        <v>54</v>
      </c>
      <c r="D19" s="28" t="s">
        <v>7</v>
      </c>
      <c r="E19" s="28" t="s">
        <v>7</v>
      </c>
      <c r="F19" s="28" t="s">
        <v>7</v>
      </c>
      <c r="G19" s="28" t="s">
        <v>7</v>
      </c>
      <c r="H19" s="146" t="s">
        <v>85</v>
      </c>
      <c r="I19" s="146" t="s">
        <v>85</v>
      </c>
      <c r="J19" s="146" t="s">
        <v>85</v>
      </c>
      <c r="K19" s="146" t="s">
        <v>85</v>
      </c>
      <c r="L19" s="146" t="s">
        <v>85</v>
      </c>
      <c r="M19" s="28" t="s">
        <v>7</v>
      </c>
      <c r="N19" s="28" t="s">
        <v>7</v>
      </c>
      <c r="O19" s="163" t="s">
        <v>11</v>
      </c>
      <c r="P19" s="163" t="s">
        <v>11</v>
      </c>
      <c r="Q19" s="163" t="s">
        <v>11</v>
      </c>
      <c r="R19" s="163" t="s">
        <v>11</v>
      </c>
      <c r="S19" s="17" t="s">
        <v>4</v>
      </c>
      <c r="T19" s="28" t="s">
        <v>7</v>
      </c>
      <c r="U19" s="28" t="s">
        <v>7</v>
      </c>
      <c r="V19" s="146" t="s">
        <v>54</v>
      </c>
      <c r="W19" s="146" t="s">
        <v>54</v>
      </c>
      <c r="X19" s="146" t="s">
        <v>54</v>
      </c>
      <c r="Y19" s="146" t="s">
        <v>54</v>
      </c>
      <c r="Z19" s="146" t="s">
        <v>54</v>
      </c>
      <c r="AA19" s="28" t="s">
        <v>7</v>
      </c>
      <c r="AB19" s="28" t="s">
        <v>7</v>
      </c>
      <c r="AC19" s="146" t="s">
        <v>85</v>
      </c>
      <c r="AD19" s="146" t="s">
        <v>85</v>
      </c>
      <c r="AE19" s="146" t="s">
        <v>85</v>
      </c>
      <c r="AF19" s="146" t="s">
        <v>85</v>
      </c>
      <c r="AG19"/>
    </row>
    <row r="20" spans="1:33">
      <c r="AG20"/>
    </row>
    <row r="21" spans="1:33">
      <c r="B21" s="111" t="s">
        <v>89</v>
      </c>
      <c r="C21" s="110">
        <f t="shared" ref="C21:AF21" si="0">SUM(C22:C24)</f>
        <v>7</v>
      </c>
      <c r="D21" s="110">
        <f t="shared" si="0"/>
        <v>4</v>
      </c>
      <c r="E21" s="110">
        <f t="shared" si="0"/>
        <v>4</v>
      </c>
      <c r="F21" s="110">
        <f t="shared" si="0"/>
        <v>4</v>
      </c>
      <c r="G21" s="110">
        <f t="shared" si="0"/>
        <v>4</v>
      </c>
      <c r="H21" s="110">
        <f t="shared" si="0"/>
        <v>7</v>
      </c>
      <c r="I21" s="110">
        <f t="shared" si="0"/>
        <v>7</v>
      </c>
      <c r="J21" s="110">
        <f t="shared" si="0"/>
        <v>7</v>
      </c>
      <c r="K21" s="110">
        <f t="shared" si="0"/>
        <v>7</v>
      </c>
      <c r="L21" s="110">
        <f t="shared" si="0"/>
        <v>7</v>
      </c>
      <c r="M21" s="110">
        <f t="shared" si="0"/>
        <v>4</v>
      </c>
      <c r="N21" s="110">
        <f t="shared" si="0"/>
        <v>4</v>
      </c>
      <c r="O21" s="110">
        <f t="shared" si="0"/>
        <v>7</v>
      </c>
      <c r="P21" s="110">
        <f t="shared" si="0"/>
        <v>7</v>
      </c>
      <c r="Q21" s="110">
        <f t="shared" si="0"/>
        <v>7</v>
      </c>
      <c r="R21" s="110">
        <f t="shared" si="0"/>
        <v>7</v>
      </c>
      <c r="S21" s="110">
        <f t="shared" si="0"/>
        <v>6</v>
      </c>
      <c r="T21" s="110">
        <f t="shared" si="0"/>
        <v>4</v>
      </c>
      <c r="U21" s="110">
        <f t="shared" si="0"/>
        <v>4</v>
      </c>
      <c r="V21" s="110">
        <f t="shared" si="0"/>
        <v>7</v>
      </c>
      <c r="W21" s="110">
        <f t="shared" si="0"/>
        <v>7</v>
      </c>
      <c r="X21" s="110">
        <f t="shared" si="0"/>
        <v>7</v>
      </c>
      <c r="Y21" s="110">
        <f t="shared" si="0"/>
        <v>7</v>
      </c>
      <c r="Z21" s="110">
        <f t="shared" si="0"/>
        <v>7</v>
      </c>
      <c r="AA21" s="110">
        <f t="shared" si="0"/>
        <v>4</v>
      </c>
      <c r="AB21" s="110">
        <f t="shared" si="0"/>
        <v>4</v>
      </c>
      <c r="AC21" s="110">
        <f t="shared" si="0"/>
        <v>7</v>
      </c>
      <c r="AD21" s="110">
        <f t="shared" si="0"/>
        <v>7</v>
      </c>
      <c r="AE21" s="110">
        <f t="shared" si="0"/>
        <v>7</v>
      </c>
      <c r="AF21" s="110">
        <f t="shared" si="0"/>
        <v>7</v>
      </c>
    </row>
    <row r="22" spans="1:33">
      <c r="B22" s="111" t="s">
        <v>90</v>
      </c>
      <c r="C22" s="112">
        <f t="shared" ref="C22:AF22" si="1">COUNTIF(C4:C19,"T")</f>
        <v>2</v>
      </c>
      <c r="D22" s="112">
        <f t="shared" si="1"/>
        <v>2</v>
      </c>
      <c r="E22" s="112">
        <f t="shared" si="1"/>
        <v>2</v>
      </c>
      <c r="F22" s="112">
        <f t="shared" si="1"/>
        <v>0</v>
      </c>
      <c r="G22" s="112">
        <f t="shared" si="1"/>
        <v>0</v>
      </c>
      <c r="H22" s="112">
        <f t="shared" si="1"/>
        <v>2</v>
      </c>
      <c r="I22" s="112">
        <f t="shared" si="1"/>
        <v>2</v>
      </c>
      <c r="J22" s="112">
        <f t="shared" si="1"/>
        <v>2</v>
      </c>
      <c r="K22" s="112">
        <f t="shared" si="1"/>
        <v>2</v>
      </c>
      <c r="L22" s="112">
        <f t="shared" si="1"/>
        <v>2</v>
      </c>
      <c r="M22" s="112">
        <f t="shared" si="1"/>
        <v>0</v>
      </c>
      <c r="N22" s="112">
        <f t="shared" si="1"/>
        <v>0</v>
      </c>
      <c r="O22" s="112">
        <f t="shared" si="1"/>
        <v>2</v>
      </c>
      <c r="P22" s="112">
        <f t="shared" si="1"/>
        <v>2</v>
      </c>
      <c r="Q22" s="112">
        <f t="shared" si="1"/>
        <v>2</v>
      </c>
      <c r="R22" s="112">
        <f t="shared" si="1"/>
        <v>2</v>
      </c>
      <c r="S22" s="112">
        <f t="shared" si="1"/>
        <v>2</v>
      </c>
      <c r="T22" s="112">
        <f t="shared" si="1"/>
        <v>0</v>
      </c>
      <c r="U22" s="112">
        <f t="shared" si="1"/>
        <v>0</v>
      </c>
      <c r="V22" s="112">
        <f t="shared" si="1"/>
        <v>2</v>
      </c>
      <c r="W22" s="112">
        <f t="shared" si="1"/>
        <v>2</v>
      </c>
      <c r="X22" s="112">
        <f t="shared" si="1"/>
        <v>2</v>
      </c>
      <c r="Y22" s="112">
        <f t="shared" si="1"/>
        <v>2</v>
      </c>
      <c r="Z22" s="112">
        <f t="shared" si="1"/>
        <v>2</v>
      </c>
      <c r="AA22" s="112">
        <f t="shared" si="1"/>
        <v>0</v>
      </c>
      <c r="AB22" s="112">
        <f t="shared" si="1"/>
        <v>0</v>
      </c>
      <c r="AC22" s="112">
        <f t="shared" si="1"/>
        <v>2</v>
      </c>
      <c r="AD22" s="112">
        <f t="shared" si="1"/>
        <v>2</v>
      </c>
      <c r="AE22" s="112">
        <f t="shared" si="1"/>
        <v>2</v>
      </c>
      <c r="AF22" s="112">
        <f t="shared" si="1"/>
        <v>2</v>
      </c>
    </row>
    <row r="23" spans="1:33">
      <c r="B23" s="111" t="s">
        <v>91</v>
      </c>
      <c r="C23" s="112">
        <f t="shared" ref="C23:AF23" si="2">COUNTIF(C4:C19,"N")+COUNTIF(C4:C19,"NF")</f>
        <v>2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</row>
    <row r="24" spans="1:33">
      <c r="B24" s="111" t="s">
        <v>92</v>
      </c>
      <c r="C24" s="112">
        <f>COUNTIF(C4:C19,"M/F")+COUNTIF(C4:C19,"M1")+COUNTIF(C4:C19,"M3")+COUNTIF(C4:C19,"M3/G")+COUNTIF(C4:C19,"M2")</f>
        <v>3</v>
      </c>
      <c r="D24" s="112">
        <f>COUNTIF(D4:D19,"M/F")+COUNTIF(D4:D19,"M1")+COUNTIF(D4:D19,"M3")+COUNTIF(D4:D19,"M3/G")+COUNTIF(D4:D19,"M2")</f>
        <v>0</v>
      </c>
      <c r="E24" s="112">
        <f>COUNTIF(E4:E19,"M1")+COUNTIF(E4:E19,"NF")</f>
        <v>0</v>
      </c>
      <c r="F24" s="112">
        <f t="shared" ref="F24:AF24" si="3">COUNTIF(F4:F19,"M/F")+COUNTIF(F4:F19,"M1")+COUNTIF(F4:F19,"M3")+COUNTIF(F4:F19,"M3/G")+COUNTIF(F4:F19,"M2")</f>
        <v>2</v>
      </c>
      <c r="G24" s="112">
        <f t="shared" si="3"/>
        <v>2</v>
      </c>
      <c r="H24" s="112">
        <f t="shared" si="3"/>
        <v>3</v>
      </c>
      <c r="I24" s="112">
        <f t="shared" si="3"/>
        <v>3</v>
      </c>
      <c r="J24" s="112">
        <f t="shared" si="3"/>
        <v>3</v>
      </c>
      <c r="K24" s="112">
        <f t="shared" si="3"/>
        <v>3</v>
      </c>
      <c r="L24" s="112">
        <f t="shared" si="3"/>
        <v>3</v>
      </c>
      <c r="M24" s="112">
        <f t="shared" si="3"/>
        <v>2</v>
      </c>
      <c r="N24" s="112">
        <f t="shared" si="3"/>
        <v>2</v>
      </c>
      <c r="O24" s="112">
        <f t="shared" si="3"/>
        <v>3</v>
      </c>
      <c r="P24" s="112">
        <f t="shared" si="3"/>
        <v>3</v>
      </c>
      <c r="Q24" s="112">
        <f t="shared" si="3"/>
        <v>3</v>
      </c>
      <c r="R24" s="112">
        <f t="shared" si="3"/>
        <v>3</v>
      </c>
      <c r="S24" s="112">
        <f t="shared" si="3"/>
        <v>2</v>
      </c>
      <c r="T24" s="112">
        <f t="shared" si="3"/>
        <v>2</v>
      </c>
      <c r="U24" s="112">
        <f t="shared" si="3"/>
        <v>2</v>
      </c>
      <c r="V24" s="112">
        <f t="shared" si="3"/>
        <v>3</v>
      </c>
      <c r="W24" s="112">
        <f t="shared" si="3"/>
        <v>3</v>
      </c>
      <c r="X24" s="112">
        <f t="shared" si="3"/>
        <v>3</v>
      </c>
      <c r="Y24" s="112">
        <f t="shared" si="3"/>
        <v>3</v>
      </c>
      <c r="Z24" s="112">
        <f t="shared" si="3"/>
        <v>3</v>
      </c>
      <c r="AA24" s="112">
        <f t="shared" si="3"/>
        <v>2</v>
      </c>
      <c r="AB24" s="112">
        <f t="shared" si="3"/>
        <v>2</v>
      </c>
      <c r="AC24" s="112">
        <f t="shared" si="3"/>
        <v>3</v>
      </c>
      <c r="AD24" s="112">
        <f t="shared" si="3"/>
        <v>3</v>
      </c>
      <c r="AE24" s="112">
        <f t="shared" si="3"/>
        <v>3</v>
      </c>
      <c r="AF24" s="112">
        <f t="shared" si="3"/>
        <v>3</v>
      </c>
    </row>
    <row r="26" spans="1:33">
      <c r="B26" t="s">
        <v>65</v>
      </c>
    </row>
    <row r="27" spans="1:33">
      <c r="B27" s="5" t="s">
        <v>66</v>
      </c>
    </row>
    <row r="28" spans="1:33">
      <c r="B28" s="5" t="s">
        <v>67</v>
      </c>
    </row>
    <row r="29" spans="1:33">
      <c r="B29" s="1" t="s">
        <v>68</v>
      </c>
    </row>
    <row r="30" spans="1:33">
      <c r="B30" s="7" t="s">
        <v>69</v>
      </c>
    </row>
    <row r="31" spans="1:33">
      <c r="B31" s="3" t="s">
        <v>70</v>
      </c>
    </row>
    <row r="32" spans="1:33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F1"/>
  </mergeCells>
  <conditionalFormatting sqref="C22:AF24">
    <cfRule type="cellIs" dxfId="8" priority="1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48C2-EAB6-46CB-BAEC-605EE998C4F6}">
  <dimension ref="A1:AH38"/>
  <sheetViews>
    <sheetView workbookViewId="0">
      <selection activeCell="B10" sqref="B10:B14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1" t="s">
        <v>110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6"/>
      <c r="C2" s="85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5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5" t="s">
        <v>14</v>
      </c>
      <c r="D4" s="5" t="s">
        <v>15</v>
      </c>
      <c r="E4" s="5" t="s">
        <v>15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28" t="s">
        <v>7</v>
      </c>
      <c r="M4" s="7" t="s">
        <v>20</v>
      </c>
      <c r="N4" s="7" t="s">
        <v>20</v>
      </c>
      <c r="O4" s="7" t="s">
        <v>20</v>
      </c>
      <c r="P4" s="7" t="s">
        <v>20</v>
      </c>
      <c r="Q4" s="7" t="s">
        <v>20</v>
      </c>
      <c r="R4" s="28" t="s">
        <v>7</v>
      </c>
      <c r="S4" s="28" t="s">
        <v>7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5" t="s">
        <v>15</v>
      </c>
      <c r="Z4" s="5" t="s">
        <v>15</v>
      </c>
      <c r="AA4" s="28" t="s">
        <v>7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15</v>
      </c>
      <c r="L5" s="5" t="s">
        <v>15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7" t="s">
        <v>20</v>
      </c>
      <c r="U5" s="7" t="s">
        <v>20</v>
      </c>
      <c r="V5" s="7" t="s">
        <v>20</v>
      </c>
      <c r="W5" s="7" t="s">
        <v>20</v>
      </c>
      <c r="X5" s="7" t="s">
        <v>20</v>
      </c>
      <c r="Y5" s="28" t="s">
        <v>7</v>
      </c>
      <c r="Z5" s="28" t="s">
        <v>7</v>
      </c>
      <c r="AA5" s="1" t="s">
        <v>14</v>
      </c>
      <c r="AB5" s="1" t="s">
        <v>14</v>
      </c>
      <c r="AC5" s="1" t="s">
        <v>14</v>
      </c>
      <c r="AD5" s="1" t="s">
        <v>14</v>
      </c>
      <c r="AE5" s="1" t="s">
        <v>14</v>
      </c>
      <c r="AF5" s="5" t="s">
        <v>15</v>
      </c>
      <c r="AG5" s="5" t="s">
        <v>15</v>
      </c>
      <c r="AH5"/>
    </row>
    <row r="6" spans="1:34">
      <c r="A6" s="34" t="s">
        <v>12</v>
      </c>
      <c r="B6" s="33" t="s">
        <v>21</v>
      </c>
      <c r="C6" s="1" t="s">
        <v>14</v>
      </c>
      <c r="D6" s="5" t="s">
        <v>15</v>
      </c>
      <c r="E6" s="5" t="s">
        <v>15</v>
      </c>
      <c r="F6" s="28" t="s">
        <v>7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5" t="s">
        <v>14</v>
      </c>
      <c r="N6" s="5" t="s">
        <v>14</v>
      </c>
      <c r="O6" s="5" t="s">
        <v>14</v>
      </c>
      <c r="P6" s="5" t="s">
        <v>14</v>
      </c>
      <c r="Q6" s="5" t="s">
        <v>14</v>
      </c>
      <c r="R6" s="5" t="s">
        <v>15</v>
      </c>
      <c r="S6" s="5" t="s">
        <v>15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7" t="s">
        <v>20</v>
      </c>
      <c r="AB6" s="7" t="s">
        <v>20</v>
      </c>
      <c r="AC6" s="7" t="s">
        <v>20</v>
      </c>
      <c r="AD6" s="7" t="s">
        <v>20</v>
      </c>
      <c r="AE6" s="7" t="s">
        <v>20</v>
      </c>
      <c r="AF6" s="28" t="s">
        <v>7</v>
      </c>
      <c r="AG6" s="28" t="s">
        <v>7</v>
      </c>
      <c r="AH6"/>
    </row>
    <row r="7" spans="1:34">
      <c r="A7" s="34" t="s">
        <v>12</v>
      </c>
      <c r="B7" s="33" t="s">
        <v>22</v>
      </c>
      <c r="C7" s="7" t="s">
        <v>20</v>
      </c>
      <c r="D7" s="28" t="s">
        <v>7</v>
      </c>
      <c r="E7" s="28" t="s">
        <v>7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5" t="s">
        <v>15</v>
      </c>
      <c r="L7" s="5" t="s">
        <v>15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5" t="s">
        <v>14</v>
      </c>
      <c r="U7" s="5" t="s">
        <v>14</v>
      </c>
      <c r="V7" s="5" t="s">
        <v>14</v>
      </c>
      <c r="W7" s="5" t="s">
        <v>14</v>
      </c>
      <c r="X7" s="5" t="s">
        <v>14</v>
      </c>
      <c r="Y7" s="5" t="s">
        <v>15</v>
      </c>
      <c r="Z7" s="5" t="s">
        <v>15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28" t="s">
        <v>7</v>
      </c>
      <c r="AH7"/>
    </row>
    <row r="8" spans="1:34">
      <c r="A8" s="34" t="s">
        <v>12</v>
      </c>
      <c r="B8" s="33" t="s">
        <v>59</v>
      </c>
      <c r="C8" s="109" t="s">
        <v>4</v>
      </c>
      <c r="D8" s="28" t="s">
        <v>7</v>
      </c>
      <c r="E8" s="28" t="s">
        <v>7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28" t="s">
        <v>7</v>
      </c>
      <c r="L8" s="28" t="s">
        <v>7</v>
      </c>
      <c r="M8" s="1" t="s">
        <v>14</v>
      </c>
      <c r="N8" s="1" t="s">
        <v>14</v>
      </c>
      <c r="O8" s="1" t="s">
        <v>14</v>
      </c>
      <c r="P8" s="1" t="s">
        <v>14</v>
      </c>
      <c r="Q8" s="1" t="s">
        <v>14</v>
      </c>
      <c r="R8" s="5" t="s">
        <v>15</v>
      </c>
      <c r="S8" s="5" t="s">
        <v>15</v>
      </c>
      <c r="T8" s="28" t="s">
        <v>7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5" t="s">
        <v>14</v>
      </c>
      <c r="AB8" s="5" t="s">
        <v>14</v>
      </c>
      <c r="AC8" s="5" t="s">
        <v>14</v>
      </c>
      <c r="AD8" s="5" t="s">
        <v>14</v>
      </c>
      <c r="AE8" s="5" t="s">
        <v>14</v>
      </c>
      <c r="AF8" s="5" t="s">
        <v>15</v>
      </c>
      <c r="AG8" s="5" t="s">
        <v>15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106</v>
      </c>
      <c r="C10" s="137" t="s">
        <v>7</v>
      </c>
      <c r="D10" s="137" t="s">
        <v>7</v>
      </c>
      <c r="E10" s="137" t="s">
        <v>7</v>
      </c>
      <c r="F10" s="137" t="s">
        <v>7</v>
      </c>
      <c r="G10" s="137" t="s">
        <v>7</v>
      </c>
      <c r="H10" s="137" t="s">
        <v>7</v>
      </c>
      <c r="I10" s="137" t="s">
        <v>7</v>
      </c>
      <c r="J10" s="137" t="s">
        <v>7</v>
      </c>
      <c r="K10" s="137" t="s">
        <v>7</v>
      </c>
      <c r="L10" s="137" t="s">
        <v>7</v>
      </c>
      <c r="M10" s="137" t="s">
        <v>7</v>
      </c>
      <c r="N10" s="137" t="s">
        <v>7</v>
      </c>
      <c r="O10" s="137" t="s">
        <v>7</v>
      </c>
      <c r="P10" s="137" t="s">
        <v>7</v>
      </c>
      <c r="Q10" s="137" t="s">
        <v>7</v>
      </c>
      <c r="R10" s="137" t="s">
        <v>7</v>
      </c>
      <c r="S10" s="137" t="s">
        <v>7</v>
      </c>
      <c r="T10" s="137" t="s">
        <v>7</v>
      </c>
      <c r="U10" s="137" t="s">
        <v>7</v>
      </c>
      <c r="V10" s="137" t="s">
        <v>7</v>
      </c>
      <c r="W10" s="137" t="s">
        <v>7</v>
      </c>
      <c r="X10" s="137" t="s">
        <v>7</v>
      </c>
      <c r="Y10" s="137" t="s">
        <v>7</v>
      </c>
      <c r="Z10" s="137" t="s">
        <v>7</v>
      </c>
      <c r="AA10" s="137" t="s">
        <v>7</v>
      </c>
      <c r="AB10" s="137" t="s">
        <v>7</v>
      </c>
      <c r="AC10" s="137" t="s">
        <v>7</v>
      </c>
      <c r="AD10" s="137" t="s">
        <v>7</v>
      </c>
      <c r="AE10" s="137" t="s">
        <v>7</v>
      </c>
      <c r="AF10" s="137" t="s">
        <v>7</v>
      </c>
      <c r="AG10" s="137" t="s">
        <v>7</v>
      </c>
      <c r="AH10"/>
    </row>
    <row r="11" spans="1:34">
      <c r="A11" s="34" t="s">
        <v>12</v>
      </c>
      <c r="B11" s="33" t="s">
        <v>53</v>
      </c>
      <c r="C11" s="137" t="s">
        <v>7</v>
      </c>
      <c r="D11" s="137" t="s">
        <v>7</v>
      </c>
      <c r="E11" s="137" t="s">
        <v>7</v>
      </c>
      <c r="F11" s="137" t="s">
        <v>7</v>
      </c>
      <c r="G11" s="137" t="s">
        <v>7</v>
      </c>
      <c r="H11" s="137" t="s">
        <v>7</v>
      </c>
      <c r="I11" s="137" t="s">
        <v>7</v>
      </c>
      <c r="J11" s="137" t="s">
        <v>7</v>
      </c>
      <c r="K11" s="137" t="s">
        <v>7</v>
      </c>
      <c r="L11" s="137" t="s">
        <v>7</v>
      </c>
      <c r="M11" s="137" t="s">
        <v>7</v>
      </c>
      <c r="N11" s="137" t="s">
        <v>7</v>
      </c>
      <c r="O11" s="137" t="s">
        <v>7</v>
      </c>
      <c r="P11" s="137" t="s">
        <v>7</v>
      </c>
      <c r="Q11" s="137" t="s">
        <v>7</v>
      </c>
      <c r="R11" s="137" t="s">
        <v>7</v>
      </c>
      <c r="S11" s="137" t="s">
        <v>7</v>
      </c>
      <c r="T11" s="137" t="s">
        <v>7</v>
      </c>
      <c r="U11" s="137" t="s">
        <v>7</v>
      </c>
      <c r="V11" s="137" t="s">
        <v>7</v>
      </c>
      <c r="W11" s="137" t="s">
        <v>7</v>
      </c>
      <c r="X11" s="137" t="s">
        <v>7</v>
      </c>
      <c r="Y11" s="137" t="s">
        <v>7</v>
      </c>
      <c r="Z11" s="137" t="s">
        <v>7</v>
      </c>
      <c r="AA11" s="137" t="s">
        <v>7</v>
      </c>
      <c r="AB11" s="137" t="s">
        <v>7</v>
      </c>
      <c r="AC11" s="137" t="s">
        <v>7</v>
      </c>
      <c r="AD11" s="137" t="s">
        <v>7</v>
      </c>
      <c r="AE11" s="137" t="s">
        <v>7</v>
      </c>
      <c r="AF11" s="137" t="s">
        <v>7</v>
      </c>
      <c r="AG11" s="137" t="s">
        <v>7</v>
      </c>
      <c r="AH11"/>
    </row>
    <row r="12" spans="1:34">
      <c r="A12" s="34" t="s">
        <v>12</v>
      </c>
      <c r="B12" s="33" t="s">
        <v>24</v>
      </c>
      <c r="C12" s="137" t="s">
        <v>7</v>
      </c>
      <c r="D12" s="137" t="s">
        <v>7</v>
      </c>
      <c r="E12" s="137" t="s">
        <v>7</v>
      </c>
      <c r="F12" s="137" t="s">
        <v>7</v>
      </c>
      <c r="G12" s="137" t="s">
        <v>7</v>
      </c>
      <c r="H12" s="137" t="s">
        <v>7</v>
      </c>
      <c r="I12" s="137" t="s">
        <v>7</v>
      </c>
      <c r="J12" s="137" t="s">
        <v>7</v>
      </c>
      <c r="K12" s="137" t="s">
        <v>7</v>
      </c>
      <c r="L12" s="137" t="s">
        <v>7</v>
      </c>
      <c r="M12" s="137" t="s">
        <v>7</v>
      </c>
      <c r="N12" s="137" t="s">
        <v>7</v>
      </c>
      <c r="O12" s="137" t="s">
        <v>7</v>
      </c>
      <c r="P12" s="137" t="s">
        <v>7</v>
      </c>
      <c r="Q12" s="137" t="s">
        <v>7</v>
      </c>
      <c r="R12" s="137" t="s">
        <v>7</v>
      </c>
      <c r="S12" s="137" t="s">
        <v>7</v>
      </c>
      <c r="T12" s="137" t="s">
        <v>7</v>
      </c>
      <c r="U12" s="137" t="s">
        <v>7</v>
      </c>
      <c r="V12" s="137" t="s">
        <v>7</v>
      </c>
      <c r="W12" s="137" t="s">
        <v>7</v>
      </c>
      <c r="X12" s="137" t="s">
        <v>7</v>
      </c>
      <c r="Y12" s="137" t="s">
        <v>7</v>
      </c>
      <c r="Z12" s="137" t="s">
        <v>7</v>
      </c>
      <c r="AA12" s="137" t="s">
        <v>7</v>
      </c>
      <c r="AB12" s="137" t="s">
        <v>7</v>
      </c>
      <c r="AC12" s="137" t="s">
        <v>7</v>
      </c>
      <c r="AD12" s="137" t="s">
        <v>7</v>
      </c>
      <c r="AE12" s="137" t="s">
        <v>7</v>
      </c>
      <c r="AF12" s="137" t="s">
        <v>7</v>
      </c>
      <c r="AG12" s="137" t="s">
        <v>7</v>
      </c>
      <c r="AH12"/>
    </row>
    <row r="13" spans="1:34">
      <c r="A13" s="34" t="s">
        <v>12</v>
      </c>
      <c r="B13" s="33" t="s">
        <v>84</v>
      </c>
      <c r="C13" s="137" t="s">
        <v>7</v>
      </c>
      <c r="D13" s="137" t="s">
        <v>7</v>
      </c>
      <c r="E13" s="137" t="s">
        <v>7</v>
      </c>
      <c r="F13" s="137" t="s">
        <v>7</v>
      </c>
      <c r="G13" s="137" t="s">
        <v>7</v>
      </c>
      <c r="H13" s="137" t="s">
        <v>7</v>
      </c>
      <c r="I13" s="137" t="s">
        <v>7</v>
      </c>
      <c r="J13" s="137" t="s">
        <v>7</v>
      </c>
      <c r="K13" s="137" t="s">
        <v>7</v>
      </c>
      <c r="L13" s="137" t="s">
        <v>7</v>
      </c>
      <c r="M13" s="137" t="s">
        <v>7</v>
      </c>
      <c r="N13" s="137" t="s">
        <v>7</v>
      </c>
      <c r="O13" s="137" t="s">
        <v>7</v>
      </c>
      <c r="P13" s="137" t="s">
        <v>7</v>
      </c>
      <c r="Q13" s="137" t="s">
        <v>7</v>
      </c>
      <c r="R13" s="137" t="s">
        <v>7</v>
      </c>
      <c r="S13" s="137" t="s">
        <v>7</v>
      </c>
      <c r="T13" s="137" t="s">
        <v>7</v>
      </c>
      <c r="U13" s="137" t="s">
        <v>7</v>
      </c>
      <c r="V13" s="137" t="s">
        <v>7</v>
      </c>
      <c r="W13" s="137" t="s">
        <v>7</v>
      </c>
      <c r="X13" s="137" t="s">
        <v>7</v>
      </c>
      <c r="Y13" s="137" t="s">
        <v>7</v>
      </c>
      <c r="Z13" s="137" t="s">
        <v>7</v>
      </c>
      <c r="AA13" s="137" t="s">
        <v>7</v>
      </c>
      <c r="AB13" s="137" t="s">
        <v>7</v>
      </c>
      <c r="AC13" s="137" t="s">
        <v>7</v>
      </c>
      <c r="AD13" s="137" t="s">
        <v>7</v>
      </c>
      <c r="AE13" s="137" t="s">
        <v>7</v>
      </c>
      <c r="AF13" s="137" t="s">
        <v>7</v>
      </c>
      <c r="AG13" s="137" t="s">
        <v>7</v>
      </c>
      <c r="AH13"/>
    </row>
    <row r="14" spans="1:34" ht="14.25" customHeight="1">
      <c r="A14" s="34" t="s">
        <v>12</v>
      </c>
      <c r="B14" s="33" t="s">
        <v>107</v>
      </c>
      <c r="C14" s="137" t="s">
        <v>7</v>
      </c>
      <c r="D14" s="137" t="s">
        <v>7</v>
      </c>
      <c r="E14" s="137" t="s">
        <v>7</v>
      </c>
      <c r="F14" s="137" t="s">
        <v>7</v>
      </c>
      <c r="G14" s="137" t="s">
        <v>7</v>
      </c>
      <c r="H14" s="137" t="s">
        <v>7</v>
      </c>
      <c r="I14" s="137" t="s">
        <v>7</v>
      </c>
      <c r="J14" s="137" t="s">
        <v>7</v>
      </c>
      <c r="K14" s="137" t="s">
        <v>7</v>
      </c>
      <c r="L14" s="137" t="s">
        <v>7</v>
      </c>
      <c r="M14" s="137" t="s">
        <v>7</v>
      </c>
      <c r="N14" s="137" t="s">
        <v>7</v>
      </c>
      <c r="O14" s="137" t="s">
        <v>7</v>
      </c>
      <c r="P14" s="137" t="s">
        <v>7</v>
      </c>
      <c r="Q14" s="137" t="s">
        <v>7</v>
      </c>
      <c r="R14" s="137" t="s">
        <v>7</v>
      </c>
      <c r="S14" s="137" t="s">
        <v>7</v>
      </c>
      <c r="T14" s="137" t="s">
        <v>7</v>
      </c>
      <c r="U14" s="137" t="s">
        <v>7</v>
      </c>
      <c r="V14" s="137" t="s">
        <v>7</v>
      </c>
      <c r="W14" s="137" t="s">
        <v>7</v>
      </c>
      <c r="X14" s="137" t="s">
        <v>7</v>
      </c>
      <c r="Y14" s="137" t="s">
        <v>7</v>
      </c>
      <c r="Z14" s="137" t="s">
        <v>7</v>
      </c>
      <c r="AA14" s="137" t="s">
        <v>7</v>
      </c>
      <c r="AB14" s="137" t="s">
        <v>7</v>
      </c>
      <c r="AC14" s="137" t="s">
        <v>7</v>
      </c>
      <c r="AD14" s="137" t="s">
        <v>7</v>
      </c>
      <c r="AE14" s="137" t="s">
        <v>7</v>
      </c>
      <c r="AF14" s="137" t="s">
        <v>7</v>
      </c>
      <c r="AG14" s="137" t="s">
        <v>7</v>
      </c>
      <c r="AH14"/>
    </row>
    <row r="15" spans="1:34" ht="14.25" customHeight="1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/>
    </row>
    <row r="16" spans="1:34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123"/>
      <c r="U16" s="123"/>
      <c r="V16" s="123"/>
      <c r="W16" s="123"/>
      <c r="X16" s="123"/>
      <c r="Y16" s="50"/>
      <c r="Z16" s="50"/>
      <c r="AA16" s="50"/>
      <c r="AB16" s="50"/>
      <c r="AC16" s="50"/>
      <c r="AD16" s="50"/>
      <c r="AH16"/>
    </row>
    <row r="17" spans="1:34" ht="15">
      <c r="A17" s="34" t="s">
        <v>28</v>
      </c>
      <c r="B17" s="33" t="s">
        <v>29</v>
      </c>
      <c r="C17" s="28" t="s">
        <v>7</v>
      </c>
      <c r="D17" s="28" t="s">
        <v>7</v>
      </c>
      <c r="E17" s="28" t="s">
        <v>7</v>
      </c>
      <c r="F17" s="28" t="s">
        <v>7</v>
      </c>
      <c r="G17" s="28" t="s">
        <v>7</v>
      </c>
      <c r="H17" s="28" t="s">
        <v>7</v>
      </c>
      <c r="I17" s="28" t="s">
        <v>7</v>
      </c>
      <c r="J17" s="28" t="s">
        <v>7</v>
      </c>
      <c r="K17" s="28" t="s">
        <v>7</v>
      </c>
      <c r="L17" s="28" t="s">
        <v>7</v>
      </c>
      <c r="M17" s="28" t="s">
        <v>7</v>
      </c>
      <c r="N17" s="28" t="s">
        <v>7</v>
      </c>
      <c r="O17" s="28" t="s">
        <v>7</v>
      </c>
      <c r="P17" s="28" t="s">
        <v>7</v>
      </c>
      <c r="Q17" s="28" t="s">
        <v>7</v>
      </c>
      <c r="R17" s="28" t="s">
        <v>7</v>
      </c>
      <c r="S17" s="28" t="s">
        <v>7</v>
      </c>
      <c r="T17" s="28" t="s">
        <v>7</v>
      </c>
      <c r="U17" s="28" t="s">
        <v>7</v>
      </c>
      <c r="V17" s="28" t="s">
        <v>7</v>
      </c>
      <c r="W17" s="28" t="s">
        <v>7</v>
      </c>
      <c r="X17" s="28" t="s">
        <v>7</v>
      </c>
      <c r="Y17" s="28" t="s">
        <v>7</v>
      </c>
      <c r="Z17" s="28" t="s">
        <v>7</v>
      </c>
      <c r="AA17" s="28" t="s">
        <v>7</v>
      </c>
      <c r="AB17" s="28" t="s">
        <v>7</v>
      </c>
      <c r="AC17" s="28" t="s">
        <v>7</v>
      </c>
      <c r="AD17" s="28" t="s">
        <v>7</v>
      </c>
      <c r="AE17" s="28" t="s">
        <v>7</v>
      </c>
      <c r="AF17" s="28" t="s">
        <v>7</v>
      </c>
      <c r="AG17" s="28" t="s">
        <v>7</v>
      </c>
      <c r="AH17"/>
    </row>
    <row r="18" spans="1:34" ht="15">
      <c r="A18" s="34" t="s">
        <v>28</v>
      </c>
      <c r="B18" s="35" t="s">
        <v>60</v>
      </c>
      <c r="C18" s="28" t="s">
        <v>7</v>
      </c>
      <c r="D18" s="28" t="s">
        <v>7</v>
      </c>
      <c r="E18" s="28" t="s">
        <v>7</v>
      </c>
      <c r="F18" s="28" t="s">
        <v>7</v>
      </c>
      <c r="G18" s="28" t="s">
        <v>7</v>
      </c>
      <c r="H18" s="28" t="s">
        <v>7</v>
      </c>
      <c r="I18" s="28" t="s">
        <v>7</v>
      </c>
      <c r="J18" s="28" t="s">
        <v>7</v>
      </c>
      <c r="K18" s="28" t="s">
        <v>7</v>
      </c>
      <c r="L18" s="28" t="s">
        <v>7</v>
      </c>
      <c r="M18" s="28" t="s">
        <v>7</v>
      </c>
      <c r="N18" s="28" t="s">
        <v>7</v>
      </c>
      <c r="O18" s="28" t="s">
        <v>7</v>
      </c>
      <c r="P18" s="28" t="s">
        <v>7</v>
      </c>
      <c r="Q18" s="28" t="s">
        <v>7</v>
      </c>
      <c r="R18" s="28" t="s">
        <v>7</v>
      </c>
      <c r="S18" s="28" t="s">
        <v>7</v>
      </c>
      <c r="T18" s="28" t="s">
        <v>7</v>
      </c>
      <c r="U18" s="28" t="s">
        <v>7</v>
      </c>
      <c r="V18" s="28" t="s">
        <v>7</v>
      </c>
      <c r="W18" s="28" t="s">
        <v>7</v>
      </c>
      <c r="X18" s="28" t="s">
        <v>7</v>
      </c>
      <c r="Y18" s="28" t="s">
        <v>7</v>
      </c>
      <c r="Z18" s="28" t="s">
        <v>7</v>
      </c>
      <c r="AA18" s="28" t="s">
        <v>7</v>
      </c>
      <c r="AB18" s="28" t="s">
        <v>7</v>
      </c>
      <c r="AC18" s="28" t="s">
        <v>7</v>
      </c>
      <c r="AD18" s="28" t="s">
        <v>7</v>
      </c>
      <c r="AE18" s="28" t="s">
        <v>7</v>
      </c>
      <c r="AF18" s="28" t="s">
        <v>7</v>
      </c>
      <c r="AG18" s="28" t="s">
        <v>7</v>
      </c>
      <c r="AH18"/>
    </row>
    <row r="19" spans="1:34" ht="15">
      <c r="A19" s="34" t="s">
        <v>28</v>
      </c>
      <c r="B19" s="62" t="s">
        <v>13</v>
      </c>
      <c r="C19" s="28" t="s">
        <v>7</v>
      </c>
      <c r="D19" s="28" t="s">
        <v>7</v>
      </c>
      <c r="E19" s="28" t="s">
        <v>7</v>
      </c>
      <c r="F19" s="28" t="s">
        <v>7</v>
      </c>
      <c r="G19" s="28" t="s">
        <v>7</v>
      </c>
      <c r="H19" s="28" t="s">
        <v>7</v>
      </c>
      <c r="I19" s="28" t="s">
        <v>7</v>
      </c>
      <c r="J19" s="28" t="s">
        <v>7</v>
      </c>
      <c r="K19" s="28" t="s">
        <v>7</v>
      </c>
      <c r="L19" s="28" t="s">
        <v>7</v>
      </c>
      <c r="M19" s="28" t="s">
        <v>7</v>
      </c>
      <c r="N19" s="28" t="s">
        <v>7</v>
      </c>
      <c r="O19" s="28" t="s">
        <v>7</v>
      </c>
      <c r="P19" s="28" t="s">
        <v>7</v>
      </c>
      <c r="Q19" s="28" t="s">
        <v>7</v>
      </c>
      <c r="R19" s="28" t="s">
        <v>7</v>
      </c>
      <c r="S19" s="28" t="s">
        <v>7</v>
      </c>
      <c r="T19" s="28" t="s">
        <v>7</v>
      </c>
      <c r="U19" s="28" t="s">
        <v>7</v>
      </c>
      <c r="V19" s="28" t="s">
        <v>7</v>
      </c>
      <c r="W19" s="28" t="s">
        <v>7</v>
      </c>
      <c r="X19" s="28" t="s">
        <v>7</v>
      </c>
      <c r="Y19" s="28" t="s">
        <v>7</v>
      </c>
      <c r="Z19" s="28" t="s">
        <v>7</v>
      </c>
      <c r="AA19" s="28" t="s">
        <v>7</v>
      </c>
      <c r="AB19" s="28" t="s">
        <v>7</v>
      </c>
      <c r="AC19" s="28" t="s">
        <v>7</v>
      </c>
      <c r="AD19" s="28" t="s">
        <v>7</v>
      </c>
      <c r="AE19" s="28" t="s">
        <v>7</v>
      </c>
      <c r="AF19" s="28" t="s">
        <v>7</v>
      </c>
      <c r="AG19" s="28" t="s">
        <v>7</v>
      </c>
      <c r="AH19"/>
    </row>
    <row r="21" spans="1:34">
      <c r="B21" s="111" t="s">
        <v>89</v>
      </c>
      <c r="C21" s="110">
        <f t="shared" ref="C21:AG21" si="0">SUM(C22:C24)</f>
        <v>1</v>
      </c>
      <c r="D21" s="110">
        <f t="shared" si="0"/>
        <v>2</v>
      </c>
      <c r="E21" s="110">
        <f t="shared" si="0"/>
        <v>0</v>
      </c>
      <c r="F21" s="110">
        <f t="shared" si="0"/>
        <v>1</v>
      </c>
      <c r="G21" s="110">
        <f t="shared" si="0"/>
        <v>1</v>
      </c>
      <c r="H21" s="110">
        <f t="shared" si="0"/>
        <v>1</v>
      </c>
      <c r="I21" s="110">
        <f t="shared" si="0"/>
        <v>1</v>
      </c>
      <c r="J21" s="110">
        <f t="shared" si="0"/>
        <v>1</v>
      </c>
      <c r="K21" s="110">
        <f t="shared" si="0"/>
        <v>2</v>
      </c>
      <c r="L21" s="110">
        <f t="shared" si="0"/>
        <v>2</v>
      </c>
      <c r="M21" s="110">
        <f t="shared" si="0"/>
        <v>1</v>
      </c>
      <c r="N21" s="110">
        <f t="shared" si="0"/>
        <v>1</v>
      </c>
      <c r="O21" s="110">
        <f t="shared" si="0"/>
        <v>1</v>
      </c>
      <c r="P21" s="110">
        <f t="shared" si="0"/>
        <v>1</v>
      </c>
      <c r="Q21" s="110">
        <f t="shared" si="0"/>
        <v>1</v>
      </c>
      <c r="R21" s="110">
        <f t="shared" si="0"/>
        <v>2</v>
      </c>
      <c r="S21" s="110">
        <f t="shared" si="0"/>
        <v>2</v>
      </c>
      <c r="T21" s="110">
        <f t="shared" si="0"/>
        <v>1</v>
      </c>
      <c r="U21" s="110">
        <f t="shared" si="0"/>
        <v>1</v>
      </c>
      <c r="V21" s="110">
        <f t="shared" si="0"/>
        <v>1</v>
      </c>
      <c r="W21" s="110">
        <f t="shared" si="0"/>
        <v>1</v>
      </c>
      <c r="X21" s="110">
        <f t="shared" si="0"/>
        <v>1</v>
      </c>
      <c r="Y21" s="110">
        <f t="shared" si="0"/>
        <v>2</v>
      </c>
      <c r="Z21" s="110">
        <f t="shared" si="0"/>
        <v>2</v>
      </c>
      <c r="AA21" s="110">
        <f t="shared" si="0"/>
        <v>1</v>
      </c>
      <c r="AB21" s="110">
        <f t="shared" si="0"/>
        <v>1</v>
      </c>
      <c r="AC21" s="110">
        <f t="shared" si="0"/>
        <v>1</v>
      </c>
      <c r="AD21" s="110">
        <f t="shared" si="0"/>
        <v>1</v>
      </c>
      <c r="AE21" s="110">
        <f t="shared" si="0"/>
        <v>1</v>
      </c>
      <c r="AF21" s="110">
        <f t="shared" si="0"/>
        <v>2</v>
      </c>
      <c r="AG21" s="110">
        <f t="shared" si="0"/>
        <v>2</v>
      </c>
    </row>
    <row r="22" spans="1:34">
      <c r="B22" s="111" t="s">
        <v>90</v>
      </c>
      <c r="C22" s="112">
        <f t="shared" ref="C22:AG22" si="1">COUNTIF(C4:C19,"T")</f>
        <v>1</v>
      </c>
      <c r="D22" s="112">
        <f t="shared" si="1"/>
        <v>0</v>
      </c>
      <c r="E22" s="112">
        <f t="shared" si="1"/>
        <v>0</v>
      </c>
      <c r="F22" s="112">
        <f t="shared" si="1"/>
        <v>1</v>
      </c>
      <c r="G22" s="112">
        <f t="shared" si="1"/>
        <v>1</v>
      </c>
      <c r="H22" s="112">
        <f t="shared" si="1"/>
        <v>1</v>
      </c>
      <c r="I22" s="112">
        <f t="shared" si="1"/>
        <v>1</v>
      </c>
      <c r="J22" s="112">
        <f t="shared" si="1"/>
        <v>1</v>
      </c>
      <c r="K22" s="112">
        <f t="shared" si="1"/>
        <v>0</v>
      </c>
      <c r="L22" s="112">
        <f t="shared" si="1"/>
        <v>0</v>
      </c>
      <c r="M22" s="112">
        <f t="shared" si="1"/>
        <v>1</v>
      </c>
      <c r="N22" s="112">
        <f t="shared" si="1"/>
        <v>1</v>
      </c>
      <c r="O22" s="112">
        <f t="shared" si="1"/>
        <v>1</v>
      </c>
      <c r="P22" s="112">
        <f t="shared" si="1"/>
        <v>1</v>
      </c>
      <c r="Q22" s="112">
        <f t="shared" si="1"/>
        <v>1</v>
      </c>
      <c r="R22" s="112">
        <f t="shared" si="1"/>
        <v>0</v>
      </c>
      <c r="S22" s="112">
        <f t="shared" si="1"/>
        <v>0</v>
      </c>
      <c r="T22" s="112">
        <f t="shared" si="1"/>
        <v>1</v>
      </c>
      <c r="U22" s="112">
        <f t="shared" si="1"/>
        <v>1</v>
      </c>
      <c r="V22" s="112">
        <f t="shared" si="1"/>
        <v>1</v>
      </c>
      <c r="W22" s="112">
        <f t="shared" si="1"/>
        <v>1</v>
      </c>
      <c r="X22" s="112">
        <f t="shared" si="1"/>
        <v>1</v>
      </c>
      <c r="Y22" s="112">
        <f t="shared" si="1"/>
        <v>0</v>
      </c>
      <c r="Z22" s="112">
        <f t="shared" si="1"/>
        <v>0</v>
      </c>
      <c r="AA22" s="112">
        <f t="shared" si="1"/>
        <v>1</v>
      </c>
      <c r="AB22" s="112">
        <f t="shared" si="1"/>
        <v>1</v>
      </c>
      <c r="AC22" s="112">
        <f t="shared" si="1"/>
        <v>1</v>
      </c>
      <c r="AD22" s="112">
        <f t="shared" si="1"/>
        <v>1</v>
      </c>
      <c r="AE22" s="112">
        <f t="shared" si="1"/>
        <v>1</v>
      </c>
      <c r="AF22" s="112">
        <f t="shared" si="1"/>
        <v>0</v>
      </c>
      <c r="AG22" s="112">
        <f t="shared" si="1"/>
        <v>0</v>
      </c>
    </row>
    <row r="23" spans="1:34">
      <c r="B23" s="111" t="s">
        <v>91</v>
      </c>
      <c r="C23" s="112">
        <f t="shared" ref="C23:AG23" si="2">COUNTIF(C4:C19,"N")+COUNTIF(C4:C19,"NF")</f>
        <v>0</v>
      </c>
      <c r="D23" s="112">
        <f t="shared" si="2"/>
        <v>0</v>
      </c>
      <c r="E23" s="112">
        <f t="shared" si="2"/>
        <v>0</v>
      </c>
      <c r="F23" s="112">
        <f t="shared" si="2"/>
        <v>0</v>
      </c>
      <c r="G23" s="112">
        <f t="shared" si="2"/>
        <v>0</v>
      </c>
      <c r="H23" s="112">
        <f t="shared" si="2"/>
        <v>0</v>
      </c>
      <c r="I23" s="112">
        <f t="shared" si="2"/>
        <v>0</v>
      </c>
      <c r="J23" s="112">
        <f t="shared" si="2"/>
        <v>0</v>
      </c>
      <c r="K23" s="112">
        <f t="shared" si="2"/>
        <v>0</v>
      </c>
      <c r="L23" s="112">
        <f t="shared" si="2"/>
        <v>0</v>
      </c>
      <c r="M23" s="112">
        <f t="shared" si="2"/>
        <v>0</v>
      </c>
      <c r="N23" s="112">
        <f t="shared" si="2"/>
        <v>0</v>
      </c>
      <c r="O23" s="112">
        <f t="shared" si="2"/>
        <v>0</v>
      </c>
      <c r="P23" s="112">
        <f t="shared" si="2"/>
        <v>0</v>
      </c>
      <c r="Q23" s="112">
        <f t="shared" si="2"/>
        <v>0</v>
      </c>
      <c r="R23" s="112">
        <f t="shared" si="2"/>
        <v>0</v>
      </c>
      <c r="S23" s="112">
        <f t="shared" si="2"/>
        <v>0</v>
      </c>
      <c r="T23" s="112">
        <f t="shared" si="2"/>
        <v>0</v>
      </c>
      <c r="U23" s="112">
        <f t="shared" si="2"/>
        <v>0</v>
      </c>
      <c r="V23" s="112">
        <f t="shared" si="2"/>
        <v>0</v>
      </c>
      <c r="W23" s="112">
        <f t="shared" si="2"/>
        <v>0</v>
      </c>
      <c r="X23" s="112">
        <f t="shared" si="2"/>
        <v>0</v>
      </c>
      <c r="Y23" s="112">
        <f t="shared" si="2"/>
        <v>0</v>
      </c>
      <c r="Z23" s="112">
        <f t="shared" si="2"/>
        <v>0</v>
      </c>
      <c r="AA23" s="112">
        <f t="shared" si="2"/>
        <v>0</v>
      </c>
      <c r="AB23" s="112">
        <f t="shared" si="2"/>
        <v>0</v>
      </c>
      <c r="AC23" s="112">
        <f t="shared" si="2"/>
        <v>0</v>
      </c>
      <c r="AD23" s="112">
        <f t="shared" si="2"/>
        <v>0</v>
      </c>
      <c r="AE23" s="112">
        <f t="shared" si="2"/>
        <v>0</v>
      </c>
      <c r="AF23" s="112">
        <f t="shared" si="2"/>
        <v>0</v>
      </c>
      <c r="AG23" s="112">
        <f t="shared" si="2"/>
        <v>0</v>
      </c>
    </row>
    <row r="24" spans="1:34">
      <c r="B24" s="111" t="s">
        <v>92</v>
      </c>
      <c r="C24" s="112">
        <f>COUNTIF(C4:C19,"M/F")+COUNTIF(C4:C19,"M1")+COUNTIF(C4:C19,"M3")+COUNTIF(C4:C19,"M3/G")+COUNTIF(C4:C19,"M2")</f>
        <v>0</v>
      </c>
      <c r="D24" s="112">
        <f>COUNTIF(D4:D19,"M/F")+COUNTIF(D4:D19,"M1")+COUNTIF(D4:D19,"M3")+COUNTIF(D4:D19,"M3/G")+COUNTIF(D4:D19,"M2")</f>
        <v>2</v>
      </c>
      <c r="E24" s="112">
        <f>COUNTIF(E4:E19,"M1")+COUNTIF(E4:E19,"NF")</f>
        <v>0</v>
      </c>
      <c r="F24" s="112">
        <f t="shared" ref="F24:AG24" si="3">COUNTIF(F4:F19,"M/F")+COUNTIF(F4:F19,"M1")+COUNTIF(F4:F19,"M3")+COUNTIF(F4:F19,"M3/G")+COUNTIF(F4:F19,"M2")</f>
        <v>0</v>
      </c>
      <c r="G24" s="112">
        <f t="shared" si="3"/>
        <v>0</v>
      </c>
      <c r="H24" s="112">
        <f t="shared" si="3"/>
        <v>0</v>
      </c>
      <c r="I24" s="112">
        <f t="shared" si="3"/>
        <v>0</v>
      </c>
      <c r="J24" s="112">
        <f t="shared" si="3"/>
        <v>0</v>
      </c>
      <c r="K24" s="112">
        <f t="shared" si="3"/>
        <v>2</v>
      </c>
      <c r="L24" s="112">
        <f t="shared" si="3"/>
        <v>2</v>
      </c>
      <c r="M24" s="112">
        <f t="shared" si="3"/>
        <v>0</v>
      </c>
      <c r="N24" s="112">
        <f t="shared" si="3"/>
        <v>0</v>
      </c>
      <c r="O24" s="112">
        <f t="shared" si="3"/>
        <v>0</v>
      </c>
      <c r="P24" s="112">
        <f t="shared" si="3"/>
        <v>0</v>
      </c>
      <c r="Q24" s="112">
        <f t="shared" si="3"/>
        <v>0</v>
      </c>
      <c r="R24" s="112">
        <f t="shared" si="3"/>
        <v>2</v>
      </c>
      <c r="S24" s="112">
        <f t="shared" si="3"/>
        <v>2</v>
      </c>
      <c r="T24" s="112">
        <f t="shared" si="3"/>
        <v>0</v>
      </c>
      <c r="U24" s="112">
        <f t="shared" si="3"/>
        <v>0</v>
      </c>
      <c r="V24" s="112">
        <f t="shared" si="3"/>
        <v>0</v>
      </c>
      <c r="W24" s="112">
        <f t="shared" si="3"/>
        <v>0</v>
      </c>
      <c r="X24" s="112">
        <f t="shared" si="3"/>
        <v>0</v>
      </c>
      <c r="Y24" s="112">
        <f t="shared" si="3"/>
        <v>2</v>
      </c>
      <c r="Z24" s="112">
        <f t="shared" si="3"/>
        <v>2</v>
      </c>
      <c r="AA24" s="112">
        <f t="shared" si="3"/>
        <v>0</v>
      </c>
      <c r="AB24" s="112">
        <f t="shared" si="3"/>
        <v>0</v>
      </c>
      <c r="AC24" s="112">
        <f t="shared" si="3"/>
        <v>0</v>
      </c>
      <c r="AD24" s="112">
        <f t="shared" si="3"/>
        <v>0</v>
      </c>
      <c r="AE24" s="112">
        <f t="shared" si="3"/>
        <v>0</v>
      </c>
      <c r="AF24" s="112">
        <f t="shared" si="3"/>
        <v>2</v>
      </c>
      <c r="AG24" s="112">
        <f t="shared" si="3"/>
        <v>2</v>
      </c>
    </row>
    <row r="26" spans="1:34">
      <c r="B26" t="s">
        <v>65</v>
      </c>
    </row>
    <row r="27" spans="1:34">
      <c r="B27" s="5" t="s">
        <v>66</v>
      </c>
    </row>
    <row r="28" spans="1:34">
      <c r="B28" s="5" t="s">
        <v>67</v>
      </c>
    </row>
    <row r="29" spans="1:34">
      <c r="B29" s="1" t="s">
        <v>68</v>
      </c>
    </row>
    <row r="30" spans="1:34">
      <c r="B30" s="7" t="s">
        <v>69</v>
      </c>
    </row>
    <row r="31" spans="1:34">
      <c r="B31" s="3" t="s">
        <v>70</v>
      </c>
    </row>
    <row r="32" spans="1:34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7" priority="1" operator="equal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1F4E-A2A0-434F-A6D1-93213795F973}">
  <dimension ref="A1:AG37"/>
  <sheetViews>
    <sheetView workbookViewId="0">
      <selection activeCell="C16" sqref="C16:AF18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6"/>
      <c r="C1" s="191" t="s">
        <v>111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</row>
    <row r="2" spans="1:33">
      <c r="A2" s="6"/>
      <c r="B2" s="176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13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15</v>
      </c>
      <c r="I4" s="5" t="s">
        <v>15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28" t="s">
        <v>7</v>
      </c>
      <c r="Q4" s="7" t="s">
        <v>20</v>
      </c>
      <c r="R4" s="7" t="s">
        <v>20</v>
      </c>
      <c r="S4" s="7" t="s">
        <v>20</v>
      </c>
      <c r="T4" s="7" t="s">
        <v>20</v>
      </c>
      <c r="U4" s="7" t="s">
        <v>20</v>
      </c>
      <c r="V4" s="28" t="s">
        <v>7</v>
      </c>
      <c r="W4" s="28" t="s">
        <v>7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5" t="s">
        <v>15</v>
      </c>
      <c r="AD4" s="5" t="s">
        <v>15</v>
      </c>
      <c r="AE4" s="28" t="s">
        <v>7</v>
      </c>
      <c r="AF4" s="28" t="s">
        <v>7</v>
      </c>
      <c r="AG4"/>
    </row>
    <row r="5" spans="1:33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15</v>
      </c>
      <c r="P5" s="5" t="s">
        <v>15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28" t="s">
        <v>7</v>
      </c>
      <c r="X5" s="7" t="s">
        <v>20</v>
      </c>
      <c r="Y5" s="7" t="s">
        <v>20</v>
      </c>
      <c r="Z5" s="7" t="s">
        <v>20</v>
      </c>
      <c r="AA5" s="7" t="s">
        <v>20</v>
      </c>
      <c r="AB5" s="7" t="s">
        <v>20</v>
      </c>
      <c r="AC5" s="28" t="s">
        <v>7</v>
      </c>
      <c r="AD5" s="28" t="s">
        <v>7</v>
      </c>
      <c r="AE5" s="1" t="s">
        <v>14</v>
      </c>
      <c r="AF5" s="1" t="s">
        <v>14</v>
      </c>
      <c r="AG5"/>
    </row>
    <row r="6" spans="1:33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5" t="s">
        <v>15</v>
      </c>
      <c r="I6" s="5" t="s">
        <v>15</v>
      </c>
      <c r="J6" s="28" t="s">
        <v>7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5" t="s">
        <v>15</v>
      </c>
      <c r="W6" s="5" t="s">
        <v>15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28" t="s">
        <v>7</v>
      </c>
      <c r="AE6" s="7" t="s">
        <v>20</v>
      </c>
      <c r="AF6" s="7" t="s">
        <v>20</v>
      </c>
      <c r="AG6"/>
    </row>
    <row r="7" spans="1:33">
      <c r="A7" s="34" t="s">
        <v>12</v>
      </c>
      <c r="B7" s="33" t="s">
        <v>22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5" t="s">
        <v>14</v>
      </c>
      <c r="Y7" s="5" t="s">
        <v>14</v>
      </c>
      <c r="Z7" s="5" t="s">
        <v>14</v>
      </c>
      <c r="AA7" s="5" t="s">
        <v>14</v>
      </c>
      <c r="AB7" s="5" t="s">
        <v>14</v>
      </c>
      <c r="AC7" s="5" t="s">
        <v>15</v>
      </c>
      <c r="AD7" s="5" t="s">
        <v>15</v>
      </c>
      <c r="AE7" s="28" t="s">
        <v>7</v>
      </c>
      <c r="AF7" s="28" t="s">
        <v>7</v>
      </c>
      <c r="AG7"/>
    </row>
    <row r="8" spans="1:33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28" t="s">
        <v>7</v>
      </c>
      <c r="J8" s="7" t="s">
        <v>20</v>
      </c>
      <c r="K8" s="7" t="s">
        <v>20</v>
      </c>
      <c r="L8" s="7" t="s">
        <v>20</v>
      </c>
      <c r="M8" s="7" t="s">
        <v>20</v>
      </c>
      <c r="N8" s="7" t="s">
        <v>20</v>
      </c>
      <c r="O8" s="28" t="s">
        <v>7</v>
      </c>
      <c r="P8" s="28" t="s">
        <v>7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5" t="s">
        <v>15</v>
      </c>
      <c r="W8" s="5" t="s">
        <v>15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5" t="s">
        <v>14</v>
      </c>
      <c r="AF8" s="5" t="s">
        <v>14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122" t="s">
        <v>106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25" t="s">
        <v>7</v>
      </c>
      <c r="I10" s="125" t="s">
        <v>7</v>
      </c>
      <c r="J10" s="125" t="s">
        <v>7</v>
      </c>
      <c r="K10" s="125" t="s">
        <v>7</v>
      </c>
      <c r="L10" s="125" t="s">
        <v>7</v>
      </c>
      <c r="M10" s="125" t="s">
        <v>7</v>
      </c>
      <c r="N10" s="125" t="s">
        <v>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5" t="s">
        <v>7</v>
      </c>
      <c r="W10" s="125" t="s">
        <v>7</v>
      </c>
      <c r="X10" s="125" t="s">
        <v>7</v>
      </c>
      <c r="Y10" s="125" t="s">
        <v>7</v>
      </c>
      <c r="Z10" s="125" t="s">
        <v>7</v>
      </c>
      <c r="AA10" s="125" t="s">
        <v>7</v>
      </c>
      <c r="AB10" s="125" t="s">
        <v>7</v>
      </c>
      <c r="AC10" s="125" t="s">
        <v>7</v>
      </c>
      <c r="AD10" s="125" t="s">
        <v>7</v>
      </c>
      <c r="AE10" s="125" t="s">
        <v>7</v>
      </c>
      <c r="AF10" s="125" t="s">
        <v>7</v>
      </c>
      <c r="AG10"/>
    </row>
    <row r="11" spans="1:33">
      <c r="A11" s="34" t="s">
        <v>12</v>
      </c>
      <c r="B11" s="33" t="s">
        <v>52</v>
      </c>
      <c r="C11" s="125" t="s">
        <v>7</v>
      </c>
      <c r="D11" s="125" t="s">
        <v>7</v>
      </c>
      <c r="E11" s="125" t="s">
        <v>7</v>
      </c>
      <c r="F11" s="125" t="s">
        <v>7</v>
      </c>
      <c r="G11" s="125" t="s">
        <v>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25" t="s">
        <v>7</v>
      </c>
      <c r="P11" s="125" t="s">
        <v>7</v>
      </c>
      <c r="Q11" s="125" t="s">
        <v>7</v>
      </c>
      <c r="R11" s="125" t="s">
        <v>7</v>
      </c>
      <c r="S11" s="125" t="s">
        <v>7</v>
      </c>
      <c r="T11" s="125" t="s">
        <v>7</v>
      </c>
      <c r="U11" s="125" t="s">
        <v>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5" t="s">
        <v>7</v>
      </c>
      <c r="AD11" s="125" t="s">
        <v>7</v>
      </c>
      <c r="AE11" s="125" t="s">
        <v>7</v>
      </c>
      <c r="AF11" s="125" t="s">
        <v>7</v>
      </c>
      <c r="AG11"/>
    </row>
    <row r="12" spans="1:33">
      <c r="A12" s="34" t="s">
        <v>12</v>
      </c>
      <c r="B12" s="33" t="s">
        <v>24</v>
      </c>
      <c r="C12" s="125" t="s">
        <v>7</v>
      </c>
      <c r="D12" s="125" t="s">
        <v>7</v>
      </c>
      <c r="E12" s="125" t="s">
        <v>7</v>
      </c>
      <c r="F12" s="125" t="s">
        <v>7</v>
      </c>
      <c r="G12" s="125" t="s">
        <v>7</v>
      </c>
      <c r="H12" s="125" t="s">
        <v>7</v>
      </c>
      <c r="I12" s="125" t="s">
        <v>7</v>
      </c>
      <c r="J12" s="125" t="s">
        <v>7</v>
      </c>
      <c r="K12" s="125" t="s">
        <v>7</v>
      </c>
      <c r="L12" s="125" t="s">
        <v>7</v>
      </c>
      <c r="M12" s="125" t="s">
        <v>7</v>
      </c>
      <c r="N12" s="125" t="s">
        <v>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25" t="s">
        <v>7</v>
      </c>
      <c r="W12" s="125" t="s">
        <v>7</v>
      </c>
      <c r="X12" s="125" t="s">
        <v>7</v>
      </c>
      <c r="Y12" s="125" t="s">
        <v>7</v>
      </c>
      <c r="Z12" s="125" t="s">
        <v>7</v>
      </c>
      <c r="AA12" s="125" t="s">
        <v>7</v>
      </c>
      <c r="AB12" s="125" t="s">
        <v>7</v>
      </c>
      <c r="AC12" s="125" t="s">
        <v>7</v>
      </c>
      <c r="AD12" s="125" t="s">
        <v>7</v>
      </c>
      <c r="AE12" s="125" t="s">
        <v>7</v>
      </c>
      <c r="AF12" s="125" t="s">
        <v>7</v>
      </c>
      <c r="AG12"/>
    </row>
    <row r="13" spans="1:33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5" t="s">
        <v>7</v>
      </c>
      <c r="I13" s="125" t="s">
        <v>7</v>
      </c>
      <c r="J13" s="125" t="s">
        <v>7</v>
      </c>
      <c r="K13" s="125" t="s">
        <v>7</v>
      </c>
      <c r="L13" s="125" t="s">
        <v>7</v>
      </c>
      <c r="M13" s="125" t="s">
        <v>7</v>
      </c>
      <c r="N13" s="125" t="s">
        <v>7</v>
      </c>
      <c r="O13" s="125" t="s">
        <v>7</v>
      </c>
      <c r="P13" s="125" t="s">
        <v>7</v>
      </c>
      <c r="Q13" s="125" t="s">
        <v>7</v>
      </c>
      <c r="R13" s="125" t="s">
        <v>7</v>
      </c>
      <c r="S13" s="125" t="s">
        <v>7</v>
      </c>
      <c r="T13" s="125" t="s">
        <v>7</v>
      </c>
      <c r="U13" s="125" t="s">
        <v>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25" t="s">
        <v>7</v>
      </c>
      <c r="AD13" s="125" t="s">
        <v>7</v>
      </c>
      <c r="AE13" s="125" t="s">
        <v>7</v>
      </c>
      <c r="AF13" s="125" t="s">
        <v>7</v>
      </c>
      <c r="AG13"/>
    </row>
    <row r="14" spans="1:33">
      <c r="A14" s="34" t="s">
        <v>12</v>
      </c>
      <c r="B14" s="33" t="s">
        <v>53</v>
      </c>
      <c r="C14" s="125" t="s">
        <v>7</v>
      </c>
      <c r="D14" s="125" t="s">
        <v>7</v>
      </c>
      <c r="E14" s="125" t="s">
        <v>7</v>
      </c>
      <c r="F14" s="125" t="s">
        <v>7</v>
      </c>
      <c r="G14" s="125" t="s">
        <v>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5" t="s">
        <v>7</v>
      </c>
      <c r="P14" s="125" t="s">
        <v>7</v>
      </c>
      <c r="Q14" s="125" t="s">
        <v>7</v>
      </c>
      <c r="R14" s="125" t="s">
        <v>7</v>
      </c>
      <c r="S14" s="125" t="s">
        <v>7</v>
      </c>
      <c r="T14" s="125" t="s">
        <v>7</v>
      </c>
      <c r="U14" s="125" t="s">
        <v>7</v>
      </c>
      <c r="V14" s="125" t="s">
        <v>7</v>
      </c>
      <c r="W14" s="125" t="s">
        <v>7</v>
      </c>
      <c r="X14" s="125" t="s">
        <v>7</v>
      </c>
      <c r="Y14" s="125" t="s">
        <v>7</v>
      </c>
      <c r="Z14" s="125" t="s">
        <v>7</v>
      </c>
      <c r="AA14" s="125" t="s">
        <v>7</v>
      </c>
      <c r="AB14" s="125" t="s">
        <v>7</v>
      </c>
      <c r="AC14" s="125" t="s">
        <v>7</v>
      </c>
      <c r="AD14" s="125" t="s">
        <v>7</v>
      </c>
      <c r="AE14" s="125" t="s">
        <v>7</v>
      </c>
      <c r="AF14" s="125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ht="15">
      <c r="A16" s="34" t="s">
        <v>28</v>
      </c>
      <c r="B16" s="33" t="s">
        <v>29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28" t="s">
        <v>7</v>
      </c>
      <c r="K16" s="28" t="s">
        <v>7</v>
      </c>
      <c r="L16" s="28" t="s">
        <v>7</v>
      </c>
      <c r="M16" s="28" t="s">
        <v>7</v>
      </c>
      <c r="N16" s="28" t="s">
        <v>7</v>
      </c>
      <c r="O16" s="28" t="s">
        <v>7</v>
      </c>
      <c r="P16" s="28" t="s">
        <v>7</v>
      </c>
      <c r="Q16" s="28" t="s">
        <v>7</v>
      </c>
      <c r="R16" s="28" t="s">
        <v>7</v>
      </c>
      <c r="S16" s="28" t="s">
        <v>7</v>
      </c>
      <c r="T16" s="28" t="s">
        <v>7</v>
      </c>
      <c r="U16" s="28" t="s">
        <v>7</v>
      </c>
      <c r="V16" s="28" t="s">
        <v>7</v>
      </c>
      <c r="W16" s="28" t="s">
        <v>7</v>
      </c>
      <c r="X16" s="28" t="s">
        <v>7</v>
      </c>
      <c r="Y16" s="28" t="s">
        <v>7</v>
      </c>
      <c r="Z16" s="28" t="s">
        <v>7</v>
      </c>
      <c r="AA16" s="28" t="s">
        <v>7</v>
      </c>
      <c r="AB16" s="28" t="s">
        <v>7</v>
      </c>
      <c r="AC16" s="28" t="s">
        <v>7</v>
      </c>
      <c r="AD16" s="28" t="s">
        <v>7</v>
      </c>
      <c r="AE16" s="28" t="s">
        <v>7</v>
      </c>
      <c r="AF16" s="28" t="s">
        <v>7</v>
      </c>
      <c r="AG16"/>
    </row>
    <row r="17" spans="1:33" ht="15">
      <c r="A17" s="34" t="s">
        <v>28</v>
      </c>
      <c r="B17" s="35" t="s">
        <v>60</v>
      </c>
      <c r="C17" s="28" t="s">
        <v>7</v>
      </c>
      <c r="D17" s="28" t="s">
        <v>7</v>
      </c>
      <c r="E17" s="28" t="s">
        <v>7</v>
      </c>
      <c r="F17" s="28" t="s">
        <v>7</v>
      </c>
      <c r="G17" s="28" t="s">
        <v>7</v>
      </c>
      <c r="H17" s="28" t="s">
        <v>7</v>
      </c>
      <c r="I17" s="28" t="s">
        <v>7</v>
      </c>
      <c r="J17" s="28" t="s">
        <v>7</v>
      </c>
      <c r="K17" s="28" t="s">
        <v>7</v>
      </c>
      <c r="L17" s="28" t="s">
        <v>7</v>
      </c>
      <c r="M17" s="28" t="s">
        <v>7</v>
      </c>
      <c r="N17" s="28" t="s">
        <v>7</v>
      </c>
      <c r="O17" s="28" t="s">
        <v>7</v>
      </c>
      <c r="P17" s="28" t="s">
        <v>7</v>
      </c>
      <c r="Q17" s="28" t="s">
        <v>7</v>
      </c>
      <c r="R17" s="28" t="s">
        <v>7</v>
      </c>
      <c r="S17" s="28" t="s">
        <v>7</v>
      </c>
      <c r="T17" s="28" t="s">
        <v>7</v>
      </c>
      <c r="U17" s="28" t="s">
        <v>7</v>
      </c>
      <c r="V17" s="28" t="s">
        <v>7</v>
      </c>
      <c r="W17" s="28" t="s">
        <v>7</v>
      </c>
      <c r="X17" s="28" t="s">
        <v>7</v>
      </c>
      <c r="Y17" s="28" t="s">
        <v>7</v>
      </c>
      <c r="Z17" s="28" t="s">
        <v>7</v>
      </c>
      <c r="AA17" s="28" t="s">
        <v>7</v>
      </c>
      <c r="AB17" s="28" t="s">
        <v>7</v>
      </c>
      <c r="AC17" s="28" t="s">
        <v>7</v>
      </c>
      <c r="AD17" s="28" t="s">
        <v>7</v>
      </c>
      <c r="AE17" s="28" t="s">
        <v>7</v>
      </c>
      <c r="AF17" s="28" t="s">
        <v>7</v>
      </c>
      <c r="AG17"/>
    </row>
    <row r="18" spans="1:33" ht="15">
      <c r="A18" s="34" t="s">
        <v>28</v>
      </c>
      <c r="B18" s="35" t="s">
        <v>34</v>
      </c>
      <c r="C18" s="28" t="s">
        <v>7</v>
      </c>
      <c r="D18" s="28" t="s">
        <v>7</v>
      </c>
      <c r="E18" s="28" t="s">
        <v>7</v>
      </c>
      <c r="F18" s="28" t="s">
        <v>7</v>
      </c>
      <c r="G18" s="28" t="s">
        <v>7</v>
      </c>
      <c r="H18" s="28" t="s">
        <v>7</v>
      </c>
      <c r="I18" s="28" t="s">
        <v>7</v>
      </c>
      <c r="J18" s="28" t="s">
        <v>7</v>
      </c>
      <c r="K18" s="28" t="s">
        <v>7</v>
      </c>
      <c r="L18" s="28" t="s">
        <v>7</v>
      </c>
      <c r="M18" s="28" t="s">
        <v>7</v>
      </c>
      <c r="N18" s="28" t="s">
        <v>7</v>
      </c>
      <c r="O18" s="28" t="s">
        <v>7</v>
      </c>
      <c r="P18" s="28" t="s">
        <v>7</v>
      </c>
      <c r="Q18" s="28" t="s">
        <v>7</v>
      </c>
      <c r="R18" s="28" t="s">
        <v>7</v>
      </c>
      <c r="S18" s="28" t="s">
        <v>7</v>
      </c>
      <c r="T18" s="28" t="s">
        <v>7</v>
      </c>
      <c r="U18" s="28" t="s">
        <v>7</v>
      </c>
      <c r="V18" s="28" t="s">
        <v>7</v>
      </c>
      <c r="W18" s="28" t="s">
        <v>7</v>
      </c>
      <c r="X18" s="28" t="s">
        <v>7</v>
      </c>
      <c r="Y18" s="28" t="s">
        <v>7</v>
      </c>
      <c r="Z18" s="28" t="s">
        <v>7</v>
      </c>
      <c r="AA18" s="28" t="s">
        <v>7</v>
      </c>
      <c r="AB18" s="28" t="s">
        <v>7</v>
      </c>
      <c r="AC18" s="28" t="s">
        <v>7</v>
      </c>
      <c r="AD18" s="28" t="s">
        <v>7</v>
      </c>
      <c r="AE18" s="28" t="s">
        <v>7</v>
      </c>
      <c r="AF18" s="28" t="s">
        <v>7</v>
      </c>
      <c r="AG18"/>
    </row>
    <row r="19" spans="1:33">
      <c r="H19" t="s">
        <v>112</v>
      </c>
      <c r="AG19"/>
    </row>
    <row r="20" spans="1:33">
      <c r="B20" s="111" t="s">
        <v>89</v>
      </c>
      <c r="C20" s="110">
        <f t="shared" ref="C20:AF20" si="0">SUM(C21:C23)</f>
        <v>1</v>
      </c>
      <c r="D20" s="110">
        <f t="shared" si="0"/>
        <v>1</v>
      </c>
      <c r="E20" s="110">
        <f t="shared" si="0"/>
        <v>1</v>
      </c>
      <c r="F20" s="110">
        <f t="shared" si="0"/>
        <v>1</v>
      </c>
      <c r="G20" s="110">
        <f t="shared" si="0"/>
        <v>1</v>
      </c>
      <c r="H20" s="110">
        <f t="shared" si="0"/>
        <v>2</v>
      </c>
      <c r="I20" s="110">
        <f t="shared" si="0"/>
        <v>2</v>
      </c>
      <c r="J20" s="110">
        <f t="shared" si="0"/>
        <v>1</v>
      </c>
      <c r="K20" s="110">
        <f t="shared" si="0"/>
        <v>1</v>
      </c>
      <c r="L20" s="110">
        <f t="shared" si="0"/>
        <v>1</v>
      </c>
      <c r="M20" s="110">
        <f t="shared" si="0"/>
        <v>1</v>
      </c>
      <c r="N20" s="110">
        <f t="shared" si="0"/>
        <v>1</v>
      </c>
      <c r="O20" s="110">
        <f t="shared" si="0"/>
        <v>2</v>
      </c>
      <c r="P20" s="110">
        <f t="shared" si="0"/>
        <v>2</v>
      </c>
      <c r="Q20" s="110">
        <f t="shared" si="0"/>
        <v>1</v>
      </c>
      <c r="R20" s="110">
        <f t="shared" si="0"/>
        <v>1</v>
      </c>
      <c r="S20" s="110">
        <f t="shared" si="0"/>
        <v>1</v>
      </c>
      <c r="T20" s="110">
        <f t="shared" si="0"/>
        <v>1</v>
      </c>
      <c r="U20" s="110">
        <f t="shared" si="0"/>
        <v>1</v>
      </c>
      <c r="V20" s="110">
        <f t="shared" si="0"/>
        <v>2</v>
      </c>
      <c r="W20" s="110">
        <f t="shared" si="0"/>
        <v>2</v>
      </c>
      <c r="X20" s="110">
        <f t="shared" si="0"/>
        <v>1</v>
      </c>
      <c r="Y20" s="110">
        <f t="shared" si="0"/>
        <v>1</v>
      </c>
      <c r="Z20" s="110">
        <f t="shared" si="0"/>
        <v>1</v>
      </c>
      <c r="AA20" s="110">
        <f t="shared" si="0"/>
        <v>1</v>
      </c>
      <c r="AB20" s="110">
        <f t="shared" si="0"/>
        <v>1</v>
      </c>
      <c r="AC20" s="110">
        <f t="shared" si="0"/>
        <v>2</v>
      </c>
      <c r="AD20" s="110">
        <f t="shared" si="0"/>
        <v>2</v>
      </c>
      <c r="AE20" s="110">
        <f t="shared" si="0"/>
        <v>1</v>
      </c>
      <c r="AF20" s="110">
        <f t="shared" si="0"/>
        <v>1</v>
      </c>
    </row>
    <row r="21" spans="1:33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0</v>
      </c>
      <c r="I21" s="112">
        <f t="shared" si="1"/>
        <v>0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0</v>
      </c>
      <c r="P21" s="112">
        <f t="shared" si="1"/>
        <v>0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0</v>
      </c>
      <c r="W21" s="112">
        <f t="shared" si="1"/>
        <v>0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0</v>
      </c>
      <c r="AD21" s="112">
        <f t="shared" si="1"/>
        <v>0</v>
      </c>
      <c r="AE21" s="112">
        <f t="shared" si="1"/>
        <v>1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0</v>
      </c>
      <c r="D23" s="112">
        <f>COUNTIF(D4:D18,"M/F")+COUNTIF(D4:D18,"M1")+COUNTIF(D4:D18,"M3")+COUNTIF(D4:D18,"M3/G")+COUNTIF(D4:D18,"M2")</f>
        <v>0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0</v>
      </c>
      <c r="G23" s="112">
        <f t="shared" si="3"/>
        <v>0</v>
      </c>
      <c r="H23" s="112">
        <f t="shared" si="3"/>
        <v>2</v>
      </c>
      <c r="I23" s="112">
        <f t="shared" si="3"/>
        <v>2</v>
      </c>
      <c r="J23" s="112">
        <f t="shared" si="3"/>
        <v>0</v>
      </c>
      <c r="K23" s="112">
        <f t="shared" si="3"/>
        <v>0</v>
      </c>
      <c r="L23" s="112">
        <f t="shared" si="3"/>
        <v>0</v>
      </c>
      <c r="M23" s="112">
        <f t="shared" si="3"/>
        <v>0</v>
      </c>
      <c r="N23" s="112">
        <f t="shared" si="3"/>
        <v>0</v>
      </c>
      <c r="O23" s="112">
        <f t="shared" si="3"/>
        <v>2</v>
      </c>
      <c r="P23" s="112">
        <f t="shared" si="3"/>
        <v>2</v>
      </c>
      <c r="Q23" s="112">
        <f t="shared" si="3"/>
        <v>0</v>
      </c>
      <c r="R23" s="112">
        <f t="shared" si="3"/>
        <v>0</v>
      </c>
      <c r="S23" s="112">
        <f t="shared" si="3"/>
        <v>0</v>
      </c>
      <c r="T23" s="112">
        <f t="shared" si="3"/>
        <v>0</v>
      </c>
      <c r="U23" s="112">
        <f t="shared" si="3"/>
        <v>0</v>
      </c>
      <c r="V23" s="112">
        <f t="shared" si="3"/>
        <v>2</v>
      </c>
      <c r="W23" s="112">
        <f t="shared" si="3"/>
        <v>2</v>
      </c>
      <c r="X23" s="112">
        <f t="shared" si="3"/>
        <v>0</v>
      </c>
      <c r="Y23" s="112">
        <f t="shared" si="3"/>
        <v>0</v>
      </c>
      <c r="Z23" s="112">
        <f t="shared" si="3"/>
        <v>0</v>
      </c>
      <c r="AA23" s="112">
        <f t="shared" si="3"/>
        <v>0</v>
      </c>
      <c r="AB23" s="112">
        <f t="shared" si="3"/>
        <v>0</v>
      </c>
      <c r="AC23" s="112">
        <f t="shared" si="3"/>
        <v>2</v>
      </c>
      <c r="AD23" s="112">
        <f t="shared" si="3"/>
        <v>2</v>
      </c>
      <c r="AE23" s="112">
        <f t="shared" si="3"/>
        <v>0</v>
      </c>
      <c r="AF23" s="112">
        <f t="shared" si="3"/>
        <v>0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6" priority="1" operator="equal">
      <formula>1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37"/>
  <sheetViews>
    <sheetView workbookViewId="0">
      <selection activeCell="M6" sqref="M6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6" ht="24" customHeight="1">
      <c r="A1" s="6"/>
      <c r="B1" s="176"/>
      <c r="C1" s="191" t="s">
        <v>113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6">
      <c r="A2" s="6"/>
      <c r="B2" s="176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/>
    </row>
    <row r="5" spans="1:36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28" t="s">
        <v>7</v>
      </c>
      <c r="N7" s="28" t="s">
        <v>7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5" t="s">
        <v>14</v>
      </c>
      <c r="AD7" s="5" t="s">
        <v>14</v>
      </c>
      <c r="AE7" s="5" t="s">
        <v>14</v>
      </c>
      <c r="AF7" s="5" t="s">
        <v>14</v>
      </c>
      <c r="AG7" s="5" t="s">
        <v>14</v>
      </c>
      <c r="AH7"/>
    </row>
    <row r="8" spans="1:36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15</v>
      </c>
      <c r="G8" s="5" t="s">
        <v>15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28" t="s">
        <v>7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28" t="s">
        <v>7</v>
      </c>
      <c r="U8" s="28" t="s">
        <v>7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6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6">
      <c r="A10" s="34" t="s">
        <v>12</v>
      </c>
      <c r="B10" s="33" t="s">
        <v>23</v>
      </c>
      <c r="C10" s="125" t="s">
        <v>7</v>
      </c>
      <c r="D10" s="125" t="s">
        <v>7</v>
      </c>
      <c r="E10" s="125" t="s">
        <v>7</v>
      </c>
      <c r="F10" s="125" t="s">
        <v>7</v>
      </c>
      <c r="G10" s="125" t="s">
        <v>7</v>
      </c>
      <c r="H10" s="125" t="s">
        <v>7</v>
      </c>
      <c r="I10" s="125" t="s">
        <v>7</v>
      </c>
      <c r="J10" s="125" t="s">
        <v>7</v>
      </c>
      <c r="K10" s="125" t="s">
        <v>7</v>
      </c>
      <c r="L10" s="125" t="s">
        <v>7</v>
      </c>
      <c r="M10" s="125" t="s">
        <v>7</v>
      </c>
      <c r="N10" s="125" t="s">
        <v>7</v>
      </c>
      <c r="O10" s="125" t="s">
        <v>7</v>
      </c>
      <c r="P10" s="125" t="s">
        <v>7</v>
      </c>
      <c r="Q10" s="125" t="s">
        <v>7</v>
      </c>
      <c r="R10" s="125" t="s">
        <v>7</v>
      </c>
      <c r="S10" s="125" t="s">
        <v>7</v>
      </c>
      <c r="T10" s="125" t="s">
        <v>7</v>
      </c>
      <c r="U10" s="125" t="s">
        <v>7</v>
      </c>
      <c r="V10" s="125" t="s">
        <v>7</v>
      </c>
      <c r="W10" s="125" t="s">
        <v>7</v>
      </c>
      <c r="X10" s="125" t="s">
        <v>7</v>
      </c>
      <c r="Y10" s="125" t="s">
        <v>7</v>
      </c>
      <c r="Z10" s="125" t="s">
        <v>7</v>
      </c>
      <c r="AA10" s="125" t="s">
        <v>7</v>
      </c>
      <c r="AB10" s="125" t="s">
        <v>7</v>
      </c>
      <c r="AC10" s="125" t="s">
        <v>7</v>
      </c>
      <c r="AD10" s="125" t="s">
        <v>7</v>
      </c>
      <c r="AE10" s="125" t="s">
        <v>7</v>
      </c>
      <c r="AF10" s="125" t="s">
        <v>7</v>
      </c>
      <c r="AG10" s="125" t="s">
        <v>7</v>
      </c>
      <c r="AH10"/>
    </row>
    <row r="11" spans="1:36">
      <c r="A11" s="34" t="s">
        <v>12</v>
      </c>
      <c r="B11" s="33" t="s">
        <v>52</v>
      </c>
      <c r="C11" s="125" t="s">
        <v>7</v>
      </c>
      <c r="D11" s="125" t="s">
        <v>7</v>
      </c>
      <c r="E11" s="125" t="s">
        <v>7</v>
      </c>
      <c r="F11" s="125" t="s">
        <v>7</v>
      </c>
      <c r="G11" s="125" t="s">
        <v>7</v>
      </c>
      <c r="H11" s="125" t="s">
        <v>7</v>
      </c>
      <c r="I11" s="125" t="s">
        <v>7</v>
      </c>
      <c r="J11" s="125" t="s">
        <v>7</v>
      </c>
      <c r="K11" s="125" t="s">
        <v>7</v>
      </c>
      <c r="L11" s="125" t="s">
        <v>7</v>
      </c>
      <c r="M11" s="125" t="s">
        <v>7</v>
      </c>
      <c r="N11" s="125" t="s">
        <v>7</v>
      </c>
      <c r="O11" s="125" t="s">
        <v>7</v>
      </c>
      <c r="P11" s="125" t="s">
        <v>7</v>
      </c>
      <c r="Q11" s="125" t="s">
        <v>7</v>
      </c>
      <c r="R11" s="125" t="s">
        <v>7</v>
      </c>
      <c r="S11" s="125" t="s">
        <v>7</v>
      </c>
      <c r="T11" s="125" t="s">
        <v>7</v>
      </c>
      <c r="U11" s="125" t="s">
        <v>7</v>
      </c>
      <c r="V11" s="125" t="s">
        <v>7</v>
      </c>
      <c r="W11" s="125" t="s">
        <v>7</v>
      </c>
      <c r="X11" s="125" t="s">
        <v>7</v>
      </c>
      <c r="Y11" s="125" t="s">
        <v>7</v>
      </c>
      <c r="Z11" s="125" t="s">
        <v>7</v>
      </c>
      <c r="AA11" s="125" t="s">
        <v>7</v>
      </c>
      <c r="AB11" s="125" t="s">
        <v>7</v>
      </c>
      <c r="AC11" s="125" t="s">
        <v>7</v>
      </c>
      <c r="AD11" s="125" t="s">
        <v>7</v>
      </c>
      <c r="AE11" s="125" t="s">
        <v>7</v>
      </c>
      <c r="AF11" s="125" t="s">
        <v>7</v>
      </c>
      <c r="AG11" s="125" t="s">
        <v>7</v>
      </c>
      <c r="AH11"/>
    </row>
    <row r="12" spans="1:36">
      <c r="A12" s="34" t="s">
        <v>12</v>
      </c>
      <c r="B12" s="33" t="s">
        <v>24</v>
      </c>
      <c r="C12" s="125" t="s">
        <v>7</v>
      </c>
      <c r="D12" s="125" t="s">
        <v>7</v>
      </c>
      <c r="E12" s="125" t="s">
        <v>7</v>
      </c>
      <c r="F12" s="125" t="s">
        <v>7</v>
      </c>
      <c r="G12" s="125" t="s">
        <v>7</v>
      </c>
      <c r="H12" s="125" t="s">
        <v>7</v>
      </c>
      <c r="I12" s="125" t="s">
        <v>7</v>
      </c>
      <c r="J12" s="125" t="s">
        <v>7</v>
      </c>
      <c r="K12" s="125" t="s">
        <v>7</v>
      </c>
      <c r="L12" s="125" t="s">
        <v>7</v>
      </c>
      <c r="M12" s="125" t="s">
        <v>7</v>
      </c>
      <c r="N12" s="125" t="s">
        <v>7</v>
      </c>
      <c r="O12" s="125" t="s">
        <v>7</v>
      </c>
      <c r="P12" s="125" t="s">
        <v>7</v>
      </c>
      <c r="Q12" s="125" t="s">
        <v>7</v>
      </c>
      <c r="R12" s="125" t="s">
        <v>7</v>
      </c>
      <c r="S12" s="125" t="s">
        <v>7</v>
      </c>
      <c r="T12" s="125" t="s">
        <v>7</v>
      </c>
      <c r="U12" s="125" t="s">
        <v>7</v>
      </c>
      <c r="V12" s="125" t="s">
        <v>7</v>
      </c>
      <c r="W12" s="125" t="s">
        <v>7</v>
      </c>
      <c r="X12" s="125" t="s">
        <v>7</v>
      </c>
      <c r="Y12" s="125" t="s">
        <v>7</v>
      </c>
      <c r="Z12" s="125" t="s">
        <v>7</v>
      </c>
      <c r="AA12" s="125" t="s">
        <v>7</v>
      </c>
      <c r="AB12" s="125" t="s">
        <v>7</v>
      </c>
      <c r="AC12" s="125" t="s">
        <v>7</v>
      </c>
      <c r="AD12" s="125" t="s">
        <v>7</v>
      </c>
      <c r="AE12" s="125" t="s">
        <v>7</v>
      </c>
      <c r="AF12" s="125" t="s">
        <v>7</v>
      </c>
      <c r="AG12" s="125" t="s">
        <v>7</v>
      </c>
      <c r="AH12"/>
    </row>
    <row r="13" spans="1:36">
      <c r="A13" s="34" t="s">
        <v>12</v>
      </c>
      <c r="B13" s="33" t="s">
        <v>84</v>
      </c>
      <c r="C13" s="125" t="s">
        <v>7</v>
      </c>
      <c r="D13" s="125" t="s">
        <v>7</v>
      </c>
      <c r="E13" s="125" t="s">
        <v>7</v>
      </c>
      <c r="F13" s="125" t="s">
        <v>7</v>
      </c>
      <c r="G13" s="125" t="s">
        <v>7</v>
      </c>
      <c r="H13" s="125" t="s">
        <v>7</v>
      </c>
      <c r="I13" s="125" t="s">
        <v>7</v>
      </c>
      <c r="J13" s="125" t="s">
        <v>7</v>
      </c>
      <c r="K13" s="125" t="s">
        <v>7</v>
      </c>
      <c r="L13" s="125" t="s">
        <v>7</v>
      </c>
      <c r="M13" s="125" t="s">
        <v>7</v>
      </c>
      <c r="N13" s="125" t="s">
        <v>7</v>
      </c>
      <c r="O13" s="125" t="s">
        <v>7</v>
      </c>
      <c r="P13" s="125" t="s">
        <v>7</v>
      </c>
      <c r="Q13" s="125" t="s">
        <v>7</v>
      </c>
      <c r="R13" s="125" t="s">
        <v>7</v>
      </c>
      <c r="S13" s="125" t="s">
        <v>7</v>
      </c>
      <c r="T13" s="125" t="s">
        <v>7</v>
      </c>
      <c r="U13" s="125" t="s">
        <v>7</v>
      </c>
      <c r="V13" s="125" t="s">
        <v>7</v>
      </c>
      <c r="W13" s="125" t="s">
        <v>7</v>
      </c>
      <c r="X13" s="125" t="s">
        <v>7</v>
      </c>
      <c r="Y13" s="125" t="s">
        <v>7</v>
      </c>
      <c r="Z13" s="125" t="s">
        <v>7</v>
      </c>
      <c r="AA13" s="125" t="s">
        <v>7</v>
      </c>
      <c r="AB13" s="125" t="s">
        <v>7</v>
      </c>
      <c r="AC13" s="125" t="s">
        <v>7</v>
      </c>
      <c r="AD13" s="125" t="s">
        <v>7</v>
      </c>
      <c r="AE13" s="125" t="s">
        <v>7</v>
      </c>
      <c r="AF13" s="125" t="s">
        <v>7</v>
      </c>
      <c r="AG13" s="125" t="s">
        <v>7</v>
      </c>
      <c r="AH13"/>
    </row>
    <row r="14" spans="1:36">
      <c r="A14" s="34" t="s">
        <v>12</v>
      </c>
      <c r="B14" s="33" t="s">
        <v>53</v>
      </c>
      <c r="C14" s="125" t="s">
        <v>7</v>
      </c>
      <c r="D14" s="125" t="s">
        <v>7</v>
      </c>
      <c r="E14" s="125" t="s">
        <v>7</v>
      </c>
      <c r="F14" s="125" t="s">
        <v>7</v>
      </c>
      <c r="G14" s="125" t="s">
        <v>7</v>
      </c>
      <c r="H14" s="125" t="s">
        <v>7</v>
      </c>
      <c r="I14" s="125" t="s">
        <v>7</v>
      </c>
      <c r="J14" s="125" t="s">
        <v>7</v>
      </c>
      <c r="K14" s="125" t="s">
        <v>7</v>
      </c>
      <c r="L14" s="125" t="s">
        <v>7</v>
      </c>
      <c r="M14" s="125" t="s">
        <v>7</v>
      </c>
      <c r="N14" s="125" t="s">
        <v>7</v>
      </c>
      <c r="O14" s="125" t="s">
        <v>7</v>
      </c>
      <c r="P14" s="125" t="s">
        <v>7</v>
      </c>
      <c r="Q14" s="125" t="s">
        <v>7</v>
      </c>
      <c r="R14" s="125" t="s">
        <v>7</v>
      </c>
      <c r="S14" s="125" t="s">
        <v>7</v>
      </c>
      <c r="T14" s="125" t="s">
        <v>7</v>
      </c>
      <c r="U14" s="125" t="s">
        <v>7</v>
      </c>
      <c r="V14" s="125" t="s">
        <v>7</v>
      </c>
      <c r="W14" s="125" t="s">
        <v>7</v>
      </c>
      <c r="X14" s="125" t="s">
        <v>7</v>
      </c>
      <c r="Y14" s="125" t="s">
        <v>7</v>
      </c>
      <c r="Z14" s="125" t="s">
        <v>7</v>
      </c>
      <c r="AA14" s="125" t="s">
        <v>7</v>
      </c>
      <c r="AB14" s="125" t="s">
        <v>7</v>
      </c>
      <c r="AC14" s="125" t="s">
        <v>7</v>
      </c>
      <c r="AD14" s="125" t="s">
        <v>7</v>
      </c>
      <c r="AE14" s="125" t="s">
        <v>7</v>
      </c>
      <c r="AF14" s="125" t="s">
        <v>7</v>
      </c>
      <c r="AG14" s="125" t="s">
        <v>7</v>
      </c>
      <c r="AH14"/>
      <c r="AJ14" s="135"/>
    </row>
    <row r="15" spans="1:36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6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8" t="s">
        <v>7</v>
      </c>
      <c r="G16" s="28" t="s">
        <v>7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28" t="s">
        <v>7</v>
      </c>
      <c r="N16" s="28" t="s">
        <v>7</v>
      </c>
      <c r="O16" s="4" t="s">
        <v>85</v>
      </c>
      <c r="P16" s="4" t="s">
        <v>85</v>
      </c>
      <c r="Q16" s="4" t="s">
        <v>85</v>
      </c>
      <c r="R16" s="4" t="s">
        <v>85</v>
      </c>
      <c r="S16" s="4" t="s">
        <v>85</v>
      </c>
      <c r="T16" s="28" t="s">
        <v>7</v>
      </c>
      <c r="U16" s="28" t="s">
        <v>7</v>
      </c>
      <c r="V16" s="25" t="s">
        <v>11</v>
      </c>
      <c r="W16" s="25" t="s">
        <v>11</v>
      </c>
      <c r="X16" s="25" t="s">
        <v>11</v>
      </c>
      <c r="Y16" s="25" t="s">
        <v>11</v>
      </c>
      <c r="Z16" s="25" t="s">
        <v>11</v>
      </c>
      <c r="AA16" s="28" t="s">
        <v>7</v>
      </c>
      <c r="AB16" s="28" t="s">
        <v>7</v>
      </c>
      <c r="AC16" s="4" t="s">
        <v>14</v>
      </c>
      <c r="AD16" s="4" t="s">
        <v>14</v>
      </c>
      <c r="AE16" s="4" t="s">
        <v>14</v>
      </c>
      <c r="AF16" s="4" t="s">
        <v>14</v>
      </c>
      <c r="AG16" s="4" t="s">
        <v>14</v>
      </c>
      <c r="AH16"/>
    </row>
    <row r="17" spans="1:34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28" t="s">
        <v>7</v>
      </c>
      <c r="G17" s="28" t="s">
        <v>7</v>
      </c>
      <c r="H17" s="25" t="s">
        <v>11</v>
      </c>
      <c r="I17" s="25" t="s">
        <v>11</v>
      </c>
      <c r="J17" s="25" t="s">
        <v>11</v>
      </c>
      <c r="K17" s="25" t="s">
        <v>11</v>
      </c>
      <c r="L17" s="25" t="s">
        <v>11</v>
      </c>
      <c r="M17" s="28" t="s">
        <v>7</v>
      </c>
      <c r="N17" s="28" t="s">
        <v>7</v>
      </c>
      <c r="O17" s="4" t="s">
        <v>14</v>
      </c>
      <c r="P17" s="4" t="s">
        <v>14</v>
      </c>
      <c r="Q17" s="4" t="s">
        <v>14</v>
      </c>
      <c r="R17" s="4" t="s">
        <v>14</v>
      </c>
      <c r="S17" s="4" t="s">
        <v>14</v>
      </c>
      <c r="T17" s="28" t="s">
        <v>7</v>
      </c>
      <c r="U17" s="28" t="s">
        <v>7</v>
      </c>
      <c r="V17" s="4" t="s">
        <v>85</v>
      </c>
      <c r="W17" s="4" t="s">
        <v>85</v>
      </c>
      <c r="X17" s="4" t="s">
        <v>85</v>
      </c>
      <c r="Y17" s="4" t="s">
        <v>85</v>
      </c>
      <c r="Z17" s="4" t="s">
        <v>85</v>
      </c>
      <c r="AA17" s="28" t="s">
        <v>7</v>
      </c>
      <c r="AB17" s="28" t="s">
        <v>7</v>
      </c>
      <c r="AC17" s="25" t="s">
        <v>11</v>
      </c>
      <c r="AD17" s="25" t="s">
        <v>11</v>
      </c>
      <c r="AE17" s="25" t="s">
        <v>11</v>
      </c>
      <c r="AF17" s="25" t="s">
        <v>11</v>
      </c>
      <c r="AG17" s="25" t="s">
        <v>11</v>
      </c>
      <c r="AH17"/>
    </row>
    <row r="18" spans="1:34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28" t="s">
        <v>7</v>
      </c>
      <c r="G18" s="28" t="s">
        <v>7</v>
      </c>
      <c r="H18" s="4" t="s">
        <v>85</v>
      </c>
      <c r="I18" s="4" t="s">
        <v>85</v>
      </c>
      <c r="J18" s="4" t="s">
        <v>85</v>
      </c>
      <c r="K18" s="4" t="s">
        <v>85</v>
      </c>
      <c r="L18" s="4" t="s">
        <v>85</v>
      </c>
      <c r="M18" s="28" t="s">
        <v>7</v>
      </c>
      <c r="N18" s="28" t="s">
        <v>7</v>
      </c>
      <c r="O18" s="25" t="s">
        <v>11</v>
      </c>
      <c r="P18" s="25" t="s">
        <v>11</v>
      </c>
      <c r="Q18" s="25" t="s">
        <v>11</v>
      </c>
      <c r="R18" s="25" t="s">
        <v>11</v>
      </c>
      <c r="S18" s="25" t="s">
        <v>11</v>
      </c>
      <c r="T18" s="28" t="s">
        <v>7</v>
      </c>
      <c r="U18" s="28" t="s">
        <v>7</v>
      </c>
      <c r="V18" s="4" t="s">
        <v>14</v>
      </c>
      <c r="W18" s="4" t="s">
        <v>14</v>
      </c>
      <c r="X18" s="4" t="s">
        <v>14</v>
      </c>
      <c r="Y18" s="4" t="s">
        <v>14</v>
      </c>
      <c r="Z18" s="4" t="s">
        <v>14</v>
      </c>
      <c r="AA18" s="28" t="s">
        <v>7</v>
      </c>
      <c r="AB18" s="28" t="s">
        <v>7</v>
      </c>
      <c r="AC18" s="4" t="s">
        <v>85</v>
      </c>
      <c r="AD18" s="4" t="s">
        <v>85</v>
      </c>
      <c r="AE18" s="4" t="s">
        <v>85</v>
      </c>
      <c r="AF18" s="4" t="s">
        <v>85</v>
      </c>
      <c r="AG18" s="4" t="s">
        <v>85</v>
      </c>
      <c r="AH18"/>
    </row>
    <row r="19" spans="1:34">
      <c r="AH19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2</v>
      </c>
      <c r="G20" s="110">
        <f t="shared" si="0"/>
        <v>2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2</v>
      </c>
      <c r="N20" s="110">
        <f t="shared" si="0"/>
        <v>2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2</v>
      </c>
      <c r="U20" s="110">
        <f t="shared" si="0"/>
        <v>2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2</v>
      </c>
      <c r="AB20" s="110">
        <f t="shared" si="0"/>
        <v>2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0</v>
      </c>
      <c r="G21" s="112">
        <f t="shared" si="1"/>
        <v>0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0</v>
      </c>
      <c r="N21" s="112">
        <f t="shared" si="1"/>
        <v>0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0</v>
      </c>
      <c r="U21" s="112">
        <f t="shared" si="1"/>
        <v>0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0</v>
      </c>
      <c r="AB21" s="112">
        <f t="shared" si="1"/>
        <v>0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C10" sqref="C10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1" t="s">
        <v>114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6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13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>
      <c r="A18" s="34" t="s">
        <v>28</v>
      </c>
      <c r="B18" s="35" t="s">
        <v>34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>
      <c r="AH19"/>
    </row>
    <row r="20" spans="1:34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W14" sqref="W14:AA14"/>
    </sheetView>
  </sheetViews>
  <sheetFormatPr defaultColWidth="8.85546875" defaultRowHeight="14.45"/>
  <cols>
    <col min="2" max="2" width="25.5703125" customWidth="1"/>
    <col min="3" max="32" width="4.7109375" customWidth="1"/>
    <col min="33" max="33" width="9.5703125" style="91" customWidth="1"/>
  </cols>
  <sheetData>
    <row r="1" spans="1:33" ht="24" customHeight="1">
      <c r="A1" s="6"/>
      <c r="B1" s="176"/>
      <c r="C1" s="191" t="s">
        <v>115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/>
    </row>
    <row r="2" spans="1:33">
      <c r="A2" s="6"/>
      <c r="B2" s="176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13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/>
    </row>
    <row r="11" spans="1:33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/>
    </row>
    <row r="12" spans="1:33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/>
    </row>
    <row r="14" spans="1:33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>
      <c r="AG19"/>
    </row>
    <row r="20" spans="1:33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C10" sqref="C10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1" t="s">
        <v>116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6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C10" sqref="C10:AF14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6"/>
      <c r="C1" s="191" t="s">
        <v>117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</row>
    <row r="2" spans="1:33">
      <c r="A2" s="6"/>
      <c r="B2" s="176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13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/>
    </row>
    <row r="11" spans="1:33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/>
    </row>
    <row r="12" spans="1:33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/>
    </row>
    <row r="14" spans="1:33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C10" sqref="C10:AG14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6"/>
      <c r="C1" s="191" t="s">
        <v>118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6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>
      <c r="A3" s="6"/>
      <c r="B3" s="176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4">
      <c r="A11" s="34" t="s">
        <v>12</v>
      </c>
      <c r="B11" s="33" t="s">
        <v>52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</row>
    <row r="12" spans="1:34">
      <c r="A12" s="34" t="s">
        <v>12</v>
      </c>
      <c r="B12" s="33" t="s">
        <v>24</v>
      </c>
      <c r="C12" s="124" t="s">
        <v>7</v>
      </c>
      <c r="D12" s="124" t="s">
        <v>7</v>
      </c>
      <c r="E12" s="124" t="s">
        <v>7</v>
      </c>
      <c r="F12" s="124" t="s">
        <v>7</v>
      </c>
      <c r="G12" s="124" t="s">
        <v>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124" t="s">
        <v>7</v>
      </c>
      <c r="W12" s="124" t="s">
        <v>7</v>
      </c>
      <c r="X12" s="124" t="s">
        <v>7</v>
      </c>
      <c r="Y12" s="124" t="s">
        <v>7</v>
      </c>
      <c r="Z12" s="124" t="s">
        <v>7</v>
      </c>
      <c r="AA12" s="124" t="s">
        <v>7</v>
      </c>
      <c r="AB12" s="124" t="s">
        <v>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4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4" t="s">
        <v>7</v>
      </c>
      <c r="I13" s="124" t="s">
        <v>7</v>
      </c>
      <c r="J13" s="124" t="s">
        <v>7</v>
      </c>
      <c r="K13" s="124" t="s">
        <v>7</v>
      </c>
      <c r="L13" s="124" t="s">
        <v>7</v>
      </c>
      <c r="M13" s="124" t="s">
        <v>7</v>
      </c>
      <c r="N13" s="124" t="s">
        <v>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124" t="s">
        <v>7</v>
      </c>
      <c r="AD13" s="124" t="s">
        <v>7</v>
      </c>
      <c r="AE13" s="124" t="s">
        <v>7</v>
      </c>
      <c r="AF13" s="124" t="s">
        <v>7</v>
      </c>
      <c r="AG13" s="124" t="s">
        <v>7</v>
      </c>
      <c r="AH13"/>
    </row>
    <row r="14" spans="1:34">
      <c r="A14" s="34" t="s">
        <v>12</v>
      </c>
      <c r="B14" s="33" t="s">
        <v>53</v>
      </c>
      <c r="C14" s="124" t="s">
        <v>7</v>
      </c>
      <c r="D14" s="124" t="s">
        <v>7</v>
      </c>
      <c r="E14" s="124" t="s">
        <v>7</v>
      </c>
      <c r="F14" s="124" t="s">
        <v>7</v>
      </c>
      <c r="G14" s="124" t="s">
        <v>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4" t="s">
        <v>7</v>
      </c>
      <c r="P14" s="124" t="s">
        <v>7</v>
      </c>
      <c r="Q14" s="124" t="s">
        <v>7</v>
      </c>
      <c r="R14" s="124" t="s">
        <v>7</v>
      </c>
      <c r="S14" s="124" t="s">
        <v>7</v>
      </c>
      <c r="T14" s="124" t="s">
        <v>7</v>
      </c>
      <c r="U14" s="124" t="s">
        <v>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4" t="s">
        <v>7</v>
      </c>
      <c r="AD14" s="124" t="s">
        <v>7</v>
      </c>
      <c r="AE14" s="124" t="s">
        <v>7</v>
      </c>
      <c r="AF14" s="124" t="s">
        <v>7</v>
      </c>
      <c r="AG14" s="124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74"/>
  <sheetViews>
    <sheetView showGridLines="0" topLeftCell="A25" zoomScale="115" zoomScaleNormal="115" workbookViewId="0">
      <selection activeCell="W32" sqref="W32"/>
    </sheetView>
  </sheetViews>
  <sheetFormatPr defaultColWidth="11.42578125" defaultRowHeight="14.45"/>
  <cols>
    <col min="1" max="1" width="1.85546875" customWidth="1"/>
    <col min="2" max="3" width="2.85546875" customWidth="1"/>
    <col min="4" max="4" width="10.42578125" customWidth="1"/>
    <col min="5" max="5" width="3.7109375" customWidth="1"/>
    <col min="6" max="6" width="3.42578125" customWidth="1"/>
    <col min="7" max="7" width="8.5703125" bestFit="1" customWidth="1"/>
    <col min="8" max="8" width="7.5703125" customWidth="1"/>
    <col min="9" max="9" width="8.42578125" customWidth="1"/>
    <col min="10" max="62" width="3.7109375" customWidth="1"/>
    <col min="63" max="63" width="5" customWidth="1"/>
    <col min="64" max="64" width="4.140625" customWidth="1"/>
  </cols>
  <sheetData>
    <row r="2" spans="4:64">
      <c r="G2" s="101" t="s">
        <v>119</v>
      </c>
      <c r="I2" s="102">
        <f>1800*10</f>
        <v>18000</v>
      </c>
    </row>
    <row r="3" spans="4:64">
      <c r="G3" s="101" t="s">
        <v>120</v>
      </c>
      <c r="I3" s="102">
        <f>366*6*8</f>
        <v>17568</v>
      </c>
    </row>
    <row r="6" spans="4:64">
      <c r="F6" s="95"/>
    </row>
    <row r="7" spans="4:64">
      <c r="D7" s="102"/>
      <c r="E7" s="102"/>
      <c r="F7" s="95"/>
    </row>
    <row r="8" spans="4:64">
      <c r="D8" s="102"/>
      <c r="E8" s="102"/>
      <c r="F8" s="95"/>
    </row>
    <row r="9" spans="4:64">
      <c r="D9" s="102"/>
      <c r="E9" s="102"/>
      <c r="F9" s="95"/>
      <c r="G9" s="99" t="s">
        <v>121</v>
      </c>
      <c r="H9" s="99" t="s">
        <v>122</v>
      </c>
      <c r="I9" s="99" t="s">
        <v>123</v>
      </c>
      <c r="J9" s="99" t="s">
        <v>124</v>
      </c>
      <c r="K9" s="99" t="s">
        <v>125</v>
      </c>
      <c r="L9" s="99" t="s">
        <v>126</v>
      </c>
      <c r="M9" s="99" t="s">
        <v>127</v>
      </c>
      <c r="N9" s="99" t="s">
        <v>128</v>
      </c>
      <c r="O9" s="99" t="s">
        <v>129</v>
      </c>
      <c r="P9" s="99" t="s">
        <v>130</v>
      </c>
      <c r="Q9" s="99" t="s">
        <v>131</v>
      </c>
      <c r="R9" s="99" t="s">
        <v>132</v>
      </c>
      <c r="S9" s="99" t="s">
        <v>133</v>
      </c>
      <c r="T9" s="99" t="s">
        <v>134</v>
      </c>
      <c r="U9" s="99" t="s">
        <v>135</v>
      </c>
      <c r="V9" s="99" t="s">
        <v>136</v>
      </c>
      <c r="W9" s="99" t="s">
        <v>137</v>
      </c>
      <c r="X9" s="99" t="s">
        <v>138</v>
      </c>
      <c r="Y9" s="99" t="s">
        <v>139</v>
      </c>
      <c r="Z9" s="99" t="s">
        <v>140</v>
      </c>
      <c r="AA9" s="99" t="s">
        <v>141</v>
      </c>
      <c r="AB9" s="99" t="s">
        <v>142</v>
      </c>
      <c r="AC9" s="99" t="s">
        <v>143</v>
      </c>
      <c r="AD9" s="99" t="s">
        <v>144</v>
      </c>
      <c r="AE9" s="99" t="s">
        <v>145</v>
      </c>
      <c r="AF9" s="99" t="s">
        <v>146</v>
      </c>
      <c r="AG9" s="99" t="s">
        <v>147</v>
      </c>
      <c r="AH9" s="99" t="s">
        <v>148</v>
      </c>
      <c r="AI9" s="99" t="s">
        <v>149</v>
      </c>
      <c r="AJ9" s="99" t="s">
        <v>150</v>
      </c>
      <c r="AK9" s="99" t="s">
        <v>151</v>
      </c>
      <c r="AL9" s="99" t="s">
        <v>152</v>
      </c>
      <c r="AM9" s="99" t="s">
        <v>153</v>
      </c>
      <c r="AN9" s="99" t="s">
        <v>154</v>
      </c>
      <c r="AO9" s="99" t="s">
        <v>155</v>
      </c>
      <c r="AP9" s="99" t="s">
        <v>156</v>
      </c>
      <c r="AQ9" s="99" t="s">
        <v>157</v>
      </c>
      <c r="AR9" s="99" t="s">
        <v>158</v>
      </c>
      <c r="AS9" s="99" t="s">
        <v>159</v>
      </c>
      <c r="AT9" s="99" t="s">
        <v>160</v>
      </c>
      <c r="AU9" s="99" t="s">
        <v>161</v>
      </c>
      <c r="AV9" s="99" t="s">
        <v>162</v>
      </c>
      <c r="AW9" s="99" t="s">
        <v>163</v>
      </c>
      <c r="AX9" s="99" t="s">
        <v>164</v>
      </c>
      <c r="AY9" s="99" t="s">
        <v>165</v>
      </c>
      <c r="AZ9" s="99" t="s">
        <v>166</v>
      </c>
      <c r="BA9" s="99" t="s">
        <v>167</v>
      </c>
      <c r="BB9" s="99" t="s">
        <v>168</v>
      </c>
      <c r="BC9" s="99" t="s">
        <v>169</v>
      </c>
      <c r="BD9" s="99" t="s">
        <v>170</v>
      </c>
      <c r="BE9" s="99" t="s">
        <v>171</v>
      </c>
      <c r="BF9" s="99" t="s">
        <v>172</v>
      </c>
      <c r="BG9" s="99" t="s">
        <v>173</v>
      </c>
      <c r="BH9" s="99" t="s">
        <v>174</v>
      </c>
      <c r="BI9" s="99" t="s">
        <v>175</v>
      </c>
      <c r="BJ9" s="99" t="s">
        <v>176</v>
      </c>
      <c r="BK9" s="106" t="s">
        <v>177</v>
      </c>
      <c r="BL9" s="106" t="s">
        <v>178</v>
      </c>
    </row>
    <row r="10" spans="4:64">
      <c r="D10" s="102"/>
      <c r="E10" s="102"/>
      <c r="F10" s="95"/>
      <c r="G10" s="97" t="s">
        <v>179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>
      <c r="D11" s="102"/>
      <c r="E11" s="102"/>
      <c r="F11" s="95"/>
      <c r="G11" s="97" t="s">
        <v>180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>
      <c r="D12" s="102"/>
      <c r="E12" s="102"/>
      <c r="F12" s="95"/>
      <c r="G12" s="97" t="s">
        <v>181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>
      <c r="D13" s="102"/>
      <c r="E13" s="102"/>
      <c r="F13" s="95"/>
      <c r="G13" s="97" t="s">
        <v>182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>
      <c r="D14" s="102"/>
      <c r="E14" s="102"/>
      <c r="F14" s="95"/>
      <c r="G14" s="97" t="s">
        <v>183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>
      <c r="D16" s="102"/>
      <c r="E16" s="102"/>
      <c r="F16" s="95"/>
      <c r="G16" s="97" t="s">
        <v>184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>
      <c r="G17" s="97" t="s">
        <v>185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>
      <c r="G18" s="97" t="s">
        <v>186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>
      <c r="G19" s="97" t="s">
        <v>187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>
      <c r="G20" s="97" t="s">
        <v>188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>
      <c r="G22" s="101" t="s">
        <v>189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>
      <c r="G23" s="101" t="s">
        <v>190</v>
      </c>
      <c r="H23">
        <f>AVERAGE(H10:H20)</f>
        <v>849.6</v>
      </c>
    </row>
    <row r="27" spans="7:64">
      <c r="G27" s="99" t="s">
        <v>121</v>
      </c>
      <c r="H27" s="99" t="s">
        <v>122</v>
      </c>
      <c r="I27" s="99" t="s">
        <v>123</v>
      </c>
      <c r="J27" s="99" t="s">
        <v>124</v>
      </c>
      <c r="K27" s="99" t="s">
        <v>125</v>
      </c>
      <c r="L27" s="99" t="s">
        <v>126</v>
      </c>
      <c r="M27" s="99" t="s">
        <v>127</v>
      </c>
      <c r="N27" s="99" t="s">
        <v>128</v>
      </c>
      <c r="O27" s="99" t="s">
        <v>129</v>
      </c>
      <c r="P27" s="99" t="s">
        <v>130</v>
      </c>
      <c r="Q27" s="99" t="s">
        <v>131</v>
      </c>
      <c r="R27" s="99" t="s">
        <v>132</v>
      </c>
      <c r="S27" s="99" t="s">
        <v>133</v>
      </c>
      <c r="T27" s="99" t="s">
        <v>134</v>
      </c>
      <c r="U27" s="99" t="s">
        <v>135</v>
      </c>
      <c r="V27" s="99" t="s">
        <v>136</v>
      </c>
      <c r="W27" s="99" t="s">
        <v>137</v>
      </c>
      <c r="X27" s="99" t="s">
        <v>138</v>
      </c>
      <c r="Y27" s="99" t="s">
        <v>139</v>
      </c>
      <c r="Z27" s="99" t="s">
        <v>140</v>
      </c>
      <c r="AA27" s="99" t="s">
        <v>141</v>
      </c>
      <c r="AB27" s="99" t="s">
        <v>142</v>
      </c>
      <c r="AC27" s="99" t="s">
        <v>143</v>
      </c>
      <c r="AD27" s="99" t="s">
        <v>144</v>
      </c>
      <c r="AE27" s="99" t="s">
        <v>145</v>
      </c>
      <c r="AF27" s="99" t="s">
        <v>146</v>
      </c>
      <c r="AG27" s="99" t="s">
        <v>147</v>
      </c>
      <c r="AH27" s="99" t="s">
        <v>148</v>
      </c>
      <c r="AI27" s="99" t="s">
        <v>149</v>
      </c>
      <c r="AJ27" s="99" t="s">
        <v>150</v>
      </c>
      <c r="AK27" s="99" t="s">
        <v>151</v>
      </c>
      <c r="AL27" s="99" t="s">
        <v>152</v>
      </c>
      <c r="AM27" s="99" t="s">
        <v>153</v>
      </c>
      <c r="AN27" s="99" t="s">
        <v>154</v>
      </c>
      <c r="AO27" s="99" t="s">
        <v>155</v>
      </c>
      <c r="AP27" s="99" t="s">
        <v>156</v>
      </c>
      <c r="AQ27" s="99" t="s">
        <v>157</v>
      </c>
      <c r="AR27" s="99" t="s">
        <v>158</v>
      </c>
      <c r="AS27" s="99" t="s">
        <v>159</v>
      </c>
      <c r="AT27" s="99" t="s">
        <v>160</v>
      </c>
      <c r="AU27" s="99" t="s">
        <v>161</v>
      </c>
      <c r="AV27" s="99" t="s">
        <v>162</v>
      </c>
      <c r="AW27" s="99" t="s">
        <v>163</v>
      </c>
      <c r="AX27" s="99" t="s">
        <v>164</v>
      </c>
      <c r="AY27" s="99" t="s">
        <v>165</v>
      </c>
      <c r="AZ27" s="99" t="s">
        <v>166</v>
      </c>
      <c r="BA27" s="99" t="s">
        <v>167</v>
      </c>
      <c r="BB27" s="99" t="s">
        <v>168</v>
      </c>
      <c r="BC27" s="99" t="s">
        <v>169</v>
      </c>
      <c r="BD27" s="99" t="s">
        <v>170</v>
      </c>
      <c r="BE27" s="99" t="s">
        <v>171</v>
      </c>
      <c r="BF27" s="99" t="s">
        <v>172</v>
      </c>
      <c r="BG27" s="99" t="s">
        <v>173</v>
      </c>
      <c r="BH27" s="99" t="s">
        <v>174</v>
      </c>
      <c r="BI27" s="99" t="s">
        <v>175</v>
      </c>
      <c r="BJ27" s="99" t="s">
        <v>176</v>
      </c>
      <c r="BK27" s="106" t="s">
        <v>177</v>
      </c>
      <c r="BL27" s="106" t="s">
        <v>178</v>
      </c>
    </row>
    <row r="28" spans="7:64">
      <c r="G28" s="97" t="s">
        <v>179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>
      <c r="G29" s="97" t="s">
        <v>180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>
      <c r="G30" s="97" t="s">
        <v>181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>
      <c r="G31" s="97" t="s">
        <v>182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>
      <c r="G32" s="97" t="s">
        <v>183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>
      <c r="G34" s="97" t="s">
        <v>184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>
      <c r="G35" s="97" t="s">
        <v>185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>
      <c r="G36" s="97" t="s">
        <v>186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>
      <c r="G37" s="97" t="s">
        <v>187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>
      <c r="G38" s="97" t="s">
        <v>188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>
      <c r="G40" s="101" t="s">
        <v>189</v>
      </c>
      <c r="H40">
        <f>SUM(H28:H38)</f>
        <v>17424</v>
      </c>
    </row>
    <row r="41" spans="7:64">
      <c r="G41" s="101" t="s">
        <v>190</v>
      </c>
      <c r="H41">
        <f>AVERAGE(H28:H38)</f>
        <v>1742.4</v>
      </c>
      <c r="K41" s="104" t="s">
        <v>191</v>
      </c>
    </row>
    <row r="48" spans="7:64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>
      <c r="I71">
        <f>23*10</f>
        <v>230</v>
      </c>
    </row>
    <row r="72" spans="9:11">
      <c r="I72">
        <f>8*52</f>
        <v>416</v>
      </c>
    </row>
    <row r="74" spans="9:11">
      <c r="I74">
        <f>I72-I71</f>
        <v>186</v>
      </c>
      <c r="K74" s="116">
        <f>I74/10</f>
        <v>18.600000000000001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5FA03-0D71-42C1-B384-265EE4FF1786}"/>
</file>

<file path=customXml/itemProps2.xml><?xml version="1.0" encoding="utf-8"?>
<ds:datastoreItem xmlns:ds="http://schemas.openxmlformats.org/officeDocument/2006/customXml" ds:itemID="{ADE9F496-C730-4393-95C0-A4511A1212E8}"/>
</file>

<file path=customXml/itemProps3.xml><?xml version="1.0" encoding="utf-8"?>
<ds:datastoreItem xmlns:ds="http://schemas.openxmlformats.org/officeDocument/2006/customXml" ds:itemID="{1EECE65D-B437-4372-9E5B-6949431F5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Muñoz Valle Adrian</cp:lastModifiedBy>
  <cp:revision/>
  <dcterms:created xsi:type="dcterms:W3CDTF">2025-06-10T09:39:58Z</dcterms:created>
  <dcterms:modified xsi:type="dcterms:W3CDTF">2026-03-10T08:18:16Z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