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5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ivirsl-my.sharepoint.com/personal/inmaculada_benitez_civir_es/Documents/Escritorio/"/>
    </mc:Choice>
  </mc:AlternateContent>
  <xr:revisionPtr revIDLastSave="0" documentId="8_{1EE93A44-D28E-4D0D-B8A7-8862D2EC5F1A}" xr6:coauthVersionLast="47" xr6:coauthVersionMax="47" xr10:uidLastSave="{00000000-0000-0000-0000-000000000000}"/>
  <bookViews>
    <workbookView xWindow="-110" yWindow="-110" windowWidth="19420" windowHeight="10300" firstSheet="5" activeTab="8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6" i="20"/>
  <c r="D26" i="20"/>
  <c r="E26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W26" i="20"/>
  <c r="X26" i="20"/>
  <c r="Y26" i="20"/>
  <c r="Z26" i="20"/>
  <c r="AA26" i="20"/>
  <c r="AB26" i="20"/>
  <c r="AC26" i="20"/>
  <c r="AD26" i="20"/>
  <c r="AE26" i="20"/>
  <c r="AF26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1" i="21"/>
  <c r="Y21" i="21"/>
  <c r="N21" i="21"/>
  <c r="M21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1" i="21"/>
  <c r="L21" i="21"/>
  <c r="X21" i="21"/>
  <c r="K21" i="21"/>
  <c r="AE21" i="21"/>
  <c r="V21" i="21"/>
  <c r="AC21" i="21"/>
  <c r="Q21" i="21"/>
  <c r="E21" i="21"/>
  <c r="AG21" i="21"/>
  <c r="U21" i="21"/>
  <c r="I21" i="21"/>
  <c r="AB21" i="21"/>
  <c r="P21" i="21"/>
  <c r="D21" i="21"/>
  <c r="AD21" i="21"/>
  <c r="R21" i="21"/>
  <c r="F21" i="21"/>
  <c r="AF21" i="21"/>
  <c r="H21" i="21"/>
  <c r="G21" i="21"/>
  <c r="AA21" i="21"/>
  <c r="O21" i="21"/>
  <c r="C21" i="21"/>
  <c r="T21" i="21"/>
  <c r="S21" i="21"/>
  <c r="J21" i="21"/>
  <c r="V23" i="20"/>
  <c r="J23" i="20"/>
  <c r="I23" i="20"/>
  <c r="U23" i="20"/>
  <c r="S23" i="20"/>
  <c r="G23" i="20"/>
  <c r="AD23" i="20"/>
  <c r="C23" i="20"/>
  <c r="Z23" i="20"/>
  <c r="N23" i="20"/>
  <c r="Y23" i="20"/>
  <c r="M23" i="20"/>
  <c r="F23" i="20"/>
  <c r="AC23" i="20"/>
  <c r="Q23" i="20"/>
  <c r="E23" i="20"/>
  <c r="AB23" i="20"/>
  <c r="P23" i="20"/>
  <c r="D23" i="20"/>
  <c r="AA23" i="20"/>
  <c r="X23" i="20"/>
  <c r="L23" i="20"/>
  <c r="AF23" i="20"/>
  <c r="T23" i="20"/>
  <c r="H23" i="20"/>
  <c r="AE23" i="20"/>
  <c r="R23" i="20"/>
  <c r="O23" i="20"/>
  <c r="W23" i="20"/>
  <c r="K23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tc={5ADE881F-E651-420D-A494-FEFB262D444D}</author>
  </authors>
  <commentList>
    <comment ref="S21" authorId="0" shapeId="0" xr:uid="{5ADE881F-E651-420D-A494-FEFB262D444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tc={834B8157-5FDA-4685-87A3-89F393058F0F}</author>
  </authors>
  <commentList>
    <comment ref="U18" authorId="0" shapeId="0" xr:uid="{834B8157-5FDA-4685-87A3-89F3930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<sst xmlns="http://schemas.openxmlformats.org/spreadsheetml/2006/main" count="10144" uniqueCount="191">
  <si>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</si>
  <si>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</si>
  <si>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</si>
  <si>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</si>
  <si>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</si>
  <si>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</si>
  <si>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</si>
  <si>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</si>
  <si>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</si>
  <si>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</si>
  <si>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</si>
  <si>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</si>
  <si>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</si>
  <si>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</si>
  <si>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</si>
  <si>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</si>
  <si>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</si>
  <si>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</si>
  <si>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</si>
  <si>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</si>
  <si>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</si>
  <si>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</si>
  <si>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</si>
  <si>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</si>
  <si>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</si>
  <si>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</si>
  <si>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</si>
  <si>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</si>
  <si>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</si>
  <si>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</si>
  <si>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</si>
  <si>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</si>
  <si>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</si>
  <si>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</si>
  <si>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</si>
  <si>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</si>
  <si>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</si>
  <si>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</si>
  <si>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</si>
  <si>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</si>
  <si>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</si>
  <si>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</si>
  <si>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</si>
  <si>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</si>
  <si>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</si>
  <si>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</si>
  <si>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</si>
  <si>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</si>
  <si>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</si>
  <si>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</si>
  <si>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</si>
  <si>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</si>
  <si>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</si>
  <si>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</si>
  <si>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</si>
  <si>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</si>
  <si>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</si>
  <si>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</si>
  <si>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</si>
  <si>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</si>
  <si>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</si>
  <si>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</si>
  <si>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</si>
  <si>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</si>
  <si>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</si>
  <si>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</si>
  <si>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</si>
  <si>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</si>
  <si>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</si>
  <si>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</si>
  <si>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</si>
  <si>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</si>
  <si>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</si>
  <si>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</si>
  <si>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</si>
  <si>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</si>
  <si>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</si>
  <si>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</si>
  <si>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</si>
  <si>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</si>
  <si>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</si>
  <si>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</si>
  <si>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</si>
  <si>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</si>
  <si>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</si>
  <si>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</si>
  <si>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</si>
  <si>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</si>
  <si>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</si>
  <si>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</si>
  <si>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</si>
  <si>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</si>
  <si>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</si>
  <si>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</si>
  <si>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</si>
  <si>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</si>
  <si>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</si>
  <si>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</si>
  <si>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</si>
  <si>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Erik</t>
  </si>
  <si>
    <t xml:space="preserve">Jared Orta/Cesar  </t>
  </si>
  <si>
    <t>V/G</t>
  </si>
  <si>
    <t>?</t>
  </si>
  <si>
    <t>Marzo</t>
  </si>
  <si>
    <t>Erik/Jorge</t>
  </si>
  <si>
    <t>Jared Orta</t>
  </si>
  <si>
    <t>Cesar</t>
  </si>
  <si>
    <t>ABRIL</t>
  </si>
  <si>
    <t>Mayo</t>
  </si>
  <si>
    <t>Junio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</si>
  <si>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</si>
  <si>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</si>
  <si>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</si>
  <si>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</si>
  <si>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</si>
  <si>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</si>
  <si>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</si>
  <si>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</si>
  <si>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</si>
  <si>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</si>
  <si>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</si>
  <si>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</si>
  <si>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</si>
  <si>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</si>
  <si>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</si>
  <si>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</si>
  <si>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</si>
  <si>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</si>
  <si>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</si>
  <si>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</si>
  <si>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</si>
  <si>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</si>
  <si>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</si>
  <si>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</si>
  <si>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</si>
  <si>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</si>
  <si>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</si>
  <si>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</si>
  <si>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</si>
  <si>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</si>
  <si>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</si>
  <si>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</si>
  <si>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</si>
  <si>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</si>
  <si>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</si>
  <si>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</si>
  <si>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</si>
  <si>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</si>
  <si>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</si>
  <si>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</si>
  <si>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</si>
  <si>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</si>
  <si>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</si>
  <si>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</si>
  <si>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</si>
  <si>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</si>
  <si>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</si>
  <si>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</si>
  <si>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</si>
  <si>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</si>
  <si>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</si>
  <si>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</si>
  <si>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</si>
  <si>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</si>
  <si>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</si>
  <si>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</si>
  <si>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</si>
  <si>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</si>
  <si>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</si>
  <si>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</si>
  <si>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</si>
  <si>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</si>
  <si>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</si>
  <si>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</si>
  <si>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</si>
  <si>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</si>
  <si>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</si>
  <si>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</si>
  <si>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</si>
  <si>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</si>
  <si>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</si>
  <si>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</si>
  <si>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</si>
  <si>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</si>
  <si>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</si>
  <si>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</si>
  <si>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</si>
  <si>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</si>
  <si>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</si>
  <si>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</si>
  <si>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Sergio Contreras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</si>
</sst>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2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4" fillId="8" borderId="36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21" dT="2026-03-10T11:21:01.36" personId="{678BB04D-11B0-457D-BCA0-D5F409BCB035}" id="{5ADE881F-E651-420D-A494-FEFB262D444D}">
    <text>Pendiente de pedir por parte de Fernando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U18" dT="2026-03-10T11:21:01.36" personId="{678BB04D-11B0-457D-BCA0-D5F409BCB035}" id="{834B8157-5FDA-4685-87A3-89F393058F0F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69"/>
      <c r="E2" s="175" t="s">
        <v>0</v>
      </c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7"/>
    </row>
    <row r="3" spans="1:36" ht="18" customHeight="1" x14ac:dyDescent="0.35">
      <c r="B3" s="32"/>
      <c r="D3" s="169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69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8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9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9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9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9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9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9"/>
      <c r="C11" s="34"/>
      <c r="D11" s="36"/>
      <c r="E11" s="184"/>
      <c r="F11" s="185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  <c r="AG11" s="185"/>
      <c r="AH11" s="185"/>
      <c r="AI11" s="186"/>
      <c r="AJ11" s="91"/>
    </row>
    <row r="12" spans="1:36" ht="18" customHeight="1" x14ac:dyDescent="0.35">
      <c r="A12" s="179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9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9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9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9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9"/>
      <c r="C17" s="34"/>
      <c r="D17" s="33"/>
      <c r="E17" s="184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6"/>
    </row>
    <row r="18" spans="1:36" ht="18" customHeight="1" x14ac:dyDescent="0.35">
      <c r="A18" s="179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9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9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9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9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9"/>
      <c r="C23" s="34"/>
      <c r="D23" s="35"/>
      <c r="E23" s="181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2"/>
      <c r="X23" s="182"/>
      <c r="Y23" s="182"/>
      <c r="Z23" s="182"/>
      <c r="AA23" s="182"/>
      <c r="AB23" s="182"/>
      <c r="AC23" s="182"/>
      <c r="AD23" s="182"/>
      <c r="AE23" s="182"/>
      <c r="AF23" s="182"/>
      <c r="AG23" s="182"/>
      <c r="AH23" s="182"/>
      <c r="AI23" s="183"/>
    </row>
    <row r="24" spans="1:36" ht="18" customHeight="1" x14ac:dyDescent="0.35">
      <c r="A24" s="180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72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73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73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73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73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74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69"/>
      <c r="E2" s="175" t="s">
        <v>49</v>
      </c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7"/>
    </row>
    <row r="3" spans="1:36" x14ac:dyDescent="0.35">
      <c r="A3" s="6"/>
      <c r="B3" s="32"/>
      <c r="C3" s="6"/>
      <c r="D3" s="169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69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9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9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9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9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9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9"/>
      <c r="B10" s="6"/>
      <c r="C10" s="34"/>
      <c r="D10" s="36"/>
      <c r="E10" s="184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6"/>
    </row>
    <row r="11" spans="1:36" x14ac:dyDescent="0.35">
      <c r="A11" s="179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9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9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9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9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9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9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9"/>
      <c r="B18" s="6"/>
      <c r="C18" s="34"/>
      <c r="D18" s="33"/>
      <c r="E18" s="184"/>
      <c r="F18" s="185"/>
      <c r="G18" s="185"/>
      <c r="H18" s="185"/>
      <c r="I18" s="185"/>
      <c r="J18" s="185"/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6"/>
    </row>
    <row r="19" spans="1:35" x14ac:dyDescent="0.35">
      <c r="A19" s="179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9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9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9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9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9"/>
      <c r="B24" s="6"/>
      <c r="C24" s="34"/>
      <c r="E24" s="181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2"/>
      <c r="AE24" s="182"/>
      <c r="AF24" s="182"/>
      <c r="AG24" s="182"/>
      <c r="AH24" s="182"/>
      <c r="AI24" s="183"/>
    </row>
    <row r="25" spans="1:35" ht="15" thickBot="1" x14ac:dyDescent="0.4">
      <c r="A25" s="180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72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73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73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73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73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74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D13" sqref="AD13"/>
    </sheetView>
  </sheetViews>
  <sheetFormatPr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69"/>
      <c r="C1" s="175" t="s">
        <v>57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2" spans="1:33" x14ac:dyDescent="0.35">
      <c r="A2" s="6"/>
      <c r="B2" s="169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85"/>
      <c r="D15" s="185"/>
      <c r="E15" s="185"/>
      <c r="F15" s="185"/>
      <c r="G15" s="185"/>
      <c r="H15" s="185"/>
      <c r="I15" s="185"/>
      <c r="J15" s="185"/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85"/>
      <c r="D19" s="185"/>
      <c r="E19" s="185"/>
      <c r="F19" s="185"/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D14" sqref="D14"/>
    </sheetView>
  </sheetViews>
  <sheetFormatPr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69"/>
      <c r="C1" s="187" t="s">
        <v>78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9"/>
    </row>
    <row r="2" spans="1:34" x14ac:dyDescent="0.35">
      <c r="A2" s="6"/>
      <c r="B2" s="169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85"/>
      <c r="D15" s="185"/>
      <c r="E15" s="185"/>
      <c r="F15" s="185"/>
      <c r="G15" s="185"/>
      <c r="H15" s="185"/>
      <c r="I15" s="185"/>
      <c r="J15" s="185"/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69"/>
      <c r="C1" s="190" t="s">
        <v>81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4" x14ac:dyDescent="0.35">
      <c r="A2" s="6"/>
      <c r="B2" s="169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AG11" sqref="AG11"/>
    </sheetView>
  </sheetViews>
  <sheetFormatPr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69"/>
      <c r="C1" s="190" t="s">
        <v>95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7" x14ac:dyDescent="0.35">
      <c r="A2" s="6"/>
      <c r="B2" s="169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C1" zoomScaleNormal="100" workbookViewId="0">
      <selection activeCell="AG12" sqref="AG12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69"/>
      <c r="C1" s="190" t="s">
        <v>97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69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topLeftCell="B1" workbookViewId="0">
      <selection activeCell="AB5" sqref="AB5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69"/>
      <c r="C1" s="191" t="s">
        <v>98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</row>
    <row r="2" spans="1:34" x14ac:dyDescent="0.35">
      <c r="A2" s="6"/>
      <c r="B2" s="169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99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100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 x14ac:dyDescent="0.35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 x14ac:dyDescent="0.35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 x14ac:dyDescent="0.35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 x14ac:dyDescent="0.35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 x14ac:dyDescent="0.35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101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102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7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2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tabSelected="1" workbookViewId="0">
      <selection activeCell="R5" sqref="R5:X5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69"/>
      <c r="C1" s="170" t="s">
        <v>103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69"/>
      <c r="C2" s="147" t="s">
        <v>6</v>
      </c>
      <c r="D2" s="148" t="s">
        <v>7</v>
      </c>
      <c r="E2" s="148" t="s">
        <v>1</v>
      </c>
      <c r="F2" s="149" t="s">
        <v>2</v>
      </c>
      <c r="G2" s="149" t="s">
        <v>3</v>
      </c>
      <c r="H2" s="149" t="s">
        <v>4</v>
      </c>
      <c r="I2" s="147" t="s">
        <v>5</v>
      </c>
      <c r="J2" s="147" t="s">
        <v>6</v>
      </c>
      <c r="K2" s="148" t="s">
        <v>7</v>
      </c>
      <c r="L2" s="148" t="s">
        <v>1</v>
      </c>
      <c r="M2" s="149" t="s">
        <v>2</v>
      </c>
      <c r="N2" s="149" t="s">
        <v>3</v>
      </c>
      <c r="O2" s="149" t="s">
        <v>4</v>
      </c>
      <c r="P2" s="147" t="s">
        <v>5</v>
      </c>
      <c r="Q2" s="147" t="s">
        <v>6</v>
      </c>
      <c r="R2" s="148" t="s">
        <v>7</v>
      </c>
      <c r="S2" s="148" t="s">
        <v>1</v>
      </c>
      <c r="T2" s="149" t="s">
        <v>2</v>
      </c>
      <c r="U2" s="149" t="s">
        <v>3</v>
      </c>
      <c r="V2" s="149" t="s">
        <v>4</v>
      </c>
      <c r="W2" s="147" t="s">
        <v>5</v>
      </c>
      <c r="X2" s="147" t="s">
        <v>6</v>
      </c>
      <c r="Y2" s="148" t="s">
        <v>7</v>
      </c>
      <c r="Z2" s="148" t="s">
        <v>1</v>
      </c>
      <c r="AA2" s="149" t="s">
        <v>2</v>
      </c>
      <c r="AB2" s="149" t="s">
        <v>3</v>
      </c>
      <c r="AC2" s="149" t="s">
        <v>4</v>
      </c>
      <c r="AD2" s="147" t="s">
        <v>5</v>
      </c>
      <c r="AE2" s="147" t="s">
        <v>6</v>
      </c>
      <c r="AF2" s="148" t="s">
        <v>7</v>
      </c>
      <c r="AG2" s="148" t="s">
        <v>1</v>
      </c>
      <c r="AH2"/>
    </row>
    <row r="3" spans="1:34" x14ac:dyDescent="0.35">
      <c r="A3" s="6"/>
      <c r="B3" s="169"/>
      <c r="C3" s="150">
        <v>1</v>
      </c>
      <c r="D3" s="150">
        <v>2</v>
      </c>
      <c r="E3" s="150">
        <v>3</v>
      </c>
      <c r="F3" s="150">
        <v>4</v>
      </c>
      <c r="G3" s="150">
        <v>5</v>
      </c>
      <c r="H3" s="150">
        <v>6</v>
      </c>
      <c r="I3" s="150">
        <v>7</v>
      </c>
      <c r="J3" s="150">
        <v>8</v>
      </c>
      <c r="K3" s="150">
        <v>9</v>
      </c>
      <c r="L3" s="150">
        <v>10</v>
      </c>
      <c r="M3" s="150">
        <v>11</v>
      </c>
      <c r="N3" s="150">
        <v>12</v>
      </c>
      <c r="O3" s="150">
        <v>13</v>
      </c>
      <c r="P3" s="150">
        <v>14</v>
      </c>
      <c r="Q3" s="150">
        <v>15</v>
      </c>
      <c r="R3" s="150">
        <v>16</v>
      </c>
      <c r="S3" s="150">
        <v>17</v>
      </c>
      <c r="T3" s="150">
        <v>18</v>
      </c>
      <c r="U3" s="150">
        <v>19</v>
      </c>
      <c r="V3" s="150">
        <v>20</v>
      </c>
      <c r="W3" s="150">
        <v>21</v>
      </c>
      <c r="X3" s="150">
        <v>22</v>
      </c>
      <c r="Y3" s="150">
        <v>23</v>
      </c>
      <c r="Z3" s="150">
        <v>24</v>
      </c>
      <c r="AA3" s="150">
        <v>25</v>
      </c>
      <c r="AB3" s="150">
        <v>26</v>
      </c>
      <c r="AC3" s="150">
        <v>27</v>
      </c>
      <c r="AD3" s="150">
        <v>28</v>
      </c>
      <c r="AE3" s="150">
        <v>29</v>
      </c>
      <c r="AF3" s="150">
        <v>30</v>
      </c>
      <c r="AG3" s="150">
        <v>31</v>
      </c>
      <c r="AH3"/>
    </row>
    <row r="4" spans="1:34" x14ac:dyDescent="0.35">
      <c r="A4" s="63" t="s">
        <v>12</v>
      </c>
      <c r="B4" s="62" t="s">
        <v>104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 x14ac:dyDescent="0.35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1" t="s">
        <v>20</v>
      </c>
      <c r="L5" s="151" t="s">
        <v>20</v>
      </c>
      <c r="M5" s="151" t="s">
        <v>20</v>
      </c>
      <c r="N5" s="151" t="s">
        <v>20</v>
      </c>
      <c r="O5" s="151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 x14ac:dyDescent="0.35">
      <c r="A6" s="34" t="s">
        <v>12</v>
      </c>
      <c r="B6" s="33" t="s">
        <v>21</v>
      </c>
      <c r="C6" s="144" t="s">
        <v>7</v>
      </c>
      <c r="D6" s="151" t="s">
        <v>20</v>
      </c>
      <c r="E6" s="151" t="s">
        <v>20</v>
      </c>
      <c r="F6" s="151" t="s">
        <v>20</v>
      </c>
      <c r="G6" s="151" t="s">
        <v>20</v>
      </c>
      <c r="H6" s="151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1" t="s">
        <v>20</v>
      </c>
      <c r="S6" s="151" t="s">
        <v>20</v>
      </c>
      <c r="T6" s="151" t="s">
        <v>20</v>
      </c>
      <c r="U6" s="151" t="s">
        <v>20</v>
      </c>
      <c r="V6" s="151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 x14ac:dyDescent="0.35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1" t="s">
        <v>20</v>
      </c>
      <c r="Z7" s="151" t="s">
        <v>20</v>
      </c>
      <c r="AA7" s="151" t="s">
        <v>20</v>
      </c>
      <c r="AB7" s="151" t="s">
        <v>20</v>
      </c>
      <c r="AC7" s="151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1" t="s">
        <v>20</v>
      </c>
      <c r="AG8" s="151" t="s">
        <v>20</v>
      </c>
      <c r="AH8"/>
    </row>
    <row r="9" spans="1:34" x14ac:dyDescent="0.35">
      <c r="A9" s="34"/>
      <c r="C9" s="152"/>
      <c r="D9" s="152"/>
      <c r="E9" s="153"/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  <c r="AD9" s="153"/>
      <c r="AE9" s="152"/>
      <c r="AF9" s="152"/>
      <c r="AG9" s="152"/>
      <c r="AH9"/>
    </row>
    <row r="10" spans="1:34" x14ac:dyDescent="0.35">
      <c r="A10" s="34" t="s">
        <v>12</v>
      </c>
      <c r="B10" s="33" t="s">
        <v>105</v>
      </c>
      <c r="C10" s="136" t="s">
        <v>7</v>
      </c>
      <c r="D10" s="154" t="s">
        <v>16</v>
      </c>
      <c r="E10" s="154" t="s">
        <v>16</v>
      </c>
      <c r="F10" s="154" t="s">
        <v>16</v>
      </c>
      <c r="G10" s="154" t="s">
        <v>16</v>
      </c>
      <c r="H10" s="154" t="s">
        <v>16</v>
      </c>
      <c r="I10" s="154" t="s">
        <v>17</v>
      </c>
      <c r="J10" s="154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7" t="s">
        <v>17</v>
      </c>
      <c r="Q10" s="167" t="s">
        <v>17</v>
      </c>
      <c r="R10" s="155" t="s">
        <v>20</v>
      </c>
      <c r="S10" s="155" t="s">
        <v>20</v>
      </c>
      <c r="T10" s="155" t="s">
        <v>20</v>
      </c>
      <c r="U10" s="155" t="s">
        <v>20</v>
      </c>
      <c r="V10" s="167" t="s">
        <v>16</v>
      </c>
      <c r="W10" s="163" t="s">
        <v>7</v>
      </c>
      <c r="X10" s="163" t="s">
        <v>7</v>
      </c>
      <c r="Y10" s="167" t="s">
        <v>20</v>
      </c>
      <c r="Z10" s="167" t="s">
        <v>20</v>
      </c>
      <c r="AA10" s="167" t="s">
        <v>20</v>
      </c>
      <c r="AB10" s="167" t="s">
        <v>20</v>
      </c>
      <c r="AC10" s="167" t="s">
        <v>20</v>
      </c>
      <c r="AD10" s="168" t="s">
        <v>7</v>
      </c>
      <c r="AE10" s="168" t="s">
        <v>7</v>
      </c>
      <c r="AF10" s="136" t="s">
        <v>7</v>
      </c>
      <c r="AG10" s="136" t="s">
        <v>7</v>
      </c>
      <c r="AH10"/>
    </row>
    <row r="11" spans="1:34" x14ac:dyDescent="0.35">
      <c r="A11" s="34" t="s">
        <v>12</v>
      </c>
      <c r="B11" s="33" t="s">
        <v>53</v>
      </c>
      <c r="C11" s="154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4" t="s">
        <v>16</v>
      </c>
      <c r="L11" s="154" t="s">
        <v>16</v>
      </c>
      <c r="M11" s="154" t="s">
        <v>16</v>
      </c>
      <c r="N11" s="154" t="s">
        <v>16</v>
      </c>
      <c r="O11" s="154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7" t="s">
        <v>16</v>
      </c>
      <c r="Z11" s="167" t="s">
        <v>16</v>
      </c>
      <c r="AA11" s="167" t="s">
        <v>16</v>
      </c>
      <c r="AB11" s="167" t="s">
        <v>16</v>
      </c>
      <c r="AC11" s="167" t="s">
        <v>16</v>
      </c>
      <c r="AD11" s="167" t="s">
        <v>17</v>
      </c>
      <c r="AE11" s="167" t="s">
        <v>17</v>
      </c>
      <c r="AF11" s="154" t="s">
        <v>16</v>
      </c>
      <c r="AG11" s="154" t="s">
        <v>16</v>
      </c>
      <c r="AH11"/>
    </row>
    <row r="12" spans="1:34" x14ac:dyDescent="0.35">
      <c r="A12" s="34" t="s">
        <v>12</v>
      </c>
      <c r="B12" s="33" t="s">
        <v>24</v>
      </c>
      <c r="C12" s="154" t="s">
        <v>17</v>
      </c>
      <c r="D12" s="154" t="s">
        <v>16</v>
      </c>
      <c r="E12" s="154" t="s">
        <v>16</v>
      </c>
      <c r="F12" s="154" t="s">
        <v>16</v>
      </c>
      <c r="G12" s="154" t="s">
        <v>16</v>
      </c>
      <c r="H12" s="154" t="s">
        <v>16</v>
      </c>
      <c r="I12" s="154" t="s">
        <v>17</v>
      </c>
      <c r="J12" s="154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4" t="s">
        <v>16</v>
      </c>
      <c r="S12" s="154" t="s">
        <v>16</v>
      </c>
      <c r="T12" s="154" t="s">
        <v>16</v>
      </c>
      <c r="U12" s="154" t="s">
        <v>16</v>
      </c>
      <c r="V12" s="167" t="s">
        <v>20</v>
      </c>
      <c r="W12" s="154" t="s">
        <v>17</v>
      </c>
      <c r="X12" s="154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5" t="s">
        <v>20</v>
      </c>
      <c r="AG12" s="155" t="s">
        <v>20</v>
      </c>
      <c r="AH12"/>
    </row>
    <row r="13" spans="1:34" x14ac:dyDescent="0.35">
      <c r="A13" s="34" t="s">
        <v>12</v>
      </c>
      <c r="B13" s="33" t="s">
        <v>84</v>
      </c>
      <c r="C13" s="136" t="s">
        <v>7</v>
      </c>
      <c r="D13" s="155" t="s">
        <v>20</v>
      </c>
      <c r="E13" s="155" t="s">
        <v>20</v>
      </c>
      <c r="F13" s="155" t="s">
        <v>20</v>
      </c>
      <c r="G13" s="155" t="s">
        <v>20</v>
      </c>
      <c r="H13" s="155" t="s">
        <v>20</v>
      </c>
      <c r="I13" s="136" t="s">
        <v>7</v>
      </c>
      <c r="J13" s="136" t="s">
        <v>7</v>
      </c>
      <c r="K13" s="154" t="s">
        <v>16</v>
      </c>
      <c r="L13" s="154" t="s">
        <v>16</v>
      </c>
      <c r="M13" s="154" t="s">
        <v>16</v>
      </c>
      <c r="N13" s="154" t="s">
        <v>16</v>
      </c>
      <c r="O13" s="154" t="s">
        <v>16</v>
      </c>
      <c r="P13" s="154" t="s">
        <v>17</v>
      </c>
      <c r="Q13" s="154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4" t="s">
        <v>16</v>
      </c>
      <c r="Z13" s="154" t="s">
        <v>16</v>
      </c>
      <c r="AA13" s="154" t="s">
        <v>16</v>
      </c>
      <c r="AB13" s="154" t="s">
        <v>16</v>
      </c>
      <c r="AC13" s="154" t="s">
        <v>16</v>
      </c>
      <c r="AD13" s="154" t="s">
        <v>17</v>
      </c>
      <c r="AE13" s="154" t="s">
        <v>17</v>
      </c>
      <c r="AF13" s="136" t="s">
        <v>7</v>
      </c>
      <c r="AG13" s="136" t="s">
        <v>7</v>
      </c>
      <c r="AH13"/>
    </row>
    <row r="14" spans="1:34" x14ac:dyDescent="0.35">
      <c r="A14" s="34" t="s">
        <v>12</v>
      </c>
      <c r="B14" s="33" t="s">
        <v>106</v>
      </c>
      <c r="C14" s="163" t="s">
        <v>7</v>
      </c>
      <c r="D14" s="164" t="s">
        <v>20</v>
      </c>
      <c r="E14" s="164" t="s">
        <v>20</v>
      </c>
      <c r="F14" s="164" t="s">
        <v>20</v>
      </c>
      <c r="G14" s="164" t="s">
        <v>20</v>
      </c>
      <c r="H14" s="164" t="s">
        <v>20</v>
      </c>
      <c r="I14" s="157" t="s">
        <v>7</v>
      </c>
      <c r="J14" s="157" t="s">
        <v>7</v>
      </c>
      <c r="K14" s="158" t="s">
        <v>20</v>
      </c>
      <c r="L14" s="158" t="s">
        <v>20</v>
      </c>
      <c r="M14" s="158" t="s">
        <v>20</v>
      </c>
      <c r="N14" s="158" t="s">
        <v>20</v>
      </c>
      <c r="O14" s="158" t="s">
        <v>20</v>
      </c>
      <c r="P14" s="157" t="s">
        <v>7</v>
      </c>
      <c r="Q14" s="157" t="s">
        <v>7</v>
      </c>
      <c r="R14" s="156" t="s">
        <v>16</v>
      </c>
      <c r="S14" s="156" t="s">
        <v>16</v>
      </c>
      <c r="T14" s="156" t="s">
        <v>16</v>
      </c>
      <c r="U14" s="156" t="s">
        <v>16</v>
      </c>
      <c r="V14" s="156" t="s">
        <v>16</v>
      </c>
      <c r="W14" s="165" t="s">
        <v>17</v>
      </c>
      <c r="X14" s="165" t="s">
        <v>17</v>
      </c>
      <c r="Y14" s="157" t="s">
        <v>7</v>
      </c>
      <c r="Z14" s="157" t="s">
        <v>7</v>
      </c>
      <c r="AA14" s="157" t="s">
        <v>7</v>
      </c>
      <c r="AB14" s="157" t="s">
        <v>7</v>
      </c>
      <c r="AC14" s="157" t="s">
        <v>7</v>
      </c>
      <c r="AD14" s="166" t="s">
        <v>7</v>
      </c>
      <c r="AE14" s="166" t="s">
        <v>7</v>
      </c>
      <c r="AF14" s="156" t="s">
        <v>16</v>
      </c>
      <c r="AG14" s="156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3" t="s">
        <v>29</v>
      </c>
      <c r="C17" s="159" t="s">
        <v>30</v>
      </c>
      <c r="D17" s="160" t="s">
        <v>85</v>
      </c>
      <c r="E17" s="160" t="s">
        <v>85</v>
      </c>
      <c r="F17" s="160" t="s">
        <v>85</v>
      </c>
      <c r="G17" s="160" t="s">
        <v>85</v>
      </c>
      <c r="H17" s="160" t="s">
        <v>85</v>
      </c>
      <c r="I17" s="161" t="s">
        <v>30</v>
      </c>
      <c r="J17" s="161" t="s">
        <v>30</v>
      </c>
      <c r="K17" s="145" t="s">
        <v>61</v>
      </c>
      <c r="L17" s="121" t="s">
        <v>11</v>
      </c>
      <c r="M17" s="121" t="s">
        <v>11</v>
      </c>
      <c r="N17" s="121" t="s">
        <v>11</v>
      </c>
      <c r="O17" s="121" t="s">
        <v>11</v>
      </c>
      <c r="P17" s="159" t="s">
        <v>7</v>
      </c>
      <c r="Q17" s="159" t="s">
        <v>7</v>
      </c>
      <c r="R17" s="121" t="s">
        <v>54</v>
      </c>
      <c r="S17" s="160" t="s">
        <v>54</v>
      </c>
      <c r="T17" s="160" t="s">
        <v>54</v>
      </c>
      <c r="U17" s="160" t="s">
        <v>54</v>
      </c>
      <c r="V17" s="160" t="s">
        <v>54</v>
      </c>
      <c r="W17" s="159" t="s">
        <v>7</v>
      </c>
      <c r="X17" s="159" t="s">
        <v>7</v>
      </c>
      <c r="Y17" s="160" t="s">
        <v>85</v>
      </c>
      <c r="Z17" s="160" t="s">
        <v>85</v>
      </c>
      <c r="AA17" s="160" t="s">
        <v>85</v>
      </c>
      <c r="AB17" s="160" t="s">
        <v>85</v>
      </c>
      <c r="AC17" s="160" t="s">
        <v>85</v>
      </c>
      <c r="AD17" s="161" t="s">
        <v>30</v>
      </c>
      <c r="AE17" s="161" t="s">
        <v>30</v>
      </c>
      <c r="AF17" s="162" t="s">
        <v>11</v>
      </c>
      <c r="AG17" s="162" t="s">
        <v>11</v>
      </c>
      <c r="AH17"/>
    </row>
    <row r="18" spans="1:34" x14ac:dyDescent="0.35">
      <c r="A18" s="34" t="s">
        <v>28</v>
      </c>
      <c r="B18" s="35" t="s">
        <v>60</v>
      </c>
      <c r="C18" s="144" t="s">
        <v>7</v>
      </c>
      <c r="D18" s="145" t="s">
        <v>54</v>
      </c>
      <c r="E18" s="145" t="s">
        <v>54</v>
      </c>
      <c r="F18" s="145" t="s">
        <v>54</v>
      </c>
      <c r="G18" s="145" t="s">
        <v>54</v>
      </c>
      <c r="H18" s="145" t="s">
        <v>54</v>
      </c>
      <c r="I18" s="144" t="s">
        <v>7</v>
      </c>
      <c r="J18" s="144" t="s">
        <v>7</v>
      </c>
      <c r="K18" s="162" t="s">
        <v>32</v>
      </c>
      <c r="L18" s="160" t="s">
        <v>85</v>
      </c>
      <c r="M18" s="160" t="s">
        <v>85</v>
      </c>
      <c r="N18" s="160" t="s">
        <v>85</v>
      </c>
      <c r="O18" s="160" t="s">
        <v>85</v>
      </c>
      <c r="P18" s="146" t="s">
        <v>30</v>
      </c>
      <c r="Q18" s="146" t="s">
        <v>30</v>
      </c>
      <c r="R18" s="160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4" t="s">
        <v>7</v>
      </c>
      <c r="X18" s="144" t="s">
        <v>7</v>
      </c>
      <c r="Y18" s="145" t="s">
        <v>54</v>
      </c>
      <c r="Z18" s="145" t="s">
        <v>54</v>
      </c>
      <c r="AA18" s="145" t="s">
        <v>54</v>
      </c>
      <c r="AB18" s="145" t="s">
        <v>54</v>
      </c>
      <c r="AC18" s="145" t="s">
        <v>54</v>
      </c>
      <c r="AD18" s="144" t="s">
        <v>7</v>
      </c>
      <c r="AE18" s="144" t="s">
        <v>7</v>
      </c>
      <c r="AF18" s="145" t="s">
        <v>85</v>
      </c>
      <c r="AG18" s="145" t="s">
        <v>85</v>
      </c>
      <c r="AH18"/>
    </row>
    <row r="19" spans="1:34" x14ac:dyDescent="0.35">
      <c r="A19" s="34" t="s">
        <v>28</v>
      </c>
      <c r="B19" s="62" t="s">
        <v>13</v>
      </c>
      <c r="C19" s="144" t="s">
        <v>7</v>
      </c>
      <c r="D19" s="121" t="s">
        <v>11</v>
      </c>
      <c r="E19" s="121" t="s">
        <v>11</v>
      </c>
      <c r="F19" s="121" t="s">
        <v>11</v>
      </c>
      <c r="G19" s="121" t="s">
        <v>11</v>
      </c>
      <c r="H19" s="121" t="s">
        <v>11</v>
      </c>
      <c r="I19" s="144" t="s">
        <v>7</v>
      </c>
      <c r="J19" s="144" t="s">
        <v>7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145" t="s">
        <v>54</v>
      </c>
      <c r="P19" s="144" t="s">
        <v>7</v>
      </c>
      <c r="Q19" s="144" t="s">
        <v>7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145" t="s">
        <v>85</v>
      </c>
      <c r="W19" s="146" t="s">
        <v>30</v>
      </c>
      <c r="X19" s="146" t="s">
        <v>30</v>
      </c>
      <c r="Y19" s="121" t="s">
        <v>11</v>
      </c>
      <c r="Z19" s="121" t="s">
        <v>11</v>
      </c>
      <c r="AA19" s="121" t="s">
        <v>11</v>
      </c>
      <c r="AB19" s="121" t="s">
        <v>11</v>
      </c>
      <c r="AC19" s="121" t="s">
        <v>11</v>
      </c>
      <c r="AD19" s="144" t="s">
        <v>7</v>
      </c>
      <c r="AE19" s="144" t="s">
        <v>7</v>
      </c>
      <c r="AF19" s="145" t="s">
        <v>54</v>
      </c>
      <c r="AG19" s="145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4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40"/>
  <sheetViews>
    <sheetView workbookViewId="0">
      <selection activeCell="AF5" sqref="AF5"/>
    </sheetView>
  </sheetViews>
  <sheetFormatPr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69"/>
      <c r="C1" s="170" t="s">
        <v>107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3" x14ac:dyDescent="0.35">
      <c r="A2" s="6"/>
      <c r="B2" s="169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104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109" t="s">
        <v>4</v>
      </c>
      <c r="S4" s="28" t="s">
        <v>7</v>
      </c>
      <c r="T4" s="28" t="s">
        <v>7</v>
      </c>
      <c r="U4" s="28" t="s">
        <v>7</v>
      </c>
      <c r="V4" s="121" t="s">
        <v>14</v>
      </c>
      <c r="W4" s="121" t="s">
        <v>14</v>
      </c>
      <c r="X4" s="121" t="s">
        <v>14</v>
      </c>
      <c r="Y4" s="121" t="s">
        <v>14</v>
      </c>
      <c r="Z4" s="121" t="s">
        <v>14</v>
      </c>
      <c r="AA4" s="137" t="s">
        <v>15</v>
      </c>
      <c r="AB4" s="137" t="s">
        <v>15</v>
      </c>
      <c r="AC4" s="28" t="s">
        <v>7</v>
      </c>
      <c r="AD4" s="28" t="s">
        <v>7</v>
      </c>
      <c r="AE4" s="28" t="s">
        <v>7</v>
      </c>
      <c r="AF4" s="109" t="s">
        <v>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109" t="s">
        <v>4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/>
    </row>
    <row r="6" spans="1:33" x14ac:dyDescent="0.35">
      <c r="A6" s="34" t="s">
        <v>12</v>
      </c>
      <c r="B6" s="33" t="s">
        <v>190</v>
      </c>
      <c r="C6" s="28" t="s">
        <v>7</v>
      </c>
      <c r="D6" s="109" t="s">
        <v>4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28" t="s">
        <v>7</v>
      </c>
      <c r="N6" s="28" t="s">
        <v>7</v>
      </c>
      <c r="O6" s="5" t="s">
        <v>14</v>
      </c>
      <c r="P6" s="5" t="s">
        <v>14</v>
      </c>
      <c r="Q6" s="5" t="s">
        <v>14</v>
      </c>
      <c r="R6" s="5" t="s">
        <v>14</v>
      </c>
      <c r="S6" s="5" t="s">
        <v>14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59</v>
      </c>
      <c r="C7" s="7" t="s">
        <v>20</v>
      </c>
      <c r="D7" s="7" t="s">
        <v>20</v>
      </c>
      <c r="E7" s="7" t="s">
        <v>20</v>
      </c>
      <c r="F7" s="28" t="s">
        <v>7</v>
      </c>
      <c r="G7" s="28" t="s">
        <v>7</v>
      </c>
      <c r="H7" s="1" t="s">
        <v>14</v>
      </c>
      <c r="I7" s="1" t="s">
        <v>14</v>
      </c>
      <c r="J7" s="1" t="s">
        <v>14</v>
      </c>
      <c r="K7" s="1" t="s">
        <v>14</v>
      </c>
      <c r="L7" s="1" t="s">
        <v>14</v>
      </c>
      <c r="M7" s="5" t="s">
        <v>15</v>
      </c>
      <c r="N7" s="5" t="s">
        <v>15</v>
      </c>
      <c r="O7" s="28" t="s">
        <v>7</v>
      </c>
      <c r="P7" s="28" t="s">
        <v>7</v>
      </c>
      <c r="Q7" s="28" t="s">
        <v>7</v>
      </c>
      <c r="R7" s="28" t="s">
        <v>7</v>
      </c>
      <c r="S7" s="109" t="s">
        <v>4</v>
      </c>
      <c r="T7" s="28" t="s">
        <v>7</v>
      </c>
      <c r="U7" s="28" t="s">
        <v>7</v>
      </c>
      <c r="V7" s="5" t="s">
        <v>14</v>
      </c>
      <c r="W7" s="5" t="s">
        <v>14</v>
      </c>
      <c r="X7" s="5" t="s">
        <v>14</v>
      </c>
      <c r="Y7" s="5" t="s">
        <v>14</v>
      </c>
      <c r="Z7" s="5" t="s">
        <v>14</v>
      </c>
      <c r="AA7" s="5" t="s">
        <v>15</v>
      </c>
      <c r="AB7" s="5" t="s">
        <v>15</v>
      </c>
      <c r="AC7" s="28" t="s">
        <v>7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/>
      <c r="AG8"/>
    </row>
    <row r="9" spans="1:33" x14ac:dyDescent="0.35">
      <c r="A9" s="34" t="s">
        <v>12</v>
      </c>
      <c r="B9" s="33" t="s">
        <v>105</v>
      </c>
      <c r="C9" s="124" t="s">
        <v>7</v>
      </c>
      <c r="D9" s="124" t="s">
        <v>7</v>
      </c>
      <c r="E9" s="124" t="s">
        <v>7</v>
      </c>
      <c r="F9" s="124" t="s">
        <v>7</v>
      </c>
      <c r="G9" s="124" t="s">
        <v>7</v>
      </c>
      <c r="H9" s="130" t="s">
        <v>16</v>
      </c>
      <c r="I9" s="130" t="s">
        <v>16</v>
      </c>
      <c r="J9" s="130" t="s">
        <v>16</v>
      </c>
      <c r="K9" s="130" t="s">
        <v>16</v>
      </c>
      <c r="L9" s="130" t="s">
        <v>16</v>
      </c>
      <c r="M9" s="130" t="s">
        <v>17</v>
      </c>
      <c r="N9" s="130" t="s">
        <v>17</v>
      </c>
      <c r="O9" s="124" t="s">
        <v>7</v>
      </c>
      <c r="P9" s="124" t="s">
        <v>7</v>
      </c>
      <c r="Q9" s="124" t="s">
        <v>7</v>
      </c>
      <c r="R9" s="124" t="s">
        <v>7</v>
      </c>
      <c r="S9" s="124" t="s">
        <v>7</v>
      </c>
      <c r="T9" s="124" t="s">
        <v>7</v>
      </c>
      <c r="U9" s="124" t="s">
        <v>7</v>
      </c>
      <c r="V9" s="125" t="s">
        <v>20</v>
      </c>
      <c r="W9" s="125" t="s">
        <v>20</v>
      </c>
      <c r="X9" s="125" t="s">
        <v>20</v>
      </c>
      <c r="Y9" s="125" t="s">
        <v>20</v>
      </c>
      <c r="Z9" s="125" t="s">
        <v>20</v>
      </c>
      <c r="AA9" s="124" t="s">
        <v>7</v>
      </c>
      <c r="AB9" s="124" t="s">
        <v>7</v>
      </c>
      <c r="AC9" s="130" t="s">
        <v>16</v>
      </c>
      <c r="AD9" s="130" t="s">
        <v>16</v>
      </c>
      <c r="AE9" s="130" t="s">
        <v>16</v>
      </c>
      <c r="AF9" s="130" t="s">
        <v>16</v>
      </c>
      <c r="AG9"/>
    </row>
    <row r="10" spans="1:33" x14ac:dyDescent="0.35">
      <c r="A10" s="34" t="s">
        <v>12</v>
      </c>
      <c r="B10" s="33" t="s">
        <v>53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16</v>
      </c>
      <c r="T10" s="130" t="s">
        <v>17</v>
      </c>
      <c r="U10" s="130" t="s">
        <v>17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5" t="s">
        <v>20</v>
      </c>
      <c r="AD10" s="125" t="s">
        <v>20</v>
      </c>
      <c r="AE10" s="125" t="s">
        <v>20</v>
      </c>
      <c r="AF10" s="125" t="s">
        <v>20</v>
      </c>
      <c r="AG10"/>
    </row>
    <row r="11" spans="1:33" x14ac:dyDescent="0.35">
      <c r="A11" s="34" t="s">
        <v>12</v>
      </c>
      <c r="B11" s="33" t="s">
        <v>24</v>
      </c>
      <c r="C11" s="125" t="s">
        <v>20</v>
      </c>
      <c r="D11" s="125" t="s">
        <v>20</v>
      </c>
      <c r="E11" s="125" t="s">
        <v>20</v>
      </c>
      <c r="F11" s="124" t="s">
        <v>7</v>
      </c>
      <c r="G11" s="124" t="s">
        <v>7</v>
      </c>
      <c r="H11" s="130" t="s">
        <v>16</v>
      </c>
      <c r="I11" s="130" t="s">
        <v>16</v>
      </c>
      <c r="J11" s="130" t="s">
        <v>16</v>
      </c>
      <c r="K11" s="130" t="s">
        <v>16</v>
      </c>
      <c r="L11" s="130" t="s">
        <v>16</v>
      </c>
      <c r="M11" s="130" t="s">
        <v>17</v>
      </c>
      <c r="N11" s="130" t="s">
        <v>17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16</v>
      </c>
      <c r="AA11" s="130" t="s">
        <v>17</v>
      </c>
      <c r="AB11" s="130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84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5" t="s">
        <v>20</v>
      </c>
      <c r="I12" s="125" t="s">
        <v>20</v>
      </c>
      <c r="J12" s="125" t="s">
        <v>20</v>
      </c>
      <c r="K12" s="125" t="s">
        <v>20</v>
      </c>
      <c r="L12" s="125" t="s">
        <v>20</v>
      </c>
      <c r="M12" s="124" t="s">
        <v>7</v>
      </c>
      <c r="N12" s="124" t="s">
        <v>7</v>
      </c>
      <c r="O12" s="130" t="s">
        <v>16</v>
      </c>
      <c r="P12" s="130" t="s">
        <v>16</v>
      </c>
      <c r="Q12" s="130" t="s">
        <v>16</v>
      </c>
      <c r="R12" s="130" t="s">
        <v>16</v>
      </c>
      <c r="S12" s="130" t="s">
        <v>16</v>
      </c>
      <c r="T12" s="130" t="s">
        <v>17</v>
      </c>
      <c r="U12" s="130" t="s">
        <v>17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/>
    </row>
    <row r="13" spans="1:33" x14ac:dyDescent="0.35">
      <c r="A13" s="34" t="s">
        <v>12</v>
      </c>
      <c r="B13" s="33" t="s">
        <v>106</v>
      </c>
      <c r="C13" s="130" t="s">
        <v>16</v>
      </c>
      <c r="D13" s="130" t="s">
        <v>16</v>
      </c>
      <c r="E13" s="130" t="s">
        <v>16</v>
      </c>
      <c r="F13" s="130" t="s">
        <v>17</v>
      </c>
      <c r="G13" s="130" t="s">
        <v>17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5" t="s">
        <v>20</v>
      </c>
      <c r="P13" s="125" t="s">
        <v>20</v>
      </c>
      <c r="Q13" s="125" t="s">
        <v>20</v>
      </c>
      <c r="R13" s="125" t="s">
        <v>20</v>
      </c>
      <c r="S13" s="125" t="s">
        <v>20</v>
      </c>
      <c r="T13" s="124" t="s">
        <v>7</v>
      </c>
      <c r="U13" s="124" t="s">
        <v>7</v>
      </c>
      <c r="V13" s="130" t="s">
        <v>16</v>
      </c>
      <c r="W13" s="130" t="s">
        <v>16</v>
      </c>
      <c r="X13" s="130" t="s">
        <v>16</v>
      </c>
      <c r="Y13" s="130" t="s">
        <v>16</v>
      </c>
      <c r="Z13" s="130" t="s">
        <v>16</v>
      </c>
      <c r="AA13" s="130" t="s">
        <v>17</v>
      </c>
      <c r="AB13" s="130" t="s">
        <v>17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/>
      <c r="B14" s="33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/>
    </row>
    <row r="15" spans="1:33" x14ac:dyDescent="0.35">
      <c r="A15" s="34"/>
      <c r="B15" s="33" t="s">
        <v>22</v>
      </c>
      <c r="C15" s="1" t="s">
        <v>14</v>
      </c>
      <c r="D15" s="5" t="s">
        <v>14</v>
      </c>
      <c r="E15" s="5" t="s">
        <v>14</v>
      </c>
      <c r="F15" s="5" t="s">
        <v>15</v>
      </c>
      <c r="G15" s="5" t="s">
        <v>15</v>
      </c>
      <c r="H15" s="28" t="s">
        <v>7</v>
      </c>
      <c r="I15" s="28" t="s">
        <v>7</v>
      </c>
      <c r="J15" s="28" t="s">
        <v>7</v>
      </c>
      <c r="K15" s="28" t="s">
        <v>7</v>
      </c>
      <c r="L15" s="109" t="s">
        <v>4</v>
      </c>
      <c r="M15" s="28" t="s">
        <v>7</v>
      </c>
      <c r="N15" s="28" t="s">
        <v>7</v>
      </c>
      <c r="O15" s="130" t="s">
        <v>16</v>
      </c>
      <c r="P15" s="130" t="s">
        <v>16</v>
      </c>
      <c r="Q15" s="130" t="s">
        <v>16</v>
      </c>
      <c r="R15" s="130" t="s">
        <v>16</v>
      </c>
      <c r="S15" s="130" t="s">
        <v>16</v>
      </c>
      <c r="T15" s="130" t="s">
        <v>17</v>
      </c>
      <c r="U15" s="130" t="s">
        <v>17</v>
      </c>
      <c r="V15" s="28" t="s">
        <v>7</v>
      </c>
      <c r="W15" s="28" t="s">
        <v>7</v>
      </c>
      <c r="X15" s="28" t="s">
        <v>7</v>
      </c>
      <c r="Y15" s="28" t="s">
        <v>7</v>
      </c>
      <c r="Z15" s="109" t="s">
        <v>4</v>
      </c>
      <c r="AA15" s="28" t="s">
        <v>7</v>
      </c>
      <c r="AB15" s="28" t="s">
        <v>7</v>
      </c>
      <c r="AC15" s="130" t="s">
        <v>16</v>
      </c>
      <c r="AD15" s="130" t="s">
        <v>16</v>
      </c>
      <c r="AE15" s="130" t="s">
        <v>16</v>
      </c>
      <c r="AF15" s="130" t="s">
        <v>16</v>
      </c>
      <c r="AG15"/>
    </row>
    <row r="16" spans="1:33" x14ac:dyDescent="0.35">
      <c r="A16" s="34"/>
      <c r="B16" s="33" t="s">
        <v>21</v>
      </c>
      <c r="C16" s="28" t="s">
        <v>7</v>
      </c>
      <c r="D16" s="109" t="s">
        <v>4</v>
      </c>
      <c r="E16" s="28" t="s">
        <v>7</v>
      </c>
      <c r="F16" s="28" t="s">
        <v>7</v>
      </c>
      <c r="G16" s="28" t="s">
        <v>7</v>
      </c>
      <c r="H16" s="130" t="s">
        <v>16</v>
      </c>
      <c r="I16" s="130" t="s">
        <v>16</v>
      </c>
      <c r="J16" s="130" t="s">
        <v>16</v>
      </c>
      <c r="K16" s="130" t="s">
        <v>16</v>
      </c>
      <c r="L16" s="130" t="s">
        <v>16</v>
      </c>
      <c r="M16" s="130" t="s">
        <v>17</v>
      </c>
      <c r="N16" s="130" t="s">
        <v>17</v>
      </c>
      <c r="O16" s="28" t="s">
        <v>7</v>
      </c>
      <c r="P16" s="28" t="s">
        <v>7</v>
      </c>
      <c r="Q16" s="28" t="s">
        <v>7</v>
      </c>
      <c r="R16" s="28" t="s">
        <v>7</v>
      </c>
      <c r="S16" s="109" t="s">
        <v>4</v>
      </c>
      <c r="T16" s="28" t="s">
        <v>7</v>
      </c>
      <c r="U16" s="28" t="s">
        <v>7</v>
      </c>
      <c r="V16" s="130" t="s">
        <v>16</v>
      </c>
      <c r="W16" s="130" t="s">
        <v>16</v>
      </c>
      <c r="X16" s="130" t="s">
        <v>16</v>
      </c>
      <c r="Y16" s="130" t="s">
        <v>16</v>
      </c>
      <c r="Z16" s="130" t="s">
        <v>16</v>
      </c>
      <c r="AA16" s="130" t="s">
        <v>17</v>
      </c>
      <c r="AB16" s="130" t="s">
        <v>17</v>
      </c>
      <c r="AC16" s="28" t="s">
        <v>7</v>
      </c>
      <c r="AD16" s="28" t="s">
        <v>7</v>
      </c>
      <c r="AE16" s="28" t="s">
        <v>7</v>
      </c>
      <c r="AF16" s="28" t="s">
        <v>7</v>
      </c>
      <c r="AG16"/>
    </row>
    <row r="17" spans="1:33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G17"/>
    </row>
    <row r="18" spans="1:33" x14ac:dyDescent="0.35">
      <c r="A18" s="34"/>
      <c r="E18" s="50"/>
      <c r="F18" s="50"/>
      <c r="G18" s="50"/>
      <c r="H18" s="122"/>
      <c r="I18" s="122"/>
      <c r="J18" s="122"/>
      <c r="K18" s="122"/>
      <c r="L18" s="122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122"/>
      <c r="AD18" s="122"/>
      <c r="AG18"/>
    </row>
    <row r="19" spans="1:33" x14ac:dyDescent="0.35">
      <c r="A19" s="34" t="s">
        <v>28</v>
      </c>
      <c r="B19" s="33" t="s">
        <v>29</v>
      </c>
      <c r="C19" s="162" t="s">
        <v>11</v>
      </c>
      <c r="D19" s="28" t="s">
        <v>7</v>
      </c>
      <c r="E19" s="28" t="s">
        <v>7</v>
      </c>
      <c r="F19" s="28" t="s">
        <v>7</v>
      </c>
      <c r="G19" s="28" t="s">
        <v>7</v>
      </c>
      <c r="H19" s="145" t="s">
        <v>54</v>
      </c>
      <c r="I19" s="145" t="s">
        <v>54</v>
      </c>
      <c r="J19" s="145" t="s">
        <v>54</v>
      </c>
      <c r="K19" s="145" t="s">
        <v>54</v>
      </c>
      <c r="L19" s="145" t="s">
        <v>54</v>
      </c>
      <c r="M19" s="28" t="s">
        <v>7</v>
      </c>
      <c r="N19" s="28" t="s">
        <v>7</v>
      </c>
      <c r="O19" s="145" t="s">
        <v>85</v>
      </c>
      <c r="P19" s="145" t="s">
        <v>85</v>
      </c>
      <c r="Q19" s="145" t="s">
        <v>85</v>
      </c>
      <c r="R19" s="145" t="s">
        <v>85</v>
      </c>
      <c r="S19" s="145" t="s">
        <v>85</v>
      </c>
      <c r="T19" s="28" t="s">
        <v>30</v>
      </c>
      <c r="U19" s="28" t="s">
        <v>30</v>
      </c>
      <c r="V19" s="162" t="s">
        <v>11</v>
      </c>
      <c r="W19" s="162" t="s">
        <v>11</v>
      </c>
      <c r="X19" s="162" t="s">
        <v>11</v>
      </c>
      <c r="Y19" s="162" t="s">
        <v>11</v>
      </c>
      <c r="Z19" s="162" t="s">
        <v>11</v>
      </c>
      <c r="AA19" s="28" t="s">
        <v>7</v>
      </c>
      <c r="AB19" s="28" t="s">
        <v>7</v>
      </c>
      <c r="AC19" s="145" t="s">
        <v>54</v>
      </c>
      <c r="AD19" s="145" t="s">
        <v>54</v>
      </c>
      <c r="AE19" s="145" t="s">
        <v>54</v>
      </c>
      <c r="AF19" s="145" t="s">
        <v>54</v>
      </c>
      <c r="AG19"/>
    </row>
    <row r="20" spans="1:33" x14ac:dyDescent="0.35">
      <c r="A20" s="34" t="s">
        <v>28</v>
      </c>
      <c r="B20" s="35" t="s">
        <v>60</v>
      </c>
      <c r="C20" s="145" t="s">
        <v>85</v>
      </c>
      <c r="D20" s="28" t="s">
        <v>30</v>
      </c>
      <c r="E20" s="28" t="s">
        <v>30</v>
      </c>
      <c r="F20" s="28" t="s">
        <v>30</v>
      </c>
      <c r="G20" s="28" t="s">
        <v>30</v>
      </c>
      <c r="H20" s="162" t="s">
        <v>11</v>
      </c>
      <c r="I20" s="162" t="s">
        <v>11</v>
      </c>
      <c r="J20" s="162" t="s">
        <v>11</v>
      </c>
      <c r="K20" s="162" t="s">
        <v>11</v>
      </c>
      <c r="L20" s="162" t="s">
        <v>11</v>
      </c>
      <c r="M20" s="28" t="s">
        <v>7</v>
      </c>
      <c r="N20" s="28" t="s">
        <v>7</v>
      </c>
      <c r="O20" s="145" t="s">
        <v>54</v>
      </c>
      <c r="P20" s="145" t="s">
        <v>54</v>
      </c>
      <c r="Q20" s="145" t="s">
        <v>54</v>
      </c>
      <c r="R20" s="145" t="s">
        <v>54</v>
      </c>
      <c r="S20" s="145" t="s">
        <v>54</v>
      </c>
      <c r="T20" s="28" t="s">
        <v>7</v>
      </c>
      <c r="U20" s="28" t="s">
        <v>7</v>
      </c>
      <c r="V20" s="145" t="s">
        <v>85</v>
      </c>
      <c r="W20" s="145" t="s">
        <v>85</v>
      </c>
      <c r="X20" s="145" t="s">
        <v>85</v>
      </c>
      <c r="Y20" s="145" t="s">
        <v>85</v>
      </c>
      <c r="Z20" s="145" t="s">
        <v>85</v>
      </c>
      <c r="AA20" s="28" t="s">
        <v>30</v>
      </c>
      <c r="AB20" s="28" t="s">
        <v>30</v>
      </c>
      <c r="AC20" s="162" t="s">
        <v>11</v>
      </c>
      <c r="AD20" s="162" t="s">
        <v>11</v>
      </c>
      <c r="AE20" s="162" t="s">
        <v>11</v>
      </c>
      <c r="AF20" s="162" t="s">
        <v>11</v>
      </c>
      <c r="AG20"/>
    </row>
    <row r="21" spans="1:33" x14ac:dyDescent="0.35">
      <c r="A21" s="34" t="s">
        <v>28</v>
      </c>
      <c r="B21" s="62" t="s">
        <v>13</v>
      </c>
      <c r="C21" s="145" t="s">
        <v>54</v>
      </c>
      <c r="D21" s="28" t="s">
        <v>7</v>
      </c>
      <c r="E21" s="28" t="s">
        <v>7</v>
      </c>
      <c r="F21" s="28" t="s">
        <v>7</v>
      </c>
      <c r="G21" s="28" t="s">
        <v>7</v>
      </c>
      <c r="H21" s="145" t="s">
        <v>85</v>
      </c>
      <c r="I21" s="145" t="s">
        <v>85</v>
      </c>
      <c r="J21" s="145" t="s">
        <v>85</v>
      </c>
      <c r="K21" s="145" t="s">
        <v>85</v>
      </c>
      <c r="L21" s="145" t="s">
        <v>85</v>
      </c>
      <c r="M21" s="28" t="s">
        <v>30</v>
      </c>
      <c r="N21" s="28" t="s">
        <v>30</v>
      </c>
      <c r="O21" s="162" t="s">
        <v>11</v>
      </c>
      <c r="P21" s="162" t="s">
        <v>11</v>
      </c>
      <c r="Q21" s="162" t="s">
        <v>11</v>
      </c>
      <c r="R21" s="162" t="s">
        <v>11</v>
      </c>
      <c r="S21" s="17" t="s">
        <v>4</v>
      </c>
      <c r="T21" s="28" t="s">
        <v>7</v>
      </c>
      <c r="U21" s="28" t="s">
        <v>7</v>
      </c>
      <c r="V21" s="145" t="s">
        <v>54</v>
      </c>
      <c r="W21" s="145" t="s">
        <v>54</v>
      </c>
      <c r="X21" s="145" t="s">
        <v>54</v>
      </c>
      <c r="Y21" s="145" t="s">
        <v>54</v>
      </c>
      <c r="Z21" s="145" t="s">
        <v>54</v>
      </c>
      <c r="AA21" s="28" t="s">
        <v>7</v>
      </c>
      <c r="AB21" s="28" t="s">
        <v>7</v>
      </c>
      <c r="AC21" s="145" t="s">
        <v>85</v>
      </c>
      <c r="AD21" s="145" t="s">
        <v>85</v>
      </c>
      <c r="AE21" s="145" t="s">
        <v>85</v>
      </c>
      <c r="AF21" s="145" t="s">
        <v>85</v>
      </c>
      <c r="AG21"/>
    </row>
    <row r="22" spans="1:33" x14ac:dyDescent="0.35">
      <c r="AG22"/>
    </row>
    <row r="23" spans="1:33" x14ac:dyDescent="0.35">
      <c r="B23" s="111" t="s">
        <v>89</v>
      </c>
      <c r="C23" s="110">
        <f t="shared" ref="C23:AF23" si="0">SUM(C24:C26)</f>
        <v>7</v>
      </c>
      <c r="D23" s="110">
        <f t="shared" si="0"/>
        <v>4</v>
      </c>
      <c r="E23" s="110">
        <f t="shared" si="0"/>
        <v>4</v>
      </c>
      <c r="F23" s="110">
        <f t="shared" si="0"/>
        <v>4</v>
      </c>
      <c r="G23" s="110">
        <f t="shared" si="0"/>
        <v>4</v>
      </c>
      <c r="H23" s="110">
        <f t="shared" si="0"/>
        <v>8</v>
      </c>
      <c r="I23" s="110">
        <f t="shared" si="0"/>
        <v>8</v>
      </c>
      <c r="J23" s="110">
        <f t="shared" si="0"/>
        <v>8</v>
      </c>
      <c r="K23" s="110">
        <f t="shared" si="0"/>
        <v>8</v>
      </c>
      <c r="L23" s="110">
        <f t="shared" si="0"/>
        <v>8</v>
      </c>
      <c r="M23" s="110">
        <f t="shared" si="0"/>
        <v>5</v>
      </c>
      <c r="N23" s="110">
        <f t="shared" si="0"/>
        <v>5</v>
      </c>
      <c r="O23" s="110">
        <f t="shared" si="0"/>
        <v>8</v>
      </c>
      <c r="P23" s="110">
        <f t="shared" si="0"/>
        <v>8</v>
      </c>
      <c r="Q23" s="110">
        <f t="shared" si="0"/>
        <v>8</v>
      </c>
      <c r="R23" s="110">
        <f t="shared" si="0"/>
        <v>8</v>
      </c>
      <c r="S23" s="110">
        <f t="shared" si="0"/>
        <v>7</v>
      </c>
      <c r="T23" s="110">
        <f t="shared" si="0"/>
        <v>4</v>
      </c>
      <c r="U23" s="110">
        <f t="shared" si="0"/>
        <v>4</v>
      </c>
      <c r="V23" s="110">
        <f t="shared" si="0"/>
        <v>8</v>
      </c>
      <c r="W23" s="110">
        <f t="shared" si="0"/>
        <v>8</v>
      </c>
      <c r="X23" s="110">
        <f t="shared" si="0"/>
        <v>8</v>
      </c>
      <c r="Y23" s="110">
        <f t="shared" si="0"/>
        <v>8</v>
      </c>
      <c r="Z23" s="110">
        <f t="shared" si="0"/>
        <v>8</v>
      </c>
      <c r="AA23" s="110">
        <f t="shared" si="0"/>
        <v>5</v>
      </c>
      <c r="AB23" s="110">
        <f t="shared" si="0"/>
        <v>5</v>
      </c>
      <c r="AC23" s="110">
        <f t="shared" si="0"/>
        <v>8</v>
      </c>
      <c r="AD23" s="110">
        <f t="shared" si="0"/>
        <v>8</v>
      </c>
      <c r="AE23" s="110">
        <f t="shared" si="0"/>
        <v>8</v>
      </c>
      <c r="AF23" s="110">
        <f t="shared" si="0"/>
        <v>8</v>
      </c>
    </row>
    <row r="24" spans="1:33" x14ac:dyDescent="0.35">
      <c r="B24" s="111" t="s">
        <v>90</v>
      </c>
      <c r="C24" s="112">
        <f>COUNTIF(C4:C21,"T")</f>
        <v>2</v>
      </c>
      <c r="D24" s="112">
        <f>COUNTIF(D4:D21,"T")</f>
        <v>2</v>
      </c>
      <c r="E24" s="112">
        <f>COUNTIF(E4:E21,"T")</f>
        <v>2</v>
      </c>
      <c r="F24" s="112">
        <f>COUNTIF(F4:F21,"T")</f>
        <v>0</v>
      </c>
      <c r="G24" s="112">
        <f>COUNTIF(G4:G21,"T")</f>
        <v>0</v>
      </c>
      <c r="H24" s="112">
        <f>COUNTIF(H4:H21,"T")</f>
        <v>2</v>
      </c>
      <c r="I24" s="112">
        <f>COUNTIF(I4:I21,"T")</f>
        <v>2</v>
      </c>
      <c r="J24" s="112">
        <f>COUNTIF(J4:J21,"T")</f>
        <v>2</v>
      </c>
      <c r="K24" s="112">
        <f>COUNTIF(K4:K21,"T")</f>
        <v>2</v>
      </c>
      <c r="L24" s="112">
        <f>COUNTIF(L4:L21,"T")</f>
        <v>2</v>
      </c>
      <c r="M24" s="112">
        <f>COUNTIF(M4:M21,"T")</f>
        <v>0</v>
      </c>
      <c r="N24" s="112">
        <f>COUNTIF(N4:N21,"T")</f>
        <v>0</v>
      </c>
      <c r="O24" s="112">
        <f>COUNTIF(O4:O21,"T")</f>
        <v>2</v>
      </c>
      <c r="P24" s="112">
        <f>COUNTIF(P4:P21,"T")</f>
        <v>2</v>
      </c>
      <c r="Q24" s="112">
        <f>COUNTIF(Q4:Q21,"T")</f>
        <v>2</v>
      </c>
      <c r="R24" s="112">
        <f>COUNTIF(R4:R21,"T")</f>
        <v>2</v>
      </c>
      <c r="S24" s="112">
        <f>COUNTIF(S4:S21,"T")</f>
        <v>2</v>
      </c>
      <c r="T24" s="112">
        <f>COUNTIF(T4:T21,"T")</f>
        <v>0</v>
      </c>
      <c r="U24" s="112">
        <f>COUNTIF(U4:U21,"T")</f>
        <v>0</v>
      </c>
      <c r="V24" s="112">
        <f>COUNTIF(V4:V21,"T")</f>
        <v>2</v>
      </c>
      <c r="W24" s="112">
        <f>COUNTIF(W4:W21,"T")</f>
        <v>2</v>
      </c>
      <c r="X24" s="112">
        <f>COUNTIF(X4:X21,"T")</f>
        <v>2</v>
      </c>
      <c r="Y24" s="112">
        <f>COUNTIF(Y4:Y21,"T")</f>
        <v>2</v>
      </c>
      <c r="Z24" s="112">
        <f>COUNTIF(Z4:Z21,"T")</f>
        <v>2</v>
      </c>
      <c r="AA24" s="112">
        <f>COUNTIF(AA4:AA21,"T")</f>
        <v>0</v>
      </c>
      <c r="AB24" s="112">
        <f>COUNTIF(AB4:AB21,"T")</f>
        <v>0</v>
      </c>
      <c r="AC24" s="112">
        <f>COUNTIF(AC4:AC21,"T")</f>
        <v>2</v>
      </c>
      <c r="AD24" s="112">
        <f>COUNTIF(AD4:AD21,"T")</f>
        <v>2</v>
      </c>
      <c r="AE24" s="112">
        <f>COUNTIF(AE4:AE21,"T")</f>
        <v>2</v>
      </c>
      <c r="AF24" s="112">
        <f>COUNTIF(AF4:AF21,"T")</f>
        <v>2</v>
      </c>
    </row>
    <row r="25" spans="1:33" x14ac:dyDescent="0.35">
      <c r="B25" s="111" t="s">
        <v>91</v>
      </c>
      <c r="C25" s="112">
        <f>COUNTIF(C4:C21,"N")+COUNTIF(C4:C21,"NF")</f>
        <v>2</v>
      </c>
      <c r="D25" s="112">
        <f>COUNTIF(D4:D21,"N")+COUNTIF(D4:D21,"NF")</f>
        <v>2</v>
      </c>
      <c r="E25" s="112">
        <f>COUNTIF(E4:E21,"N")+COUNTIF(E4:E21,"NF")</f>
        <v>2</v>
      </c>
      <c r="F25" s="112">
        <f>COUNTIF(F4:F21,"N")+COUNTIF(F4:F21,"NF")</f>
        <v>2</v>
      </c>
      <c r="G25" s="112">
        <f>COUNTIF(G4:G21,"N")+COUNTIF(G4:G21,"NF")</f>
        <v>2</v>
      </c>
      <c r="H25" s="112">
        <f>COUNTIF(H4:H21,"N")+COUNTIF(H4:H21,"NF")</f>
        <v>3</v>
      </c>
      <c r="I25" s="112">
        <f>COUNTIF(I4:I21,"N")+COUNTIF(I4:I21,"NF")</f>
        <v>3</v>
      </c>
      <c r="J25" s="112">
        <f>COUNTIF(J4:J21,"N")+COUNTIF(J4:J21,"NF")</f>
        <v>3</v>
      </c>
      <c r="K25" s="112">
        <f>COUNTIF(K4:K21,"N")+COUNTIF(K4:K21,"NF")</f>
        <v>3</v>
      </c>
      <c r="L25" s="112">
        <f>COUNTIF(L4:L21,"N")+COUNTIF(L4:L21,"NF")</f>
        <v>3</v>
      </c>
      <c r="M25" s="112">
        <f>COUNTIF(M4:M21,"N")+COUNTIF(M4:M21,"NF")</f>
        <v>3</v>
      </c>
      <c r="N25" s="112">
        <f>COUNTIF(N4:N21,"N")+COUNTIF(N4:N21,"NF")</f>
        <v>3</v>
      </c>
      <c r="O25" s="112">
        <f>COUNTIF(O4:O21,"N")+COUNTIF(O4:O21,"NF")</f>
        <v>3</v>
      </c>
      <c r="P25" s="112">
        <f>COUNTIF(P4:P21,"N")+COUNTIF(P4:P21,"NF")</f>
        <v>3</v>
      </c>
      <c r="Q25" s="112">
        <f>COUNTIF(Q4:Q21,"N")+COUNTIF(Q4:Q21,"NF")</f>
        <v>3</v>
      </c>
      <c r="R25" s="112">
        <f>COUNTIF(R4:R21,"N")+COUNTIF(R4:R21,"NF")</f>
        <v>3</v>
      </c>
      <c r="S25" s="112">
        <f>COUNTIF(S4:S21,"N")+COUNTIF(S4:S21,"NF")</f>
        <v>3</v>
      </c>
      <c r="T25" s="112">
        <f>COUNTIF(T4:T21,"N")+COUNTIF(T4:T21,"NF")</f>
        <v>3</v>
      </c>
      <c r="U25" s="112">
        <f>COUNTIF(U4:U21,"N")+COUNTIF(U4:U21,"NF")</f>
        <v>3</v>
      </c>
      <c r="V25" s="112">
        <f>COUNTIF(V4:V21,"N")+COUNTIF(V4:V21,"NF")</f>
        <v>3</v>
      </c>
      <c r="W25" s="112">
        <f>COUNTIF(W4:W21,"N")+COUNTIF(W4:W21,"NF")</f>
        <v>3</v>
      </c>
      <c r="X25" s="112">
        <f>COUNTIF(X4:X21,"N")+COUNTIF(X4:X21,"NF")</f>
        <v>3</v>
      </c>
      <c r="Y25" s="112">
        <f>COUNTIF(Y4:Y21,"N")+COUNTIF(Y4:Y21,"NF")</f>
        <v>3</v>
      </c>
      <c r="Z25" s="112">
        <f>COUNTIF(Z4:Z21,"N")+COUNTIF(Z4:Z21,"NF")</f>
        <v>3</v>
      </c>
      <c r="AA25" s="112">
        <f>COUNTIF(AA4:AA21,"N")+COUNTIF(AA4:AA21,"NF")</f>
        <v>3</v>
      </c>
      <c r="AB25" s="112">
        <f>COUNTIF(AB4:AB21,"N")+COUNTIF(AB4:AB21,"NF")</f>
        <v>3</v>
      </c>
      <c r="AC25" s="112">
        <f>COUNTIF(AC4:AC21,"N")+COUNTIF(AC4:AC21,"NF")</f>
        <v>3</v>
      </c>
      <c r="AD25" s="112">
        <f>COUNTIF(AD4:AD21,"N")+COUNTIF(AD4:AD21,"NF")</f>
        <v>3</v>
      </c>
      <c r="AE25" s="112">
        <f>COUNTIF(AE4:AE21,"N")+COUNTIF(AE4:AE21,"NF")</f>
        <v>3</v>
      </c>
      <c r="AF25" s="112">
        <f>COUNTIF(AF4:AF21,"N")+COUNTIF(AF4:AF21,"NF")</f>
        <v>3</v>
      </c>
    </row>
    <row r="26" spans="1:33" x14ac:dyDescent="0.35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0</v>
      </c>
      <c r="E26" s="112">
        <f>COUNTIF(E4:E21,"M1")+COUNTIF(E4:E21,"NF")</f>
        <v>0</v>
      </c>
      <c r="F26" s="112">
        <f>COUNTIF(F4:F21,"M/F")+COUNTIF(F4:F21,"M1")+COUNTIF(F4:F21,"M3")+COUNTIF(F4:F21,"M3/G")+COUNTIF(F4:F21,"M2")</f>
        <v>2</v>
      </c>
      <c r="G26" s="112">
        <f>COUNTIF(G4:G21,"M/F")+COUNTIF(G4:G21,"M1")+COUNTIF(G4:G21,"M3")+COUNTIF(G4:G21,"M3/G")+COUNTIF(G4:G21,"M2")</f>
        <v>2</v>
      </c>
      <c r="H26" s="112">
        <f>COUNTIF(H4:H21,"M/F")+COUNTIF(H4:H21,"M1")+COUNTIF(H4:H21,"M3")+COUNTIF(H4:H21,"M3/G")+COUNTIF(H4:H21,"M2")</f>
        <v>3</v>
      </c>
      <c r="I26" s="112">
        <f>COUNTIF(I4:I21,"M/F")+COUNTIF(I4:I21,"M1")+COUNTIF(I4:I21,"M3")+COUNTIF(I4:I21,"M3/G")+COUNTIF(I4:I21,"M2")</f>
        <v>3</v>
      </c>
      <c r="J26" s="112">
        <f>COUNTIF(J4:J21,"M/F")+COUNTIF(J4:J21,"M1")+COUNTIF(J4:J21,"M3")+COUNTIF(J4:J21,"M3/G")+COUNTIF(J4:J21,"M2")</f>
        <v>3</v>
      </c>
      <c r="K26" s="112">
        <f>COUNTIF(K4:K21,"M/F")+COUNTIF(K4:K21,"M1")+COUNTIF(K4:K21,"M3")+COUNTIF(K4:K21,"M3/G")+COUNTIF(K4:K21,"M2")</f>
        <v>3</v>
      </c>
      <c r="L26" s="112">
        <f>COUNTIF(L4:L21,"M/F")+COUNTIF(L4:L21,"M1")+COUNTIF(L4:L21,"M3")+COUNTIF(L4:L21,"M3/G")+COUNTIF(L4:L21,"M2")</f>
        <v>3</v>
      </c>
      <c r="M26" s="112">
        <f>COUNTIF(M4:M21,"M/F")+COUNTIF(M4:M21,"M1")+COUNTIF(M4:M21,"M3")+COUNTIF(M4:M21,"M3/G")+COUNTIF(M4:M21,"M2")</f>
        <v>2</v>
      </c>
      <c r="N26" s="112">
        <f>COUNTIF(N4:N21,"M/F")+COUNTIF(N4:N21,"M1")+COUNTIF(N4:N21,"M3")+COUNTIF(N4:N21,"M3/G")+COUNTIF(N4:N21,"M2")</f>
        <v>2</v>
      </c>
      <c r="O26" s="112">
        <f>COUNTIF(O4:O21,"M/F")+COUNTIF(O4:O21,"M1")+COUNTIF(O4:O21,"M3")+COUNTIF(O4:O21,"M3/G")+COUNTIF(O4:O21,"M2")</f>
        <v>3</v>
      </c>
      <c r="P26" s="112">
        <f>COUNTIF(P4:P21,"M/F")+COUNTIF(P4:P21,"M1")+COUNTIF(P4:P21,"M3")+COUNTIF(P4:P21,"M3/G")+COUNTIF(P4:P21,"M2")</f>
        <v>3</v>
      </c>
      <c r="Q26" s="112">
        <f>COUNTIF(Q4:Q21,"M/F")+COUNTIF(Q4:Q21,"M1")+COUNTIF(Q4:Q21,"M3")+COUNTIF(Q4:Q21,"M3/G")+COUNTIF(Q4:Q21,"M2")</f>
        <v>3</v>
      </c>
      <c r="R26" s="112">
        <f>COUNTIF(R4:R21,"M/F")+COUNTIF(R4:R21,"M1")+COUNTIF(R4:R21,"M3")+COUNTIF(R4:R21,"M3/G")+COUNTIF(R4:R21,"M2")</f>
        <v>3</v>
      </c>
      <c r="S26" s="112">
        <f>COUNTIF(S4:S21,"M/F")+COUNTIF(S4:S21,"M1")+COUNTIF(S4:S21,"M3")+COUNTIF(S4:S21,"M3/G")+COUNTIF(S4:S21,"M2")</f>
        <v>2</v>
      </c>
      <c r="T26" s="112">
        <f>COUNTIF(T4:T21,"M/F")+COUNTIF(T4:T21,"M1")+COUNTIF(T4:T21,"M3")+COUNTIF(T4:T21,"M3/G")+COUNTIF(T4:T21,"M2")</f>
        <v>1</v>
      </c>
      <c r="U26" s="112">
        <f>COUNTIF(U4:U21,"M/F")+COUNTIF(U4:U21,"M1")+COUNTIF(U4:U21,"M3")+COUNTIF(U4:U21,"M3/G")+COUNTIF(U4:U21,"M2")</f>
        <v>1</v>
      </c>
      <c r="V26" s="112">
        <f>COUNTIF(V4:V21,"M/F")+COUNTIF(V4:V21,"M1")+COUNTIF(V4:V21,"M3")+COUNTIF(V4:V21,"M3/G")+COUNTIF(V4:V21,"M2")</f>
        <v>3</v>
      </c>
      <c r="W26" s="112">
        <f>COUNTIF(W4:W21,"M/F")+COUNTIF(W4:W21,"M1")+COUNTIF(W4:W21,"M3")+COUNTIF(W4:W21,"M3/G")+COUNTIF(W4:W21,"M2")</f>
        <v>3</v>
      </c>
      <c r="X26" s="112">
        <f>COUNTIF(X4:X21,"M/F")+COUNTIF(X4:X21,"M1")+COUNTIF(X4:X21,"M3")+COUNTIF(X4:X21,"M3/G")+COUNTIF(X4:X21,"M2")</f>
        <v>3</v>
      </c>
      <c r="Y26" s="112">
        <f>COUNTIF(Y4:Y21,"M/F")+COUNTIF(Y4:Y21,"M1")+COUNTIF(Y4:Y21,"M3")+COUNTIF(Y4:Y21,"M3/G")+COUNTIF(Y4:Y21,"M2")</f>
        <v>3</v>
      </c>
      <c r="Z26" s="112">
        <f>COUNTIF(Z4:Z21,"M/F")+COUNTIF(Z4:Z21,"M1")+COUNTIF(Z4:Z21,"M3")+COUNTIF(Z4:Z21,"M3/G")+COUNTIF(Z4:Z21,"M2")</f>
        <v>3</v>
      </c>
      <c r="AA26" s="112">
        <f>COUNTIF(AA4:AA21,"M/F")+COUNTIF(AA4:AA21,"M1")+COUNTIF(AA4:AA21,"M3")+COUNTIF(AA4:AA21,"M3/G")+COUNTIF(AA4:AA21,"M2")</f>
        <v>2</v>
      </c>
      <c r="AB26" s="112">
        <f>COUNTIF(AB4:AB21,"M/F")+COUNTIF(AB4:AB21,"M1")+COUNTIF(AB4:AB21,"M3")+COUNTIF(AB4:AB21,"M3/G")+COUNTIF(AB4:AB21,"M2")</f>
        <v>2</v>
      </c>
      <c r="AC26" s="112">
        <f>COUNTIF(AC4:AC21,"M/F")+COUNTIF(AC4:AC21,"M1")+COUNTIF(AC4:AC21,"M3")+COUNTIF(AC4:AC21,"M3/G")+COUNTIF(AC4:AC21,"M2")</f>
        <v>3</v>
      </c>
      <c r="AD26" s="112">
        <f>COUNTIF(AD4:AD21,"M/F")+COUNTIF(AD4:AD21,"M1")+COUNTIF(AD4:AD21,"M3")+COUNTIF(AD4:AD21,"M3/G")+COUNTIF(AD4:AD21,"M2")</f>
        <v>3</v>
      </c>
      <c r="AE26" s="112">
        <f>COUNTIF(AE4:AE21,"M/F")+COUNTIF(AE4:AE21,"M1")+COUNTIF(AE4:AE21,"M3")+COUNTIF(AE4:AE21,"M3/G")+COUNTIF(AE4:AE21,"M2")</f>
        <v>3</v>
      </c>
      <c r="AF26" s="112">
        <f>COUNTIF(AF4:AF21,"M/F")+COUNTIF(AF4:AF21,"M1")+COUNTIF(AF4:AF21,"M3")+COUNTIF(AF4:AF21,"M3/G")+COUNTIF(AF4:AF21,"M2")</f>
        <v>3</v>
      </c>
    </row>
    <row r="28" spans="1:33" x14ac:dyDescent="0.35">
      <c r="B28" t="s">
        <v>65</v>
      </c>
    </row>
    <row r="29" spans="1:33" x14ac:dyDescent="0.35">
      <c r="B29" s="5" t="s">
        <v>66</v>
      </c>
    </row>
    <row r="30" spans="1:33" x14ac:dyDescent="0.35">
      <c r="B30" s="5" t="s">
        <v>67</v>
      </c>
    </row>
    <row r="31" spans="1:33" x14ac:dyDescent="0.35">
      <c r="B31" s="1" t="s">
        <v>68</v>
      </c>
    </row>
    <row r="32" spans="1:33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F1"/>
  </mergeCells>
  <conditionalFormatting sqref="C24:AF26">
    <cfRule type="cellIs" dxfId="8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8"/>
  <sheetViews>
    <sheetView workbookViewId="0">
      <selection activeCell="B4" sqref="B4:B8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69"/>
      <c r="C1" s="170" t="s">
        <v>108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69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104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109" t="s">
        <v>4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5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105</v>
      </c>
      <c r="C10" s="130" t="s">
        <v>16</v>
      </c>
      <c r="D10" s="130" t="s">
        <v>17</v>
      </c>
      <c r="E10" s="130" t="s">
        <v>17</v>
      </c>
      <c r="F10" s="136" t="s">
        <v>7</v>
      </c>
      <c r="G10" s="136" t="s">
        <v>7</v>
      </c>
      <c r="H10" s="136" t="s">
        <v>7</v>
      </c>
      <c r="I10" s="136" t="s">
        <v>7</v>
      </c>
      <c r="J10" s="136" t="s">
        <v>7</v>
      </c>
      <c r="K10" s="136" t="s">
        <v>7</v>
      </c>
      <c r="L10" s="136" t="s">
        <v>7</v>
      </c>
      <c r="M10" s="130" t="s">
        <v>16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17</v>
      </c>
      <c r="S10" s="130" t="s">
        <v>17</v>
      </c>
      <c r="T10" s="136" t="s">
        <v>7</v>
      </c>
      <c r="U10" s="136" t="s">
        <v>7</v>
      </c>
      <c r="V10" s="136" t="s">
        <v>7</v>
      </c>
      <c r="W10" s="136" t="s">
        <v>7</v>
      </c>
      <c r="X10" s="136" t="s">
        <v>7</v>
      </c>
      <c r="Y10" s="136" t="s">
        <v>7</v>
      </c>
      <c r="Z10" s="136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136" t="s">
        <v>7</v>
      </c>
      <c r="AG10" s="136" t="s">
        <v>7</v>
      </c>
      <c r="AH10"/>
    </row>
    <row r="11" spans="1:34" x14ac:dyDescent="0.35">
      <c r="A11" s="34" t="s">
        <v>12</v>
      </c>
      <c r="B11" s="33" t="s">
        <v>53</v>
      </c>
      <c r="C11" s="125" t="s">
        <v>20</v>
      </c>
      <c r="D11" s="136" t="s">
        <v>7</v>
      </c>
      <c r="E11" s="136" t="s">
        <v>7</v>
      </c>
      <c r="F11" s="130" t="s">
        <v>16</v>
      </c>
      <c r="G11" s="130" t="s">
        <v>16</v>
      </c>
      <c r="H11" s="130" t="s">
        <v>16</v>
      </c>
      <c r="I11" s="130" t="s">
        <v>16</v>
      </c>
      <c r="J11" s="130" t="s">
        <v>16</v>
      </c>
      <c r="K11" s="130" t="s">
        <v>17</v>
      </c>
      <c r="L11" s="130" t="s">
        <v>17</v>
      </c>
      <c r="M11" s="136" t="s">
        <v>7</v>
      </c>
      <c r="N11" s="136" t="s">
        <v>7</v>
      </c>
      <c r="O11" s="136" t="s">
        <v>7</v>
      </c>
      <c r="P11" s="136" t="s">
        <v>7</v>
      </c>
      <c r="Q11" s="136" t="s">
        <v>7</v>
      </c>
      <c r="R11" s="136" t="s">
        <v>7</v>
      </c>
      <c r="S11" s="136" t="s">
        <v>7</v>
      </c>
      <c r="T11" s="130" t="s">
        <v>16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17</v>
      </c>
      <c r="Z11" s="130" t="s">
        <v>17</v>
      </c>
      <c r="AA11" s="136" t="s">
        <v>7</v>
      </c>
      <c r="AB11" s="136" t="s">
        <v>7</v>
      </c>
      <c r="AC11" s="136" t="s">
        <v>7</v>
      </c>
      <c r="AD11" s="136" t="s">
        <v>7</v>
      </c>
      <c r="AE11" s="136" t="s">
        <v>7</v>
      </c>
      <c r="AF11" s="136" t="s">
        <v>7</v>
      </c>
      <c r="AG11" s="136" t="s">
        <v>7</v>
      </c>
      <c r="AH11"/>
    </row>
    <row r="12" spans="1:34" x14ac:dyDescent="0.35">
      <c r="A12" s="34" t="s">
        <v>12</v>
      </c>
      <c r="B12" s="33" t="s">
        <v>24</v>
      </c>
      <c r="C12" s="136" t="s">
        <v>7</v>
      </c>
      <c r="D12" s="136" t="s">
        <v>7</v>
      </c>
      <c r="E12" s="136" t="s">
        <v>7</v>
      </c>
      <c r="F12" s="125" t="s">
        <v>20</v>
      </c>
      <c r="G12" s="125" t="s">
        <v>20</v>
      </c>
      <c r="H12" s="125" t="s">
        <v>20</v>
      </c>
      <c r="I12" s="125" t="s">
        <v>20</v>
      </c>
      <c r="J12" s="125" t="s">
        <v>20</v>
      </c>
      <c r="K12" s="136" t="s">
        <v>7</v>
      </c>
      <c r="L12" s="136" t="s">
        <v>7</v>
      </c>
      <c r="M12" s="130" t="s">
        <v>16</v>
      </c>
      <c r="N12" s="130" t="s">
        <v>16</v>
      </c>
      <c r="O12" s="130" t="s">
        <v>16</v>
      </c>
      <c r="P12" s="130" t="s">
        <v>16</v>
      </c>
      <c r="Q12" s="130" t="s">
        <v>16</v>
      </c>
      <c r="R12" s="130" t="s">
        <v>17</v>
      </c>
      <c r="S12" s="130" t="s">
        <v>17</v>
      </c>
      <c r="T12" s="136" t="s">
        <v>7</v>
      </c>
      <c r="U12" s="136" t="s">
        <v>7</v>
      </c>
      <c r="V12" s="136" t="s">
        <v>7</v>
      </c>
      <c r="W12" s="136" t="s">
        <v>7</v>
      </c>
      <c r="X12" s="136" t="s">
        <v>7</v>
      </c>
      <c r="Y12" s="136" t="s">
        <v>7</v>
      </c>
      <c r="Z12" s="136" t="s">
        <v>7</v>
      </c>
      <c r="AA12" s="130" t="s">
        <v>16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17</v>
      </c>
      <c r="AG12" s="130" t="s">
        <v>17</v>
      </c>
      <c r="AH12"/>
    </row>
    <row r="13" spans="1:34" x14ac:dyDescent="0.35">
      <c r="A13" s="34" t="s">
        <v>12</v>
      </c>
      <c r="B13" s="33" t="s">
        <v>84</v>
      </c>
      <c r="C13" s="130" t="s">
        <v>16</v>
      </c>
      <c r="D13" s="130" t="s">
        <v>17</v>
      </c>
      <c r="E13" s="130" t="s">
        <v>17</v>
      </c>
      <c r="F13" s="136" t="s">
        <v>7</v>
      </c>
      <c r="G13" s="136" t="s">
        <v>7</v>
      </c>
      <c r="H13" s="136" t="s">
        <v>7</v>
      </c>
      <c r="I13" s="136" t="s">
        <v>7</v>
      </c>
      <c r="J13" s="136" t="s">
        <v>7</v>
      </c>
      <c r="K13" s="136" t="s">
        <v>7</v>
      </c>
      <c r="L13" s="136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136" t="s">
        <v>7</v>
      </c>
      <c r="S13" s="136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136" t="s">
        <v>7</v>
      </c>
      <c r="AB13" s="136" t="s">
        <v>7</v>
      </c>
      <c r="AC13" s="136" t="s">
        <v>7</v>
      </c>
      <c r="AD13" s="136" t="s">
        <v>7</v>
      </c>
      <c r="AE13" s="136" t="s">
        <v>7</v>
      </c>
      <c r="AF13" s="136" t="s">
        <v>7</v>
      </c>
      <c r="AG13" s="136" t="s">
        <v>7</v>
      </c>
      <c r="AH13"/>
    </row>
    <row r="14" spans="1:34" ht="14.25" customHeight="1" x14ac:dyDescent="0.35">
      <c r="A14" s="34" t="s">
        <v>12</v>
      </c>
      <c r="B14" s="33" t="s">
        <v>106</v>
      </c>
      <c r="C14" s="136" t="s">
        <v>7</v>
      </c>
      <c r="D14" s="136" t="s">
        <v>7</v>
      </c>
      <c r="E14" s="136" t="s">
        <v>7</v>
      </c>
      <c r="F14" s="130" t="s">
        <v>16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17</v>
      </c>
      <c r="L14" s="130" t="s">
        <v>17</v>
      </c>
      <c r="M14" s="136" t="s">
        <v>7</v>
      </c>
      <c r="N14" s="136" t="s">
        <v>7</v>
      </c>
      <c r="O14" s="136" t="s">
        <v>7</v>
      </c>
      <c r="P14" s="136" t="s">
        <v>7</v>
      </c>
      <c r="Q14" s="136" t="s">
        <v>7</v>
      </c>
      <c r="R14" s="136" t="s">
        <v>7</v>
      </c>
      <c r="S14" s="136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136" t="s">
        <v>7</v>
      </c>
      <c r="Z14" s="136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122"/>
      <c r="U16" s="122"/>
      <c r="V16" s="122"/>
      <c r="W16" s="122"/>
      <c r="X16" s="122"/>
      <c r="Y16" s="50"/>
      <c r="Z16" s="50"/>
      <c r="AA16" s="50"/>
      <c r="AB16" s="50"/>
      <c r="AC16" s="50"/>
      <c r="AD16" s="50"/>
      <c r="AH16"/>
    </row>
    <row r="17" spans="1:34" x14ac:dyDescent="0.35">
      <c r="A17" s="34" t="s">
        <v>28</v>
      </c>
      <c r="B17" s="33" t="s">
        <v>29</v>
      </c>
      <c r="C17" s="28" t="s">
        <v>7</v>
      </c>
      <c r="D17" s="28" t="s">
        <v>7</v>
      </c>
      <c r="E17" s="28" t="s">
        <v>7</v>
      </c>
      <c r="F17" s="145" t="s">
        <v>85</v>
      </c>
      <c r="G17" s="145" t="s">
        <v>85</v>
      </c>
      <c r="H17" s="145" t="s">
        <v>85</v>
      </c>
      <c r="I17" s="145" t="s">
        <v>85</v>
      </c>
      <c r="J17" s="145" t="s">
        <v>85</v>
      </c>
      <c r="K17" s="28" t="s">
        <v>30</v>
      </c>
      <c r="L17" s="28" t="s">
        <v>30</v>
      </c>
      <c r="M17" s="162" t="s">
        <v>11</v>
      </c>
      <c r="N17" s="162" t="s">
        <v>11</v>
      </c>
      <c r="O17" s="162" t="s">
        <v>11</v>
      </c>
      <c r="P17" s="162" t="s">
        <v>11</v>
      </c>
      <c r="Q17" s="28" t="s">
        <v>7</v>
      </c>
      <c r="R17" s="28" t="s">
        <v>7</v>
      </c>
      <c r="S17" s="28" t="s">
        <v>7</v>
      </c>
      <c r="T17" s="145" t="s">
        <v>54</v>
      </c>
      <c r="U17" s="145" t="s">
        <v>54</v>
      </c>
      <c r="V17" s="145" t="s">
        <v>54</v>
      </c>
      <c r="W17" s="145" t="s">
        <v>54</v>
      </c>
      <c r="X17" s="145" t="s">
        <v>54</v>
      </c>
      <c r="Y17" s="28" t="s">
        <v>7</v>
      </c>
      <c r="Z17" s="28" t="s">
        <v>7</v>
      </c>
      <c r="AA17" s="145" t="s">
        <v>85</v>
      </c>
      <c r="AB17" s="145" t="s">
        <v>85</v>
      </c>
      <c r="AC17" s="145" t="s">
        <v>85</v>
      </c>
      <c r="AD17" s="145" t="s">
        <v>85</v>
      </c>
      <c r="AE17" s="145" t="s">
        <v>85</v>
      </c>
      <c r="AF17" s="28" t="s">
        <v>30</v>
      </c>
      <c r="AG17" s="28" t="s">
        <v>30</v>
      </c>
      <c r="AH17"/>
    </row>
    <row r="18" spans="1:34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8" t="s">
        <v>7</v>
      </c>
      <c r="F18" s="145" t="s">
        <v>54</v>
      </c>
      <c r="G18" s="145" t="s">
        <v>54</v>
      </c>
      <c r="H18" s="145" t="s">
        <v>54</v>
      </c>
      <c r="I18" s="145" t="s">
        <v>54</v>
      </c>
      <c r="J18" s="145" t="s">
        <v>54</v>
      </c>
      <c r="K18" s="28" t="s">
        <v>7</v>
      </c>
      <c r="L18" s="28" t="s">
        <v>7</v>
      </c>
      <c r="M18" s="145" t="s">
        <v>85</v>
      </c>
      <c r="N18" s="145" t="s">
        <v>85</v>
      </c>
      <c r="O18" s="145" t="s">
        <v>85</v>
      </c>
      <c r="P18" s="145" t="s">
        <v>85</v>
      </c>
      <c r="Q18" s="28" t="s">
        <v>30</v>
      </c>
      <c r="R18" s="28" t="s">
        <v>30</v>
      </c>
      <c r="S18" s="28" t="s">
        <v>30</v>
      </c>
      <c r="T18" s="162" t="s">
        <v>11</v>
      </c>
      <c r="U18" s="162" t="s">
        <v>11</v>
      </c>
      <c r="V18" s="162" t="s">
        <v>11</v>
      </c>
      <c r="W18" s="162" t="s">
        <v>11</v>
      </c>
      <c r="X18" s="162" t="s">
        <v>11</v>
      </c>
      <c r="Y18" s="28" t="s">
        <v>7</v>
      </c>
      <c r="Z18" s="28" t="s">
        <v>7</v>
      </c>
      <c r="AA18" s="145" t="s">
        <v>54</v>
      </c>
      <c r="AB18" s="145" t="s">
        <v>54</v>
      </c>
      <c r="AC18" s="145" t="s">
        <v>54</v>
      </c>
      <c r="AD18" s="145" t="s">
        <v>54</v>
      </c>
      <c r="AE18" s="145" t="s">
        <v>54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62" t="s">
        <v>13</v>
      </c>
      <c r="C19" s="28" t="s">
        <v>30</v>
      </c>
      <c r="D19" s="28" t="s">
        <v>30</v>
      </c>
      <c r="E19" s="28" t="s">
        <v>30</v>
      </c>
      <c r="F19" s="162" t="s">
        <v>11</v>
      </c>
      <c r="G19" s="162" t="s">
        <v>11</v>
      </c>
      <c r="H19" s="162" t="s">
        <v>11</v>
      </c>
      <c r="I19" s="162" t="s">
        <v>11</v>
      </c>
      <c r="J19" s="162" t="s">
        <v>11</v>
      </c>
      <c r="K19" s="28" t="s">
        <v>7</v>
      </c>
      <c r="L19" s="28" t="s">
        <v>7</v>
      </c>
      <c r="M19" s="145" t="s">
        <v>54</v>
      </c>
      <c r="N19" s="145" t="s">
        <v>54</v>
      </c>
      <c r="O19" s="145" t="s">
        <v>54</v>
      </c>
      <c r="P19" s="145" t="s">
        <v>54</v>
      </c>
      <c r="Q19" s="28" t="s">
        <v>7</v>
      </c>
      <c r="R19" s="28" t="s">
        <v>7</v>
      </c>
      <c r="S19" s="28" t="s">
        <v>7</v>
      </c>
      <c r="T19" s="145" t="s">
        <v>85</v>
      </c>
      <c r="U19" s="145" t="s">
        <v>85</v>
      </c>
      <c r="V19" s="145" t="s">
        <v>85</v>
      </c>
      <c r="W19" s="145" t="s">
        <v>85</v>
      </c>
      <c r="X19" s="145" t="s">
        <v>85</v>
      </c>
      <c r="Y19" s="28" t="s">
        <v>30</v>
      </c>
      <c r="Z19" s="28" t="s">
        <v>30</v>
      </c>
      <c r="AA19" s="162" t="s">
        <v>11</v>
      </c>
      <c r="AB19" s="162" t="s">
        <v>11</v>
      </c>
      <c r="AC19" s="162" t="s">
        <v>11</v>
      </c>
      <c r="AD19" s="162" t="s">
        <v>11</v>
      </c>
      <c r="AE19" s="162" t="s">
        <v>11</v>
      </c>
      <c r="AF19" s="28" t="s">
        <v>7</v>
      </c>
      <c r="AG19" s="28" t="s">
        <v>7</v>
      </c>
      <c r="AH19"/>
    </row>
    <row r="21" spans="1:34" x14ac:dyDescent="0.35">
      <c r="B21" s="111" t="s">
        <v>89</v>
      </c>
      <c r="C21" s="110">
        <f t="shared" ref="C21:AG21" si="0">SUM(C22:C24)</f>
        <v>4</v>
      </c>
      <c r="D21" s="110">
        <f t="shared" si="0"/>
        <v>4</v>
      </c>
      <c r="E21" s="110">
        <f t="shared" si="0"/>
        <v>4</v>
      </c>
      <c r="F21" s="110">
        <f t="shared" si="0"/>
        <v>7</v>
      </c>
      <c r="G21" s="110">
        <f t="shared" si="0"/>
        <v>7</v>
      </c>
      <c r="H21" s="110">
        <f t="shared" si="0"/>
        <v>7</v>
      </c>
      <c r="I21" s="110">
        <f t="shared" si="0"/>
        <v>7</v>
      </c>
      <c r="J21" s="110">
        <f t="shared" si="0"/>
        <v>7</v>
      </c>
      <c r="K21" s="110">
        <f t="shared" si="0"/>
        <v>4</v>
      </c>
      <c r="L21" s="110">
        <f t="shared" si="0"/>
        <v>4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7</v>
      </c>
      <c r="Q21" s="110">
        <f t="shared" si="0"/>
        <v>4</v>
      </c>
      <c r="R21" s="110">
        <f t="shared" si="0"/>
        <v>4</v>
      </c>
      <c r="S21" s="110">
        <f t="shared" si="0"/>
        <v>4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7</v>
      </c>
      <c r="X21" s="110">
        <f t="shared" si="0"/>
        <v>7</v>
      </c>
      <c r="Y21" s="110">
        <f t="shared" si="0"/>
        <v>4</v>
      </c>
      <c r="Z21" s="110">
        <f t="shared" si="0"/>
        <v>4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7</v>
      </c>
      <c r="AE21" s="110">
        <f t="shared" si="0"/>
        <v>7</v>
      </c>
      <c r="AF21" s="110">
        <f t="shared" si="0"/>
        <v>4</v>
      </c>
      <c r="AG21" s="110">
        <f t="shared" si="0"/>
        <v>4</v>
      </c>
    </row>
    <row r="22" spans="1:34" x14ac:dyDescent="0.35">
      <c r="B22" s="111" t="s">
        <v>90</v>
      </c>
      <c r="C22" s="112">
        <f t="shared" ref="C22:AG22" si="1">COUNTIF(C4:C19,"T")</f>
        <v>2</v>
      </c>
      <c r="D22" s="112">
        <f t="shared" si="1"/>
        <v>0</v>
      </c>
      <c r="E22" s="112">
        <f t="shared" si="1"/>
        <v>0</v>
      </c>
      <c r="F22" s="112">
        <f t="shared" si="1"/>
        <v>2</v>
      </c>
      <c r="G22" s="112">
        <f t="shared" si="1"/>
        <v>2</v>
      </c>
      <c r="H22" s="112">
        <f t="shared" si="1"/>
        <v>2</v>
      </c>
      <c r="I22" s="112">
        <f t="shared" si="1"/>
        <v>2</v>
      </c>
      <c r="J22" s="112">
        <f t="shared" si="1"/>
        <v>2</v>
      </c>
      <c r="K22" s="112">
        <f t="shared" si="1"/>
        <v>0</v>
      </c>
      <c r="L22" s="112">
        <f t="shared" si="1"/>
        <v>0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2</v>
      </c>
      <c r="Q22" s="112">
        <f t="shared" si="1"/>
        <v>2</v>
      </c>
      <c r="R22" s="112">
        <f t="shared" si="1"/>
        <v>0</v>
      </c>
      <c r="S22" s="112">
        <f t="shared" si="1"/>
        <v>0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2</v>
      </c>
      <c r="X22" s="112">
        <f t="shared" si="1"/>
        <v>2</v>
      </c>
      <c r="Y22" s="112">
        <f t="shared" si="1"/>
        <v>0</v>
      </c>
      <c r="Z22" s="112">
        <f t="shared" si="1"/>
        <v>0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2</v>
      </c>
      <c r="AE22" s="112">
        <f t="shared" si="1"/>
        <v>2</v>
      </c>
      <c r="AF22" s="112">
        <f t="shared" si="1"/>
        <v>0</v>
      </c>
      <c r="AG22" s="112">
        <f t="shared" si="1"/>
        <v>0</v>
      </c>
    </row>
    <row r="23" spans="1:34" x14ac:dyDescent="0.35">
      <c r="B23" s="111" t="s">
        <v>91</v>
      </c>
      <c r="C23" s="112">
        <f t="shared" ref="C23:AG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0</v>
      </c>
      <c r="D24" s="112">
        <f>COUNTIF(D4:D19,"M/F")+COUNTIF(D4:D19,"M1")+COUNTIF(D4:D19,"M3")+COUNTIF(D4:D19,"M3/G")+COUNTIF(D4:D19,"M2")</f>
        <v>2</v>
      </c>
      <c r="E24" s="112">
        <f>COUNTIF(E4:E19,"M1")+COUNTIF(E4:E19,"NF")</f>
        <v>2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3</v>
      </c>
      <c r="J24" s="112">
        <f t="shared" si="3"/>
        <v>3</v>
      </c>
      <c r="K24" s="112">
        <f t="shared" si="3"/>
        <v>2</v>
      </c>
      <c r="L24" s="112">
        <f t="shared" si="3"/>
        <v>2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3</v>
      </c>
      <c r="Q24" s="112">
        <f t="shared" si="3"/>
        <v>0</v>
      </c>
      <c r="R24" s="112">
        <f t="shared" si="3"/>
        <v>2</v>
      </c>
      <c r="S24" s="112">
        <f t="shared" si="3"/>
        <v>2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3</v>
      </c>
      <c r="X24" s="112">
        <f t="shared" si="3"/>
        <v>3</v>
      </c>
      <c r="Y24" s="112">
        <f t="shared" si="3"/>
        <v>2</v>
      </c>
      <c r="Z24" s="112">
        <f t="shared" si="3"/>
        <v>2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3</v>
      </c>
      <c r="AE24" s="112">
        <f t="shared" si="3"/>
        <v>3</v>
      </c>
      <c r="AF24" s="112">
        <f t="shared" si="3"/>
        <v>2</v>
      </c>
      <c r="AG24" s="112">
        <f t="shared" si="3"/>
        <v>2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B4" sqref="B4:B8"/>
    </sheetView>
  </sheetViews>
  <sheetFormatPr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69"/>
      <c r="C1" s="170" t="s">
        <v>109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3" x14ac:dyDescent="0.35">
      <c r="A2" s="6"/>
      <c r="B2" s="169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104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105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30" t="s">
        <v>16</v>
      </c>
      <c r="R10" s="130" t="s">
        <v>16</v>
      </c>
      <c r="S10" s="130" t="s">
        <v>16</v>
      </c>
      <c r="T10" s="130" t="s">
        <v>16</v>
      </c>
      <c r="U10" s="130" t="s">
        <v>16</v>
      </c>
      <c r="V10" s="130" t="s">
        <v>17</v>
      </c>
      <c r="W10" s="130" t="s">
        <v>17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5" t="s">
        <v>20</v>
      </c>
      <c r="AF10" s="125" t="s">
        <v>20</v>
      </c>
      <c r="AG10"/>
    </row>
    <row r="11" spans="1:33" x14ac:dyDescent="0.35">
      <c r="A11" s="34" t="s">
        <v>12</v>
      </c>
      <c r="B11" s="33" t="s">
        <v>53</v>
      </c>
      <c r="C11" s="125" t="s">
        <v>20</v>
      </c>
      <c r="D11" s="125" t="s">
        <v>20</v>
      </c>
      <c r="E11" s="125" t="s">
        <v>20</v>
      </c>
      <c r="F11" s="125" t="s">
        <v>20</v>
      </c>
      <c r="G11" s="125" t="s">
        <v>20</v>
      </c>
      <c r="H11" s="124" t="s">
        <v>7</v>
      </c>
      <c r="I11" s="124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124" t="s">
        <v>7</v>
      </c>
      <c r="P12" s="124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30" t="s">
        <v>16</v>
      </c>
      <c r="AF12" s="130" t="s">
        <v>16</v>
      </c>
      <c r="AG12"/>
    </row>
    <row r="13" spans="1:33" x14ac:dyDescent="0.3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17</v>
      </c>
      <c r="I13" s="130" t="s">
        <v>17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124" t="s">
        <v>7</v>
      </c>
      <c r="W13" s="124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106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30" t="s">
        <v>16</v>
      </c>
      <c r="K14" s="130" t="s">
        <v>16</v>
      </c>
      <c r="L14" s="130" t="s">
        <v>16</v>
      </c>
      <c r="M14" s="130" t="s">
        <v>16</v>
      </c>
      <c r="N14" s="130" t="s">
        <v>16</v>
      </c>
      <c r="O14" s="130" t="s">
        <v>17</v>
      </c>
      <c r="P14" s="130" t="s">
        <v>17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4" t="s">
        <v>7</v>
      </c>
      <c r="AD14" s="124" t="s">
        <v>7</v>
      </c>
      <c r="AE14" s="130" t="s">
        <v>16</v>
      </c>
      <c r="AF14" s="130" t="s">
        <v>16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162" t="s">
        <v>11</v>
      </c>
      <c r="D16" s="162" t="s">
        <v>11</v>
      </c>
      <c r="E16" s="162" t="s">
        <v>11</v>
      </c>
      <c r="F16" s="162" t="s">
        <v>11</v>
      </c>
      <c r="G16" s="162" t="s">
        <v>11</v>
      </c>
      <c r="H16" s="28" t="s">
        <v>7</v>
      </c>
      <c r="I16" s="28" t="s">
        <v>7</v>
      </c>
      <c r="J16" s="145" t="s">
        <v>54</v>
      </c>
      <c r="K16" s="145" t="s">
        <v>54</v>
      </c>
      <c r="L16" s="145" t="s">
        <v>54</v>
      </c>
      <c r="M16" s="145" t="s">
        <v>54</v>
      </c>
      <c r="N16" s="145" t="s">
        <v>54</v>
      </c>
      <c r="O16" s="28" t="s">
        <v>7</v>
      </c>
      <c r="P16" s="28" t="s">
        <v>7</v>
      </c>
      <c r="Q16" s="145" t="s">
        <v>85</v>
      </c>
      <c r="R16" s="145" t="s">
        <v>85</v>
      </c>
      <c r="S16" s="145" t="s">
        <v>85</v>
      </c>
      <c r="T16" s="145" t="s">
        <v>85</v>
      </c>
      <c r="U16" s="145" t="s">
        <v>85</v>
      </c>
      <c r="V16" s="28" t="s">
        <v>30</v>
      </c>
      <c r="W16" s="28" t="s">
        <v>30</v>
      </c>
      <c r="X16" s="162" t="s">
        <v>11</v>
      </c>
      <c r="Y16" s="162" t="s">
        <v>11</v>
      </c>
      <c r="Z16" s="162" t="s">
        <v>11</v>
      </c>
      <c r="AA16" s="162" t="s">
        <v>11</v>
      </c>
      <c r="AB16" s="162" t="s">
        <v>11</v>
      </c>
      <c r="AC16" s="28" t="s">
        <v>7</v>
      </c>
      <c r="AD16" s="28" t="s">
        <v>7</v>
      </c>
      <c r="AE16" s="145" t="s">
        <v>54</v>
      </c>
      <c r="AF16" s="145" t="s">
        <v>54</v>
      </c>
      <c r="AG16"/>
    </row>
    <row r="17" spans="1:33" x14ac:dyDescent="0.35">
      <c r="A17" s="34" t="s">
        <v>28</v>
      </c>
      <c r="B17" s="35" t="s">
        <v>60</v>
      </c>
      <c r="C17" s="145" t="s">
        <v>85</v>
      </c>
      <c r="D17" s="145" t="s">
        <v>85</v>
      </c>
      <c r="E17" s="145" t="s">
        <v>85</v>
      </c>
      <c r="F17" s="145" t="s">
        <v>85</v>
      </c>
      <c r="G17" s="145" t="s">
        <v>85</v>
      </c>
      <c r="H17" s="28" t="s">
        <v>30</v>
      </c>
      <c r="I17" s="28" t="s">
        <v>30</v>
      </c>
      <c r="J17" s="162" t="s">
        <v>11</v>
      </c>
      <c r="K17" s="162" t="s">
        <v>11</v>
      </c>
      <c r="L17" s="162" t="s">
        <v>11</v>
      </c>
      <c r="M17" s="162" t="s">
        <v>11</v>
      </c>
      <c r="N17" s="162" t="s">
        <v>11</v>
      </c>
      <c r="O17" s="28" t="s">
        <v>7</v>
      </c>
      <c r="P17" s="28" t="s">
        <v>7</v>
      </c>
      <c r="Q17" s="145" t="s">
        <v>54</v>
      </c>
      <c r="R17" s="145" t="s">
        <v>54</v>
      </c>
      <c r="S17" s="145" t="s">
        <v>54</v>
      </c>
      <c r="T17" s="145" t="s">
        <v>54</v>
      </c>
      <c r="U17" s="145" t="s">
        <v>54</v>
      </c>
      <c r="V17" s="28" t="s">
        <v>7</v>
      </c>
      <c r="W17" s="28" t="s">
        <v>7</v>
      </c>
      <c r="X17" s="145" t="s">
        <v>85</v>
      </c>
      <c r="Y17" s="145" t="s">
        <v>85</v>
      </c>
      <c r="Z17" s="145" t="s">
        <v>85</v>
      </c>
      <c r="AA17" s="145" t="s">
        <v>85</v>
      </c>
      <c r="AB17" s="145" t="s">
        <v>85</v>
      </c>
      <c r="AC17" s="28" t="s">
        <v>30</v>
      </c>
      <c r="AD17" s="28" t="s">
        <v>30</v>
      </c>
      <c r="AE17" s="162" t="s">
        <v>11</v>
      </c>
      <c r="AF17" s="162" t="s">
        <v>11</v>
      </c>
      <c r="AG17"/>
    </row>
    <row r="18" spans="1:33" x14ac:dyDescent="0.35">
      <c r="A18" s="34" t="s">
        <v>28</v>
      </c>
      <c r="B18" s="62" t="s">
        <v>13</v>
      </c>
      <c r="C18" s="145" t="s">
        <v>54</v>
      </c>
      <c r="D18" s="145" t="s">
        <v>54</v>
      </c>
      <c r="E18" s="145" t="s">
        <v>54</v>
      </c>
      <c r="F18" s="145" t="s">
        <v>54</v>
      </c>
      <c r="G18" s="145" t="s">
        <v>54</v>
      </c>
      <c r="H18" s="28" t="s">
        <v>7</v>
      </c>
      <c r="I18" s="28" t="s">
        <v>7</v>
      </c>
      <c r="J18" s="145" t="s">
        <v>85</v>
      </c>
      <c r="K18" s="145" t="s">
        <v>85</v>
      </c>
      <c r="L18" s="145" t="s">
        <v>85</v>
      </c>
      <c r="M18" s="145" t="s">
        <v>85</v>
      </c>
      <c r="N18" s="145" t="s">
        <v>85</v>
      </c>
      <c r="O18" s="28" t="s">
        <v>30</v>
      </c>
      <c r="P18" s="28" t="s">
        <v>30</v>
      </c>
      <c r="Q18" s="162" t="s">
        <v>11</v>
      </c>
      <c r="R18" s="162" t="s">
        <v>11</v>
      </c>
      <c r="S18" s="162" t="s">
        <v>11</v>
      </c>
      <c r="T18" s="162" t="s">
        <v>11</v>
      </c>
      <c r="U18" s="17" t="s">
        <v>4</v>
      </c>
      <c r="V18" s="28" t="s">
        <v>7</v>
      </c>
      <c r="W18" s="28" t="s">
        <v>7</v>
      </c>
      <c r="X18" s="145" t="s">
        <v>54</v>
      </c>
      <c r="Y18" s="145" t="s">
        <v>54</v>
      </c>
      <c r="Z18" s="145" t="s">
        <v>54</v>
      </c>
      <c r="AA18" s="145" t="s">
        <v>54</v>
      </c>
      <c r="AB18" s="145" t="s">
        <v>54</v>
      </c>
      <c r="AC18" s="28" t="s">
        <v>7</v>
      </c>
      <c r="AD18" s="28" t="s">
        <v>7</v>
      </c>
      <c r="AE18" s="145" t="s">
        <v>85</v>
      </c>
      <c r="AF18" s="145" t="s">
        <v>85</v>
      </c>
      <c r="AG18"/>
    </row>
    <row r="19" spans="1:33" x14ac:dyDescent="0.35">
      <c r="H19" t="s">
        <v>110</v>
      </c>
      <c r="AG19"/>
    </row>
    <row r="20" spans="1:33" x14ac:dyDescent="0.35">
      <c r="B20" s="111" t="s">
        <v>89</v>
      </c>
      <c r="C20" s="110">
        <f t="shared" ref="C20:AF20" si="0">SUM(C21:C23)</f>
        <v>7</v>
      </c>
      <c r="D20" s="110">
        <f t="shared" si="0"/>
        <v>7</v>
      </c>
      <c r="E20" s="110">
        <f t="shared" si="0"/>
        <v>5</v>
      </c>
      <c r="F20" s="110">
        <f t="shared" si="0"/>
        <v>7</v>
      </c>
      <c r="G20" s="110">
        <f t="shared" si="0"/>
        <v>7</v>
      </c>
      <c r="H20" s="110">
        <f t="shared" si="0"/>
        <v>4</v>
      </c>
      <c r="I20" s="110">
        <f t="shared" si="0"/>
        <v>4</v>
      </c>
      <c r="J20" s="110">
        <f t="shared" si="0"/>
        <v>7</v>
      </c>
      <c r="K20" s="110">
        <f t="shared" si="0"/>
        <v>7</v>
      </c>
      <c r="L20" s="110">
        <f t="shared" si="0"/>
        <v>7</v>
      </c>
      <c r="M20" s="110">
        <f t="shared" si="0"/>
        <v>7</v>
      </c>
      <c r="N20" s="110">
        <f t="shared" si="0"/>
        <v>7</v>
      </c>
      <c r="O20" s="110">
        <f t="shared" si="0"/>
        <v>4</v>
      </c>
      <c r="P20" s="110">
        <f t="shared" si="0"/>
        <v>4</v>
      </c>
      <c r="Q20" s="110">
        <f t="shared" si="0"/>
        <v>7</v>
      </c>
      <c r="R20" s="110">
        <f t="shared" si="0"/>
        <v>7</v>
      </c>
      <c r="S20" s="110">
        <f t="shared" si="0"/>
        <v>7</v>
      </c>
      <c r="T20" s="110">
        <f t="shared" si="0"/>
        <v>7</v>
      </c>
      <c r="U20" s="110">
        <f t="shared" si="0"/>
        <v>6</v>
      </c>
      <c r="V20" s="110">
        <f t="shared" si="0"/>
        <v>4</v>
      </c>
      <c r="W20" s="110">
        <f t="shared" si="0"/>
        <v>4</v>
      </c>
      <c r="X20" s="110">
        <f t="shared" si="0"/>
        <v>7</v>
      </c>
      <c r="Y20" s="110">
        <f t="shared" si="0"/>
        <v>7</v>
      </c>
      <c r="Z20" s="110">
        <f t="shared" si="0"/>
        <v>7</v>
      </c>
      <c r="AA20" s="110">
        <f t="shared" si="0"/>
        <v>7</v>
      </c>
      <c r="AB20" s="110">
        <f t="shared" si="0"/>
        <v>7</v>
      </c>
      <c r="AC20" s="110">
        <f t="shared" si="0"/>
        <v>4</v>
      </c>
      <c r="AD20" s="110">
        <f t="shared" si="0"/>
        <v>4</v>
      </c>
      <c r="AE20" s="110">
        <f t="shared" si="0"/>
        <v>7</v>
      </c>
      <c r="AF20" s="110">
        <f t="shared" si="0"/>
        <v>7</v>
      </c>
    </row>
    <row r="21" spans="1:33" x14ac:dyDescent="0.35">
      <c r="B21" s="111" t="s">
        <v>90</v>
      </c>
      <c r="C21" s="112">
        <f t="shared" ref="C21:AF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2</v>
      </c>
      <c r="G21" s="112">
        <f t="shared" si="1"/>
        <v>2</v>
      </c>
      <c r="H21" s="112">
        <f t="shared" si="1"/>
        <v>0</v>
      </c>
      <c r="I21" s="112">
        <f t="shared" si="1"/>
        <v>0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2</v>
      </c>
      <c r="N21" s="112">
        <f t="shared" si="1"/>
        <v>2</v>
      </c>
      <c r="O21" s="112">
        <f t="shared" si="1"/>
        <v>0</v>
      </c>
      <c r="P21" s="112">
        <f t="shared" si="1"/>
        <v>0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2</v>
      </c>
      <c r="U21" s="112">
        <f t="shared" si="1"/>
        <v>2</v>
      </c>
      <c r="V21" s="112">
        <f t="shared" si="1"/>
        <v>0</v>
      </c>
      <c r="W21" s="112">
        <f t="shared" si="1"/>
        <v>0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2</v>
      </c>
      <c r="AB21" s="112">
        <f t="shared" si="1"/>
        <v>2</v>
      </c>
      <c r="AC21" s="112">
        <f t="shared" si="1"/>
        <v>0</v>
      </c>
      <c r="AD21" s="112">
        <f t="shared" si="1"/>
        <v>0</v>
      </c>
      <c r="AE21" s="112">
        <f t="shared" si="1"/>
        <v>2</v>
      </c>
      <c r="AF21" s="112">
        <f t="shared" si="1"/>
        <v>2</v>
      </c>
    </row>
    <row r="22" spans="1:33" x14ac:dyDescent="0.35">
      <c r="B22" s="111" t="s">
        <v>91</v>
      </c>
      <c r="C22" s="112">
        <f t="shared" ref="C22:AF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3</v>
      </c>
      <c r="D23" s="112">
        <f>COUNTIF(D4:D18,"M/F")+COUNTIF(D4:D18,"M1")+COUNTIF(D4:D18,"M3")+COUNTIF(D4:D18,"M3/G")+COUNTIF(D4:D18,"M2")</f>
        <v>3</v>
      </c>
      <c r="E23" s="112">
        <f>COUNTIF(E4:E18,"M1")+COUNTIF(E4:E18,"NF")</f>
        <v>1</v>
      </c>
      <c r="F23" s="112">
        <f t="shared" ref="F23:AF23" si="3">COUNTIF(F4:F18,"M/F")+COUNTIF(F4:F18,"M1")+COUNTIF(F4:F18,"M3")+COUNTIF(F4:F18,"M3/G")+COUNTIF(F4:F18,"M2")</f>
        <v>3</v>
      </c>
      <c r="G23" s="112">
        <f t="shared" si="3"/>
        <v>3</v>
      </c>
      <c r="H23" s="112">
        <f t="shared" si="3"/>
        <v>2</v>
      </c>
      <c r="I23" s="112">
        <f t="shared" si="3"/>
        <v>2</v>
      </c>
      <c r="J23" s="112">
        <f t="shared" si="3"/>
        <v>3</v>
      </c>
      <c r="K23" s="112">
        <f t="shared" si="3"/>
        <v>3</v>
      </c>
      <c r="L23" s="112">
        <f t="shared" si="3"/>
        <v>3</v>
      </c>
      <c r="M23" s="112">
        <f t="shared" si="3"/>
        <v>3</v>
      </c>
      <c r="N23" s="112">
        <f t="shared" si="3"/>
        <v>3</v>
      </c>
      <c r="O23" s="112">
        <f t="shared" si="3"/>
        <v>2</v>
      </c>
      <c r="P23" s="112">
        <f t="shared" si="3"/>
        <v>2</v>
      </c>
      <c r="Q23" s="112">
        <f t="shared" si="3"/>
        <v>3</v>
      </c>
      <c r="R23" s="112">
        <f t="shared" si="3"/>
        <v>3</v>
      </c>
      <c r="S23" s="112">
        <f t="shared" si="3"/>
        <v>3</v>
      </c>
      <c r="T23" s="112">
        <f t="shared" si="3"/>
        <v>3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3</v>
      </c>
      <c r="Y23" s="112">
        <f t="shared" si="3"/>
        <v>3</v>
      </c>
      <c r="Z23" s="112">
        <f t="shared" si="3"/>
        <v>3</v>
      </c>
      <c r="AA23" s="112">
        <f t="shared" si="3"/>
        <v>3</v>
      </c>
      <c r="AB23" s="112">
        <f t="shared" si="3"/>
        <v>3</v>
      </c>
      <c r="AC23" s="112">
        <f t="shared" si="3"/>
        <v>2</v>
      </c>
      <c r="AD23" s="112">
        <f t="shared" si="3"/>
        <v>2</v>
      </c>
      <c r="AE23" s="112">
        <f t="shared" si="3"/>
        <v>3</v>
      </c>
      <c r="AF23" s="112">
        <f t="shared" si="3"/>
        <v>3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B4" sqref="B4:B8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69"/>
      <c r="C1" s="170" t="s">
        <v>111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6" x14ac:dyDescent="0.35">
      <c r="A2" s="6"/>
      <c r="B2" s="169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104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105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x14ac:dyDescent="0.3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 x14ac:dyDescent="0.35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x14ac:dyDescent="0.35">
      <c r="A14" s="34" t="s">
        <v>12</v>
      </c>
      <c r="B14" s="33" t="s">
        <v>106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62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69"/>
      <c r="C1" s="170" t="s">
        <v>112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69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69"/>
      <c r="C1" s="170" t="s">
        <v>113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/>
    </row>
    <row r="2" spans="1:33" x14ac:dyDescent="0.35">
      <c r="A2" s="6"/>
      <c r="B2" s="169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69"/>
      <c r="C1" s="170" t="s">
        <v>114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69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69"/>
      <c r="C1" s="170" t="s">
        <v>115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3" x14ac:dyDescent="0.35">
      <c r="A2" s="6"/>
      <c r="B2" s="169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69"/>
      <c r="C1" s="170" t="s">
        <v>116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</row>
    <row r="2" spans="1:34" x14ac:dyDescent="0.35">
      <c r="A2" s="6"/>
      <c r="B2" s="169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69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117</v>
      </c>
      <c r="I2" s="102">
        <f>1800*10</f>
        <v>18000</v>
      </c>
    </row>
    <row r="3" spans="4:64" x14ac:dyDescent="0.35">
      <c r="G3" s="101" t="s">
        <v>118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119</v>
      </c>
      <c r="H9" s="99" t="s">
        <v>120</v>
      </c>
      <c r="I9" s="99" t="s">
        <v>121</v>
      </c>
      <c r="J9" s="99" t="s">
        <v>122</v>
      </c>
      <c r="K9" s="99" t="s">
        <v>123</v>
      </c>
      <c r="L9" s="99" t="s">
        <v>124</v>
      </c>
      <c r="M9" s="99" t="s">
        <v>125</v>
      </c>
      <c r="N9" s="99" t="s">
        <v>126</v>
      </c>
      <c r="O9" s="99" t="s">
        <v>127</v>
      </c>
      <c r="P9" s="99" t="s">
        <v>128</v>
      </c>
      <c r="Q9" s="99" t="s">
        <v>129</v>
      </c>
      <c r="R9" s="99" t="s">
        <v>130</v>
      </c>
      <c r="S9" s="99" t="s">
        <v>131</v>
      </c>
      <c r="T9" s="99" t="s">
        <v>132</v>
      </c>
      <c r="U9" s="99" t="s">
        <v>133</v>
      </c>
      <c r="V9" s="99" t="s">
        <v>134</v>
      </c>
      <c r="W9" s="99" t="s">
        <v>135</v>
      </c>
      <c r="X9" s="99" t="s">
        <v>136</v>
      </c>
      <c r="Y9" s="99" t="s">
        <v>137</v>
      </c>
      <c r="Z9" s="99" t="s">
        <v>138</v>
      </c>
      <c r="AA9" s="99" t="s">
        <v>139</v>
      </c>
      <c r="AB9" s="99" t="s">
        <v>140</v>
      </c>
      <c r="AC9" s="99" t="s">
        <v>141</v>
      </c>
      <c r="AD9" s="99" t="s">
        <v>142</v>
      </c>
      <c r="AE9" s="99" t="s">
        <v>143</v>
      </c>
      <c r="AF9" s="99" t="s">
        <v>144</v>
      </c>
      <c r="AG9" s="99" t="s">
        <v>145</v>
      </c>
      <c r="AH9" s="99" t="s">
        <v>146</v>
      </c>
      <c r="AI9" s="99" t="s">
        <v>147</v>
      </c>
      <c r="AJ9" s="99" t="s">
        <v>148</v>
      </c>
      <c r="AK9" s="99" t="s">
        <v>149</v>
      </c>
      <c r="AL9" s="99" t="s">
        <v>150</v>
      </c>
      <c r="AM9" s="99" t="s">
        <v>151</v>
      </c>
      <c r="AN9" s="99" t="s">
        <v>152</v>
      </c>
      <c r="AO9" s="99" t="s">
        <v>153</v>
      </c>
      <c r="AP9" s="99" t="s">
        <v>154</v>
      </c>
      <c r="AQ9" s="99" t="s">
        <v>155</v>
      </c>
      <c r="AR9" s="99" t="s">
        <v>156</v>
      </c>
      <c r="AS9" s="99" t="s">
        <v>157</v>
      </c>
      <c r="AT9" s="99" t="s">
        <v>158</v>
      </c>
      <c r="AU9" s="99" t="s">
        <v>159</v>
      </c>
      <c r="AV9" s="99" t="s">
        <v>160</v>
      </c>
      <c r="AW9" s="99" t="s">
        <v>161</v>
      </c>
      <c r="AX9" s="99" t="s">
        <v>162</v>
      </c>
      <c r="AY9" s="99" t="s">
        <v>163</v>
      </c>
      <c r="AZ9" s="99" t="s">
        <v>164</v>
      </c>
      <c r="BA9" s="99" t="s">
        <v>165</v>
      </c>
      <c r="BB9" s="99" t="s">
        <v>166</v>
      </c>
      <c r="BC9" s="99" t="s">
        <v>167</v>
      </c>
      <c r="BD9" s="99" t="s">
        <v>168</v>
      </c>
      <c r="BE9" s="99" t="s">
        <v>169</v>
      </c>
      <c r="BF9" s="99" t="s">
        <v>170</v>
      </c>
      <c r="BG9" s="99" t="s">
        <v>171</v>
      </c>
      <c r="BH9" s="99" t="s">
        <v>172</v>
      </c>
      <c r="BI9" s="99" t="s">
        <v>173</v>
      </c>
      <c r="BJ9" s="99" t="s">
        <v>174</v>
      </c>
      <c r="BK9" s="106" t="s">
        <v>175</v>
      </c>
      <c r="BL9" s="106" t="s">
        <v>176</v>
      </c>
    </row>
    <row r="10" spans="4:64" x14ac:dyDescent="0.35">
      <c r="D10" s="102"/>
      <c r="E10" s="102"/>
      <c r="F10" s="95"/>
      <c r="G10" s="97" t="s">
        <v>177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178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179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180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181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182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183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184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185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186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187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188</v>
      </c>
      <c r="H23">
        <f>AVERAGE(H10:H20)</f>
        <v>849.6</v>
      </c>
    </row>
    <row r="27" spans="7:64" x14ac:dyDescent="0.35">
      <c r="G27" s="99" t="s">
        <v>119</v>
      </c>
      <c r="H27" s="99" t="s">
        <v>120</v>
      </c>
      <c r="I27" s="99" t="s">
        <v>121</v>
      </c>
      <c r="J27" s="99" t="s">
        <v>122</v>
      </c>
      <c r="K27" s="99" t="s">
        <v>123</v>
      </c>
      <c r="L27" s="99" t="s">
        <v>124</v>
      </c>
      <c r="M27" s="99" t="s">
        <v>125</v>
      </c>
      <c r="N27" s="99" t="s">
        <v>126</v>
      </c>
      <c r="O27" s="99" t="s">
        <v>127</v>
      </c>
      <c r="P27" s="99" t="s">
        <v>128</v>
      </c>
      <c r="Q27" s="99" t="s">
        <v>129</v>
      </c>
      <c r="R27" s="99" t="s">
        <v>130</v>
      </c>
      <c r="S27" s="99" t="s">
        <v>131</v>
      </c>
      <c r="T27" s="99" t="s">
        <v>132</v>
      </c>
      <c r="U27" s="99" t="s">
        <v>133</v>
      </c>
      <c r="V27" s="99" t="s">
        <v>134</v>
      </c>
      <c r="W27" s="99" t="s">
        <v>135</v>
      </c>
      <c r="X27" s="99" t="s">
        <v>136</v>
      </c>
      <c r="Y27" s="99" t="s">
        <v>137</v>
      </c>
      <c r="Z27" s="99" t="s">
        <v>138</v>
      </c>
      <c r="AA27" s="99" t="s">
        <v>139</v>
      </c>
      <c r="AB27" s="99" t="s">
        <v>140</v>
      </c>
      <c r="AC27" s="99" t="s">
        <v>141</v>
      </c>
      <c r="AD27" s="99" t="s">
        <v>142</v>
      </c>
      <c r="AE27" s="99" t="s">
        <v>143</v>
      </c>
      <c r="AF27" s="99" t="s">
        <v>144</v>
      </c>
      <c r="AG27" s="99" t="s">
        <v>145</v>
      </c>
      <c r="AH27" s="99" t="s">
        <v>146</v>
      </c>
      <c r="AI27" s="99" t="s">
        <v>147</v>
      </c>
      <c r="AJ27" s="99" t="s">
        <v>148</v>
      </c>
      <c r="AK27" s="99" t="s">
        <v>149</v>
      </c>
      <c r="AL27" s="99" t="s">
        <v>150</v>
      </c>
      <c r="AM27" s="99" t="s">
        <v>151</v>
      </c>
      <c r="AN27" s="99" t="s">
        <v>152</v>
      </c>
      <c r="AO27" s="99" t="s">
        <v>153</v>
      </c>
      <c r="AP27" s="99" t="s">
        <v>154</v>
      </c>
      <c r="AQ27" s="99" t="s">
        <v>155</v>
      </c>
      <c r="AR27" s="99" t="s">
        <v>156</v>
      </c>
      <c r="AS27" s="99" t="s">
        <v>157</v>
      </c>
      <c r="AT27" s="99" t="s">
        <v>158</v>
      </c>
      <c r="AU27" s="99" t="s">
        <v>159</v>
      </c>
      <c r="AV27" s="99" t="s">
        <v>160</v>
      </c>
      <c r="AW27" s="99" t="s">
        <v>161</v>
      </c>
      <c r="AX27" s="99" t="s">
        <v>162</v>
      </c>
      <c r="AY27" s="99" t="s">
        <v>163</v>
      </c>
      <c r="AZ27" s="99" t="s">
        <v>164</v>
      </c>
      <c r="BA27" s="99" t="s">
        <v>165</v>
      </c>
      <c r="BB27" s="99" t="s">
        <v>166</v>
      </c>
      <c r="BC27" s="99" t="s">
        <v>167</v>
      </c>
      <c r="BD27" s="99" t="s">
        <v>168</v>
      </c>
      <c r="BE27" s="99" t="s">
        <v>169</v>
      </c>
      <c r="BF27" s="99" t="s">
        <v>170</v>
      </c>
      <c r="BG27" s="99" t="s">
        <v>171</v>
      </c>
      <c r="BH27" s="99" t="s">
        <v>172</v>
      </c>
      <c r="BI27" s="99" t="s">
        <v>173</v>
      </c>
      <c r="BJ27" s="99" t="s">
        <v>174</v>
      </c>
      <c r="BK27" s="106" t="s">
        <v>175</v>
      </c>
      <c r="BL27" s="106" t="s">
        <v>176</v>
      </c>
    </row>
    <row r="28" spans="7:64" x14ac:dyDescent="0.35">
      <c r="G28" s="97" t="s">
        <v>177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178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179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180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181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182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183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184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185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186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187</v>
      </c>
      <c r="H40">
        <f>SUM(H28:H38)</f>
        <v>17424</v>
      </c>
    </row>
    <row r="41" spans="7:64" x14ac:dyDescent="0.35">
      <c r="G41" s="101" t="s">
        <v>188</v>
      </c>
      <c r="H41">
        <f>AVERAGE(H28:H38)</f>
        <v>1742.4</v>
      </c>
      <c r="K41" s="104" t="s">
        <v>189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41ddf62-fc1b-4dec-9a40-da059184f445">
      <Terms xmlns="http://schemas.microsoft.com/office/infopath/2007/PartnerControls"/>
    </lcf76f155ced4ddcb4097134ff3c332f>
    <TaxCatchAll xmlns="49346060-42a8-4e71-a884-66c74e31059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14" ma:contentTypeDescription="Crear nuevo documento." ma:contentTypeScope="" ma:versionID="ac626b0c91a9797b14e7426e0a6f10bf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b8cefd15ae0c155823e9482943c987c1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3cf0cb4a-ca56-4c0c-ae08-78cd448b0a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183508c8-b520-460a-8834-c57d3b8a332d}" ma:internalName="TaxCatchAll" ma:showField="CatchAllData" ma:web="49346060-42a8-4e71-a884-66c74e3105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341ddf62-fc1b-4dec-9a40-da059184f445"/>
    <ds:schemaRef ds:uri="http://purl.org/dc/dcmitype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9346060-42a8-4e71-a884-66c74e310596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7E9FB4A4-E808-43DF-9411-1A70C5B42D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1ddf62-fc1b-4dec-9a40-da059184f445"/>
    <ds:schemaRef ds:uri="49346060-42a8-4e71-a884-66c74e310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Inmaculada Benitez Gonzalez</cp:lastModifiedBy>
  <cp:revision/>
  <dcterms:created xsi:type="dcterms:W3CDTF">2025-06-10T09:39:58Z</dcterms:created>
  <dcterms:modified xsi:type="dcterms:W3CDTF">2026-03-30T06:39:33Z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0x0101009130438C2F04CD439CBEDC1DD9129E08</vt:lpwstr>
  </property>
  <property fmtid="{D5CDD505-2E9C-101B-9397-08002B2CF9AE}" pid="11" name="MediaServiceImageTags">
    <vt:lpwstr/>
  </property>
</Properties>
</file>