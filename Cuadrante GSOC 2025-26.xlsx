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498" documentId="8_{BF395F17-8A36-4A5B-A61D-48748E8233D4}" xr6:coauthVersionLast="47" xr6:coauthVersionMax="47" xr10:uidLastSave="{2BE8CE88-4E30-41C2-A8FA-D7310801EC8D}"/>
  <bookViews>
    <workbookView xWindow="-110" yWindow="-110" windowWidth="19200" windowHeight="9020" firstSheet="2" activeTab="6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7" l="1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1" i="20"/>
  <c r="D21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Q21" i="20"/>
  <c r="R21" i="20"/>
  <c r="S21" i="20"/>
  <c r="T21" i="20"/>
  <c r="U21" i="20"/>
  <c r="V21" i="20"/>
  <c r="W21" i="20"/>
  <c r="X21" i="20"/>
  <c r="Y21" i="20"/>
  <c r="Z21" i="20"/>
  <c r="AA21" i="20"/>
  <c r="AB21" i="20"/>
  <c r="AC21" i="20"/>
  <c r="AD21" i="20"/>
  <c r="AE21" i="20"/>
  <c r="AF21" i="20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14"/>
  <c r="AG15" i="13"/>
  <c r="AH15" i="14"/>
  <c r="AH15" i="15"/>
  <c r="AE21" i="19"/>
  <c r="AF21" i="19"/>
  <c r="AG21" i="19"/>
  <c r="AE22" i="19"/>
  <c r="AF22" i="19"/>
  <c r="AG22" i="19"/>
  <c r="AE23" i="19"/>
  <c r="AF23" i="19"/>
  <c r="AG23" i="19"/>
  <c r="C21" i="19"/>
  <c r="D21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M20" i="19" s="1"/>
  <c r="N23" i="19"/>
  <c r="N20" i="19" s="1"/>
  <c r="O23" i="19"/>
  <c r="P23" i="19"/>
  <c r="Q23" i="19"/>
  <c r="R23" i="19"/>
  <c r="S23" i="19"/>
  <c r="T23" i="19"/>
  <c r="U23" i="19"/>
  <c r="V23" i="19"/>
  <c r="W23" i="19"/>
  <c r="X23" i="19"/>
  <c r="Y23" i="19"/>
  <c r="Y20" i="19" s="1"/>
  <c r="Z23" i="19"/>
  <c r="Z20" i="19" s="1"/>
  <c r="AA23" i="19"/>
  <c r="AB23" i="19"/>
  <c r="AC23" i="19"/>
  <c r="AD23" i="19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C22" i="18"/>
  <c r="D22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L20" i="23" l="1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0" i="21"/>
  <c r="Y20" i="21"/>
  <c r="N20" i="21"/>
  <c r="M20" i="21"/>
  <c r="X20" i="19"/>
  <c r="L20" i="19"/>
  <c r="K20" i="19"/>
  <c r="W20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0" i="21"/>
  <c r="L20" i="21"/>
  <c r="X20" i="21"/>
  <c r="K20" i="21"/>
  <c r="AE20" i="21"/>
  <c r="V20" i="21"/>
  <c r="AC20" i="21"/>
  <c r="Q20" i="21"/>
  <c r="E20" i="21"/>
  <c r="AG20" i="21"/>
  <c r="U20" i="21"/>
  <c r="I20" i="21"/>
  <c r="AB20" i="21"/>
  <c r="P20" i="21"/>
  <c r="D20" i="21"/>
  <c r="AD20" i="21"/>
  <c r="R20" i="21"/>
  <c r="F20" i="21"/>
  <c r="AF20" i="21"/>
  <c r="H20" i="21"/>
  <c r="G20" i="21"/>
  <c r="AA20" i="21"/>
  <c r="O20" i="21"/>
  <c r="C20" i="21"/>
  <c r="T20" i="21"/>
  <c r="S20" i="21"/>
  <c r="J20" i="21"/>
  <c r="V20" i="20"/>
  <c r="J20" i="20"/>
  <c r="I20" i="20"/>
  <c r="U20" i="20"/>
  <c r="S20" i="20"/>
  <c r="G20" i="20"/>
  <c r="AD20" i="20"/>
  <c r="C20" i="20"/>
  <c r="Z20" i="20"/>
  <c r="N20" i="20"/>
  <c r="Y20" i="20"/>
  <c r="M20" i="20"/>
  <c r="F20" i="20"/>
  <c r="AC20" i="20"/>
  <c r="Q20" i="20"/>
  <c r="E20" i="20"/>
  <c r="AB20" i="20"/>
  <c r="P20" i="20"/>
  <c r="D20" i="20"/>
  <c r="AA20" i="20"/>
  <c r="X20" i="20"/>
  <c r="L20" i="20"/>
  <c r="AF20" i="20"/>
  <c r="T20" i="20"/>
  <c r="H20" i="20"/>
  <c r="AE20" i="20"/>
  <c r="R20" i="20"/>
  <c r="O20" i="20"/>
  <c r="W20" i="20"/>
  <c r="K20" i="20"/>
  <c r="AD20" i="19"/>
  <c r="AC20" i="19"/>
  <c r="AB20" i="19"/>
  <c r="AA20" i="19"/>
  <c r="V20" i="19"/>
  <c r="U20" i="19"/>
  <c r="T20" i="19"/>
  <c r="S20" i="19"/>
  <c r="R20" i="19"/>
  <c r="Q20" i="19"/>
  <c r="P20" i="19"/>
  <c r="O20" i="19"/>
  <c r="J20" i="19"/>
  <c r="I20" i="19"/>
  <c r="H20" i="19"/>
  <c r="G20" i="19"/>
  <c r="F20" i="19"/>
  <c r="E20" i="19"/>
  <c r="D20" i="19"/>
  <c r="C20" i="19"/>
  <c r="AG20" i="19"/>
  <c r="AF20" i="19"/>
  <c r="AE20" i="19"/>
  <c r="N20" i="18"/>
  <c r="Z20" i="18"/>
  <c r="Y20" i="18"/>
  <c r="X20" i="18"/>
  <c r="L20" i="18"/>
  <c r="S20" i="18"/>
  <c r="G20" i="18"/>
  <c r="W20" i="18"/>
  <c r="K20" i="18"/>
  <c r="AD20" i="18"/>
  <c r="R20" i="18"/>
  <c r="F20" i="18"/>
  <c r="D20" i="18"/>
  <c r="V20" i="18"/>
  <c r="AC20" i="18"/>
  <c r="E20" i="18"/>
  <c r="U20" i="18"/>
  <c r="T20" i="18"/>
  <c r="H20" i="18"/>
  <c r="AA20" i="18"/>
  <c r="O20" i="18"/>
  <c r="C20" i="18"/>
  <c r="P20" i="18"/>
  <c r="I20" i="18"/>
  <c r="M20" i="18"/>
  <c r="J20" i="18"/>
  <c r="Q20" i="18"/>
  <c r="AB20" i="18"/>
  <c r="L23" i="14"/>
  <c r="M23" i="14"/>
  <c r="N23" i="14"/>
  <c r="K23" i="14"/>
  <c r="AH6" i="15" l="1"/>
  <c r="AH5" i="15"/>
  <c r="AH7" i="15"/>
  <c r="AH8" i="15"/>
  <c r="AH10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2" i="15"/>
  <c r="AF22" i="15"/>
  <c r="AE22" i="15"/>
  <c r="AD22" i="15"/>
  <c r="AD21" i="15" s="1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1" i="15" l="1"/>
  <c r="T21" i="15"/>
  <c r="AG21" i="15"/>
  <c r="U21" i="15"/>
  <c r="W21" i="15"/>
  <c r="R21" i="15"/>
  <c r="P21" i="15"/>
  <c r="Z21" i="15"/>
  <c r="S21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1" i="15"/>
  <c r="V21" i="15"/>
  <c r="X21" i="15"/>
  <c r="E21" i="15"/>
  <c r="M21" i="15"/>
  <c r="F21" i="15"/>
  <c r="K21" i="15"/>
  <c r="Q21" i="15"/>
  <c r="AA21" i="15"/>
  <c r="L21" i="15"/>
  <c r="C21" i="15"/>
  <c r="O21" i="15"/>
  <c r="AB21" i="15"/>
  <c r="AC21" i="15"/>
  <c r="J21" i="15"/>
  <c r="G21" i="15"/>
  <c r="AF21" i="15"/>
  <c r="I21" i="15"/>
  <c r="H21" i="15"/>
  <c r="AG21" i="14"/>
  <c r="Y21" i="15"/>
  <c r="AB21" i="14"/>
  <c r="Y21" i="14"/>
  <c r="X21" i="14"/>
  <c r="C21" i="14"/>
  <c r="D21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tc={E952243D-2C5F-488D-AE16-22AAF78AEC7E}</author>
  </authors>
  <commentList>
    <comment ref="AB19" authorId="0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sharedStrings.xml><?xml version="1.0" encoding="utf-8"?>
<sst xmlns="http://schemas.openxmlformats.org/spreadsheetml/2006/main" count="10038" uniqueCount="187">
  <si>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</si>
  <si>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</si>
  <si>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</si>
  <si>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</si>
  <si>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</si>
  <si>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</si>
  <si>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</si>
  <si>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</si>
  <si>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</si>
  <si>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</si>
  <si>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</si>
  <si>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</si>
  <si>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</si>
  <si>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</si>
  <si>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</si>
  <si>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</si>
  <si>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</si>
  <si>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</si>
  <si>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</si>
  <si>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</si>
  <si>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</si>
  <si>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</si>
  <si>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</si>
  <si>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</si>
  <si>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</si>
  <si>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</si>
  <si>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</si>
  <si>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</si>
  <si>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</si>
  <si>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</si>
  <si>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</si>
  <si>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</si>
  <si>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</si>
  <si>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</si>
  <si>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</si>
  <si>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</si>
  <si>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</si>
  <si>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</si>
  <si>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</si>
  <si>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</si>
  <si>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</si>
  <si>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</si>
  <si>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</si>
  <si>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</si>
  <si>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</si>
  <si>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</si>
  <si>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</si>
  <si>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</si>
  <si>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</si>
  <si>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</si>
  <si>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</si>
  <si>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</si>
  <si>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</si>
  <si>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</si>
  <si>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</si>
  <si>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</si>
  <si>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</si>
  <si>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</si>
  <si>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</si>
  <si>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</si>
  <si>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</si>
  <si>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</si>
  <si>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</si>
  <si>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</si>
  <si>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</si>
  <si>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</si>
  <si>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</si>
  <si>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</si>
  <si>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</si>
  <si>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</si>
  <si>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</si>
  <si>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</si>
  <si>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</si>
  <si>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</si>
  <si>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</si>
  <si>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</si>
  <si>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</si>
  <si>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</si>
  <si>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</si>
  <si>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</si>
  <si>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</si>
  <si>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</si>
  <si>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</si>
  <si>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</si>
  <si>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</si>
  <si>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</si>
  <si>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</si>
  <si>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</si>
  <si>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</si>
  <si>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</si>
  <si>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</si>
  <si>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</si>
  <si>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</si>
  <si>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</si>
  <si>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</si>
  <si>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</si>
  <si>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ENERO</t>
  </si>
  <si>
    <t>&lt;</t>
  </si>
  <si>
    <t xml:space="preserve">M1/G </t>
  </si>
  <si>
    <t>V/G</t>
  </si>
  <si>
    <t>FEBRERO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</si>
  <si>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</si>
  <si>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</si>
  <si>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</si>
  <si>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</si>
  <si>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</si>
  <si>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</si>
  <si>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</si>
  <si>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</si>
  <si>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</si>
  <si>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</si>
  <si>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</si>
  <si>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</si>
  <si>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</si>
  <si>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</si>
  <si>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</si>
  <si>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</si>
  <si>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</si>
  <si>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</si>
  <si>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</si>
  <si>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</si>
  <si>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</si>
  <si>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</si>
  <si>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</si>
  <si>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</si>
  <si>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</si>
  <si>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</si>
  <si>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</si>
  <si>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</si>
  <si>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</si>
  <si>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</si>
  <si>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</si>
  <si>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</si>
  <si>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</si>
  <si>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</si>
  <si>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</si>
  <si>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</si>
  <si>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</si>
  <si>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</si>
  <si>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</si>
  <si>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</si>
  <si>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</si>
  <si>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</si>
  <si>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</si>
  <si>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</si>
  <si>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</si>
  <si>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</si>
  <si>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</si>
  <si>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</si>
  <si>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</si>
  <si>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</si>
  <si>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</si>
  <si>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</si>
  <si>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</si>
  <si>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</si>
  <si>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</si>
  <si>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</si>
  <si>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</si>
  <si>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</si>
  <si>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</si>
  <si>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</si>
  <si>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</si>
  <si>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</si>
  <si>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</si>
  <si>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</si>
  <si>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</si>
  <si>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</si>
  <si>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</si>
  <si>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</si>
  <si>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</si>
  <si>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</si>
  <si>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</si>
  <si>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</si>
  <si>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</si>
  <si>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</si>
  <si>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</si>
  <si>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</si>
  <si>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</si>
  <si>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</si>
  <si>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</si>
  <si>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</si>
  <si>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</si>
  <si>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</si>
  <si>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</si>
  <si>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</si>
  <si>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</si>
  <si>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Cesar Cuevas Marquez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</si>
</sst>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6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7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2" fillId="23" borderId="19" xfId="0" applyFont="1" applyFill="1" applyBorder="1" applyAlignment="1">
      <alignment horizontal="center"/>
    </xf>
    <xf numFmtId="0" fontId="11" fillId="33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2" fillId="2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2" fillId="2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146685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146685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ape Dolor Kristina" id="{0A7F2EB7-93AE-4D1B-8B1F-3BE903E54C73}" userId="S::x757832@santanderglobaltech.com::9394378e-7cb2-407f-b890-7e14ae9d513f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B19" dT="2025-11-25T12:28:07.98" personId="{0A7F2EB7-93AE-4D1B-8B1F-3BE903E54C73}" id="{E952243D-2C5F-488D-AE16-22AAF78AEC7E}">
    <text xml:space="preserve">Medico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47"/>
      <c r="E2" s="144" t="s">
        <v>0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6"/>
    </row>
    <row r="3" spans="1:36" ht="18" customHeight="1" x14ac:dyDescent="0.35">
      <c r="B3" s="32"/>
      <c r="D3" s="147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47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48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49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49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49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49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49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49"/>
      <c r="C11" s="34"/>
      <c r="D11" s="36"/>
      <c r="E11" s="154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6"/>
      <c r="AJ11" s="91"/>
    </row>
    <row r="12" spans="1:36" ht="18" customHeight="1" x14ac:dyDescent="0.35">
      <c r="A12" s="149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49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49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49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49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49"/>
      <c r="C17" s="34"/>
      <c r="D17" s="33"/>
      <c r="E17" s="154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6"/>
    </row>
    <row r="18" spans="1:36" ht="18" customHeight="1" x14ac:dyDescent="0.35">
      <c r="A18" s="149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49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49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49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49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49"/>
      <c r="C23" s="34"/>
      <c r="D23" s="35"/>
      <c r="E23" s="151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3"/>
    </row>
    <row r="24" spans="1:36" ht="18" customHeight="1" x14ac:dyDescent="0.35">
      <c r="A24" s="150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41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42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42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42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42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43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47"/>
      <c r="E2" s="144" t="s">
        <v>49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6"/>
    </row>
    <row r="3" spans="1:36" x14ac:dyDescent="0.35">
      <c r="A3" s="6"/>
      <c r="B3" s="32"/>
      <c r="C3" s="6"/>
      <c r="D3" s="147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47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49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49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49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49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49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49"/>
      <c r="B10" s="6"/>
      <c r="C10" s="34"/>
      <c r="D10" s="36"/>
      <c r="E10" s="154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6"/>
    </row>
    <row r="11" spans="1:36" x14ac:dyDescent="0.35">
      <c r="A11" s="149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49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49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49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49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49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49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49"/>
      <c r="B18" s="6"/>
      <c r="C18" s="34"/>
      <c r="D18" s="33"/>
      <c r="E18" s="154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6"/>
    </row>
    <row r="19" spans="1:35" x14ac:dyDescent="0.35">
      <c r="A19" s="149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49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49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49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49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49"/>
      <c r="B24" s="6"/>
      <c r="C24" s="34"/>
      <c r="E24" s="151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3"/>
    </row>
    <row r="25" spans="1:35" ht="15" thickBot="1" x14ac:dyDescent="0.4">
      <c r="A25" s="150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41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42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42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42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42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43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47"/>
      <c r="C1" s="144" t="s">
        <v>57</v>
      </c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</row>
    <row r="2" spans="1:33" x14ac:dyDescent="0.35">
      <c r="A2" s="6"/>
      <c r="B2" s="147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topLeftCell="A3" zoomScale="115" zoomScaleNormal="115" workbookViewId="0">
      <selection activeCell="H7" sqref="H7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47"/>
      <c r="C1" s="157" t="s">
        <v>78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9"/>
    </row>
    <row r="2" spans="1:34" x14ac:dyDescent="0.35">
      <c r="A2" s="6"/>
      <c r="B2" s="147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5" zoomScaleNormal="100" workbookViewId="0">
      <selection activeCell="B15" sqref="B15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47"/>
      <c r="C1" s="160" t="s">
        <v>81</v>
      </c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</row>
    <row r="2" spans="1:34" x14ac:dyDescent="0.35">
      <c r="A2" s="6"/>
      <c r="B2" s="147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3" workbookViewId="0">
      <selection activeCell="Q15" sqref="Q15:U15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4" style="91" bestFit="1" customWidth="1"/>
  </cols>
  <sheetData>
    <row r="1" spans="1:37" ht="15" customHeight="1" x14ac:dyDescent="0.35">
      <c r="A1" s="6"/>
      <c r="B1" s="147"/>
      <c r="C1" s="160" t="s">
        <v>95</v>
      </c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</row>
    <row r="2" spans="1:37" x14ac:dyDescent="0.35">
      <c r="A2" s="6"/>
      <c r="B2" s="147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186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8"/>
  <sheetViews>
    <sheetView tabSelected="1" workbookViewId="0">
      <selection activeCell="B15" sqref="B15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47"/>
      <c r="C1" s="160" t="s">
        <v>96</v>
      </c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</row>
    <row r="2" spans="1:34" x14ac:dyDescent="0.35">
      <c r="A2" s="6"/>
      <c r="B2" s="147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14</v>
      </c>
      <c r="D4" s="1" t="s">
        <v>14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14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14</v>
      </c>
      <c r="H5" s="5" t="s">
        <v>14</v>
      </c>
      <c r="I5" s="1" t="s">
        <v>14</v>
      </c>
      <c r="J5" s="1" t="s">
        <v>14</v>
      </c>
      <c r="K5" s="1" t="s">
        <v>14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5" t="s">
        <v>14</v>
      </c>
      <c r="Y5" s="5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14</v>
      </c>
      <c r="O6" s="1" t="s">
        <v>14</v>
      </c>
      <c r="P6" s="1" t="s">
        <v>14</v>
      </c>
      <c r="Q6" s="1" t="s">
        <v>14</v>
      </c>
      <c r="R6" s="1" t="s">
        <v>14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1" t="s">
        <v>14</v>
      </c>
      <c r="Y7" s="1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27" t="s">
        <v>16</v>
      </c>
      <c r="O10" s="127" t="s">
        <v>16</v>
      </c>
      <c r="P10" s="127" t="s">
        <v>16</v>
      </c>
      <c r="Q10" s="127" t="s">
        <v>16</v>
      </c>
      <c r="R10" s="127" t="s">
        <v>16</v>
      </c>
      <c r="S10" s="127" t="s">
        <v>17</v>
      </c>
      <c r="T10" s="127" t="s">
        <v>17</v>
      </c>
      <c r="U10" s="125" t="s">
        <v>7</v>
      </c>
      <c r="V10" s="125" t="s">
        <v>7</v>
      </c>
      <c r="W10" s="128" t="s">
        <v>4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7" t="s">
        <v>16</v>
      </c>
      <c r="AC10" s="127" t="s">
        <v>16</v>
      </c>
      <c r="AD10" s="127" t="s">
        <v>16</v>
      </c>
      <c r="AE10" s="127" t="s">
        <v>16</v>
      </c>
      <c r="AF10" s="127" t="s">
        <v>16</v>
      </c>
      <c r="AG10" s="127" t="s">
        <v>17</v>
      </c>
      <c r="AH10" s="91">
        <f t="shared" si="0"/>
        <v>156</v>
      </c>
    </row>
    <row r="11" spans="1:34" x14ac:dyDescent="0.35">
      <c r="A11" s="34" t="s">
        <v>12</v>
      </c>
      <c r="B11" s="33" t="s">
        <v>52</v>
      </c>
      <c r="C11" s="129" t="s">
        <v>14</v>
      </c>
      <c r="D11" s="130" t="s">
        <v>14</v>
      </c>
      <c r="E11" s="130" t="s">
        <v>15</v>
      </c>
      <c r="F11" s="130" t="s">
        <v>15</v>
      </c>
      <c r="G11" s="131" t="s">
        <v>7</v>
      </c>
      <c r="H11" s="131" t="s">
        <v>7</v>
      </c>
      <c r="I11" s="132" t="s">
        <v>4</v>
      </c>
      <c r="J11" s="131" t="s">
        <v>7</v>
      </c>
      <c r="K11" s="131" t="s">
        <v>7</v>
      </c>
      <c r="L11" s="131" t="s">
        <v>7</v>
      </c>
      <c r="M11" s="131" t="s">
        <v>7</v>
      </c>
      <c r="N11" s="133" t="s">
        <v>16</v>
      </c>
      <c r="O11" s="133" t="s">
        <v>16</v>
      </c>
      <c r="P11" s="133" t="s">
        <v>16</v>
      </c>
      <c r="Q11" s="133" t="s">
        <v>16</v>
      </c>
      <c r="R11" s="133" t="s">
        <v>16</v>
      </c>
      <c r="S11" s="133" t="s">
        <v>17</v>
      </c>
      <c r="T11" s="133" t="s">
        <v>17</v>
      </c>
      <c r="U11" s="131" t="s">
        <v>7</v>
      </c>
      <c r="V11" s="131" t="s">
        <v>7</v>
      </c>
      <c r="W11" s="131" t="s">
        <v>7</v>
      </c>
      <c r="X11" s="132" t="s">
        <v>4</v>
      </c>
      <c r="Y11" s="131" t="s">
        <v>7</v>
      </c>
      <c r="Z11" s="131" t="s">
        <v>7</v>
      </c>
      <c r="AA11" s="131" t="s">
        <v>7</v>
      </c>
      <c r="AB11" s="133" t="s">
        <v>16</v>
      </c>
      <c r="AC11" s="133" t="s">
        <v>16</v>
      </c>
      <c r="AD11" s="133" t="s">
        <v>16</v>
      </c>
      <c r="AE11" s="133" t="s">
        <v>16</v>
      </c>
      <c r="AF11" s="133" t="s">
        <v>16</v>
      </c>
      <c r="AG11" s="133" t="s">
        <v>17</v>
      </c>
      <c r="AH11" s="91">
        <f t="shared" si="0"/>
        <v>156</v>
      </c>
    </row>
    <row r="12" spans="1:34" x14ac:dyDescent="0.35">
      <c r="A12" s="34" t="s">
        <v>12</v>
      </c>
      <c r="B12" s="33" t="s">
        <v>24</v>
      </c>
      <c r="C12" s="134" t="s">
        <v>4</v>
      </c>
      <c r="D12" s="131" t="s">
        <v>7</v>
      </c>
      <c r="E12" s="131" t="s">
        <v>7</v>
      </c>
      <c r="F12" s="131" t="s">
        <v>7</v>
      </c>
      <c r="G12" s="130" t="s">
        <v>14</v>
      </c>
      <c r="H12" s="130" t="s">
        <v>14</v>
      </c>
      <c r="I12" s="130" t="s">
        <v>14</v>
      </c>
      <c r="J12" s="130" t="s">
        <v>14</v>
      </c>
      <c r="K12" s="130" t="s">
        <v>14</v>
      </c>
      <c r="L12" s="130" t="s">
        <v>15</v>
      </c>
      <c r="M12" s="130" t="s">
        <v>15</v>
      </c>
      <c r="N12" s="131" t="s">
        <v>7</v>
      </c>
      <c r="O12" s="131" t="s">
        <v>7</v>
      </c>
      <c r="P12" s="132" t="s">
        <v>4</v>
      </c>
      <c r="Q12" s="131" t="s">
        <v>7</v>
      </c>
      <c r="R12" s="131" t="s">
        <v>7</v>
      </c>
      <c r="S12" s="131" t="s">
        <v>7</v>
      </c>
      <c r="T12" s="131" t="s">
        <v>7</v>
      </c>
      <c r="U12" s="133" t="s">
        <v>16</v>
      </c>
      <c r="V12" s="133" t="s">
        <v>16</v>
      </c>
      <c r="W12" s="133" t="s">
        <v>16</v>
      </c>
      <c r="X12" s="133" t="s">
        <v>16</v>
      </c>
      <c r="Y12" s="133" t="s">
        <v>16</v>
      </c>
      <c r="Z12" s="133" t="s">
        <v>17</v>
      </c>
      <c r="AA12" s="133" t="s">
        <v>17</v>
      </c>
      <c r="AB12" s="131" t="s">
        <v>7</v>
      </c>
      <c r="AC12" s="131" t="s">
        <v>7</v>
      </c>
      <c r="AD12" s="131" t="s">
        <v>7</v>
      </c>
      <c r="AE12" s="132" t="s">
        <v>4</v>
      </c>
      <c r="AF12" s="131" t="s">
        <v>7</v>
      </c>
      <c r="AG12" s="131" t="s">
        <v>7</v>
      </c>
      <c r="AH12" s="91">
        <f t="shared" si="0"/>
        <v>128</v>
      </c>
    </row>
    <row r="13" spans="1:34" x14ac:dyDescent="0.35">
      <c r="A13" s="34" t="s">
        <v>12</v>
      </c>
      <c r="B13" s="33" t="s">
        <v>84</v>
      </c>
      <c r="C13" s="135" t="s">
        <v>97</v>
      </c>
      <c r="D13" s="133" t="s">
        <v>16</v>
      </c>
      <c r="E13" s="133" t="s">
        <v>17</v>
      </c>
      <c r="F13" s="133" t="s">
        <v>17</v>
      </c>
      <c r="G13" s="131" t="s">
        <v>7</v>
      </c>
      <c r="H13" s="131" t="s">
        <v>7</v>
      </c>
      <c r="I13" s="131" t="s">
        <v>7</v>
      </c>
      <c r="J13" s="132" t="s">
        <v>4</v>
      </c>
      <c r="K13" s="131" t="s">
        <v>7</v>
      </c>
      <c r="L13" s="131" t="s">
        <v>7</v>
      </c>
      <c r="M13" s="131" t="s">
        <v>7</v>
      </c>
      <c r="N13" s="136" t="s">
        <v>20</v>
      </c>
      <c r="O13" s="136" t="s">
        <v>20</v>
      </c>
      <c r="P13" s="136" t="s">
        <v>20</v>
      </c>
      <c r="Q13" s="136" t="s">
        <v>20</v>
      </c>
      <c r="R13" s="136" t="s">
        <v>20</v>
      </c>
      <c r="S13" s="131" t="s">
        <v>7</v>
      </c>
      <c r="T13" s="131" t="s">
        <v>7</v>
      </c>
      <c r="U13" s="133" t="s">
        <v>16</v>
      </c>
      <c r="V13" s="133" t="s">
        <v>16</v>
      </c>
      <c r="W13" s="133" t="s">
        <v>16</v>
      </c>
      <c r="X13" s="133" t="s">
        <v>16</v>
      </c>
      <c r="Y13" s="133" t="s">
        <v>16</v>
      </c>
      <c r="Z13" s="133" t="s">
        <v>17</v>
      </c>
      <c r="AA13" s="133" t="s">
        <v>17</v>
      </c>
      <c r="AB13" s="131" t="s">
        <v>7</v>
      </c>
      <c r="AC13" s="131" t="s">
        <v>7</v>
      </c>
      <c r="AD13" s="132" t="s">
        <v>4</v>
      </c>
      <c r="AE13" s="131" t="s">
        <v>7</v>
      </c>
      <c r="AF13" s="131" t="s">
        <v>7</v>
      </c>
      <c r="AG13" s="131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7" t="s">
        <v>20</v>
      </c>
      <c r="D14" s="136" t="s">
        <v>20</v>
      </c>
      <c r="E14" s="131" t="s">
        <v>7</v>
      </c>
      <c r="F14" s="131" t="s">
        <v>7</v>
      </c>
      <c r="G14" s="133" t="s">
        <v>16</v>
      </c>
      <c r="H14" s="133" t="s">
        <v>16</v>
      </c>
      <c r="I14" s="133" t="s">
        <v>16</v>
      </c>
      <c r="J14" s="133" t="s">
        <v>16</v>
      </c>
      <c r="K14" s="133" t="s">
        <v>16</v>
      </c>
      <c r="L14" s="133" t="s">
        <v>17</v>
      </c>
      <c r="M14" s="133" t="s">
        <v>17</v>
      </c>
      <c r="N14" s="131" t="s">
        <v>7</v>
      </c>
      <c r="O14" s="131" t="s">
        <v>7</v>
      </c>
      <c r="P14" s="131" t="s">
        <v>7</v>
      </c>
      <c r="Q14" s="132" t="s">
        <v>4</v>
      </c>
      <c r="R14" s="131" t="s">
        <v>7</v>
      </c>
      <c r="S14" s="131" t="s">
        <v>7</v>
      </c>
      <c r="T14" s="131" t="s">
        <v>7</v>
      </c>
      <c r="U14" s="136" t="s">
        <v>20</v>
      </c>
      <c r="V14" s="136" t="s">
        <v>20</v>
      </c>
      <c r="W14" s="136" t="s">
        <v>20</v>
      </c>
      <c r="X14" s="136" t="s">
        <v>20</v>
      </c>
      <c r="Y14" s="136" t="s">
        <v>20</v>
      </c>
      <c r="Z14" s="131" t="s">
        <v>7</v>
      </c>
      <c r="AA14" s="131" t="s">
        <v>7</v>
      </c>
      <c r="AB14" s="136" t="s">
        <v>20</v>
      </c>
      <c r="AC14" s="136" t="s">
        <v>20</v>
      </c>
      <c r="AD14" s="136" t="s">
        <v>20</v>
      </c>
      <c r="AE14" s="136" t="s">
        <v>20</v>
      </c>
      <c r="AF14" s="136" t="s">
        <v>20</v>
      </c>
      <c r="AG14" s="131" t="s">
        <v>7</v>
      </c>
      <c r="AH14" s="91">
        <f t="shared" si="0"/>
        <v>160</v>
      </c>
    </row>
    <row r="15" spans="1:34" x14ac:dyDescent="0.35">
      <c r="A15" s="34" t="s">
        <v>12</v>
      </c>
      <c r="B15" s="33" t="s">
        <v>186</v>
      </c>
      <c r="C15" s="5" t="s">
        <v>14</v>
      </c>
      <c r="D15" s="5" t="s">
        <v>14</v>
      </c>
      <c r="E15" s="131" t="s">
        <v>7</v>
      </c>
      <c r="F15" s="131" t="s">
        <v>7</v>
      </c>
      <c r="G15" s="5" t="s">
        <v>14</v>
      </c>
      <c r="H15" s="5" t="s">
        <v>14</v>
      </c>
      <c r="I15" s="5" t="s">
        <v>14</v>
      </c>
      <c r="J15" s="5" t="s">
        <v>14</v>
      </c>
      <c r="K15" s="5" t="s">
        <v>14</v>
      </c>
      <c r="L15" s="131" t="s">
        <v>7</v>
      </c>
      <c r="M15" s="131" t="s">
        <v>7</v>
      </c>
      <c r="N15" s="5" t="s">
        <v>14</v>
      </c>
      <c r="O15" s="5" t="s">
        <v>14</v>
      </c>
      <c r="P15" s="5" t="s">
        <v>14</v>
      </c>
      <c r="Q15" s="5" t="s">
        <v>14</v>
      </c>
      <c r="R15" s="5" t="s">
        <v>14</v>
      </c>
      <c r="S15" s="131" t="s">
        <v>7</v>
      </c>
      <c r="T15" s="131" t="s">
        <v>7</v>
      </c>
      <c r="U15" s="5" t="s">
        <v>14</v>
      </c>
      <c r="V15" s="5" t="s">
        <v>14</v>
      </c>
      <c r="W15" s="5" t="s">
        <v>14</v>
      </c>
      <c r="X15" s="5" t="s">
        <v>14</v>
      </c>
      <c r="Y15" s="5" t="s">
        <v>14</v>
      </c>
      <c r="Z15" s="131" t="s">
        <v>7</v>
      </c>
      <c r="AA15" s="131" t="s">
        <v>7</v>
      </c>
      <c r="AB15" s="5" t="s">
        <v>14</v>
      </c>
      <c r="AC15" s="5" t="s">
        <v>14</v>
      </c>
      <c r="AD15" s="5" t="s">
        <v>14</v>
      </c>
      <c r="AE15" s="5" t="s">
        <v>14</v>
      </c>
      <c r="AF15" s="5" t="s">
        <v>14</v>
      </c>
      <c r="AG15" s="131" t="s">
        <v>7</v>
      </c>
      <c r="AH15" s="91">
        <f t="shared" ref="AH15" si="1">COUNTIFS(C15:AG15,"&lt;&gt;"&amp;"L",C15:AG15,"&lt;&gt;"&amp;"NF",C15:AG15,"&lt;&gt;"&amp;"M/F",C15:AG15,"&lt;&gt;"&amp;"V",C15:AG15,"&lt;&gt;"&amp;"A")*8+COUNTIFS(C15:AG15,"NF")*12+COUNTIFS(C15:AG15,"M/F")*12</f>
        <v>176</v>
      </c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123"/>
      <c r="O16" s="123"/>
      <c r="P16" s="123"/>
      <c r="Q16" s="123"/>
      <c r="R16" s="123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4" x14ac:dyDescent="0.35">
      <c r="A17" s="34" t="s">
        <v>28</v>
      </c>
      <c r="B17" s="33" t="s">
        <v>29</v>
      </c>
      <c r="C17" s="28" t="s">
        <v>86</v>
      </c>
      <c r="D17" s="25" t="s">
        <v>33</v>
      </c>
      <c r="E17" s="28" t="s">
        <v>30</v>
      </c>
      <c r="F17" s="28" t="s">
        <v>30</v>
      </c>
      <c r="G17" s="17" t="s">
        <v>4</v>
      </c>
      <c r="H17" s="28" t="s">
        <v>7</v>
      </c>
      <c r="I17" s="17" t="s">
        <v>4</v>
      </c>
      <c r="J17" s="17" t="s">
        <v>4</v>
      </c>
      <c r="K17" s="17" t="s">
        <v>4</v>
      </c>
      <c r="L17" s="28" t="s">
        <v>7</v>
      </c>
      <c r="M17" s="28" t="s">
        <v>7</v>
      </c>
      <c r="N17" s="4" t="s">
        <v>14</v>
      </c>
      <c r="O17" s="17" t="s">
        <v>4</v>
      </c>
      <c r="P17" s="17" t="s">
        <v>4</v>
      </c>
      <c r="Q17" s="17" t="s">
        <v>4</v>
      </c>
      <c r="R17" s="17" t="s">
        <v>4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85</v>
      </c>
      <c r="AC17" s="4" t="s">
        <v>85</v>
      </c>
      <c r="AD17" s="4" t="s">
        <v>85</v>
      </c>
      <c r="AE17" s="4" t="s">
        <v>85</v>
      </c>
      <c r="AF17" s="4" t="s">
        <v>85</v>
      </c>
      <c r="AG17" s="28" t="s">
        <v>30</v>
      </c>
      <c r="AH17"/>
    </row>
    <row r="18" spans="1:34" x14ac:dyDescent="0.35">
      <c r="A18" s="34" t="s">
        <v>28</v>
      </c>
      <c r="B18" s="35" t="s">
        <v>60</v>
      </c>
      <c r="C18" s="28" t="s">
        <v>7</v>
      </c>
      <c r="D18" s="17" t="s">
        <v>4</v>
      </c>
      <c r="E18" s="28" t="s">
        <v>7</v>
      </c>
      <c r="F18" s="28" t="s">
        <v>7</v>
      </c>
      <c r="G18" s="4" t="s">
        <v>98</v>
      </c>
      <c r="H18" s="28" t="s">
        <v>86</v>
      </c>
      <c r="I18" s="4" t="s">
        <v>33</v>
      </c>
      <c r="J18" s="4" t="s">
        <v>33</v>
      </c>
      <c r="K18" s="4" t="s">
        <v>33</v>
      </c>
      <c r="L18" s="28" t="s">
        <v>30</v>
      </c>
      <c r="M18" s="28" t="s">
        <v>30</v>
      </c>
      <c r="N18" s="25" t="s">
        <v>11</v>
      </c>
      <c r="O18" s="25" t="s">
        <v>11</v>
      </c>
      <c r="P18" s="25" t="s">
        <v>11</v>
      </c>
      <c r="Q18" s="25" t="s">
        <v>11</v>
      </c>
      <c r="R18" s="25" t="s">
        <v>11</v>
      </c>
      <c r="S18" s="28" t="s">
        <v>7</v>
      </c>
      <c r="T18" s="28" t="s">
        <v>7</v>
      </c>
      <c r="U18" s="4" t="s">
        <v>14</v>
      </c>
      <c r="V18" s="4" t="s">
        <v>14</v>
      </c>
      <c r="W18" s="4" t="s">
        <v>14</v>
      </c>
      <c r="X18" s="4" t="s">
        <v>14</v>
      </c>
      <c r="Y18" s="4" t="s">
        <v>14</v>
      </c>
      <c r="Z18" s="28" t="s">
        <v>7</v>
      </c>
      <c r="AA18" s="28" t="s">
        <v>7</v>
      </c>
      <c r="AB18" s="4" t="s">
        <v>14</v>
      </c>
      <c r="AC18" s="4" t="s">
        <v>14</v>
      </c>
      <c r="AD18" s="4" t="s">
        <v>14</v>
      </c>
      <c r="AE18" s="4" t="s">
        <v>14</v>
      </c>
      <c r="AF18" s="4" t="s">
        <v>14</v>
      </c>
      <c r="AG18" s="28" t="s">
        <v>7</v>
      </c>
    </row>
    <row r="19" spans="1:34" x14ac:dyDescent="0.35">
      <c r="A19" s="34" t="s">
        <v>28</v>
      </c>
      <c r="B19" s="35" t="s">
        <v>34</v>
      </c>
      <c r="C19" s="28" t="s">
        <v>7</v>
      </c>
      <c r="D19" s="4" t="s">
        <v>11</v>
      </c>
      <c r="E19" s="28" t="s">
        <v>7</v>
      </c>
      <c r="F19" s="28" t="s">
        <v>7</v>
      </c>
      <c r="G19" s="25" t="s">
        <v>11</v>
      </c>
      <c r="H19" s="28" t="s">
        <v>7</v>
      </c>
      <c r="I19" s="25" t="s">
        <v>11</v>
      </c>
      <c r="J19" s="25" t="s">
        <v>11</v>
      </c>
      <c r="K19" s="25" t="s">
        <v>11</v>
      </c>
      <c r="L19" s="28" t="s">
        <v>7</v>
      </c>
      <c r="M19" s="28" t="s">
        <v>7</v>
      </c>
      <c r="N19" s="17" t="s">
        <v>99</v>
      </c>
      <c r="O19" s="4" t="s">
        <v>33</v>
      </c>
      <c r="P19" s="4" t="s">
        <v>33</v>
      </c>
      <c r="Q19" s="4" t="s">
        <v>33</v>
      </c>
      <c r="R19" s="4" t="s">
        <v>33</v>
      </c>
      <c r="S19" s="28" t="s">
        <v>30</v>
      </c>
      <c r="T19" s="28" t="s">
        <v>30</v>
      </c>
      <c r="U19" s="4" t="s">
        <v>85</v>
      </c>
      <c r="V19" s="4" t="s">
        <v>85</v>
      </c>
      <c r="W19" s="4" t="s">
        <v>85</v>
      </c>
      <c r="X19" s="4" t="s">
        <v>85</v>
      </c>
      <c r="Y19" s="4" t="s">
        <v>85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1" spans="1:34" x14ac:dyDescent="0.35">
      <c r="B21" s="111" t="s">
        <v>89</v>
      </c>
      <c r="C21" s="110">
        <f>SUM(C22:C24)</f>
        <v>3</v>
      </c>
      <c r="D21" s="110">
        <f t="shared" ref="D21:AG21" si="2">SUM(D22:D24)</f>
        <v>5</v>
      </c>
      <c r="E21" s="110">
        <f t="shared" si="2"/>
        <v>4</v>
      </c>
      <c r="F21" s="110">
        <f t="shared" si="2"/>
        <v>4</v>
      </c>
      <c r="G21" s="110">
        <f t="shared" si="2"/>
        <v>5</v>
      </c>
      <c r="H21" s="110">
        <f t="shared" si="2"/>
        <v>4</v>
      </c>
      <c r="I21" s="110">
        <f t="shared" si="2"/>
        <v>5</v>
      </c>
      <c r="J21" s="110">
        <f t="shared" si="2"/>
        <v>5</v>
      </c>
      <c r="K21" s="110">
        <f t="shared" si="2"/>
        <v>5</v>
      </c>
      <c r="L21" s="110">
        <f t="shared" si="2"/>
        <v>4</v>
      </c>
      <c r="M21" s="110">
        <f t="shared" si="2"/>
        <v>4</v>
      </c>
      <c r="N21" s="110">
        <f t="shared" si="2"/>
        <v>5</v>
      </c>
      <c r="O21" s="110">
        <f t="shared" si="2"/>
        <v>5</v>
      </c>
      <c r="P21" s="110">
        <f t="shared" si="2"/>
        <v>5</v>
      </c>
      <c r="Q21" s="110">
        <f t="shared" si="2"/>
        <v>5</v>
      </c>
      <c r="R21" s="110">
        <f t="shared" si="2"/>
        <v>5</v>
      </c>
      <c r="S21" s="110">
        <f t="shared" si="2"/>
        <v>4</v>
      </c>
      <c r="T21" s="110">
        <f t="shared" si="2"/>
        <v>4</v>
      </c>
      <c r="U21" s="110">
        <f t="shared" si="2"/>
        <v>6</v>
      </c>
      <c r="V21" s="110">
        <f t="shared" si="2"/>
        <v>6</v>
      </c>
      <c r="W21" s="110">
        <f t="shared" si="2"/>
        <v>6</v>
      </c>
      <c r="X21" s="110">
        <f t="shared" si="2"/>
        <v>6</v>
      </c>
      <c r="Y21" s="110">
        <f t="shared" si="2"/>
        <v>6</v>
      </c>
      <c r="Z21" s="110">
        <f t="shared" si="2"/>
        <v>4</v>
      </c>
      <c r="AA21" s="110">
        <f t="shared" si="2"/>
        <v>4</v>
      </c>
      <c r="AB21" s="110">
        <f t="shared" si="2"/>
        <v>6</v>
      </c>
      <c r="AC21" s="110">
        <f t="shared" si="2"/>
        <v>6</v>
      </c>
      <c r="AD21" s="110">
        <f t="shared" si="2"/>
        <v>6</v>
      </c>
      <c r="AE21" s="110">
        <f t="shared" si="2"/>
        <v>6</v>
      </c>
      <c r="AF21" s="110">
        <f t="shared" si="2"/>
        <v>6</v>
      </c>
      <c r="AG21" s="110">
        <f t="shared" si="2"/>
        <v>4</v>
      </c>
    </row>
    <row r="22" spans="1:34" x14ac:dyDescent="0.35">
      <c r="B22" s="111" t="s">
        <v>90</v>
      </c>
      <c r="C22" s="112">
        <f>COUNTIF(C4:C19,"T")</f>
        <v>2</v>
      </c>
      <c r="D22" s="112">
        <f t="shared" ref="D22:AG22" si="3">COUNTIF(D4:D19,"T")</f>
        <v>2</v>
      </c>
      <c r="E22" s="112">
        <f t="shared" si="3"/>
        <v>0</v>
      </c>
      <c r="F22" s="112">
        <f t="shared" si="3"/>
        <v>0</v>
      </c>
      <c r="G22" s="112">
        <f t="shared" si="3"/>
        <v>2</v>
      </c>
      <c r="H22" s="112">
        <f t="shared" si="3"/>
        <v>2</v>
      </c>
      <c r="I22" s="112">
        <f t="shared" si="3"/>
        <v>2</v>
      </c>
      <c r="J22" s="112">
        <f t="shared" si="3"/>
        <v>2</v>
      </c>
      <c r="K22" s="112">
        <f t="shared" si="3"/>
        <v>2</v>
      </c>
      <c r="L22" s="112">
        <f t="shared" si="3"/>
        <v>0</v>
      </c>
      <c r="M22" s="112">
        <f t="shared" si="3"/>
        <v>0</v>
      </c>
      <c r="N22" s="112">
        <f t="shared" si="3"/>
        <v>2</v>
      </c>
      <c r="O22" s="112">
        <f t="shared" si="3"/>
        <v>2</v>
      </c>
      <c r="P22" s="112">
        <f t="shared" si="3"/>
        <v>2</v>
      </c>
      <c r="Q22" s="112">
        <f t="shared" si="3"/>
        <v>2</v>
      </c>
      <c r="R22" s="112">
        <f t="shared" si="3"/>
        <v>2</v>
      </c>
      <c r="S22" s="112">
        <f t="shared" si="3"/>
        <v>0</v>
      </c>
      <c r="T22" s="112">
        <f t="shared" si="3"/>
        <v>0</v>
      </c>
      <c r="U22" s="112">
        <f t="shared" si="3"/>
        <v>2</v>
      </c>
      <c r="V22" s="112">
        <f t="shared" si="3"/>
        <v>2</v>
      </c>
      <c r="W22" s="112">
        <f t="shared" si="3"/>
        <v>2</v>
      </c>
      <c r="X22" s="112">
        <f t="shared" si="3"/>
        <v>2</v>
      </c>
      <c r="Y22" s="112">
        <f t="shared" si="3"/>
        <v>2</v>
      </c>
      <c r="Z22" s="112">
        <f t="shared" si="3"/>
        <v>0</v>
      </c>
      <c r="AA22" s="112">
        <f t="shared" si="3"/>
        <v>0</v>
      </c>
      <c r="AB22" s="112">
        <f t="shared" si="3"/>
        <v>2</v>
      </c>
      <c r="AC22" s="112">
        <f t="shared" si="3"/>
        <v>2</v>
      </c>
      <c r="AD22" s="112">
        <f t="shared" si="3"/>
        <v>2</v>
      </c>
      <c r="AE22" s="112">
        <f t="shared" si="3"/>
        <v>2</v>
      </c>
      <c r="AF22" s="112">
        <f t="shared" si="3"/>
        <v>2</v>
      </c>
      <c r="AG22" s="112">
        <f t="shared" si="3"/>
        <v>0</v>
      </c>
    </row>
    <row r="23" spans="1:34" x14ac:dyDescent="0.35">
      <c r="B23" s="111" t="s">
        <v>91</v>
      </c>
      <c r="C23" s="112">
        <f t="shared" ref="C23:AG23" si="4">COUNTIF(C4:C19,"N")+COUNTIF(C4:C19,"NF")</f>
        <v>1</v>
      </c>
      <c r="D23" s="112">
        <f t="shared" si="4"/>
        <v>2</v>
      </c>
      <c r="E23" s="112">
        <f t="shared" si="4"/>
        <v>2</v>
      </c>
      <c r="F23" s="112">
        <f t="shared" si="4"/>
        <v>2</v>
      </c>
      <c r="G23" s="112">
        <f t="shared" si="4"/>
        <v>2</v>
      </c>
      <c r="H23" s="112">
        <f t="shared" si="4"/>
        <v>2</v>
      </c>
      <c r="I23" s="112">
        <f t="shared" si="4"/>
        <v>2</v>
      </c>
      <c r="J23" s="112">
        <f t="shared" si="4"/>
        <v>2</v>
      </c>
      <c r="K23" s="112">
        <f t="shared" si="4"/>
        <v>2</v>
      </c>
      <c r="L23" s="112">
        <f t="shared" si="4"/>
        <v>2</v>
      </c>
      <c r="M23" s="112">
        <f t="shared" si="4"/>
        <v>2</v>
      </c>
      <c r="N23" s="112">
        <f t="shared" si="4"/>
        <v>2</v>
      </c>
      <c r="O23" s="112">
        <f t="shared" si="4"/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0</v>
      </c>
      <c r="D24" s="112">
        <f>COUNTIF(D4:D19,"M/F")+COUNTIF(D4:D19,"M1")+COUNTIF(D4:D19,"M3")+COUNTIF(D4:D19,"M3/G")+COUNTIF(D4:D19,"M2")</f>
        <v>1</v>
      </c>
      <c r="E24" s="112">
        <f>COUNTIF(E4:E19,"M1")+COUNTIF(E4:E19,"NF")</f>
        <v>2</v>
      </c>
      <c r="F24" s="112">
        <f t="shared" ref="F24:AG24" si="5">COUNTIF(F4:F19,"M/F")+COUNTIF(F4:F19,"M1")+COUNTIF(F4:F19,"M3")+COUNTIF(F4:F19,"M3/G")+COUNTIF(F4:F19,"M2")</f>
        <v>2</v>
      </c>
      <c r="G24" s="112">
        <f t="shared" si="5"/>
        <v>1</v>
      </c>
      <c r="H24" s="112">
        <f t="shared" si="5"/>
        <v>0</v>
      </c>
      <c r="I24" s="112">
        <f t="shared" si="5"/>
        <v>1</v>
      </c>
      <c r="J24" s="112">
        <f t="shared" si="5"/>
        <v>1</v>
      </c>
      <c r="K24" s="112">
        <f t="shared" si="5"/>
        <v>1</v>
      </c>
      <c r="L24" s="112">
        <f t="shared" si="5"/>
        <v>2</v>
      </c>
      <c r="M24" s="112">
        <f t="shared" si="5"/>
        <v>2</v>
      </c>
      <c r="N24" s="112">
        <f t="shared" si="5"/>
        <v>1</v>
      </c>
      <c r="O24" s="112">
        <f t="shared" si="5"/>
        <v>1</v>
      </c>
      <c r="P24" s="112">
        <f t="shared" si="5"/>
        <v>1</v>
      </c>
      <c r="Q24" s="112">
        <f t="shared" si="5"/>
        <v>1</v>
      </c>
      <c r="R24" s="112">
        <f t="shared" si="5"/>
        <v>1</v>
      </c>
      <c r="S24" s="112">
        <f t="shared" si="5"/>
        <v>2</v>
      </c>
      <c r="T24" s="112">
        <f t="shared" si="5"/>
        <v>2</v>
      </c>
      <c r="U24" s="112">
        <f t="shared" si="5"/>
        <v>2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2</v>
      </c>
      <c r="AG24" s="112">
        <f t="shared" si="5"/>
        <v>2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phoneticPr fontId="1" type="noConversion"/>
  <conditionalFormatting sqref="C22:AG24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7"/>
  <sheetViews>
    <sheetView workbookViewId="0">
      <selection activeCell="C10" sqref="C10:AD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7"/>
      <c r="C1" s="161" t="s">
        <v>100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3"/>
    </row>
    <row r="2" spans="1:34" x14ac:dyDescent="0.35">
      <c r="A2" s="6"/>
      <c r="B2" s="147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39" t="s">
        <v>17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7" t="s">
        <v>16</v>
      </c>
      <c r="L10" s="127" t="s">
        <v>16</v>
      </c>
      <c r="M10" s="127" t="s">
        <v>16</v>
      </c>
      <c r="N10" s="127" t="s">
        <v>16</v>
      </c>
      <c r="O10" s="127" t="s">
        <v>16</v>
      </c>
      <c r="P10" s="127" t="s">
        <v>17</v>
      </c>
      <c r="Q10" s="127" t="s">
        <v>17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7" t="s">
        <v>16</v>
      </c>
      <c r="Z10" s="127" t="s">
        <v>16</v>
      </c>
      <c r="AA10" s="127" t="s">
        <v>16</v>
      </c>
      <c r="AB10" s="127" t="s">
        <v>16</v>
      </c>
      <c r="AC10" s="127" t="s">
        <v>16</v>
      </c>
      <c r="AD10" s="127" t="s">
        <v>17</v>
      </c>
      <c r="AH10"/>
    </row>
    <row r="11" spans="1:34" x14ac:dyDescent="0.35">
      <c r="A11" s="34" t="s">
        <v>12</v>
      </c>
      <c r="B11" s="33" t="s">
        <v>52</v>
      </c>
      <c r="C11" s="135" t="s">
        <v>17</v>
      </c>
      <c r="D11" s="131" t="s">
        <v>7</v>
      </c>
      <c r="E11" s="131" t="s">
        <v>7</v>
      </c>
      <c r="F11" s="131" t="s">
        <v>7</v>
      </c>
      <c r="G11" s="131" t="s">
        <v>7</v>
      </c>
      <c r="H11" s="131" t="s">
        <v>7</v>
      </c>
      <c r="I11" s="131" t="s">
        <v>7</v>
      </c>
      <c r="J11" s="131" t="s">
        <v>7</v>
      </c>
      <c r="K11" s="133" t="s">
        <v>16</v>
      </c>
      <c r="L11" s="133" t="s">
        <v>16</v>
      </c>
      <c r="M11" s="133" t="s">
        <v>16</v>
      </c>
      <c r="N11" s="133" t="s">
        <v>16</v>
      </c>
      <c r="O11" s="133" t="s">
        <v>16</v>
      </c>
      <c r="P11" s="133" t="s">
        <v>17</v>
      </c>
      <c r="Q11" s="133" t="s">
        <v>17</v>
      </c>
      <c r="R11" s="131" t="s">
        <v>7</v>
      </c>
      <c r="S11" s="131" t="s">
        <v>7</v>
      </c>
      <c r="T11" s="131" t="s">
        <v>7</v>
      </c>
      <c r="U11" s="131" t="s">
        <v>7</v>
      </c>
      <c r="V11" s="131" t="s">
        <v>7</v>
      </c>
      <c r="W11" s="131" t="s">
        <v>7</v>
      </c>
      <c r="X11" s="131" t="s">
        <v>7</v>
      </c>
      <c r="Y11" s="133" t="s">
        <v>16</v>
      </c>
      <c r="Z11" s="133" t="s">
        <v>16</v>
      </c>
      <c r="AA11" s="133" t="s">
        <v>16</v>
      </c>
      <c r="AB11" s="133" t="s">
        <v>16</v>
      </c>
      <c r="AC11" s="133" t="s">
        <v>16</v>
      </c>
      <c r="AD11" s="133" t="s">
        <v>17</v>
      </c>
      <c r="AH11"/>
    </row>
    <row r="12" spans="1:34" x14ac:dyDescent="0.35">
      <c r="A12" s="34" t="s">
        <v>12</v>
      </c>
      <c r="B12" s="33" t="s">
        <v>24</v>
      </c>
      <c r="C12" s="138" t="s">
        <v>7</v>
      </c>
      <c r="D12" s="133" t="s">
        <v>16</v>
      </c>
      <c r="E12" s="133" t="s">
        <v>16</v>
      </c>
      <c r="F12" s="133" t="s">
        <v>16</v>
      </c>
      <c r="G12" s="133" t="s">
        <v>16</v>
      </c>
      <c r="H12" s="133" t="s">
        <v>16</v>
      </c>
      <c r="I12" s="133" t="s">
        <v>17</v>
      </c>
      <c r="J12" s="133" t="s">
        <v>17</v>
      </c>
      <c r="K12" s="131" t="s">
        <v>7</v>
      </c>
      <c r="L12" s="131" t="s">
        <v>7</v>
      </c>
      <c r="M12" s="131" t="s">
        <v>7</v>
      </c>
      <c r="N12" s="131" t="s">
        <v>7</v>
      </c>
      <c r="O12" s="131" t="s">
        <v>7</v>
      </c>
      <c r="P12" s="131" t="s">
        <v>7</v>
      </c>
      <c r="Q12" s="131" t="s">
        <v>7</v>
      </c>
      <c r="R12" s="133" t="s">
        <v>16</v>
      </c>
      <c r="S12" s="133" t="s">
        <v>16</v>
      </c>
      <c r="T12" s="133" t="s">
        <v>16</v>
      </c>
      <c r="U12" s="133" t="s">
        <v>16</v>
      </c>
      <c r="V12" s="133" t="s">
        <v>16</v>
      </c>
      <c r="W12" s="133" t="s">
        <v>17</v>
      </c>
      <c r="X12" s="133" t="s">
        <v>17</v>
      </c>
      <c r="Y12" s="131" t="s">
        <v>7</v>
      </c>
      <c r="Z12" s="131" t="s">
        <v>7</v>
      </c>
      <c r="AA12" s="131" t="s">
        <v>7</v>
      </c>
      <c r="AB12" s="131" t="s">
        <v>7</v>
      </c>
      <c r="AC12" s="131" t="s">
        <v>7</v>
      </c>
      <c r="AD12" s="131" t="s">
        <v>7</v>
      </c>
      <c r="AH12"/>
    </row>
    <row r="13" spans="1:34" x14ac:dyDescent="0.35">
      <c r="A13" s="34" t="s">
        <v>12</v>
      </c>
      <c r="B13" s="33" t="s">
        <v>84</v>
      </c>
      <c r="C13" s="138" t="s">
        <v>7</v>
      </c>
      <c r="D13" s="136" t="s">
        <v>20</v>
      </c>
      <c r="E13" s="136" t="s">
        <v>20</v>
      </c>
      <c r="F13" s="136" t="s">
        <v>20</v>
      </c>
      <c r="G13" s="136" t="s">
        <v>20</v>
      </c>
      <c r="H13" s="136" t="s">
        <v>20</v>
      </c>
      <c r="I13" s="131" t="s">
        <v>7</v>
      </c>
      <c r="J13" s="131" t="s">
        <v>7</v>
      </c>
      <c r="K13" s="136" t="s">
        <v>20</v>
      </c>
      <c r="L13" s="136" t="s">
        <v>20</v>
      </c>
      <c r="M13" s="136" t="s">
        <v>20</v>
      </c>
      <c r="N13" s="136" t="s">
        <v>20</v>
      </c>
      <c r="O13" s="136" t="s">
        <v>20</v>
      </c>
      <c r="P13" s="131" t="s">
        <v>7</v>
      </c>
      <c r="Q13" s="131" t="s">
        <v>7</v>
      </c>
      <c r="R13" s="133" t="s">
        <v>16</v>
      </c>
      <c r="S13" s="133" t="s">
        <v>16</v>
      </c>
      <c r="T13" s="133" t="s">
        <v>16</v>
      </c>
      <c r="U13" s="133" t="s">
        <v>16</v>
      </c>
      <c r="V13" s="133" t="s">
        <v>16</v>
      </c>
      <c r="W13" s="133" t="s">
        <v>17</v>
      </c>
      <c r="X13" s="133" t="s">
        <v>17</v>
      </c>
      <c r="Y13" s="131" t="s">
        <v>7</v>
      </c>
      <c r="Z13" s="131" t="s">
        <v>7</v>
      </c>
      <c r="AA13" s="131" t="s">
        <v>7</v>
      </c>
      <c r="AB13" s="131" t="s">
        <v>7</v>
      </c>
      <c r="AC13" s="131" t="s">
        <v>7</v>
      </c>
      <c r="AD13" s="131" t="s">
        <v>7</v>
      </c>
      <c r="AH13"/>
    </row>
    <row r="14" spans="1:34" x14ac:dyDescent="0.35">
      <c r="A14" s="34" t="s">
        <v>12</v>
      </c>
      <c r="B14" s="33" t="s">
        <v>53</v>
      </c>
      <c r="C14" s="138" t="s">
        <v>7</v>
      </c>
      <c r="D14" s="133" t="s">
        <v>16</v>
      </c>
      <c r="E14" s="133" t="s">
        <v>16</v>
      </c>
      <c r="F14" s="133" t="s">
        <v>16</v>
      </c>
      <c r="G14" s="133" t="s">
        <v>16</v>
      </c>
      <c r="H14" s="133" t="s">
        <v>16</v>
      </c>
      <c r="I14" s="133" t="s">
        <v>17</v>
      </c>
      <c r="J14" s="133" t="s">
        <v>17</v>
      </c>
      <c r="K14" s="131" t="s">
        <v>7</v>
      </c>
      <c r="L14" s="131" t="s">
        <v>7</v>
      </c>
      <c r="M14" s="131" t="s">
        <v>7</v>
      </c>
      <c r="N14" s="131" t="s">
        <v>7</v>
      </c>
      <c r="O14" s="131" t="s">
        <v>7</v>
      </c>
      <c r="P14" s="131" t="s">
        <v>7</v>
      </c>
      <c r="Q14" s="131" t="s">
        <v>7</v>
      </c>
      <c r="R14" s="136" t="s">
        <v>20</v>
      </c>
      <c r="S14" s="136" t="s">
        <v>20</v>
      </c>
      <c r="T14" s="136" t="s">
        <v>20</v>
      </c>
      <c r="U14" s="136" t="s">
        <v>20</v>
      </c>
      <c r="V14" s="136" t="s">
        <v>20</v>
      </c>
      <c r="W14" s="131" t="s">
        <v>7</v>
      </c>
      <c r="X14" s="131" t="s">
        <v>7</v>
      </c>
      <c r="Y14" s="136" t="s">
        <v>20</v>
      </c>
      <c r="Z14" s="136" t="s">
        <v>20</v>
      </c>
      <c r="AA14" s="136" t="s">
        <v>20</v>
      </c>
      <c r="AB14" s="136" t="s">
        <v>20</v>
      </c>
      <c r="AC14" s="136" t="s">
        <v>20</v>
      </c>
      <c r="AD14" s="131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30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30</v>
      </c>
      <c r="X16" s="28" t="s">
        <v>30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30</v>
      </c>
      <c r="J17" s="28" t="s">
        <v>30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30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H18"/>
    </row>
    <row r="20" spans="1:34" x14ac:dyDescent="0.35">
      <c r="B20" s="111" t="s">
        <v>89</v>
      </c>
      <c r="C20" s="110">
        <f t="shared" ref="C20:AD20" si="0">SUM(C21:C23)</f>
        <v>4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4</v>
      </c>
      <c r="J20" s="110">
        <f t="shared" si="0"/>
        <v>4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4</v>
      </c>
      <c r="Q20" s="110">
        <f t="shared" si="0"/>
        <v>4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4</v>
      </c>
      <c r="X20" s="110">
        <f t="shared" si="0"/>
        <v>4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4</v>
      </c>
    </row>
    <row r="21" spans="1:34" x14ac:dyDescent="0.35">
      <c r="B21" s="111" t="s">
        <v>90</v>
      </c>
      <c r="C21" s="112">
        <f t="shared" ref="C21:AD21" si="1">COUNTIF(C4:C18,"T")</f>
        <v>0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2</v>
      </c>
      <c r="I21" s="112">
        <f t="shared" si="1"/>
        <v>0</v>
      </c>
      <c r="J21" s="112">
        <f t="shared" si="1"/>
        <v>0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2</v>
      </c>
      <c r="P21" s="112">
        <f t="shared" si="1"/>
        <v>0</v>
      </c>
      <c r="Q21" s="112">
        <f t="shared" si="1"/>
        <v>0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2</v>
      </c>
      <c r="W21" s="112">
        <f t="shared" si="1"/>
        <v>0</v>
      </c>
      <c r="X21" s="112">
        <f t="shared" si="1"/>
        <v>0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2</v>
      </c>
      <c r="AD21" s="112">
        <f t="shared" si="1"/>
        <v>0</v>
      </c>
    </row>
    <row r="22" spans="1:34" x14ac:dyDescent="0.35">
      <c r="B22" s="111" t="s">
        <v>91</v>
      </c>
      <c r="C22" s="112">
        <f t="shared" ref="C22:AD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D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D1"/>
  </mergeCells>
  <conditionalFormatting sqref="C21:AD23">
    <cfRule type="cellIs" dxfId="10" priority="1" operator="equal">
      <formula>1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7"/>
      <c r="C1" s="164" t="s">
        <v>101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</row>
    <row r="2" spans="1:34" x14ac:dyDescent="0.35">
      <c r="A2" s="6"/>
      <c r="B2" s="147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39" t="s">
        <v>17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7" t="s">
        <v>16</v>
      </c>
      <c r="L10" s="127" t="s">
        <v>16</v>
      </c>
      <c r="M10" s="127" t="s">
        <v>16</v>
      </c>
      <c r="N10" s="127" t="s">
        <v>16</v>
      </c>
      <c r="O10" s="127" t="s">
        <v>16</v>
      </c>
      <c r="P10" s="127" t="s">
        <v>17</v>
      </c>
      <c r="Q10" s="127" t="s">
        <v>17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7" t="s">
        <v>16</v>
      </c>
      <c r="Z10" s="127" t="s">
        <v>16</v>
      </c>
      <c r="AA10" s="127" t="s">
        <v>16</v>
      </c>
      <c r="AB10" s="127" t="s">
        <v>16</v>
      </c>
      <c r="AC10" s="127" t="s">
        <v>16</v>
      </c>
      <c r="AD10" s="127" t="s">
        <v>17</v>
      </c>
      <c r="AE10" s="127" t="s">
        <v>17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5" t="s">
        <v>17</v>
      </c>
      <c r="D11" s="131" t="s">
        <v>7</v>
      </c>
      <c r="E11" s="131" t="s">
        <v>7</v>
      </c>
      <c r="F11" s="131" t="s">
        <v>7</v>
      </c>
      <c r="G11" s="131" t="s">
        <v>7</v>
      </c>
      <c r="H11" s="131" t="s">
        <v>7</v>
      </c>
      <c r="I11" s="131" t="s">
        <v>7</v>
      </c>
      <c r="J11" s="131" t="s">
        <v>7</v>
      </c>
      <c r="K11" s="133" t="s">
        <v>16</v>
      </c>
      <c r="L11" s="133" t="s">
        <v>16</v>
      </c>
      <c r="M11" s="133" t="s">
        <v>16</v>
      </c>
      <c r="N11" s="133" t="s">
        <v>16</v>
      </c>
      <c r="O11" s="133" t="s">
        <v>16</v>
      </c>
      <c r="P11" s="133" t="s">
        <v>17</v>
      </c>
      <c r="Q11" s="133" t="s">
        <v>17</v>
      </c>
      <c r="R11" s="131" t="s">
        <v>7</v>
      </c>
      <c r="S11" s="131" t="s">
        <v>7</v>
      </c>
      <c r="T11" s="131" t="s">
        <v>7</v>
      </c>
      <c r="U11" s="131" t="s">
        <v>7</v>
      </c>
      <c r="V11" s="131" t="s">
        <v>7</v>
      </c>
      <c r="W11" s="131" t="s">
        <v>7</v>
      </c>
      <c r="X11" s="131" t="s">
        <v>7</v>
      </c>
      <c r="Y11" s="133" t="s">
        <v>16</v>
      </c>
      <c r="Z11" s="133" t="s">
        <v>16</v>
      </c>
      <c r="AA11" s="133" t="s">
        <v>16</v>
      </c>
      <c r="AB11" s="133" t="s">
        <v>16</v>
      </c>
      <c r="AC11" s="133" t="s">
        <v>16</v>
      </c>
      <c r="AD11" s="133" t="s">
        <v>17</v>
      </c>
      <c r="AE11" s="133" t="s">
        <v>17</v>
      </c>
      <c r="AF11" s="131" t="s">
        <v>7</v>
      </c>
      <c r="AG11" s="131" t="s">
        <v>7</v>
      </c>
      <c r="AH11"/>
    </row>
    <row r="12" spans="1:34" x14ac:dyDescent="0.35">
      <c r="A12" s="34" t="s">
        <v>12</v>
      </c>
      <c r="B12" s="33" t="s">
        <v>24</v>
      </c>
      <c r="C12" s="138" t="s">
        <v>7</v>
      </c>
      <c r="D12" s="133" t="s">
        <v>16</v>
      </c>
      <c r="E12" s="133" t="s">
        <v>16</v>
      </c>
      <c r="F12" s="133" t="s">
        <v>16</v>
      </c>
      <c r="G12" s="133" t="s">
        <v>16</v>
      </c>
      <c r="H12" s="133" t="s">
        <v>16</v>
      </c>
      <c r="I12" s="133" t="s">
        <v>17</v>
      </c>
      <c r="J12" s="133" t="s">
        <v>17</v>
      </c>
      <c r="K12" s="131" t="s">
        <v>7</v>
      </c>
      <c r="L12" s="131" t="s">
        <v>7</v>
      </c>
      <c r="M12" s="131" t="s">
        <v>7</v>
      </c>
      <c r="N12" s="131" t="s">
        <v>7</v>
      </c>
      <c r="O12" s="131" t="s">
        <v>7</v>
      </c>
      <c r="P12" s="131" t="s">
        <v>7</v>
      </c>
      <c r="Q12" s="131" t="s">
        <v>7</v>
      </c>
      <c r="R12" s="133" t="s">
        <v>16</v>
      </c>
      <c r="S12" s="133" t="s">
        <v>16</v>
      </c>
      <c r="T12" s="133" t="s">
        <v>16</v>
      </c>
      <c r="U12" s="133" t="s">
        <v>16</v>
      </c>
      <c r="V12" s="133" t="s">
        <v>16</v>
      </c>
      <c r="W12" s="133" t="s">
        <v>17</v>
      </c>
      <c r="X12" s="133" t="s">
        <v>17</v>
      </c>
      <c r="Y12" s="131" t="s">
        <v>7</v>
      </c>
      <c r="Z12" s="131" t="s">
        <v>7</v>
      </c>
      <c r="AA12" s="131" t="s">
        <v>7</v>
      </c>
      <c r="AB12" s="131" t="s">
        <v>7</v>
      </c>
      <c r="AC12" s="131" t="s">
        <v>7</v>
      </c>
      <c r="AD12" s="131" t="s">
        <v>7</v>
      </c>
      <c r="AE12" s="131" t="s">
        <v>7</v>
      </c>
      <c r="AF12" s="133" t="s">
        <v>16</v>
      </c>
      <c r="AG12" s="133" t="s">
        <v>16</v>
      </c>
      <c r="AH12"/>
    </row>
    <row r="13" spans="1:34" x14ac:dyDescent="0.35">
      <c r="A13" s="34" t="s">
        <v>12</v>
      </c>
      <c r="B13" s="33" t="s">
        <v>84</v>
      </c>
      <c r="C13" s="138" t="s">
        <v>7</v>
      </c>
      <c r="D13" s="136" t="s">
        <v>20</v>
      </c>
      <c r="E13" s="136" t="s">
        <v>20</v>
      </c>
      <c r="F13" s="136" t="s">
        <v>20</v>
      </c>
      <c r="G13" s="136" t="s">
        <v>20</v>
      </c>
      <c r="H13" s="136" t="s">
        <v>20</v>
      </c>
      <c r="I13" s="131" t="s">
        <v>7</v>
      </c>
      <c r="J13" s="131" t="s">
        <v>7</v>
      </c>
      <c r="K13" s="136" t="s">
        <v>20</v>
      </c>
      <c r="L13" s="136" t="s">
        <v>20</v>
      </c>
      <c r="M13" s="136" t="s">
        <v>20</v>
      </c>
      <c r="N13" s="136" t="s">
        <v>20</v>
      </c>
      <c r="O13" s="136" t="s">
        <v>20</v>
      </c>
      <c r="P13" s="131" t="s">
        <v>7</v>
      </c>
      <c r="Q13" s="131" t="s">
        <v>7</v>
      </c>
      <c r="R13" s="133" t="s">
        <v>16</v>
      </c>
      <c r="S13" s="133" t="s">
        <v>16</v>
      </c>
      <c r="T13" s="133" t="s">
        <v>16</v>
      </c>
      <c r="U13" s="133" t="s">
        <v>16</v>
      </c>
      <c r="V13" s="133" t="s">
        <v>16</v>
      </c>
      <c r="W13" s="133" t="s">
        <v>17</v>
      </c>
      <c r="X13" s="133" t="s">
        <v>17</v>
      </c>
      <c r="Y13" s="131" t="s">
        <v>7</v>
      </c>
      <c r="Z13" s="131" t="s">
        <v>7</v>
      </c>
      <c r="AA13" s="131" t="s">
        <v>7</v>
      </c>
      <c r="AB13" s="131" t="s">
        <v>7</v>
      </c>
      <c r="AC13" s="131" t="s">
        <v>7</v>
      </c>
      <c r="AD13" s="131" t="s">
        <v>7</v>
      </c>
      <c r="AE13" s="131" t="s">
        <v>7</v>
      </c>
      <c r="AF13" s="133" t="s">
        <v>16</v>
      </c>
      <c r="AG13" s="133" t="s">
        <v>16</v>
      </c>
      <c r="AH13"/>
    </row>
    <row r="14" spans="1:34" x14ac:dyDescent="0.35">
      <c r="A14" s="34" t="s">
        <v>12</v>
      </c>
      <c r="B14" s="33" t="s">
        <v>53</v>
      </c>
      <c r="C14" s="138" t="s">
        <v>7</v>
      </c>
      <c r="D14" s="133" t="s">
        <v>16</v>
      </c>
      <c r="E14" s="133" t="s">
        <v>16</v>
      </c>
      <c r="F14" s="133" t="s">
        <v>16</v>
      </c>
      <c r="G14" s="133" t="s">
        <v>16</v>
      </c>
      <c r="H14" s="133" t="s">
        <v>16</v>
      </c>
      <c r="I14" s="133" t="s">
        <v>17</v>
      </c>
      <c r="J14" s="133" t="s">
        <v>17</v>
      </c>
      <c r="K14" s="131" t="s">
        <v>7</v>
      </c>
      <c r="L14" s="131" t="s">
        <v>7</v>
      </c>
      <c r="M14" s="131" t="s">
        <v>7</v>
      </c>
      <c r="N14" s="131" t="s">
        <v>7</v>
      </c>
      <c r="O14" s="131" t="s">
        <v>7</v>
      </c>
      <c r="P14" s="131" t="s">
        <v>7</v>
      </c>
      <c r="Q14" s="131" t="s">
        <v>7</v>
      </c>
      <c r="R14" s="136" t="s">
        <v>20</v>
      </c>
      <c r="S14" s="136" t="s">
        <v>20</v>
      </c>
      <c r="T14" s="136" t="s">
        <v>20</v>
      </c>
      <c r="U14" s="136" t="s">
        <v>20</v>
      </c>
      <c r="V14" s="136" t="s">
        <v>20</v>
      </c>
      <c r="W14" s="131" t="s">
        <v>7</v>
      </c>
      <c r="X14" s="131" t="s">
        <v>7</v>
      </c>
      <c r="Y14" s="136" t="s">
        <v>20</v>
      </c>
      <c r="Z14" s="136" t="s">
        <v>20</v>
      </c>
      <c r="AA14" s="136" t="s">
        <v>20</v>
      </c>
      <c r="AB14" s="136" t="s">
        <v>20</v>
      </c>
      <c r="AC14" s="136" t="s">
        <v>20</v>
      </c>
      <c r="AD14" s="131" t="s">
        <v>7</v>
      </c>
      <c r="AE14" s="131" t="s">
        <v>7</v>
      </c>
      <c r="AF14" s="136" t="s">
        <v>20</v>
      </c>
      <c r="AG14" s="136" t="s">
        <v>20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4" t="s">
        <v>14</v>
      </c>
      <c r="E16" s="4" t="s">
        <v>14</v>
      </c>
      <c r="F16" s="4" t="s">
        <v>14</v>
      </c>
      <c r="G16" s="4" t="s">
        <v>14</v>
      </c>
      <c r="H16" s="4" t="s">
        <v>14</v>
      </c>
      <c r="I16" s="28" t="s">
        <v>7</v>
      </c>
      <c r="J16" s="28" t="s">
        <v>7</v>
      </c>
      <c r="K16" s="4" t="s">
        <v>85</v>
      </c>
      <c r="L16" s="4" t="s">
        <v>85</v>
      </c>
      <c r="M16" s="4" t="s">
        <v>85</v>
      </c>
      <c r="N16" s="4" t="s">
        <v>85</v>
      </c>
      <c r="O16" s="4" t="s">
        <v>85</v>
      </c>
      <c r="P16" s="28" t="s">
        <v>30</v>
      </c>
      <c r="Q16" s="28" t="s">
        <v>30</v>
      </c>
      <c r="R16" s="25" t="s">
        <v>11</v>
      </c>
      <c r="S16" s="25" t="s">
        <v>11</v>
      </c>
      <c r="T16" s="25" t="s">
        <v>11</v>
      </c>
      <c r="U16" s="25" t="s">
        <v>11</v>
      </c>
      <c r="V16" s="25" t="s">
        <v>11</v>
      </c>
      <c r="W16" s="28" t="s">
        <v>7</v>
      </c>
      <c r="X16" s="28" t="s">
        <v>7</v>
      </c>
      <c r="Y16" s="4" t="s">
        <v>14</v>
      </c>
      <c r="Z16" s="4" t="s">
        <v>14</v>
      </c>
      <c r="AA16" s="4" t="s">
        <v>14</v>
      </c>
      <c r="AB16" s="4" t="s">
        <v>14</v>
      </c>
      <c r="AC16" s="4" t="s">
        <v>14</v>
      </c>
      <c r="AD16" s="28" t="s">
        <v>7</v>
      </c>
      <c r="AE16" s="28" t="s">
        <v>7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8" t="s">
        <v>30</v>
      </c>
      <c r="D17" s="25" t="s">
        <v>11</v>
      </c>
      <c r="E17" s="25" t="s">
        <v>11</v>
      </c>
      <c r="F17" s="25" t="s">
        <v>11</v>
      </c>
      <c r="G17" s="25" t="s">
        <v>11</v>
      </c>
      <c r="H17" s="25" t="s">
        <v>11</v>
      </c>
      <c r="I17" s="28" t="s">
        <v>7</v>
      </c>
      <c r="J17" s="28" t="s">
        <v>7</v>
      </c>
      <c r="K17" s="4" t="s">
        <v>14</v>
      </c>
      <c r="L17" s="4" t="s">
        <v>14</v>
      </c>
      <c r="M17" s="4" t="s">
        <v>14</v>
      </c>
      <c r="N17" s="4" t="s">
        <v>14</v>
      </c>
      <c r="O17" s="4" t="s">
        <v>14</v>
      </c>
      <c r="P17" s="28" t="s">
        <v>7</v>
      </c>
      <c r="Q17" s="28" t="s">
        <v>7</v>
      </c>
      <c r="R17" s="4" t="s">
        <v>85</v>
      </c>
      <c r="S17" s="4" t="s">
        <v>85</v>
      </c>
      <c r="T17" s="4" t="s">
        <v>85</v>
      </c>
      <c r="U17" s="4" t="s">
        <v>85</v>
      </c>
      <c r="V17" s="4" t="s">
        <v>85</v>
      </c>
      <c r="W17" s="28" t="s">
        <v>30</v>
      </c>
      <c r="X17" s="28" t="s">
        <v>30</v>
      </c>
      <c r="Y17" s="25" t="s">
        <v>11</v>
      </c>
      <c r="Z17" s="25" t="s">
        <v>11</v>
      </c>
      <c r="AA17" s="25" t="s">
        <v>11</v>
      </c>
      <c r="AB17" s="25" t="s">
        <v>11</v>
      </c>
      <c r="AC17" s="25" t="s">
        <v>11</v>
      </c>
      <c r="AD17" s="28" t="s">
        <v>7</v>
      </c>
      <c r="AE17" s="28" t="s">
        <v>7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4" t="s">
        <v>85</v>
      </c>
      <c r="E18" s="4" t="s">
        <v>85</v>
      </c>
      <c r="F18" s="4" t="s">
        <v>85</v>
      </c>
      <c r="G18" s="4" t="s">
        <v>85</v>
      </c>
      <c r="H18" s="4" t="s">
        <v>85</v>
      </c>
      <c r="I18" s="28" t="s">
        <v>30</v>
      </c>
      <c r="J18" s="28" t="s">
        <v>30</v>
      </c>
      <c r="K18" s="25" t="s">
        <v>11</v>
      </c>
      <c r="L18" s="25" t="s">
        <v>11</v>
      </c>
      <c r="M18" s="25" t="s">
        <v>11</v>
      </c>
      <c r="N18" s="25" t="s">
        <v>11</v>
      </c>
      <c r="O18" s="25" t="s">
        <v>11</v>
      </c>
      <c r="P18" s="28" t="s">
        <v>7</v>
      </c>
      <c r="Q18" s="28" t="s">
        <v>7</v>
      </c>
      <c r="R18" s="4" t="s">
        <v>14</v>
      </c>
      <c r="S18" s="4" t="s">
        <v>14</v>
      </c>
      <c r="T18" s="4" t="s">
        <v>14</v>
      </c>
      <c r="U18" s="4" t="s">
        <v>14</v>
      </c>
      <c r="V18" s="4" t="s">
        <v>14</v>
      </c>
      <c r="W18" s="28" t="s">
        <v>7</v>
      </c>
      <c r="X18" s="28" t="s">
        <v>7</v>
      </c>
      <c r="Y18" s="4" t="s">
        <v>85</v>
      </c>
      <c r="Z18" s="4" t="s">
        <v>85</v>
      </c>
      <c r="AA18" s="4" t="s">
        <v>85</v>
      </c>
      <c r="AB18" s="4" t="s">
        <v>85</v>
      </c>
      <c r="AC18" s="4" t="s">
        <v>85</v>
      </c>
      <c r="AD18" s="28" t="s">
        <v>30</v>
      </c>
      <c r="AE18" s="28" t="s">
        <v>30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4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4</v>
      </c>
      <c r="J20" s="110">
        <f t="shared" si="0"/>
        <v>4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4</v>
      </c>
      <c r="Q20" s="110">
        <f t="shared" si="0"/>
        <v>4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4</v>
      </c>
      <c r="X20" s="110">
        <f t="shared" si="0"/>
        <v>4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4</v>
      </c>
      <c r="AE20" s="110">
        <f t="shared" si="0"/>
        <v>4</v>
      </c>
      <c r="AF20" s="110">
        <f t="shared" si="0"/>
        <v>6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2</v>
      </c>
      <c r="I21" s="112">
        <f t="shared" si="1"/>
        <v>0</v>
      </c>
      <c r="J21" s="112">
        <f t="shared" si="1"/>
        <v>0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2</v>
      </c>
      <c r="P21" s="112">
        <f t="shared" si="1"/>
        <v>0</v>
      </c>
      <c r="Q21" s="112">
        <f t="shared" si="1"/>
        <v>0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2</v>
      </c>
      <c r="W21" s="112">
        <f t="shared" si="1"/>
        <v>0</v>
      </c>
      <c r="X21" s="112">
        <f t="shared" si="1"/>
        <v>0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2</v>
      </c>
      <c r="AD21" s="112">
        <f t="shared" si="1"/>
        <v>0</v>
      </c>
      <c r="AE21" s="112">
        <f t="shared" si="1"/>
        <v>0</v>
      </c>
      <c r="AF21" s="112">
        <f t="shared" si="1"/>
        <v>2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7"/>
  <sheetViews>
    <sheetView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7"/>
      <c r="C1" s="164" t="s">
        <v>102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</row>
    <row r="2" spans="1:33" x14ac:dyDescent="0.35">
      <c r="A2" s="6"/>
      <c r="B2" s="147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7" t="s">
        <v>16</v>
      </c>
      <c r="I10" s="127" t="s">
        <v>16</v>
      </c>
      <c r="J10" s="127" t="s">
        <v>16</v>
      </c>
      <c r="K10" s="127" t="s">
        <v>16</v>
      </c>
      <c r="L10" s="127" t="s">
        <v>16</v>
      </c>
      <c r="M10" s="127" t="s">
        <v>17</v>
      </c>
      <c r="N10" s="127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7" t="s">
        <v>16</v>
      </c>
      <c r="W10" s="127" t="s">
        <v>16</v>
      </c>
      <c r="X10" s="127" t="s">
        <v>16</v>
      </c>
      <c r="Y10" s="127" t="s">
        <v>16</v>
      </c>
      <c r="Z10" s="127" t="s">
        <v>16</v>
      </c>
      <c r="AA10" s="127" t="s">
        <v>17</v>
      </c>
      <c r="AB10" s="127" t="s">
        <v>17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38" t="s">
        <v>7</v>
      </c>
      <c r="D11" s="131" t="s">
        <v>7</v>
      </c>
      <c r="E11" s="131" t="s">
        <v>7</v>
      </c>
      <c r="F11" s="131" t="s">
        <v>7</v>
      </c>
      <c r="G11" s="131" t="s">
        <v>7</v>
      </c>
      <c r="H11" s="133" t="s">
        <v>16</v>
      </c>
      <c r="I11" s="133" t="s">
        <v>16</v>
      </c>
      <c r="J11" s="133" t="s">
        <v>16</v>
      </c>
      <c r="K11" s="133" t="s">
        <v>16</v>
      </c>
      <c r="L11" s="133" t="s">
        <v>16</v>
      </c>
      <c r="M11" s="133" t="s">
        <v>17</v>
      </c>
      <c r="N11" s="133" t="s">
        <v>17</v>
      </c>
      <c r="O11" s="131" t="s">
        <v>7</v>
      </c>
      <c r="P11" s="131" t="s">
        <v>7</v>
      </c>
      <c r="Q11" s="131" t="s">
        <v>7</v>
      </c>
      <c r="R11" s="131" t="s">
        <v>7</v>
      </c>
      <c r="S11" s="131" t="s">
        <v>7</v>
      </c>
      <c r="T11" s="131" t="s">
        <v>7</v>
      </c>
      <c r="U11" s="131" t="s">
        <v>7</v>
      </c>
      <c r="V11" s="133" t="s">
        <v>16</v>
      </c>
      <c r="W11" s="133" t="s">
        <v>16</v>
      </c>
      <c r="X11" s="133" t="s">
        <v>16</v>
      </c>
      <c r="Y11" s="133" t="s">
        <v>16</v>
      </c>
      <c r="Z11" s="133" t="s">
        <v>16</v>
      </c>
      <c r="AA11" s="133" t="s">
        <v>17</v>
      </c>
      <c r="AB11" s="133" t="s">
        <v>17</v>
      </c>
      <c r="AC11" s="131" t="s">
        <v>7</v>
      </c>
      <c r="AD11" s="131" t="s">
        <v>7</v>
      </c>
      <c r="AE11" s="131" t="s">
        <v>7</v>
      </c>
      <c r="AF11" s="131" t="s">
        <v>7</v>
      </c>
      <c r="AG11"/>
    </row>
    <row r="12" spans="1:33" x14ac:dyDescent="0.35">
      <c r="A12" s="34" t="s">
        <v>12</v>
      </c>
      <c r="B12" s="33" t="s">
        <v>24</v>
      </c>
      <c r="C12" s="133" t="s">
        <v>16</v>
      </c>
      <c r="D12" s="133" t="s">
        <v>16</v>
      </c>
      <c r="E12" s="133" t="s">
        <v>16</v>
      </c>
      <c r="F12" s="133" t="s">
        <v>17</v>
      </c>
      <c r="G12" s="133" t="s">
        <v>17</v>
      </c>
      <c r="H12" s="131" t="s">
        <v>7</v>
      </c>
      <c r="I12" s="131" t="s">
        <v>7</v>
      </c>
      <c r="J12" s="131" t="s">
        <v>7</v>
      </c>
      <c r="K12" s="131" t="s">
        <v>7</v>
      </c>
      <c r="L12" s="131" t="s">
        <v>7</v>
      </c>
      <c r="M12" s="131" t="s">
        <v>7</v>
      </c>
      <c r="N12" s="131" t="s">
        <v>7</v>
      </c>
      <c r="O12" s="133" t="s">
        <v>16</v>
      </c>
      <c r="P12" s="133" t="s">
        <v>16</v>
      </c>
      <c r="Q12" s="133" t="s">
        <v>16</v>
      </c>
      <c r="R12" s="133" t="s">
        <v>16</v>
      </c>
      <c r="S12" s="133" t="s">
        <v>16</v>
      </c>
      <c r="T12" s="133" t="s">
        <v>17</v>
      </c>
      <c r="U12" s="133" t="s">
        <v>17</v>
      </c>
      <c r="V12" s="131" t="s">
        <v>7</v>
      </c>
      <c r="W12" s="131" t="s">
        <v>7</v>
      </c>
      <c r="X12" s="131" t="s">
        <v>7</v>
      </c>
      <c r="Y12" s="131" t="s">
        <v>7</v>
      </c>
      <c r="Z12" s="131" t="s">
        <v>7</v>
      </c>
      <c r="AA12" s="131" t="s">
        <v>7</v>
      </c>
      <c r="AB12" s="131" t="s">
        <v>7</v>
      </c>
      <c r="AC12" s="133" t="s">
        <v>16</v>
      </c>
      <c r="AD12" s="133" t="s">
        <v>16</v>
      </c>
      <c r="AE12" s="133" t="s">
        <v>16</v>
      </c>
      <c r="AF12" s="133" t="s">
        <v>16</v>
      </c>
      <c r="AG12"/>
    </row>
    <row r="13" spans="1:33" x14ac:dyDescent="0.35">
      <c r="A13" s="34" t="s">
        <v>12</v>
      </c>
      <c r="B13" s="33" t="s">
        <v>84</v>
      </c>
      <c r="C13" s="133" t="s">
        <v>16</v>
      </c>
      <c r="D13" s="133" t="s">
        <v>16</v>
      </c>
      <c r="E13" s="133" t="s">
        <v>16</v>
      </c>
      <c r="F13" s="133" t="s">
        <v>17</v>
      </c>
      <c r="G13" s="133" t="s">
        <v>17</v>
      </c>
      <c r="H13" s="131" t="s">
        <v>7</v>
      </c>
      <c r="I13" s="131" t="s">
        <v>7</v>
      </c>
      <c r="J13" s="131" t="s">
        <v>7</v>
      </c>
      <c r="K13" s="131" t="s">
        <v>7</v>
      </c>
      <c r="L13" s="131" t="s">
        <v>7</v>
      </c>
      <c r="M13" s="131" t="s">
        <v>7</v>
      </c>
      <c r="N13" s="131" t="s">
        <v>7</v>
      </c>
      <c r="O13" s="136" t="s">
        <v>20</v>
      </c>
      <c r="P13" s="136" t="s">
        <v>20</v>
      </c>
      <c r="Q13" s="136" t="s">
        <v>20</v>
      </c>
      <c r="R13" s="136" t="s">
        <v>20</v>
      </c>
      <c r="S13" s="136" t="s">
        <v>20</v>
      </c>
      <c r="T13" s="131" t="s">
        <v>7</v>
      </c>
      <c r="U13" s="131" t="s">
        <v>7</v>
      </c>
      <c r="V13" s="136" t="s">
        <v>20</v>
      </c>
      <c r="W13" s="136" t="s">
        <v>20</v>
      </c>
      <c r="X13" s="136" t="s">
        <v>20</v>
      </c>
      <c r="Y13" s="136" t="s">
        <v>20</v>
      </c>
      <c r="Z13" s="136" t="s">
        <v>20</v>
      </c>
      <c r="AA13" s="131" t="s">
        <v>7</v>
      </c>
      <c r="AB13" s="131" t="s">
        <v>7</v>
      </c>
      <c r="AC13" s="133" t="s">
        <v>16</v>
      </c>
      <c r="AD13" s="133" t="s">
        <v>16</v>
      </c>
      <c r="AE13" s="133" t="s">
        <v>16</v>
      </c>
      <c r="AF13" s="133" t="s">
        <v>16</v>
      </c>
      <c r="AG13"/>
    </row>
    <row r="14" spans="1:33" x14ac:dyDescent="0.35">
      <c r="A14" s="34" t="s">
        <v>12</v>
      </c>
      <c r="B14" s="33" t="s">
        <v>53</v>
      </c>
      <c r="C14" s="137" t="s">
        <v>20</v>
      </c>
      <c r="D14" s="136" t="s">
        <v>20</v>
      </c>
      <c r="E14" s="136" t="s">
        <v>20</v>
      </c>
      <c r="F14" s="131" t="s">
        <v>7</v>
      </c>
      <c r="G14" s="131" t="s">
        <v>7</v>
      </c>
      <c r="H14" s="136" t="s">
        <v>20</v>
      </c>
      <c r="I14" s="136" t="s">
        <v>20</v>
      </c>
      <c r="J14" s="136" t="s">
        <v>20</v>
      </c>
      <c r="K14" s="136" t="s">
        <v>20</v>
      </c>
      <c r="L14" s="136" t="s">
        <v>20</v>
      </c>
      <c r="M14" s="131" t="s">
        <v>7</v>
      </c>
      <c r="N14" s="131" t="s">
        <v>7</v>
      </c>
      <c r="O14" s="133" t="s">
        <v>16</v>
      </c>
      <c r="P14" s="133" t="s">
        <v>16</v>
      </c>
      <c r="Q14" s="133" t="s">
        <v>16</v>
      </c>
      <c r="R14" s="133" t="s">
        <v>16</v>
      </c>
      <c r="S14" s="133" t="s">
        <v>16</v>
      </c>
      <c r="T14" s="133" t="s">
        <v>17</v>
      </c>
      <c r="U14" s="133" t="s">
        <v>17</v>
      </c>
      <c r="V14" s="131" t="s">
        <v>7</v>
      </c>
      <c r="W14" s="131" t="s">
        <v>7</v>
      </c>
      <c r="X14" s="131" t="s">
        <v>7</v>
      </c>
      <c r="Y14" s="131" t="s">
        <v>7</v>
      </c>
      <c r="Z14" s="131" t="s">
        <v>7</v>
      </c>
      <c r="AA14" s="131" t="s">
        <v>7</v>
      </c>
      <c r="AB14" s="131" t="s">
        <v>7</v>
      </c>
      <c r="AC14" s="136" t="s">
        <v>20</v>
      </c>
      <c r="AD14" s="136" t="s">
        <v>20</v>
      </c>
      <c r="AE14" s="136" t="s">
        <v>20</v>
      </c>
      <c r="AF14" s="136" t="s">
        <v>20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28" t="s">
        <v>7</v>
      </c>
      <c r="G16" s="28" t="s">
        <v>7</v>
      </c>
      <c r="H16" s="25" t="s">
        <v>11</v>
      </c>
      <c r="I16" s="25" t="s">
        <v>11</v>
      </c>
      <c r="J16" s="25" t="s">
        <v>11</v>
      </c>
      <c r="K16" s="25" t="s">
        <v>11</v>
      </c>
      <c r="L16" s="25" t="s">
        <v>11</v>
      </c>
      <c r="M16" s="28" t="s">
        <v>7</v>
      </c>
      <c r="N16" s="28" t="s">
        <v>7</v>
      </c>
      <c r="O16" s="4" t="s">
        <v>14</v>
      </c>
      <c r="P16" s="4" t="s">
        <v>14</v>
      </c>
      <c r="Q16" s="4" t="s">
        <v>14</v>
      </c>
      <c r="R16" s="4" t="s">
        <v>14</v>
      </c>
      <c r="S16" s="4" t="s">
        <v>14</v>
      </c>
      <c r="T16" s="28" t="s">
        <v>7</v>
      </c>
      <c r="U16" s="28" t="s">
        <v>7</v>
      </c>
      <c r="V16" s="4" t="s">
        <v>85</v>
      </c>
      <c r="W16" s="4" t="s">
        <v>85</v>
      </c>
      <c r="X16" s="4" t="s">
        <v>85</v>
      </c>
      <c r="Y16" s="4" t="s">
        <v>85</v>
      </c>
      <c r="Z16" s="4" t="s">
        <v>85</v>
      </c>
      <c r="AA16" s="28" t="s">
        <v>7</v>
      </c>
      <c r="AB16" s="28" t="s">
        <v>7</v>
      </c>
      <c r="AC16" s="25" t="s">
        <v>11</v>
      </c>
      <c r="AD16" s="25" t="s">
        <v>11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28" t="s">
        <v>7</v>
      </c>
      <c r="G17" s="28" t="s">
        <v>7</v>
      </c>
      <c r="H17" s="4" t="s">
        <v>85</v>
      </c>
      <c r="I17" s="4" t="s">
        <v>85</v>
      </c>
      <c r="J17" s="4" t="s">
        <v>85</v>
      </c>
      <c r="K17" s="4" t="s">
        <v>85</v>
      </c>
      <c r="L17" s="4" t="s">
        <v>85</v>
      </c>
      <c r="M17" s="28" t="s">
        <v>7</v>
      </c>
      <c r="N17" s="28" t="s">
        <v>7</v>
      </c>
      <c r="O17" s="25" t="s">
        <v>11</v>
      </c>
      <c r="P17" s="25" t="s">
        <v>11</v>
      </c>
      <c r="Q17" s="25" t="s">
        <v>11</v>
      </c>
      <c r="R17" s="25" t="s">
        <v>11</v>
      </c>
      <c r="S17" s="25" t="s">
        <v>11</v>
      </c>
      <c r="T17" s="28" t="s">
        <v>7</v>
      </c>
      <c r="U17" s="28" t="s">
        <v>7</v>
      </c>
      <c r="V17" s="4" t="s">
        <v>14</v>
      </c>
      <c r="W17" s="4" t="s">
        <v>14</v>
      </c>
      <c r="X17" s="4" t="s">
        <v>14</v>
      </c>
      <c r="Y17" s="4" t="s">
        <v>14</v>
      </c>
      <c r="Z17" s="4" t="s">
        <v>14</v>
      </c>
      <c r="AA17" s="28" t="s">
        <v>7</v>
      </c>
      <c r="AB17" s="28" t="s">
        <v>7</v>
      </c>
      <c r="AC17" s="4" t="s">
        <v>85</v>
      </c>
      <c r="AD17" s="4" t="s">
        <v>85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8" t="s">
        <v>7</v>
      </c>
      <c r="G18" s="28" t="s">
        <v>7</v>
      </c>
      <c r="H18" s="4" t="s">
        <v>14</v>
      </c>
      <c r="I18" s="4" t="s">
        <v>14</v>
      </c>
      <c r="J18" s="4" t="s">
        <v>14</v>
      </c>
      <c r="K18" s="4" t="s">
        <v>14</v>
      </c>
      <c r="L18" s="4" t="s">
        <v>14</v>
      </c>
      <c r="M18" s="28" t="s">
        <v>7</v>
      </c>
      <c r="N18" s="28" t="s">
        <v>7</v>
      </c>
      <c r="O18" s="4" t="s">
        <v>85</v>
      </c>
      <c r="P18" s="4" t="s">
        <v>85</v>
      </c>
      <c r="Q18" s="4" t="s">
        <v>85</v>
      </c>
      <c r="R18" s="4" t="s">
        <v>85</v>
      </c>
      <c r="S18" s="4" t="s">
        <v>85</v>
      </c>
      <c r="T18" s="28" t="s">
        <v>7</v>
      </c>
      <c r="U18" s="28" t="s">
        <v>7</v>
      </c>
      <c r="V18" s="25" t="s">
        <v>11</v>
      </c>
      <c r="W18" s="25" t="s">
        <v>11</v>
      </c>
      <c r="X18" s="25" t="s">
        <v>11</v>
      </c>
      <c r="Y18" s="25" t="s">
        <v>11</v>
      </c>
      <c r="Z18" s="25" t="s">
        <v>11</v>
      </c>
      <c r="AA18" s="28" t="s">
        <v>7</v>
      </c>
      <c r="AB18" s="28" t="s">
        <v>7</v>
      </c>
      <c r="AC18" s="4" t="s">
        <v>14</v>
      </c>
      <c r="AD18" s="4" t="s">
        <v>14</v>
      </c>
      <c r="AE18" s="4" t="s">
        <v>14</v>
      </c>
      <c r="AF18" s="4" t="s">
        <v>14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</row>
    <row r="21" spans="1:33" x14ac:dyDescent="0.35">
      <c r="B21" s="111" t="s">
        <v>90</v>
      </c>
      <c r="C21" s="112">
        <f t="shared" ref="C21:AF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</row>
    <row r="22" spans="1:33" x14ac:dyDescent="0.35">
      <c r="B22" s="111" t="s">
        <v>91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7"/>
      <c r="C1" s="164" t="s">
        <v>103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</row>
    <row r="2" spans="1:34" x14ac:dyDescent="0.35">
      <c r="A2" s="6"/>
      <c r="B2" s="147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7" t="s">
        <v>16</v>
      </c>
      <c r="G10" s="127" t="s">
        <v>16</v>
      </c>
      <c r="H10" s="127" t="s">
        <v>16</v>
      </c>
      <c r="I10" s="127" t="s">
        <v>16</v>
      </c>
      <c r="J10" s="127" t="s">
        <v>16</v>
      </c>
      <c r="K10" s="127" t="s">
        <v>17</v>
      </c>
      <c r="L10" s="127" t="s">
        <v>17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7" t="s">
        <v>16</v>
      </c>
      <c r="U10" s="127" t="s">
        <v>16</v>
      </c>
      <c r="V10" s="127" t="s">
        <v>16</v>
      </c>
      <c r="W10" s="127" t="s">
        <v>16</v>
      </c>
      <c r="X10" s="127" t="s">
        <v>16</v>
      </c>
      <c r="Y10" s="127" t="s">
        <v>17</v>
      </c>
      <c r="Z10" s="127" t="s">
        <v>17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8" t="s">
        <v>7</v>
      </c>
      <c r="D11" s="131" t="s">
        <v>7</v>
      </c>
      <c r="E11" s="131" t="s">
        <v>7</v>
      </c>
      <c r="F11" s="133" t="s">
        <v>16</v>
      </c>
      <c r="G11" s="133" t="s">
        <v>16</v>
      </c>
      <c r="H11" s="133" t="s">
        <v>16</v>
      </c>
      <c r="I11" s="133" t="s">
        <v>16</v>
      </c>
      <c r="J11" s="133" t="s">
        <v>16</v>
      </c>
      <c r="K11" s="133" t="s">
        <v>17</v>
      </c>
      <c r="L11" s="133" t="s">
        <v>17</v>
      </c>
      <c r="M11" s="131" t="s">
        <v>7</v>
      </c>
      <c r="N11" s="131" t="s">
        <v>7</v>
      </c>
      <c r="O11" s="131" t="s">
        <v>7</v>
      </c>
      <c r="P11" s="131" t="s">
        <v>7</v>
      </c>
      <c r="Q11" s="131" t="s">
        <v>7</v>
      </c>
      <c r="R11" s="131" t="s">
        <v>7</v>
      </c>
      <c r="S11" s="131" t="s">
        <v>7</v>
      </c>
      <c r="T11" s="133" t="s">
        <v>16</v>
      </c>
      <c r="U11" s="133" t="s">
        <v>16</v>
      </c>
      <c r="V11" s="133" t="s">
        <v>16</v>
      </c>
      <c r="W11" s="133" t="s">
        <v>16</v>
      </c>
      <c r="X11" s="133" t="s">
        <v>16</v>
      </c>
      <c r="Y11" s="133" t="s">
        <v>17</v>
      </c>
      <c r="Z11" s="133" t="s">
        <v>17</v>
      </c>
      <c r="AA11" s="131" t="s">
        <v>7</v>
      </c>
      <c r="AB11" s="131" t="s">
        <v>7</v>
      </c>
      <c r="AC11" s="131" t="s">
        <v>7</v>
      </c>
      <c r="AD11" s="131" t="s">
        <v>7</v>
      </c>
      <c r="AE11" s="131" t="s">
        <v>7</v>
      </c>
      <c r="AF11" s="131" t="s">
        <v>7</v>
      </c>
      <c r="AG11" s="131" t="s">
        <v>7</v>
      </c>
      <c r="AH11"/>
    </row>
    <row r="12" spans="1:34" x14ac:dyDescent="0.35">
      <c r="A12" s="34" t="s">
        <v>12</v>
      </c>
      <c r="B12" s="33" t="s">
        <v>24</v>
      </c>
      <c r="C12" s="135" t="s">
        <v>16</v>
      </c>
      <c r="D12" s="133" t="s">
        <v>17</v>
      </c>
      <c r="E12" s="133" t="s">
        <v>17</v>
      </c>
      <c r="F12" s="131" t="s">
        <v>7</v>
      </c>
      <c r="G12" s="131" t="s">
        <v>7</v>
      </c>
      <c r="H12" s="131" t="s">
        <v>7</v>
      </c>
      <c r="I12" s="131" t="s">
        <v>7</v>
      </c>
      <c r="J12" s="131" t="s">
        <v>7</v>
      </c>
      <c r="K12" s="131" t="s">
        <v>7</v>
      </c>
      <c r="L12" s="131" t="s">
        <v>7</v>
      </c>
      <c r="M12" s="133" t="s">
        <v>16</v>
      </c>
      <c r="N12" s="133" t="s">
        <v>16</v>
      </c>
      <c r="O12" s="133" t="s">
        <v>16</v>
      </c>
      <c r="P12" s="133" t="s">
        <v>16</v>
      </c>
      <c r="Q12" s="133" t="s">
        <v>16</v>
      </c>
      <c r="R12" s="133" t="s">
        <v>17</v>
      </c>
      <c r="S12" s="133" t="s">
        <v>17</v>
      </c>
      <c r="T12" s="131" t="s">
        <v>7</v>
      </c>
      <c r="U12" s="131" t="s">
        <v>7</v>
      </c>
      <c r="V12" s="131" t="s">
        <v>7</v>
      </c>
      <c r="W12" s="131" t="s">
        <v>7</v>
      </c>
      <c r="X12" s="131" t="s">
        <v>7</v>
      </c>
      <c r="Y12" s="131" t="s">
        <v>7</v>
      </c>
      <c r="Z12" s="131" t="s">
        <v>7</v>
      </c>
      <c r="AA12" s="133" t="s">
        <v>16</v>
      </c>
      <c r="AB12" s="133" t="s">
        <v>16</v>
      </c>
      <c r="AC12" s="133" t="s">
        <v>16</v>
      </c>
      <c r="AD12" s="133" t="s">
        <v>16</v>
      </c>
      <c r="AE12" s="133" t="s">
        <v>16</v>
      </c>
      <c r="AF12" s="133" t="s">
        <v>17</v>
      </c>
      <c r="AG12" s="133" t="s">
        <v>17</v>
      </c>
      <c r="AH12"/>
    </row>
    <row r="13" spans="1:34" x14ac:dyDescent="0.35">
      <c r="A13" s="34" t="s">
        <v>12</v>
      </c>
      <c r="B13" s="33" t="s">
        <v>84</v>
      </c>
      <c r="C13" s="135" t="s">
        <v>16</v>
      </c>
      <c r="D13" s="133" t="s">
        <v>17</v>
      </c>
      <c r="E13" s="133" t="s">
        <v>17</v>
      </c>
      <c r="F13" s="131" t="s">
        <v>7</v>
      </c>
      <c r="G13" s="131" t="s">
        <v>7</v>
      </c>
      <c r="H13" s="131" t="s">
        <v>7</v>
      </c>
      <c r="I13" s="131" t="s">
        <v>7</v>
      </c>
      <c r="J13" s="131" t="s">
        <v>7</v>
      </c>
      <c r="K13" s="131" t="s">
        <v>7</v>
      </c>
      <c r="L13" s="131" t="s">
        <v>7</v>
      </c>
      <c r="M13" s="136" t="s">
        <v>20</v>
      </c>
      <c r="N13" s="136" t="s">
        <v>20</v>
      </c>
      <c r="O13" s="136" t="s">
        <v>20</v>
      </c>
      <c r="P13" s="136" t="s">
        <v>20</v>
      </c>
      <c r="Q13" s="136" t="s">
        <v>20</v>
      </c>
      <c r="R13" s="131" t="s">
        <v>7</v>
      </c>
      <c r="S13" s="131" t="s">
        <v>7</v>
      </c>
      <c r="T13" s="136" t="s">
        <v>20</v>
      </c>
      <c r="U13" s="136" t="s">
        <v>20</v>
      </c>
      <c r="V13" s="136" t="s">
        <v>20</v>
      </c>
      <c r="W13" s="136" t="s">
        <v>20</v>
      </c>
      <c r="X13" s="136" t="s">
        <v>20</v>
      </c>
      <c r="Y13" s="131" t="s">
        <v>7</v>
      </c>
      <c r="Z13" s="131" t="s">
        <v>7</v>
      </c>
      <c r="AA13" s="133" t="s">
        <v>16</v>
      </c>
      <c r="AB13" s="133" t="s">
        <v>16</v>
      </c>
      <c r="AC13" s="133" t="s">
        <v>16</v>
      </c>
      <c r="AD13" s="133" t="s">
        <v>16</v>
      </c>
      <c r="AE13" s="133" t="s">
        <v>16</v>
      </c>
      <c r="AF13" s="133" t="s">
        <v>17</v>
      </c>
      <c r="AG13" s="133" t="s">
        <v>17</v>
      </c>
      <c r="AH13"/>
    </row>
    <row r="14" spans="1:34" x14ac:dyDescent="0.35">
      <c r="A14" s="34" t="s">
        <v>12</v>
      </c>
      <c r="B14" s="33" t="s">
        <v>53</v>
      </c>
      <c r="C14" s="137" t="s">
        <v>20</v>
      </c>
      <c r="D14" s="131" t="s">
        <v>7</v>
      </c>
      <c r="E14" s="131" t="s">
        <v>7</v>
      </c>
      <c r="F14" s="136" t="s">
        <v>20</v>
      </c>
      <c r="G14" s="136" t="s">
        <v>20</v>
      </c>
      <c r="H14" s="136" t="s">
        <v>20</v>
      </c>
      <c r="I14" s="136" t="s">
        <v>20</v>
      </c>
      <c r="J14" s="136" t="s">
        <v>20</v>
      </c>
      <c r="K14" s="131" t="s">
        <v>7</v>
      </c>
      <c r="L14" s="131" t="s">
        <v>7</v>
      </c>
      <c r="M14" s="133" t="s">
        <v>16</v>
      </c>
      <c r="N14" s="133" t="s">
        <v>16</v>
      </c>
      <c r="O14" s="133" t="s">
        <v>16</v>
      </c>
      <c r="P14" s="133" t="s">
        <v>16</v>
      </c>
      <c r="Q14" s="133" t="s">
        <v>16</v>
      </c>
      <c r="R14" s="133" t="s">
        <v>17</v>
      </c>
      <c r="S14" s="133" t="s">
        <v>17</v>
      </c>
      <c r="T14" s="131" t="s">
        <v>7</v>
      </c>
      <c r="U14" s="131" t="s">
        <v>7</v>
      </c>
      <c r="V14" s="131" t="s">
        <v>7</v>
      </c>
      <c r="W14" s="131" t="s">
        <v>7</v>
      </c>
      <c r="X14" s="131" t="s">
        <v>7</v>
      </c>
      <c r="Y14" s="131" t="s">
        <v>7</v>
      </c>
      <c r="Z14" s="131" t="s">
        <v>7</v>
      </c>
      <c r="AA14" s="136" t="s">
        <v>20</v>
      </c>
      <c r="AB14" s="136" t="s">
        <v>20</v>
      </c>
      <c r="AC14" s="136" t="s">
        <v>20</v>
      </c>
      <c r="AD14" s="136" t="s">
        <v>20</v>
      </c>
      <c r="AE14" s="136" t="s">
        <v>20</v>
      </c>
      <c r="AF14" s="131" t="s">
        <v>7</v>
      </c>
      <c r="AG14" s="131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5" t="s">
        <v>11</v>
      </c>
      <c r="D16" s="28" t="s">
        <v>7</v>
      </c>
      <c r="E16" s="28" t="s">
        <v>7</v>
      </c>
      <c r="F16" s="4" t="s">
        <v>14</v>
      </c>
      <c r="G16" s="4" t="s">
        <v>14</v>
      </c>
      <c r="H16" s="4" t="s">
        <v>14</v>
      </c>
      <c r="I16" s="4" t="s">
        <v>14</v>
      </c>
      <c r="J16" s="4" t="s">
        <v>14</v>
      </c>
      <c r="K16" s="28" t="s">
        <v>7</v>
      </c>
      <c r="L16" s="28" t="s">
        <v>7</v>
      </c>
      <c r="M16" s="4" t="s">
        <v>85</v>
      </c>
      <c r="N16" s="4" t="s">
        <v>85</v>
      </c>
      <c r="O16" s="4" t="s">
        <v>85</v>
      </c>
      <c r="P16" s="4" t="s">
        <v>85</v>
      </c>
      <c r="Q16" s="4" t="s">
        <v>85</v>
      </c>
      <c r="R16" s="28" t="s">
        <v>7</v>
      </c>
      <c r="S16" s="28" t="s">
        <v>7</v>
      </c>
      <c r="T16" s="25" t="s">
        <v>11</v>
      </c>
      <c r="U16" s="25" t="s">
        <v>11</v>
      </c>
      <c r="V16" s="25" t="s">
        <v>11</v>
      </c>
      <c r="W16" s="25" t="s">
        <v>11</v>
      </c>
      <c r="X16" s="25" t="s">
        <v>11</v>
      </c>
      <c r="Y16" s="28" t="s">
        <v>7</v>
      </c>
      <c r="Z16" s="28" t="s">
        <v>7</v>
      </c>
      <c r="AA16" s="4" t="s">
        <v>14</v>
      </c>
      <c r="AB16" s="4" t="s">
        <v>14</v>
      </c>
      <c r="AC16" s="4" t="s">
        <v>14</v>
      </c>
      <c r="AD16" s="4" t="s">
        <v>14</v>
      </c>
      <c r="AE16" s="4" t="s">
        <v>14</v>
      </c>
      <c r="AF16" s="28" t="s">
        <v>7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28" t="s">
        <v>7</v>
      </c>
      <c r="E17" s="28" t="s">
        <v>7</v>
      </c>
      <c r="F17" s="25" t="s">
        <v>11</v>
      </c>
      <c r="G17" s="25" t="s">
        <v>11</v>
      </c>
      <c r="H17" s="25" t="s">
        <v>11</v>
      </c>
      <c r="I17" s="25" t="s">
        <v>11</v>
      </c>
      <c r="J17" s="25" t="s">
        <v>11</v>
      </c>
      <c r="K17" s="28" t="s">
        <v>7</v>
      </c>
      <c r="L17" s="28" t="s">
        <v>7</v>
      </c>
      <c r="M17" s="4" t="s">
        <v>14</v>
      </c>
      <c r="N17" s="4" t="s">
        <v>14</v>
      </c>
      <c r="O17" s="4" t="s">
        <v>14</v>
      </c>
      <c r="P17" s="4" t="s">
        <v>14</v>
      </c>
      <c r="Q17" s="4" t="s">
        <v>14</v>
      </c>
      <c r="R17" s="28" t="s">
        <v>7</v>
      </c>
      <c r="S17" s="28" t="s">
        <v>7</v>
      </c>
      <c r="T17" s="4" t="s">
        <v>85</v>
      </c>
      <c r="U17" s="4" t="s">
        <v>85</v>
      </c>
      <c r="V17" s="4" t="s">
        <v>85</v>
      </c>
      <c r="W17" s="4" t="s">
        <v>85</v>
      </c>
      <c r="X17" s="4" t="s">
        <v>85</v>
      </c>
      <c r="Y17" s="28" t="s">
        <v>7</v>
      </c>
      <c r="Z17" s="28" t="s">
        <v>7</v>
      </c>
      <c r="AA17" s="25" t="s">
        <v>11</v>
      </c>
      <c r="AB17" s="25" t="s">
        <v>11</v>
      </c>
      <c r="AC17" s="25" t="s">
        <v>11</v>
      </c>
      <c r="AD17" s="25" t="s">
        <v>11</v>
      </c>
      <c r="AE17" s="25" t="s">
        <v>11</v>
      </c>
      <c r="AF17" s="28" t="s">
        <v>7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28" t="s">
        <v>7</v>
      </c>
      <c r="E18" s="28" t="s">
        <v>7</v>
      </c>
      <c r="F18" s="4" t="s">
        <v>85</v>
      </c>
      <c r="G18" s="4" t="s">
        <v>85</v>
      </c>
      <c r="H18" s="4" t="s">
        <v>85</v>
      </c>
      <c r="I18" s="4" t="s">
        <v>85</v>
      </c>
      <c r="J18" s="4" t="s">
        <v>85</v>
      </c>
      <c r="K18" s="28" t="s">
        <v>7</v>
      </c>
      <c r="L18" s="28" t="s">
        <v>7</v>
      </c>
      <c r="M18" s="25" t="s">
        <v>11</v>
      </c>
      <c r="N18" s="25" t="s">
        <v>11</v>
      </c>
      <c r="O18" s="25" t="s">
        <v>11</v>
      </c>
      <c r="P18" s="25" t="s">
        <v>11</v>
      </c>
      <c r="Q18" s="25" t="s">
        <v>11</v>
      </c>
      <c r="R18" s="28" t="s">
        <v>7</v>
      </c>
      <c r="S18" s="28" t="s">
        <v>7</v>
      </c>
      <c r="T18" s="4" t="s">
        <v>14</v>
      </c>
      <c r="U18" s="4" t="s">
        <v>14</v>
      </c>
      <c r="V18" s="4" t="s">
        <v>14</v>
      </c>
      <c r="W18" s="4" t="s">
        <v>14</v>
      </c>
      <c r="X18" s="4" t="s">
        <v>14</v>
      </c>
      <c r="Y18" s="28" t="s">
        <v>7</v>
      </c>
      <c r="Z18" s="28" t="s">
        <v>7</v>
      </c>
      <c r="AA18" s="4" t="s">
        <v>85</v>
      </c>
      <c r="AB18" s="4" t="s">
        <v>85</v>
      </c>
      <c r="AC18" s="4" t="s">
        <v>85</v>
      </c>
      <c r="AD18" s="4" t="s">
        <v>85</v>
      </c>
      <c r="AE18" s="4" t="s">
        <v>85</v>
      </c>
      <c r="AF18" s="28" t="s">
        <v>7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4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4</v>
      </c>
      <c r="L20" s="110">
        <f t="shared" si="0"/>
        <v>4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4</v>
      </c>
      <c r="S20" s="110">
        <f t="shared" si="0"/>
        <v>4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4</v>
      </c>
      <c r="Z20" s="110">
        <f t="shared" si="0"/>
        <v>4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4</v>
      </c>
      <c r="AG20" s="110">
        <f t="shared" si="0"/>
        <v>4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0</v>
      </c>
      <c r="E21" s="112">
        <f t="shared" si="1"/>
        <v>0</v>
      </c>
      <c r="F21" s="112">
        <f t="shared" si="1"/>
        <v>2</v>
      </c>
      <c r="G21" s="112">
        <f t="shared" si="1"/>
        <v>2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0</v>
      </c>
      <c r="L21" s="112">
        <f t="shared" si="1"/>
        <v>0</v>
      </c>
      <c r="M21" s="112">
        <f t="shared" si="1"/>
        <v>2</v>
      </c>
      <c r="N21" s="112">
        <f t="shared" si="1"/>
        <v>2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0</v>
      </c>
      <c r="S21" s="112">
        <f t="shared" si="1"/>
        <v>0</v>
      </c>
      <c r="T21" s="112">
        <f t="shared" si="1"/>
        <v>2</v>
      </c>
      <c r="U21" s="112">
        <f t="shared" si="1"/>
        <v>2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0</v>
      </c>
      <c r="Z21" s="112">
        <f t="shared" si="1"/>
        <v>0</v>
      </c>
      <c r="AA21" s="112">
        <f t="shared" si="1"/>
        <v>2</v>
      </c>
      <c r="AB21" s="112">
        <f t="shared" si="1"/>
        <v>2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0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2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7"/>
      <c r="C1" s="164" t="s">
        <v>104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</row>
    <row r="2" spans="1:33" x14ac:dyDescent="0.35">
      <c r="A2" s="6"/>
      <c r="B2" s="147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105</v>
      </c>
      <c r="C10" s="127" t="s">
        <v>16</v>
      </c>
      <c r="D10" s="127" t="s">
        <v>16</v>
      </c>
      <c r="E10" s="127" t="s">
        <v>16</v>
      </c>
      <c r="F10" s="127" t="s">
        <v>16</v>
      </c>
      <c r="G10" s="127" t="s">
        <v>16</v>
      </c>
      <c r="H10" s="127" t="s">
        <v>17</v>
      </c>
      <c r="I10" s="127" t="s">
        <v>17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7" t="s">
        <v>16</v>
      </c>
      <c r="R10" s="127" t="s">
        <v>16</v>
      </c>
      <c r="S10" s="127" t="s">
        <v>16</v>
      </c>
      <c r="T10" s="127" t="s">
        <v>16</v>
      </c>
      <c r="U10" s="127" t="s">
        <v>16</v>
      </c>
      <c r="V10" s="127" t="s">
        <v>17</v>
      </c>
      <c r="W10" s="127" t="s">
        <v>17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7" t="s">
        <v>16</v>
      </c>
      <c r="AF10" s="127" t="s">
        <v>16</v>
      </c>
      <c r="AG10"/>
    </row>
    <row r="11" spans="1:33" x14ac:dyDescent="0.35">
      <c r="A11" s="34" t="s">
        <v>12</v>
      </c>
      <c r="B11" s="33" t="s">
        <v>52</v>
      </c>
      <c r="C11" s="133" t="s">
        <v>16</v>
      </c>
      <c r="D11" s="133" t="s">
        <v>16</v>
      </c>
      <c r="E11" s="133" t="s">
        <v>16</v>
      </c>
      <c r="F11" s="133" t="s">
        <v>16</v>
      </c>
      <c r="G11" s="133" t="s">
        <v>16</v>
      </c>
      <c r="H11" s="133" t="s">
        <v>17</v>
      </c>
      <c r="I11" s="133" t="s">
        <v>17</v>
      </c>
      <c r="J11" s="131" t="s">
        <v>7</v>
      </c>
      <c r="K11" s="131" t="s">
        <v>7</v>
      </c>
      <c r="L11" s="131" t="s">
        <v>7</v>
      </c>
      <c r="M11" s="131" t="s">
        <v>7</v>
      </c>
      <c r="N11" s="131" t="s">
        <v>7</v>
      </c>
      <c r="O11" s="131" t="s">
        <v>7</v>
      </c>
      <c r="P11" s="131" t="s">
        <v>7</v>
      </c>
      <c r="Q11" s="133" t="s">
        <v>16</v>
      </c>
      <c r="R11" s="133" t="s">
        <v>16</v>
      </c>
      <c r="S11" s="133" t="s">
        <v>16</v>
      </c>
      <c r="T11" s="133" t="s">
        <v>16</v>
      </c>
      <c r="U11" s="133" t="s">
        <v>16</v>
      </c>
      <c r="V11" s="133" t="s">
        <v>17</v>
      </c>
      <c r="W11" s="133" t="s">
        <v>17</v>
      </c>
      <c r="X11" s="131" t="s">
        <v>7</v>
      </c>
      <c r="Y11" s="131" t="s">
        <v>7</v>
      </c>
      <c r="Z11" s="131" t="s">
        <v>7</v>
      </c>
      <c r="AA11" s="131" t="s">
        <v>7</v>
      </c>
      <c r="AB11" s="131" t="s">
        <v>7</v>
      </c>
      <c r="AC11" s="131" t="s">
        <v>7</v>
      </c>
      <c r="AD11" s="131" t="s">
        <v>7</v>
      </c>
      <c r="AE11" s="133" t="s">
        <v>16</v>
      </c>
      <c r="AF11" s="133" t="s">
        <v>16</v>
      </c>
      <c r="AG11"/>
    </row>
    <row r="12" spans="1:33" x14ac:dyDescent="0.35">
      <c r="A12" s="34" t="s">
        <v>12</v>
      </c>
      <c r="B12" s="33" t="s">
        <v>24</v>
      </c>
      <c r="C12" s="138" t="s">
        <v>7</v>
      </c>
      <c r="D12" s="131" t="s">
        <v>7</v>
      </c>
      <c r="E12" s="131" t="s">
        <v>7</v>
      </c>
      <c r="F12" s="131" t="s">
        <v>7</v>
      </c>
      <c r="G12" s="131" t="s">
        <v>7</v>
      </c>
      <c r="H12" s="131" t="s">
        <v>7</v>
      </c>
      <c r="I12" s="131" t="s">
        <v>7</v>
      </c>
      <c r="J12" s="133" t="s">
        <v>16</v>
      </c>
      <c r="K12" s="133" t="s">
        <v>16</v>
      </c>
      <c r="L12" s="133" t="s">
        <v>16</v>
      </c>
      <c r="M12" s="133" t="s">
        <v>16</v>
      </c>
      <c r="N12" s="133" t="s">
        <v>16</v>
      </c>
      <c r="O12" s="133" t="s">
        <v>17</v>
      </c>
      <c r="P12" s="133" t="s">
        <v>17</v>
      </c>
      <c r="Q12" s="131" t="s">
        <v>7</v>
      </c>
      <c r="R12" s="131" t="s">
        <v>7</v>
      </c>
      <c r="S12" s="131" t="s">
        <v>7</v>
      </c>
      <c r="T12" s="131" t="s">
        <v>7</v>
      </c>
      <c r="U12" s="131" t="s">
        <v>7</v>
      </c>
      <c r="V12" s="131" t="s">
        <v>7</v>
      </c>
      <c r="W12" s="131" t="s">
        <v>7</v>
      </c>
      <c r="X12" s="133" t="s">
        <v>16</v>
      </c>
      <c r="Y12" s="133" t="s">
        <v>16</v>
      </c>
      <c r="Z12" s="133" t="s">
        <v>16</v>
      </c>
      <c r="AA12" s="133" t="s">
        <v>16</v>
      </c>
      <c r="AB12" s="133" t="s">
        <v>16</v>
      </c>
      <c r="AC12" s="133" t="s">
        <v>17</v>
      </c>
      <c r="AD12" s="133" t="s">
        <v>17</v>
      </c>
      <c r="AE12" s="131" t="s">
        <v>7</v>
      </c>
      <c r="AF12" s="131" t="s">
        <v>7</v>
      </c>
      <c r="AG12"/>
    </row>
    <row r="13" spans="1:33" x14ac:dyDescent="0.35">
      <c r="A13" s="34" t="s">
        <v>12</v>
      </c>
      <c r="B13" s="33" t="s">
        <v>84</v>
      </c>
      <c r="C13" s="138" t="s">
        <v>7</v>
      </c>
      <c r="D13" s="131" t="s">
        <v>7</v>
      </c>
      <c r="E13" s="131" t="s">
        <v>7</v>
      </c>
      <c r="F13" s="131" t="s">
        <v>7</v>
      </c>
      <c r="G13" s="131" t="s">
        <v>7</v>
      </c>
      <c r="H13" s="131" t="s">
        <v>7</v>
      </c>
      <c r="I13" s="131" t="s">
        <v>7</v>
      </c>
      <c r="J13" s="136" t="s">
        <v>20</v>
      </c>
      <c r="K13" s="136" t="s">
        <v>20</v>
      </c>
      <c r="L13" s="136" t="s">
        <v>20</v>
      </c>
      <c r="M13" s="136" t="s">
        <v>20</v>
      </c>
      <c r="N13" s="136" t="s">
        <v>20</v>
      </c>
      <c r="O13" s="131" t="s">
        <v>7</v>
      </c>
      <c r="P13" s="131" t="s">
        <v>7</v>
      </c>
      <c r="Q13" s="136" t="s">
        <v>20</v>
      </c>
      <c r="R13" s="136" t="s">
        <v>20</v>
      </c>
      <c r="S13" s="136" t="s">
        <v>20</v>
      </c>
      <c r="T13" s="136" t="s">
        <v>20</v>
      </c>
      <c r="U13" s="136" t="s">
        <v>20</v>
      </c>
      <c r="V13" s="131" t="s">
        <v>7</v>
      </c>
      <c r="W13" s="131" t="s">
        <v>7</v>
      </c>
      <c r="X13" s="133" t="s">
        <v>16</v>
      </c>
      <c r="Y13" s="133" t="s">
        <v>16</v>
      </c>
      <c r="Z13" s="133" t="s">
        <v>16</v>
      </c>
      <c r="AA13" s="133" t="s">
        <v>16</v>
      </c>
      <c r="AB13" s="133" t="s">
        <v>16</v>
      </c>
      <c r="AC13" s="133" t="s">
        <v>17</v>
      </c>
      <c r="AD13" s="133" t="s">
        <v>17</v>
      </c>
      <c r="AE13" s="131" t="s">
        <v>7</v>
      </c>
      <c r="AF13" s="131" t="s">
        <v>7</v>
      </c>
      <c r="AG13"/>
    </row>
    <row r="14" spans="1:33" x14ac:dyDescent="0.35">
      <c r="A14" s="34" t="s">
        <v>12</v>
      </c>
      <c r="B14" s="33" t="s">
        <v>53</v>
      </c>
      <c r="C14" s="137" t="s">
        <v>20</v>
      </c>
      <c r="D14" s="136" t="s">
        <v>20</v>
      </c>
      <c r="E14" s="136" t="s">
        <v>20</v>
      </c>
      <c r="F14" s="136" t="s">
        <v>20</v>
      </c>
      <c r="G14" s="136" t="s">
        <v>20</v>
      </c>
      <c r="H14" s="131" t="s">
        <v>7</v>
      </c>
      <c r="I14" s="131" t="s">
        <v>7</v>
      </c>
      <c r="J14" s="133" t="s">
        <v>16</v>
      </c>
      <c r="K14" s="133" t="s">
        <v>16</v>
      </c>
      <c r="L14" s="133" t="s">
        <v>16</v>
      </c>
      <c r="M14" s="133" t="s">
        <v>16</v>
      </c>
      <c r="N14" s="133" t="s">
        <v>16</v>
      </c>
      <c r="O14" s="133" t="s">
        <v>17</v>
      </c>
      <c r="P14" s="133" t="s">
        <v>17</v>
      </c>
      <c r="Q14" s="131" t="s">
        <v>7</v>
      </c>
      <c r="R14" s="131" t="s">
        <v>7</v>
      </c>
      <c r="S14" s="131" t="s">
        <v>7</v>
      </c>
      <c r="T14" s="131" t="s">
        <v>7</v>
      </c>
      <c r="U14" s="131" t="s">
        <v>7</v>
      </c>
      <c r="V14" s="131" t="s">
        <v>7</v>
      </c>
      <c r="W14" s="131" t="s">
        <v>7</v>
      </c>
      <c r="X14" s="136" t="s">
        <v>20</v>
      </c>
      <c r="Y14" s="136" t="s">
        <v>20</v>
      </c>
      <c r="Z14" s="136" t="s">
        <v>20</v>
      </c>
      <c r="AA14" s="136" t="s">
        <v>20</v>
      </c>
      <c r="AB14" s="136" t="s">
        <v>20</v>
      </c>
      <c r="AC14" s="131" t="s">
        <v>7</v>
      </c>
      <c r="AD14" s="131" t="s">
        <v>7</v>
      </c>
      <c r="AE14" s="136" t="s">
        <v>20</v>
      </c>
      <c r="AF14" s="136" t="s">
        <v>20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106</v>
      </c>
      <c r="AG19"/>
    </row>
    <row r="20" spans="1:33" x14ac:dyDescent="0.35">
      <c r="B20" s="111" t="s">
        <v>89</v>
      </c>
      <c r="C20" s="110">
        <f t="shared" ref="C20:AF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4</v>
      </c>
      <c r="I20" s="110">
        <f t="shared" si="0"/>
        <v>4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4</v>
      </c>
      <c r="P20" s="110">
        <f t="shared" si="0"/>
        <v>4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4</v>
      </c>
      <c r="W20" s="110">
        <f t="shared" si="0"/>
        <v>4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4</v>
      </c>
      <c r="AD20" s="110">
        <f t="shared" si="0"/>
        <v>4</v>
      </c>
      <c r="AE20" s="110">
        <f t="shared" si="0"/>
        <v>6</v>
      </c>
      <c r="AF20" s="110">
        <f t="shared" si="0"/>
        <v>6</v>
      </c>
    </row>
    <row r="21" spans="1:33" x14ac:dyDescent="0.35">
      <c r="B21" s="111" t="s">
        <v>90</v>
      </c>
      <c r="C21" s="112">
        <f t="shared" ref="C21:AF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0</v>
      </c>
      <c r="I21" s="112">
        <f t="shared" si="1"/>
        <v>0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0</v>
      </c>
      <c r="P21" s="112">
        <f t="shared" si="1"/>
        <v>0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0</v>
      </c>
      <c r="W21" s="112">
        <f t="shared" si="1"/>
        <v>0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0</v>
      </c>
      <c r="AD21" s="112">
        <f t="shared" si="1"/>
        <v>0</v>
      </c>
      <c r="AE21" s="112">
        <f t="shared" si="1"/>
        <v>2</v>
      </c>
      <c r="AF21" s="112">
        <f t="shared" si="1"/>
        <v>2</v>
      </c>
    </row>
    <row r="22" spans="1:33" x14ac:dyDescent="0.35">
      <c r="B22" s="111" t="s">
        <v>91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47"/>
      <c r="C1" s="164" t="s">
        <v>107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</row>
    <row r="2" spans="1:36" x14ac:dyDescent="0.35">
      <c r="A2" s="6"/>
      <c r="B2" s="147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7" t="s">
        <v>16</v>
      </c>
      <c r="D10" s="127" t="s">
        <v>16</v>
      </c>
      <c r="E10" s="127" t="s">
        <v>16</v>
      </c>
      <c r="F10" s="127" t="s">
        <v>17</v>
      </c>
      <c r="G10" s="127" t="s">
        <v>17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7" t="s">
        <v>16</v>
      </c>
      <c r="P10" s="127" t="s">
        <v>16</v>
      </c>
      <c r="Q10" s="127" t="s">
        <v>16</v>
      </c>
      <c r="R10" s="127" t="s">
        <v>16</v>
      </c>
      <c r="S10" s="127" t="s">
        <v>16</v>
      </c>
      <c r="T10" s="127" t="s">
        <v>17</v>
      </c>
      <c r="U10" s="127" t="s">
        <v>17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7" t="s">
        <v>16</v>
      </c>
      <c r="AD10" s="127" t="s">
        <v>16</v>
      </c>
      <c r="AE10" s="127" t="s">
        <v>16</v>
      </c>
      <c r="AF10" s="127" t="s">
        <v>16</v>
      </c>
      <c r="AG10" s="127" t="s">
        <v>16</v>
      </c>
      <c r="AH10"/>
    </row>
    <row r="11" spans="1:36" x14ac:dyDescent="0.35">
      <c r="A11" s="34" t="s">
        <v>12</v>
      </c>
      <c r="B11" s="33" t="s">
        <v>52</v>
      </c>
      <c r="C11" s="133" t="s">
        <v>16</v>
      </c>
      <c r="D11" s="133" t="s">
        <v>16</v>
      </c>
      <c r="E11" s="133" t="s">
        <v>16</v>
      </c>
      <c r="F11" s="133" t="s">
        <v>17</v>
      </c>
      <c r="G11" s="133" t="s">
        <v>17</v>
      </c>
      <c r="H11" s="131" t="s">
        <v>7</v>
      </c>
      <c r="I11" s="131" t="s">
        <v>7</v>
      </c>
      <c r="J11" s="131" t="s">
        <v>7</v>
      </c>
      <c r="K11" s="131" t="s">
        <v>7</v>
      </c>
      <c r="L11" s="131" t="s">
        <v>7</v>
      </c>
      <c r="M11" s="131" t="s">
        <v>7</v>
      </c>
      <c r="N11" s="131" t="s">
        <v>7</v>
      </c>
      <c r="O11" s="133" t="s">
        <v>16</v>
      </c>
      <c r="P11" s="133" t="s">
        <v>16</v>
      </c>
      <c r="Q11" s="133" t="s">
        <v>16</v>
      </c>
      <c r="R11" s="133" t="s">
        <v>16</v>
      </c>
      <c r="S11" s="133" t="s">
        <v>16</v>
      </c>
      <c r="T11" s="133" t="s">
        <v>17</v>
      </c>
      <c r="U11" s="133" t="s">
        <v>17</v>
      </c>
      <c r="V11" s="131" t="s">
        <v>7</v>
      </c>
      <c r="W11" s="131" t="s">
        <v>7</v>
      </c>
      <c r="X11" s="131" t="s">
        <v>7</v>
      </c>
      <c r="Y11" s="131" t="s">
        <v>7</v>
      </c>
      <c r="Z11" s="131" t="s">
        <v>7</v>
      </c>
      <c r="AA11" s="131" t="s">
        <v>7</v>
      </c>
      <c r="AB11" s="131" t="s">
        <v>7</v>
      </c>
      <c r="AC11" s="133" t="s">
        <v>16</v>
      </c>
      <c r="AD11" s="133" t="s">
        <v>16</v>
      </c>
      <c r="AE11" s="133" t="s">
        <v>16</v>
      </c>
      <c r="AF11" s="133" t="s">
        <v>16</v>
      </c>
      <c r="AG11" s="133" t="s">
        <v>16</v>
      </c>
      <c r="AH11"/>
    </row>
    <row r="12" spans="1:36" x14ac:dyDescent="0.35">
      <c r="A12" s="34" t="s">
        <v>12</v>
      </c>
      <c r="B12" s="33" t="s">
        <v>24</v>
      </c>
      <c r="C12" s="138" t="s">
        <v>7</v>
      </c>
      <c r="D12" s="131" t="s">
        <v>7</v>
      </c>
      <c r="E12" s="131" t="s">
        <v>7</v>
      </c>
      <c r="F12" s="131" t="s">
        <v>7</v>
      </c>
      <c r="G12" s="131" t="s">
        <v>7</v>
      </c>
      <c r="H12" s="133" t="s">
        <v>16</v>
      </c>
      <c r="I12" s="133" t="s">
        <v>16</v>
      </c>
      <c r="J12" s="133" t="s">
        <v>16</v>
      </c>
      <c r="K12" s="133" t="s">
        <v>16</v>
      </c>
      <c r="L12" s="133" t="s">
        <v>16</v>
      </c>
      <c r="M12" s="133" t="s">
        <v>17</v>
      </c>
      <c r="N12" s="133" t="s">
        <v>17</v>
      </c>
      <c r="O12" s="131" t="s">
        <v>7</v>
      </c>
      <c r="P12" s="131" t="s">
        <v>7</v>
      </c>
      <c r="Q12" s="131" t="s">
        <v>7</v>
      </c>
      <c r="R12" s="131" t="s">
        <v>7</v>
      </c>
      <c r="S12" s="131" t="s">
        <v>7</v>
      </c>
      <c r="T12" s="131" t="s">
        <v>7</v>
      </c>
      <c r="U12" s="131" t="s">
        <v>7</v>
      </c>
      <c r="V12" s="133" t="s">
        <v>16</v>
      </c>
      <c r="W12" s="133" t="s">
        <v>16</v>
      </c>
      <c r="X12" s="133" t="s">
        <v>16</v>
      </c>
      <c r="Y12" s="133" t="s">
        <v>16</v>
      </c>
      <c r="Z12" s="133" t="s">
        <v>16</v>
      </c>
      <c r="AA12" s="133" t="s">
        <v>17</v>
      </c>
      <c r="AB12" s="133" t="s">
        <v>17</v>
      </c>
      <c r="AC12" s="131" t="s">
        <v>7</v>
      </c>
      <c r="AD12" s="131" t="s">
        <v>7</v>
      </c>
      <c r="AE12" s="131" t="s">
        <v>7</v>
      </c>
      <c r="AF12" s="131" t="s">
        <v>7</v>
      </c>
      <c r="AG12" s="131" t="s">
        <v>7</v>
      </c>
      <c r="AH12"/>
    </row>
    <row r="13" spans="1:36" x14ac:dyDescent="0.35">
      <c r="A13" s="34" t="s">
        <v>12</v>
      </c>
      <c r="B13" s="33" t="s">
        <v>84</v>
      </c>
      <c r="C13" s="138" t="s">
        <v>7</v>
      </c>
      <c r="D13" s="131" t="s">
        <v>7</v>
      </c>
      <c r="E13" s="131" t="s">
        <v>7</v>
      </c>
      <c r="F13" s="131" t="s">
        <v>7</v>
      </c>
      <c r="G13" s="131" t="s">
        <v>7</v>
      </c>
      <c r="H13" s="136" t="s">
        <v>20</v>
      </c>
      <c r="I13" s="136" t="s">
        <v>20</v>
      </c>
      <c r="J13" s="136" t="s">
        <v>20</v>
      </c>
      <c r="K13" s="136" t="s">
        <v>20</v>
      </c>
      <c r="L13" s="136" t="s">
        <v>20</v>
      </c>
      <c r="M13" s="131" t="s">
        <v>7</v>
      </c>
      <c r="N13" s="131" t="s">
        <v>7</v>
      </c>
      <c r="O13" s="136" t="s">
        <v>20</v>
      </c>
      <c r="P13" s="136" t="s">
        <v>20</v>
      </c>
      <c r="Q13" s="136" t="s">
        <v>20</v>
      </c>
      <c r="R13" s="136" t="s">
        <v>20</v>
      </c>
      <c r="S13" s="136" t="s">
        <v>20</v>
      </c>
      <c r="T13" s="131" t="s">
        <v>7</v>
      </c>
      <c r="U13" s="131" t="s">
        <v>7</v>
      </c>
      <c r="V13" s="133" t="s">
        <v>16</v>
      </c>
      <c r="W13" s="133" t="s">
        <v>16</v>
      </c>
      <c r="X13" s="133" t="s">
        <v>16</v>
      </c>
      <c r="Y13" s="133" t="s">
        <v>16</v>
      </c>
      <c r="Z13" s="133" t="s">
        <v>16</v>
      </c>
      <c r="AA13" s="133" t="s">
        <v>17</v>
      </c>
      <c r="AB13" s="133" t="s">
        <v>17</v>
      </c>
      <c r="AC13" s="131" t="s">
        <v>7</v>
      </c>
      <c r="AD13" s="131" t="s">
        <v>7</v>
      </c>
      <c r="AE13" s="131" t="s">
        <v>7</v>
      </c>
      <c r="AF13" s="131" t="s">
        <v>7</v>
      </c>
      <c r="AG13" s="131" t="s">
        <v>7</v>
      </c>
      <c r="AH13"/>
    </row>
    <row r="14" spans="1:36" x14ac:dyDescent="0.35">
      <c r="A14" s="34" t="s">
        <v>12</v>
      </c>
      <c r="B14" s="33" t="s">
        <v>53</v>
      </c>
      <c r="C14" s="137" t="s">
        <v>20</v>
      </c>
      <c r="D14" s="136" t="s">
        <v>20</v>
      </c>
      <c r="E14" s="136" t="s">
        <v>20</v>
      </c>
      <c r="F14" s="131" t="s">
        <v>7</v>
      </c>
      <c r="G14" s="131" t="s">
        <v>7</v>
      </c>
      <c r="H14" s="133" t="s">
        <v>16</v>
      </c>
      <c r="I14" s="133" t="s">
        <v>16</v>
      </c>
      <c r="J14" s="133" t="s">
        <v>16</v>
      </c>
      <c r="K14" s="133" t="s">
        <v>16</v>
      </c>
      <c r="L14" s="133" t="s">
        <v>16</v>
      </c>
      <c r="M14" s="133" t="s">
        <v>17</v>
      </c>
      <c r="N14" s="133" t="s">
        <v>17</v>
      </c>
      <c r="O14" s="131" t="s">
        <v>7</v>
      </c>
      <c r="P14" s="131" t="s">
        <v>7</v>
      </c>
      <c r="Q14" s="131" t="s">
        <v>7</v>
      </c>
      <c r="R14" s="131" t="s">
        <v>7</v>
      </c>
      <c r="S14" s="131" t="s">
        <v>7</v>
      </c>
      <c r="T14" s="131" t="s">
        <v>7</v>
      </c>
      <c r="U14" s="131" t="s">
        <v>7</v>
      </c>
      <c r="V14" s="136" t="s">
        <v>20</v>
      </c>
      <c r="W14" s="136" t="s">
        <v>20</v>
      </c>
      <c r="X14" s="136" t="s">
        <v>20</v>
      </c>
      <c r="Y14" s="136" t="s">
        <v>20</v>
      </c>
      <c r="Z14" s="136" t="s">
        <v>20</v>
      </c>
      <c r="AA14" s="131" t="s">
        <v>7</v>
      </c>
      <c r="AB14" s="131" t="s">
        <v>7</v>
      </c>
      <c r="AC14" s="136" t="s">
        <v>20</v>
      </c>
      <c r="AD14" s="136" t="s">
        <v>20</v>
      </c>
      <c r="AE14" s="136" t="s">
        <v>20</v>
      </c>
      <c r="AF14" s="136" t="s">
        <v>20</v>
      </c>
      <c r="AG14" s="136" t="s">
        <v>20</v>
      </c>
      <c r="AH14"/>
      <c r="AJ14" s="140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7"/>
      <c r="C1" s="164" t="s">
        <v>108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</row>
    <row r="2" spans="1:34" x14ac:dyDescent="0.35">
      <c r="A2" s="6"/>
      <c r="B2" s="147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7" t="s">
        <v>17</v>
      </c>
      <c r="D10" s="127" t="s">
        <v>17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33" t="s">
        <v>16</v>
      </c>
      <c r="M10" s="133" t="s">
        <v>16</v>
      </c>
      <c r="N10" s="133" t="s">
        <v>16</v>
      </c>
      <c r="O10" s="133" t="s">
        <v>16</v>
      </c>
      <c r="P10" s="133" t="s">
        <v>16</v>
      </c>
      <c r="Q10" s="133" t="s">
        <v>17</v>
      </c>
      <c r="R10" s="133" t="s">
        <v>17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33" t="s">
        <v>16</v>
      </c>
      <c r="AA10" s="133" t="s">
        <v>16</v>
      </c>
      <c r="AB10" s="133" t="s">
        <v>16</v>
      </c>
      <c r="AC10" s="133" t="s">
        <v>16</v>
      </c>
      <c r="AD10" s="133" t="s">
        <v>16</v>
      </c>
      <c r="AE10" s="133" t="s">
        <v>17</v>
      </c>
      <c r="AF10" s="133" t="s">
        <v>17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3" t="s">
        <v>17</v>
      </c>
      <c r="D11" s="133" t="s">
        <v>17</v>
      </c>
      <c r="E11" s="131" t="s">
        <v>7</v>
      </c>
      <c r="F11" s="131" t="s">
        <v>7</v>
      </c>
      <c r="G11" s="131" t="s">
        <v>7</v>
      </c>
      <c r="H11" s="131" t="s">
        <v>7</v>
      </c>
      <c r="I11" s="131" t="s">
        <v>7</v>
      </c>
      <c r="J11" s="131" t="s">
        <v>7</v>
      </c>
      <c r="K11" s="131" t="s">
        <v>7</v>
      </c>
      <c r="L11" s="133" t="s">
        <v>16</v>
      </c>
      <c r="M11" s="133" t="s">
        <v>16</v>
      </c>
      <c r="N11" s="133" t="s">
        <v>16</v>
      </c>
      <c r="O11" s="133" t="s">
        <v>16</v>
      </c>
      <c r="P11" s="133" t="s">
        <v>16</v>
      </c>
      <c r="Q11" s="133" t="s">
        <v>17</v>
      </c>
      <c r="R11" s="133" t="s">
        <v>17</v>
      </c>
      <c r="S11" s="131" t="s">
        <v>7</v>
      </c>
      <c r="T11" s="131" t="s">
        <v>7</v>
      </c>
      <c r="U11" s="131" t="s">
        <v>7</v>
      </c>
      <c r="V11" s="131" t="s">
        <v>7</v>
      </c>
      <c r="W11" s="131" t="s">
        <v>7</v>
      </c>
      <c r="X11" s="131" t="s">
        <v>7</v>
      </c>
      <c r="Y11" s="131" t="s">
        <v>7</v>
      </c>
      <c r="Z11" s="133" t="s">
        <v>16</v>
      </c>
      <c r="AA11" s="133" t="s">
        <v>16</v>
      </c>
      <c r="AB11" s="133" t="s">
        <v>16</v>
      </c>
      <c r="AC11" s="133" t="s">
        <v>16</v>
      </c>
      <c r="AD11" s="133" t="s">
        <v>16</v>
      </c>
      <c r="AE11" s="133" t="s">
        <v>17</v>
      </c>
      <c r="AF11" s="133" t="s">
        <v>17</v>
      </c>
      <c r="AG11" s="131" t="s">
        <v>7</v>
      </c>
      <c r="AH11"/>
    </row>
    <row r="12" spans="1:34" x14ac:dyDescent="0.35">
      <c r="A12" s="34" t="s">
        <v>12</v>
      </c>
      <c r="B12" s="33" t="s">
        <v>24</v>
      </c>
      <c r="C12" s="138" t="s">
        <v>7</v>
      </c>
      <c r="D12" s="131" t="s">
        <v>7</v>
      </c>
      <c r="E12" s="133" t="s">
        <v>16</v>
      </c>
      <c r="F12" s="133" t="s">
        <v>16</v>
      </c>
      <c r="G12" s="133" t="s">
        <v>16</v>
      </c>
      <c r="H12" s="133" t="s">
        <v>16</v>
      </c>
      <c r="I12" s="133" t="s">
        <v>16</v>
      </c>
      <c r="J12" s="133" t="s">
        <v>17</v>
      </c>
      <c r="K12" s="133" t="s">
        <v>17</v>
      </c>
      <c r="L12" s="131" t="s">
        <v>7</v>
      </c>
      <c r="M12" s="131" t="s">
        <v>7</v>
      </c>
      <c r="N12" s="131" t="s">
        <v>7</v>
      </c>
      <c r="O12" s="131" t="s">
        <v>7</v>
      </c>
      <c r="P12" s="131" t="s">
        <v>7</v>
      </c>
      <c r="Q12" s="131" t="s">
        <v>7</v>
      </c>
      <c r="R12" s="131" t="s">
        <v>7</v>
      </c>
      <c r="S12" s="133" t="s">
        <v>16</v>
      </c>
      <c r="T12" s="133" t="s">
        <v>16</v>
      </c>
      <c r="U12" s="133" t="s">
        <v>16</v>
      </c>
      <c r="V12" s="133" t="s">
        <v>16</v>
      </c>
      <c r="W12" s="133" t="s">
        <v>16</v>
      </c>
      <c r="X12" s="133" t="s">
        <v>17</v>
      </c>
      <c r="Y12" s="133" t="s">
        <v>17</v>
      </c>
      <c r="Z12" s="131" t="s">
        <v>7</v>
      </c>
      <c r="AA12" s="131" t="s">
        <v>7</v>
      </c>
      <c r="AB12" s="131" t="s">
        <v>7</v>
      </c>
      <c r="AC12" s="131" t="s">
        <v>7</v>
      </c>
      <c r="AD12" s="131" t="s">
        <v>7</v>
      </c>
      <c r="AE12" s="131" t="s">
        <v>7</v>
      </c>
      <c r="AF12" s="131" t="s">
        <v>7</v>
      </c>
      <c r="AG12" s="133" t="s">
        <v>16</v>
      </c>
      <c r="AH12"/>
    </row>
    <row r="13" spans="1:34" x14ac:dyDescent="0.35">
      <c r="A13" s="34" t="s">
        <v>12</v>
      </c>
      <c r="B13" s="33" t="s">
        <v>84</v>
      </c>
      <c r="C13" s="138" t="s">
        <v>7</v>
      </c>
      <c r="D13" s="131" t="s">
        <v>7</v>
      </c>
      <c r="E13" s="136" t="s">
        <v>20</v>
      </c>
      <c r="F13" s="136" t="s">
        <v>20</v>
      </c>
      <c r="G13" s="136" t="s">
        <v>20</v>
      </c>
      <c r="H13" s="136" t="s">
        <v>20</v>
      </c>
      <c r="I13" s="136" t="s">
        <v>20</v>
      </c>
      <c r="J13" s="131" t="s">
        <v>7</v>
      </c>
      <c r="K13" s="131" t="s">
        <v>7</v>
      </c>
      <c r="L13" s="136" t="s">
        <v>20</v>
      </c>
      <c r="M13" s="136" t="s">
        <v>20</v>
      </c>
      <c r="N13" s="136" t="s">
        <v>20</v>
      </c>
      <c r="O13" s="136" t="s">
        <v>20</v>
      </c>
      <c r="P13" s="136" t="s">
        <v>20</v>
      </c>
      <c r="Q13" s="131" t="s">
        <v>7</v>
      </c>
      <c r="R13" s="131" t="s">
        <v>7</v>
      </c>
      <c r="S13" s="133" t="s">
        <v>16</v>
      </c>
      <c r="T13" s="133" t="s">
        <v>16</v>
      </c>
      <c r="U13" s="133" t="s">
        <v>16</v>
      </c>
      <c r="V13" s="133" t="s">
        <v>16</v>
      </c>
      <c r="W13" s="133" t="s">
        <v>16</v>
      </c>
      <c r="X13" s="133" t="s">
        <v>17</v>
      </c>
      <c r="Y13" s="133" t="s">
        <v>17</v>
      </c>
      <c r="Z13" s="131" t="s">
        <v>7</v>
      </c>
      <c r="AA13" s="131" t="s">
        <v>7</v>
      </c>
      <c r="AB13" s="131" t="s">
        <v>7</v>
      </c>
      <c r="AC13" s="131" t="s">
        <v>7</v>
      </c>
      <c r="AD13" s="131" t="s">
        <v>7</v>
      </c>
      <c r="AE13" s="131" t="s">
        <v>7</v>
      </c>
      <c r="AF13" s="131" t="s">
        <v>7</v>
      </c>
      <c r="AG13" s="136" t="s">
        <v>20</v>
      </c>
      <c r="AH13"/>
    </row>
    <row r="14" spans="1:34" x14ac:dyDescent="0.35">
      <c r="A14" s="34" t="s">
        <v>12</v>
      </c>
      <c r="B14" s="33" t="s">
        <v>53</v>
      </c>
      <c r="C14" s="138" t="s">
        <v>7</v>
      </c>
      <c r="D14" s="131" t="s">
        <v>7</v>
      </c>
      <c r="E14" s="133" t="s">
        <v>16</v>
      </c>
      <c r="F14" s="133" t="s">
        <v>16</v>
      </c>
      <c r="G14" s="133" t="s">
        <v>16</v>
      </c>
      <c r="H14" s="133" t="s">
        <v>16</v>
      </c>
      <c r="I14" s="133" t="s">
        <v>16</v>
      </c>
      <c r="J14" s="133" t="s">
        <v>17</v>
      </c>
      <c r="K14" s="133" t="s">
        <v>17</v>
      </c>
      <c r="L14" s="131" t="s">
        <v>7</v>
      </c>
      <c r="M14" s="131" t="s">
        <v>7</v>
      </c>
      <c r="N14" s="131" t="s">
        <v>7</v>
      </c>
      <c r="O14" s="131" t="s">
        <v>7</v>
      </c>
      <c r="P14" s="131" t="s">
        <v>7</v>
      </c>
      <c r="Q14" s="131" t="s">
        <v>7</v>
      </c>
      <c r="R14" s="131" t="s">
        <v>7</v>
      </c>
      <c r="S14" s="136" t="s">
        <v>20</v>
      </c>
      <c r="T14" s="136" t="s">
        <v>20</v>
      </c>
      <c r="U14" s="136" t="s">
        <v>20</v>
      </c>
      <c r="V14" s="136" t="s">
        <v>20</v>
      </c>
      <c r="W14" s="136" t="s">
        <v>20</v>
      </c>
      <c r="X14" s="131" t="s">
        <v>7</v>
      </c>
      <c r="Y14" s="131" t="s">
        <v>7</v>
      </c>
      <c r="Z14" s="136" t="s">
        <v>20</v>
      </c>
      <c r="AA14" s="136" t="s">
        <v>20</v>
      </c>
      <c r="AB14" s="136" t="s">
        <v>20</v>
      </c>
      <c r="AC14" s="136" t="s">
        <v>20</v>
      </c>
      <c r="AD14" s="136" t="s">
        <v>20</v>
      </c>
      <c r="AE14" s="131" t="s">
        <v>7</v>
      </c>
      <c r="AF14" s="131" t="s">
        <v>7</v>
      </c>
      <c r="AG14" s="133" t="s">
        <v>16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4</v>
      </c>
      <c r="D20" s="110">
        <f t="shared" si="0"/>
        <v>4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6</v>
      </c>
      <c r="J20" s="110">
        <f t="shared" si="0"/>
        <v>4</v>
      </c>
      <c r="K20" s="110">
        <f t="shared" si="0"/>
        <v>4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6</v>
      </c>
      <c r="Q20" s="110">
        <f t="shared" si="0"/>
        <v>4</v>
      </c>
      <c r="R20" s="110">
        <f t="shared" si="0"/>
        <v>4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6</v>
      </c>
      <c r="X20" s="110">
        <f t="shared" si="0"/>
        <v>4</v>
      </c>
      <c r="Y20" s="110">
        <f t="shared" si="0"/>
        <v>4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6</v>
      </c>
      <c r="AE20" s="110">
        <f t="shared" si="0"/>
        <v>4</v>
      </c>
      <c r="AF20" s="110">
        <f t="shared" si="0"/>
        <v>4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2</v>
      </c>
      <c r="I21" s="112">
        <f t="shared" si="1"/>
        <v>2</v>
      </c>
      <c r="J21" s="112">
        <f t="shared" si="1"/>
        <v>0</v>
      </c>
      <c r="K21" s="112">
        <f t="shared" si="1"/>
        <v>0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2</v>
      </c>
      <c r="P21" s="112">
        <f t="shared" si="1"/>
        <v>2</v>
      </c>
      <c r="Q21" s="112">
        <f t="shared" si="1"/>
        <v>0</v>
      </c>
      <c r="R21" s="112">
        <f t="shared" si="1"/>
        <v>0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2</v>
      </c>
      <c r="W21" s="112">
        <f t="shared" si="1"/>
        <v>2</v>
      </c>
      <c r="X21" s="112">
        <f t="shared" si="1"/>
        <v>0</v>
      </c>
      <c r="Y21" s="112">
        <f t="shared" si="1"/>
        <v>0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2</v>
      </c>
      <c r="AD21" s="112">
        <f t="shared" si="1"/>
        <v>2</v>
      </c>
      <c r="AE21" s="112">
        <f t="shared" si="1"/>
        <v>0</v>
      </c>
      <c r="AF21" s="112">
        <f t="shared" si="1"/>
        <v>0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47"/>
      <c r="C1" s="164" t="s">
        <v>109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/>
    </row>
    <row r="2" spans="1:33" x14ac:dyDescent="0.35">
      <c r="A2" s="6"/>
      <c r="B2" s="147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7" t="s">
        <v>16</v>
      </c>
      <c r="J10" s="127" t="s">
        <v>16</v>
      </c>
      <c r="K10" s="127" t="s">
        <v>16</v>
      </c>
      <c r="L10" s="127" t="s">
        <v>16</v>
      </c>
      <c r="M10" s="127" t="s">
        <v>16</v>
      </c>
      <c r="N10" s="127" t="s">
        <v>17</v>
      </c>
      <c r="O10" s="127" t="s">
        <v>17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7" t="s">
        <v>16</v>
      </c>
      <c r="X10" s="127" t="s">
        <v>16</v>
      </c>
      <c r="Y10" s="127" t="s">
        <v>16</v>
      </c>
      <c r="Z10" s="127" t="s">
        <v>16</v>
      </c>
      <c r="AA10" s="127" t="s">
        <v>16</v>
      </c>
      <c r="AB10" s="127" t="s">
        <v>17</v>
      </c>
      <c r="AC10" s="127" t="s">
        <v>17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38" t="s">
        <v>7</v>
      </c>
      <c r="D11" s="131" t="s">
        <v>7</v>
      </c>
      <c r="E11" s="131" t="s">
        <v>7</v>
      </c>
      <c r="F11" s="131" t="s">
        <v>7</v>
      </c>
      <c r="G11" s="131" t="s">
        <v>7</v>
      </c>
      <c r="H11" s="131" t="s">
        <v>7</v>
      </c>
      <c r="I11" s="133" t="s">
        <v>16</v>
      </c>
      <c r="J11" s="133" t="s">
        <v>16</v>
      </c>
      <c r="K11" s="133" t="s">
        <v>16</v>
      </c>
      <c r="L11" s="133" t="s">
        <v>16</v>
      </c>
      <c r="M11" s="133" t="s">
        <v>16</v>
      </c>
      <c r="N11" s="133" t="s">
        <v>17</v>
      </c>
      <c r="O11" s="133" t="s">
        <v>17</v>
      </c>
      <c r="P11" s="131" t="s">
        <v>7</v>
      </c>
      <c r="Q11" s="131" t="s">
        <v>7</v>
      </c>
      <c r="R11" s="131" t="s">
        <v>7</v>
      </c>
      <c r="S11" s="131" t="s">
        <v>7</v>
      </c>
      <c r="T11" s="131" t="s">
        <v>7</v>
      </c>
      <c r="U11" s="131" t="s">
        <v>7</v>
      </c>
      <c r="V11" s="131" t="s">
        <v>7</v>
      </c>
      <c r="W11" s="133" t="s">
        <v>16</v>
      </c>
      <c r="X11" s="133" t="s">
        <v>16</v>
      </c>
      <c r="Y11" s="133" t="s">
        <v>16</v>
      </c>
      <c r="Z11" s="133" t="s">
        <v>16</v>
      </c>
      <c r="AA11" s="133" t="s">
        <v>16</v>
      </c>
      <c r="AB11" s="133" t="s">
        <v>17</v>
      </c>
      <c r="AC11" s="133" t="s">
        <v>17</v>
      </c>
      <c r="AD11" s="131" t="s">
        <v>7</v>
      </c>
      <c r="AE11" s="131" t="s">
        <v>7</v>
      </c>
      <c r="AF11" s="131" t="s">
        <v>7</v>
      </c>
      <c r="AG11"/>
    </row>
    <row r="12" spans="1:33" x14ac:dyDescent="0.35">
      <c r="A12" s="34" t="s">
        <v>12</v>
      </c>
      <c r="B12" s="33" t="s">
        <v>24</v>
      </c>
      <c r="C12" s="133" t="s">
        <v>16</v>
      </c>
      <c r="D12" s="133" t="s">
        <v>16</v>
      </c>
      <c r="E12" s="133" t="s">
        <v>16</v>
      </c>
      <c r="F12" s="133" t="s">
        <v>16</v>
      </c>
      <c r="G12" s="133" t="s">
        <v>17</v>
      </c>
      <c r="H12" s="133" t="s">
        <v>17</v>
      </c>
      <c r="I12" s="131" t="s">
        <v>7</v>
      </c>
      <c r="J12" s="131" t="s">
        <v>7</v>
      </c>
      <c r="K12" s="131" t="s">
        <v>7</v>
      </c>
      <c r="L12" s="131" t="s">
        <v>7</v>
      </c>
      <c r="M12" s="131" t="s">
        <v>7</v>
      </c>
      <c r="N12" s="131" t="s">
        <v>7</v>
      </c>
      <c r="O12" s="131" t="s">
        <v>7</v>
      </c>
      <c r="P12" s="133" t="s">
        <v>16</v>
      </c>
      <c r="Q12" s="133" t="s">
        <v>16</v>
      </c>
      <c r="R12" s="133" t="s">
        <v>16</v>
      </c>
      <c r="S12" s="133" t="s">
        <v>16</v>
      </c>
      <c r="T12" s="133" t="s">
        <v>16</v>
      </c>
      <c r="U12" s="133" t="s">
        <v>17</v>
      </c>
      <c r="V12" s="133" t="s">
        <v>17</v>
      </c>
      <c r="W12" s="131" t="s">
        <v>7</v>
      </c>
      <c r="X12" s="131" t="s">
        <v>7</v>
      </c>
      <c r="Y12" s="131" t="s">
        <v>7</v>
      </c>
      <c r="Z12" s="131" t="s">
        <v>7</v>
      </c>
      <c r="AA12" s="131" t="s">
        <v>7</v>
      </c>
      <c r="AB12" s="131" t="s">
        <v>7</v>
      </c>
      <c r="AC12" s="131" t="s">
        <v>7</v>
      </c>
      <c r="AD12" s="133" t="s">
        <v>16</v>
      </c>
      <c r="AE12" s="133" t="s">
        <v>16</v>
      </c>
      <c r="AF12" s="133" t="s">
        <v>16</v>
      </c>
      <c r="AG12"/>
    </row>
    <row r="13" spans="1:33" x14ac:dyDescent="0.35">
      <c r="A13" s="34" t="s">
        <v>12</v>
      </c>
      <c r="B13" s="33" t="s">
        <v>84</v>
      </c>
      <c r="C13" s="137" t="s">
        <v>20</v>
      </c>
      <c r="D13" s="136" t="s">
        <v>20</v>
      </c>
      <c r="E13" s="136" t="s">
        <v>20</v>
      </c>
      <c r="F13" s="136" t="s">
        <v>20</v>
      </c>
      <c r="G13" s="131" t="s">
        <v>7</v>
      </c>
      <c r="H13" s="131" t="s">
        <v>7</v>
      </c>
      <c r="I13" s="136" t="s">
        <v>20</v>
      </c>
      <c r="J13" s="136" t="s">
        <v>20</v>
      </c>
      <c r="K13" s="136" t="s">
        <v>20</v>
      </c>
      <c r="L13" s="136" t="s">
        <v>20</v>
      </c>
      <c r="M13" s="136" t="s">
        <v>20</v>
      </c>
      <c r="N13" s="131" t="s">
        <v>7</v>
      </c>
      <c r="O13" s="131" t="s">
        <v>7</v>
      </c>
      <c r="P13" s="133" t="s">
        <v>16</v>
      </c>
      <c r="Q13" s="133" t="s">
        <v>16</v>
      </c>
      <c r="R13" s="133" t="s">
        <v>16</v>
      </c>
      <c r="S13" s="133" t="s">
        <v>16</v>
      </c>
      <c r="T13" s="133" t="s">
        <v>16</v>
      </c>
      <c r="U13" s="133" t="s">
        <v>17</v>
      </c>
      <c r="V13" s="133" t="s">
        <v>17</v>
      </c>
      <c r="W13" s="131" t="s">
        <v>7</v>
      </c>
      <c r="X13" s="131" t="s">
        <v>7</v>
      </c>
      <c r="Y13" s="131" t="s">
        <v>7</v>
      </c>
      <c r="Z13" s="131" t="s">
        <v>7</v>
      </c>
      <c r="AA13" s="131" t="s">
        <v>7</v>
      </c>
      <c r="AB13" s="131" t="s">
        <v>7</v>
      </c>
      <c r="AC13" s="131" t="s">
        <v>7</v>
      </c>
      <c r="AD13" s="136" t="s">
        <v>20</v>
      </c>
      <c r="AE13" s="136" t="s">
        <v>20</v>
      </c>
      <c r="AF13" s="136" t="s">
        <v>20</v>
      </c>
      <c r="AG13"/>
    </row>
    <row r="14" spans="1:33" x14ac:dyDescent="0.35">
      <c r="A14" s="34" t="s">
        <v>12</v>
      </c>
      <c r="B14" s="33" t="s">
        <v>53</v>
      </c>
      <c r="C14" s="133" t="s">
        <v>16</v>
      </c>
      <c r="D14" s="133" t="s">
        <v>16</v>
      </c>
      <c r="E14" s="133" t="s">
        <v>16</v>
      </c>
      <c r="F14" s="133" t="s">
        <v>16</v>
      </c>
      <c r="G14" s="133" t="s">
        <v>17</v>
      </c>
      <c r="H14" s="133" t="s">
        <v>17</v>
      </c>
      <c r="I14" s="131" t="s">
        <v>7</v>
      </c>
      <c r="J14" s="131" t="s">
        <v>7</v>
      </c>
      <c r="K14" s="131" t="s">
        <v>7</v>
      </c>
      <c r="L14" s="131" t="s">
        <v>7</v>
      </c>
      <c r="M14" s="131" t="s">
        <v>7</v>
      </c>
      <c r="N14" s="131" t="s">
        <v>7</v>
      </c>
      <c r="O14" s="131" t="s">
        <v>7</v>
      </c>
      <c r="P14" s="136" t="s">
        <v>20</v>
      </c>
      <c r="Q14" s="136" t="s">
        <v>20</v>
      </c>
      <c r="R14" s="136" t="s">
        <v>20</v>
      </c>
      <c r="S14" s="136" t="s">
        <v>20</v>
      </c>
      <c r="T14" s="136" t="s">
        <v>20</v>
      </c>
      <c r="U14" s="131" t="s">
        <v>7</v>
      </c>
      <c r="V14" s="131" t="s">
        <v>7</v>
      </c>
      <c r="W14" s="136" t="s">
        <v>20</v>
      </c>
      <c r="X14" s="136" t="s">
        <v>20</v>
      </c>
      <c r="Y14" s="136" t="s">
        <v>20</v>
      </c>
      <c r="Z14" s="136" t="s">
        <v>20</v>
      </c>
      <c r="AA14" s="136" t="s">
        <v>20</v>
      </c>
      <c r="AB14" s="131" t="s">
        <v>7</v>
      </c>
      <c r="AC14" s="131" t="s">
        <v>7</v>
      </c>
      <c r="AD14" s="133" t="s">
        <v>16</v>
      </c>
      <c r="AE14" s="133" t="s">
        <v>16</v>
      </c>
      <c r="AF14" s="133" t="s">
        <v>16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4</v>
      </c>
      <c r="H20" s="110">
        <f t="shared" si="0"/>
        <v>4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4</v>
      </c>
      <c r="O20" s="110">
        <f t="shared" si="0"/>
        <v>4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4</v>
      </c>
      <c r="V20" s="110">
        <f t="shared" si="0"/>
        <v>4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4</v>
      </c>
      <c r="AC20" s="110">
        <f t="shared" si="0"/>
        <v>4</v>
      </c>
      <c r="AD20" s="110">
        <f t="shared" si="0"/>
        <v>6</v>
      </c>
      <c r="AE20" s="110">
        <f t="shared" si="0"/>
        <v>6</v>
      </c>
      <c r="AF20" s="110">
        <f t="shared" si="0"/>
        <v>6</v>
      </c>
    </row>
    <row r="21" spans="1:33" x14ac:dyDescent="0.35">
      <c r="B21" s="111" t="s">
        <v>90</v>
      </c>
      <c r="C21" s="112">
        <f t="shared" ref="C21:AF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0</v>
      </c>
      <c r="H21" s="112">
        <f t="shared" si="1"/>
        <v>0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0</v>
      </c>
      <c r="O21" s="112">
        <f t="shared" si="1"/>
        <v>0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0</v>
      </c>
      <c r="V21" s="112">
        <f t="shared" si="1"/>
        <v>0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0</v>
      </c>
      <c r="AC21" s="112">
        <f t="shared" si="1"/>
        <v>0</v>
      </c>
      <c r="AD21" s="112">
        <f t="shared" si="1"/>
        <v>2</v>
      </c>
      <c r="AE21" s="112">
        <f t="shared" si="1"/>
        <v>2</v>
      </c>
      <c r="AF21" s="112">
        <f t="shared" si="1"/>
        <v>2</v>
      </c>
    </row>
    <row r="22" spans="1:33" x14ac:dyDescent="0.35">
      <c r="B22" s="111" t="s">
        <v>91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7"/>
      <c r="C1" s="164" t="s">
        <v>110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</row>
    <row r="2" spans="1:34" x14ac:dyDescent="0.35">
      <c r="A2" s="6"/>
      <c r="B2" s="147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7" t="s">
        <v>16</v>
      </c>
      <c r="H10" s="127" t="s">
        <v>16</v>
      </c>
      <c r="I10" s="127" t="s">
        <v>16</v>
      </c>
      <c r="J10" s="127" t="s">
        <v>16</v>
      </c>
      <c r="K10" s="127" t="s">
        <v>16</v>
      </c>
      <c r="L10" s="127" t="s">
        <v>17</v>
      </c>
      <c r="M10" s="127" t="s">
        <v>17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7" t="s">
        <v>16</v>
      </c>
      <c r="V10" s="127" t="s">
        <v>16</v>
      </c>
      <c r="W10" s="127" t="s">
        <v>16</v>
      </c>
      <c r="X10" s="127" t="s">
        <v>16</v>
      </c>
      <c r="Y10" s="127" t="s">
        <v>16</v>
      </c>
      <c r="Z10" s="127" t="s">
        <v>17</v>
      </c>
      <c r="AA10" s="127" t="s">
        <v>17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8" t="s">
        <v>7</v>
      </c>
      <c r="D11" s="131" t="s">
        <v>7</v>
      </c>
      <c r="E11" s="131" t="s">
        <v>7</v>
      </c>
      <c r="F11" s="131" t="s">
        <v>7</v>
      </c>
      <c r="G11" s="133" t="s">
        <v>16</v>
      </c>
      <c r="H11" s="133" t="s">
        <v>16</v>
      </c>
      <c r="I11" s="133" t="s">
        <v>16</v>
      </c>
      <c r="J11" s="133" t="s">
        <v>16</v>
      </c>
      <c r="K11" s="133" t="s">
        <v>16</v>
      </c>
      <c r="L11" s="133" t="s">
        <v>17</v>
      </c>
      <c r="M11" s="133" t="s">
        <v>17</v>
      </c>
      <c r="N11" s="131" t="s">
        <v>7</v>
      </c>
      <c r="O11" s="131" t="s">
        <v>7</v>
      </c>
      <c r="P11" s="131" t="s">
        <v>7</v>
      </c>
      <c r="Q11" s="131" t="s">
        <v>7</v>
      </c>
      <c r="R11" s="131" t="s">
        <v>7</v>
      </c>
      <c r="S11" s="131" t="s">
        <v>7</v>
      </c>
      <c r="T11" s="131" t="s">
        <v>7</v>
      </c>
      <c r="U11" s="133" t="s">
        <v>16</v>
      </c>
      <c r="V11" s="133" t="s">
        <v>16</v>
      </c>
      <c r="W11" s="133" t="s">
        <v>16</v>
      </c>
      <c r="X11" s="133" t="s">
        <v>16</v>
      </c>
      <c r="Y11" s="133" t="s">
        <v>16</v>
      </c>
      <c r="Z11" s="133" t="s">
        <v>17</v>
      </c>
      <c r="AA11" s="133" t="s">
        <v>17</v>
      </c>
      <c r="AB11" s="131" t="s">
        <v>7</v>
      </c>
      <c r="AC11" s="131" t="s">
        <v>7</v>
      </c>
      <c r="AD11" s="131" t="s">
        <v>7</v>
      </c>
      <c r="AE11" s="131" t="s">
        <v>7</v>
      </c>
      <c r="AF11" s="131" t="s">
        <v>7</v>
      </c>
      <c r="AG11" s="131" t="s">
        <v>7</v>
      </c>
      <c r="AH11"/>
    </row>
    <row r="12" spans="1:34" x14ac:dyDescent="0.35">
      <c r="A12" s="34" t="s">
        <v>12</v>
      </c>
      <c r="B12" s="33" t="s">
        <v>24</v>
      </c>
      <c r="C12" s="133" t="s">
        <v>16</v>
      </c>
      <c r="D12" s="133" t="s">
        <v>16</v>
      </c>
      <c r="E12" s="133" t="s">
        <v>17</v>
      </c>
      <c r="F12" s="133" t="s">
        <v>17</v>
      </c>
      <c r="G12" s="131" t="s">
        <v>7</v>
      </c>
      <c r="H12" s="131" t="s">
        <v>7</v>
      </c>
      <c r="I12" s="131" t="s">
        <v>7</v>
      </c>
      <c r="J12" s="131" t="s">
        <v>7</v>
      </c>
      <c r="K12" s="131" t="s">
        <v>7</v>
      </c>
      <c r="L12" s="131" t="s">
        <v>7</v>
      </c>
      <c r="M12" s="131" t="s">
        <v>7</v>
      </c>
      <c r="N12" s="133" t="s">
        <v>16</v>
      </c>
      <c r="O12" s="133" t="s">
        <v>16</v>
      </c>
      <c r="P12" s="133" t="s">
        <v>16</v>
      </c>
      <c r="Q12" s="133" t="s">
        <v>16</v>
      </c>
      <c r="R12" s="133" t="s">
        <v>16</v>
      </c>
      <c r="S12" s="133" t="s">
        <v>17</v>
      </c>
      <c r="T12" s="133" t="s">
        <v>17</v>
      </c>
      <c r="U12" s="131" t="s">
        <v>7</v>
      </c>
      <c r="V12" s="131" t="s">
        <v>7</v>
      </c>
      <c r="W12" s="131" t="s">
        <v>7</v>
      </c>
      <c r="X12" s="131" t="s">
        <v>7</v>
      </c>
      <c r="Y12" s="131" t="s">
        <v>7</v>
      </c>
      <c r="Z12" s="131" t="s">
        <v>7</v>
      </c>
      <c r="AA12" s="131" t="s">
        <v>7</v>
      </c>
      <c r="AB12" s="133" t="s">
        <v>16</v>
      </c>
      <c r="AC12" s="133" t="s">
        <v>16</v>
      </c>
      <c r="AD12" s="133" t="s">
        <v>16</v>
      </c>
      <c r="AE12" s="133" t="s">
        <v>16</v>
      </c>
      <c r="AF12" s="133" t="s">
        <v>16</v>
      </c>
      <c r="AG12" s="133" t="s">
        <v>17</v>
      </c>
      <c r="AH12"/>
    </row>
    <row r="13" spans="1:34" x14ac:dyDescent="0.35">
      <c r="A13" s="34" t="s">
        <v>12</v>
      </c>
      <c r="B13" s="33" t="s">
        <v>84</v>
      </c>
      <c r="C13" s="137" t="s">
        <v>20</v>
      </c>
      <c r="D13" s="136" t="s">
        <v>20</v>
      </c>
      <c r="E13" s="131" t="s">
        <v>7</v>
      </c>
      <c r="F13" s="131" t="s">
        <v>7</v>
      </c>
      <c r="G13" s="136" t="s">
        <v>20</v>
      </c>
      <c r="H13" s="136" t="s">
        <v>20</v>
      </c>
      <c r="I13" s="136" t="s">
        <v>20</v>
      </c>
      <c r="J13" s="136" t="s">
        <v>20</v>
      </c>
      <c r="K13" s="136" t="s">
        <v>20</v>
      </c>
      <c r="L13" s="131" t="s">
        <v>7</v>
      </c>
      <c r="M13" s="131" t="s">
        <v>7</v>
      </c>
      <c r="N13" s="133" t="s">
        <v>16</v>
      </c>
      <c r="O13" s="133" t="s">
        <v>16</v>
      </c>
      <c r="P13" s="133" t="s">
        <v>16</v>
      </c>
      <c r="Q13" s="133" t="s">
        <v>16</v>
      </c>
      <c r="R13" s="133" t="s">
        <v>16</v>
      </c>
      <c r="S13" s="133" t="s">
        <v>17</v>
      </c>
      <c r="T13" s="133" t="s">
        <v>17</v>
      </c>
      <c r="U13" s="131" t="s">
        <v>7</v>
      </c>
      <c r="V13" s="131" t="s">
        <v>7</v>
      </c>
      <c r="W13" s="131" t="s">
        <v>7</v>
      </c>
      <c r="X13" s="131" t="s">
        <v>7</v>
      </c>
      <c r="Y13" s="131" t="s">
        <v>7</v>
      </c>
      <c r="Z13" s="131" t="s">
        <v>7</v>
      </c>
      <c r="AA13" s="131" t="s">
        <v>7</v>
      </c>
      <c r="AB13" s="136" t="s">
        <v>20</v>
      </c>
      <c r="AC13" s="136" t="s">
        <v>20</v>
      </c>
      <c r="AD13" s="136" t="s">
        <v>20</v>
      </c>
      <c r="AE13" s="136" t="s">
        <v>20</v>
      </c>
      <c r="AF13" s="136" t="s">
        <v>20</v>
      </c>
      <c r="AG13" s="131" t="s">
        <v>7</v>
      </c>
      <c r="AH13"/>
    </row>
    <row r="14" spans="1:34" x14ac:dyDescent="0.35">
      <c r="A14" s="34" t="s">
        <v>12</v>
      </c>
      <c r="B14" s="33" t="s">
        <v>53</v>
      </c>
      <c r="C14" s="133" t="s">
        <v>16</v>
      </c>
      <c r="D14" s="133" t="s">
        <v>16</v>
      </c>
      <c r="E14" s="133" t="s">
        <v>17</v>
      </c>
      <c r="F14" s="133" t="s">
        <v>17</v>
      </c>
      <c r="G14" s="131" t="s">
        <v>7</v>
      </c>
      <c r="H14" s="131" t="s">
        <v>7</v>
      </c>
      <c r="I14" s="131" t="s">
        <v>7</v>
      </c>
      <c r="J14" s="131" t="s">
        <v>7</v>
      </c>
      <c r="K14" s="131" t="s">
        <v>7</v>
      </c>
      <c r="L14" s="131" t="s">
        <v>7</v>
      </c>
      <c r="M14" s="131" t="s">
        <v>7</v>
      </c>
      <c r="N14" s="136" t="s">
        <v>20</v>
      </c>
      <c r="O14" s="136" t="s">
        <v>20</v>
      </c>
      <c r="P14" s="136" t="s">
        <v>20</v>
      </c>
      <c r="Q14" s="136" t="s">
        <v>20</v>
      </c>
      <c r="R14" s="136" t="s">
        <v>20</v>
      </c>
      <c r="S14" s="131" t="s">
        <v>7</v>
      </c>
      <c r="T14" s="131" t="s">
        <v>7</v>
      </c>
      <c r="U14" s="136" t="s">
        <v>20</v>
      </c>
      <c r="V14" s="136" t="s">
        <v>20</v>
      </c>
      <c r="W14" s="136" t="s">
        <v>20</v>
      </c>
      <c r="X14" s="136" t="s">
        <v>20</v>
      </c>
      <c r="Y14" s="136" t="s">
        <v>20</v>
      </c>
      <c r="Z14" s="131" t="s">
        <v>7</v>
      </c>
      <c r="AA14" s="131" t="s">
        <v>7</v>
      </c>
      <c r="AB14" s="133" t="s">
        <v>16</v>
      </c>
      <c r="AC14" s="133" t="s">
        <v>16</v>
      </c>
      <c r="AD14" s="133" t="s">
        <v>16</v>
      </c>
      <c r="AE14" s="133" t="s">
        <v>16</v>
      </c>
      <c r="AF14" s="133" t="s">
        <v>16</v>
      </c>
      <c r="AG14" s="133" t="s">
        <v>17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6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4</v>
      </c>
      <c r="M20" s="110">
        <f t="shared" si="0"/>
        <v>4</v>
      </c>
      <c r="N20" s="110">
        <f t="shared" si="0"/>
        <v>6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4</v>
      </c>
      <c r="T20" s="110">
        <f t="shared" si="0"/>
        <v>4</v>
      </c>
      <c r="U20" s="110">
        <f t="shared" si="0"/>
        <v>6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4</v>
      </c>
      <c r="AA20" s="110">
        <f t="shared" si="0"/>
        <v>4</v>
      </c>
      <c r="AB20" s="110">
        <f t="shared" si="0"/>
        <v>6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4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0</v>
      </c>
      <c r="F21" s="112">
        <f t="shared" si="1"/>
        <v>0</v>
      </c>
      <c r="G21" s="112">
        <f t="shared" si="1"/>
        <v>2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0</v>
      </c>
      <c r="M21" s="112">
        <f t="shared" si="1"/>
        <v>0</v>
      </c>
      <c r="N21" s="112">
        <f t="shared" si="1"/>
        <v>2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0</v>
      </c>
      <c r="T21" s="112">
        <f t="shared" si="1"/>
        <v>0</v>
      </c>
      <c r="U21" s="112">
        <f t="shared" si="1"/>
        <v>2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0</v>
      </c>
      <c r="AA21" s="112">
        <f t="shared" si="1"/>
        <v>0</v>
      </c>
      <c r="AB21" s="112">
        <f t="shared" si="1"/>
        <v>2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2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7"/>
      <c r="C1" s="164" t="s">
        <v>111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</row>
    <row r="2" spans="1:33" x14ac:dyDescent="0.35">
      <c r="A2" s="6"/>
      <c r="B2" s="147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7" t="s">
        <v>16</v>
      </c>
      <c r="E10" s="127" t="s">
        <v>16</v>
      </c>
      <c r="F10" s="127" t="s">
        <v>16</v>
      </c>
      <c r="G10" s="127" t="s">
        <v>16</v>
      </c>
      <c r="H10" s="127" t="s">
        <v>16</v>
      </c>
      <c r="I10" s="127" t="s">
        <v>17</v>
      </c>
      <c r="J10" s="127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7" t="s">
        <v>16</v>
      </c>
      <c r="S10" s="127" t="s">
        <v>16</v>
      </c>
      <c r="T10" s="127" t="s">
        <v>16</v>
      </c>
      <c r="U10" s="127" t="s">
        <v>16</v>
      </c>
      <c r="V10" s="127" t="s">
        <v>16</v>
      </c>
      <c r="W10" s="127" t="s">
        <v>17</v>
      </c>
      <c r="X10" s="127" t="s">
        <v>17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7" t="s">
        <v>16</v>
      </c>
      <c r="AG10"/>
    </row>
    <row r="11" spans="1:33" x14ac:dyDescent="0.35">
      <c r="A11" s="34" t="s">
        <v>12</v>
      </c>
      <c r="B11" s="33" t="s">
        <v>52</v>
      </c>
      <c r="C11" s="138" t="s">
        <v>7</v>
      </c>
      <c r="D11" s="133" t="s">
        <v>16</v>
      </c>
      <c r="E11" s="133" t="s">
        <v>16</v>
      </c>
      <c r="F11" s="133" t="s">
        <v>16</v>
      </c>
      <c r="G11" s="133" t="s">
        <v>16</v>
      </c>
      <c r="H11" s="133" t="s">
        <v>16</v>
      </c>
      <c r="I11" s="133" t="s">
        <v>17</v>
      </c>
      <c r="J11" s="133" t="s">
        <v>17</v>
      </c>
      <c r="K11" s="131" t="s">
        <v>7</v>
      </c>
      <c r="L11" s="131" t="s">
        <v>7</v>
      </c>
      <c r="M11" s="131" t="s">
        <v>7</v>
      </c>
      <c r="N11" s="131" t="s">
        <v>7</v>
      </c>
      <c r="O11" s="131" t="s">
        <v>7</v>
      </c>
      <c r="P11" s="131" t="s">
        <v>7</v>
      </c>
      <c r="Q11" s="131" t="s">
        <v>7</v>
      </c>
      <c r="R11" s="133" t="s">
        <v>16</v>
      </c>
      <c r="S11" s="133" t="s">
        <v>16</v>
      </c>
      <c r="T11" s="133" t="s">
        <v>16</v>
      </c>
      <c r="U11" s="133" t="s">
        <v>16</v>
      </c>
      <c r="V11" s="133" t="s">
        <v>16</v>
      </c>
      <c r="W11" s="133" t="s">
        <v>17</v>
      </c>
      <c r="X11" s="133" t="s">
        <v>17</v>
      </c>
      <c r="Y11" s="131" t="s">
        <v>7</v>
      </c>
      <c r="Z11" s="131" t="s">
        <v>7</v>
      </c>
      <c r="AA11" s="131" t="s">
        <v>7</v>
      </c>
      <c r="AB11" s="131" t="s">
        <v>7</v>
      </c>
      <c r="AC11" s="131" t="s">
        <v>7</v>
      </c>
      <c r="AD11" s="131" t="s">
        <v>7</v>
      </c>
      <c r="AE11" s="131" t="s">
        <v>7</v>
      </c>
      <c r="AF11" s="133" t="s">
        <v>16</v>
      </c>
      <c r="AG11"/>
    </row>
    <row r="12" spans="1:33" x14ac:dyDescent="0.35">
      <c r="A12" s="34" t="s">
        <v>12</v>
      </c>
      <c r="B12" s="33" t="s">
        <v>24</v>
      </c>
      <c r="C12" s="133" t="s">
        <v>17</v>
      </c>
      <c r="D12" s="131" t="s">
        <v>7</v>
      </c>
      <c r="E12" s="131" t="s">
        <v>7</v>
      </c>
      <c r="F12" s="131" t="s">
        <v>7</v>
      </c>
      <c r="G12" s="131" t="s">
        <v>7</v>
      </c>
      <c r="H12" s="131" t="s">
        <v>7</v>
      </c>
      <c r="I12" s="131" t="s">
        <v>7</v>
      </c>
      <c r="J12" s="131" t="s">
        <v>7</v>
      </c>
      <c r="K12" s="133" t="s">
        <v>16</v>
      </c>
      <c r="L12" s="133" t="s">
        <v>16</v>
      </c>
      <c r="M12" s="133" t="s">
        <v>16</v>
      </c>
      <c r="N12" s="133" t="s">
        <v>16</v>
      </c>
      <c r="O12" s="133" t="s">
        <v>16</v>
      </c>
      <c r="P12" s="133" t="s">
        <v>17</v>
      </c>
      <c r="Q12" s="133" t="s">
        <v>17</v>
      </c>
      <c r="R12" s="131" t="s">
        <v>7</v>
      </c>
      <c r="S12" s="131" t="s">
        <v>7</v>
      </c>
      <c r="T12" s="131" t="s">
        <v>7</v>
      </c>
      <c r="U12" s="131" t="s">
        <v>7</v>
      </c>
      <c r="V12" s="131" t="s">
        <v>7</v>
      </c>
      <c r="W12" s="131" t="s">
        <v>7</v>
      </c>
      <c r="X12" s="131" t="s">
        <v>7</v>
      </c>
      <c r="Y12" s="133" t="s">
        <v>16</v>
      </c>
      <c r="Z12" s="133" t="s">
        <v>16</v>
      </c>
      <c r="AA12" s="133" t="s">
        <v>16</v>
      </c>
      <c r="AB12" s="133" t="s">
        <v>16</v>
      </c>
      <c r="AC12" s="133" t="s">
        <v>16</v>
      </c>
      <c r="AD12" s="133" t="s">
        <v>17</v>
      </c>
      <c r="AE12" s="133" t="s">
        <v>17</v>
      </c>
      <c r="AF12" s="131" t="s">
        <v>7</v>
      </c>
      <c r="AG12"/>
    </row>
    <row r="13" spans="1:33" x14ac:dyDescent="0.35">
      <c r="A13" s="34" t="s">
        <v>12</v>
      </c>
      <c r="B13" s="33" t="s">
        <v>84</v>
      </c>
      <c r="C13" s="138" t="s">
        <v>7</v>
      </c>
      <c r="D13" s="136" t="s">
        <v>20</v>
      </c>
      <c r="E13" s="136" t="s">
        <v>20</v>
      </c>
      <c r="F13" s="136" t="s">
        <v>20</v>
      </c>
      <c r="G13" s="136" t="s">
        <v>20</v>
      </c>
      <c r="H13" s="136" t="s">
        <v>20</v>
      </c>
      <c r="I13" s="131" t="s">
        <v>7</v>
      </c>
      <c r="J13" s="131" t="s">
        <v>7</v>
      </c>
      <c r="K13" s="133" t="s">
        <v>16</v>
      </c>
      <c r="L13" s="133" t="s">
        <v>16</v>
      </c>
      <c r="M13" s="133" t="s">
        <v>16</v>
      </c>
      <c r="N13" s="133" t="s">
        <v>16</v>
      </c>
      <c r="O13" s="133" t="s">
        <v>16</v>
      </c>
      <c r="P13" s="133" t="s">
        <v>17</v>
      </c>
      <c r="Q13" s="133" t="s">
        <v>17</v>
      </c>
      <c r="R13" s="131" t="s">
        <v>7</v>
      </c>
      <c r="S13" s="131" t="s">
        <v>7</v>
      </c>
      <c r="T13" s="131" t="s">
        <v>7</v>
      </c>
      <c r="U13" s="131" t="s">
        <v>7</v>
      </c>
      <c r="V13" s="131" t="s">
        <v>7</v>
      </c>
      <c r="W13" s="131" t="s">
        <v>7</v>
      </c>
      <c r="X13" s="131" t="s">
        <v>7</v>
      </c>
      <c r="Y13" s="136" t="s">
        <v>20</v>
      </c>
      <c r="Z13" s="136" t="s">
        <v>20</v>
      </c>
      <c r="AA13" s="136" t="s">
        <v>20</v>
      </c>
      <c r="AB13" s="136" t="s">
        <v>20</v>
      </c>
      <c r="AC13" s="136" t="s">
        <v>20</v>
      </c>
      <c r="AD13" s="131" t="s">
        <v>7</v>
      </c>
      <c r="AE13" s="131" t="s">
        <v>7</v>
      </c>
      <c r="AF13" s="136" t="s">
        <v>20</v>
      </c>
      <c r="AG13"/>
    </row>
    <row r="14" spans="1:33" x14ac:dyDescent="0.35">
      <c r="A14" s="34" t="s">
        <v>12</v>
      </c>
      <c r="B14" s="33" t="s">
        <v>53</v>
      </c>
      <c r="C14" s="133" t="s">
        <v>17</v>
      </c>
      <c r="D14" s="131" t="s">
        <v>7</v>
      </c>
      <c r="E14" s="131" t="s">
        <v>7</v>
      </c>
      <c r="F14" s="131" t="s">
        <v>7</v>
      </c>
      <c r="G14" s="131" t="s">
        <v>7</v>
      </c>
      <c r="H14" s="131" t="s">
        <v>7</v>
      </c>
      <c r="I14" s="131" t="s">
        <v>7</v>
      </c>
      <c r="J14" s="131" t="s">
        <v>7</v>
      </c>
      <c r="K14" s="136" t="s">
        <v>20</v>
      </c>
      <c r="L14" s="136" t="s">
        <v>20</v>
      </c>
      <c r="M14" s="136" t="s">
        <v>20</v>
      </c>
      <c r="N14" s="136" t="s">
        <v>20</v>
      </c>
      <c r="O14" s="136" t="s">
        <v>20</v>
      </c>
      <c r="P14" s="131" t="s">
        <v>7</v>
      </c>
      <c r="Q14" s="131" t="s">
        <v>7</v>
      </c>
      <c r="R14" s="136" t="s">
        <v>20</v>
      </c>
      <c r="S14" s="136" t="s">
        <v>20</v>
      </c>
      <c r="T14" s="136" t="s">
        <v>20</v>
      </c>
      <c r="U14" s="136" t="s">
        <v>20</v>
      </c>
      <c r="V14" s="136" t="s">
        <v>20</v>
      </c>
      <c r="W14" s="131" t="s">
        <v>7</v>
      </c>
      <c r="X14" s="131" t="s">
        <v>7</v>
      </c>
      <c r="Y14" s="133" t="s">
        <v>16</v>
      </c>
      <c r="Z14" s="133" t="s">
        <v>16</v>
      </c>
      <c r="AA14" s="133" t="s">
        <v>16</v>
      </c>
      <c r="AB14" s="133" t="s">
        <v>16</v>
      </c>
      <c r="AC14" s="133" t="s">
        <v>16</v>
      </c>
      <c r="AD14" s="133" t="s">
        <v>17</v>
      </c>
      <c r="AE14" s="133" t="s">
        <v>17</v>
      </c>
      <c r="AF14" s="131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4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4</v>
      </c>
      <c r="J20" s="110">
        <f t="shared" si="0"/>
        <v>4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4</v>
      </c>
      <c r="Q20" s="110">
        <f t="shared" si="0"/>
        <v>4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4</v>
      </c>
      <c r="X20" s="110">
        <f t="shared" si="0"/>
        <v>4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4</v>
      </c>
      <c r="AE20" s="110">
        <f t="shared" si="0"/>
        <v>4</v>
      </c>
      <c r="AF20" s="110">
        <f t="shared" si="0"/>
        <v>6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2</v>
      </c>
      <c r="I21" s="112">
        <f t="shared" si="1"/>
        <v>0</v>
      </c>
      <c r="J21" s="112">
        <f t="shared" si="1"/>
        <v>0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2</v>
      </c>
      <c r="P21" s="112">
        <f t="shared" si="1"/>
        <v>0</v>
      </c>
      <c r="Q21" s="112">
        <f t="shared" si="1"/>
        <v>0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2</v>
      </c>
      <c r="W21" s="112">
        <f t="shared" si="1"/>
        <v>0</v>
      </c>
      <c r="X21" s="112">
        <f t="shared" si="1"/>
        <v>0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2</v>
      </c>
      <c r="AD21" s="112">
        <f t="shared" si="1"/>
        <v>0</v>
      </c>
      <c r="AE21" s="112">
        <f t="shared" si="1"/>
        <v>0</v>
      </c>
      <c r="AF21" s="112">
        <f t="shared" si="1"/>
        <v>2</v>
      </c>
    </row>
    <row r="22" spans="1:33" x14ac:dyDescent="0.35">
      <c r="B22" s="111" t="s">
        <v>91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7"/>
      <c r="C1" s="164" t="s">
        <v>112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</row>
    <row r="2" spans="1:34" x14ac:dyDescent="0.35">
      <c r="A2" s="6"/>
      <c r="B2" s="147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4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7" t="s">
        <v>16</v>
      </c>
      <c r="D10" s="127" t="s">
        <v>16</v>
      </c>
      <c r="E10" s="127" t="s">
        <v>16</v>
      </c>
      <c r="F10" s="127" t="s">
        <v>16</v>
      </c>
      <c r="G10" s="127" t="s">
        <v>17</v>
      </c>
      <c r="H10" s="127" t="s">
        <v>17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7" t="s">
        <v>16</v>
      </c>
      <c r="Q10" s="127" t="s">
        <v>16</v>
      </c>
      <c r="R10" s="127" t="s">
        <v>16</v>
      </c>
      <c r="S10" s="127" t="s">
        <v>16</v>
      </c>
      <c r="T10" s="127" t="s">
        <v>16</v>
      </c>
      <c r="U10" s="127" t="s">
        <v>17</v>
      </c>
      <c r="V10" s="127" t="s">
        <v>17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7" t="s">
        <v>16</v>
      </c>
      <c r="AE10" s="127" t="s">
        <v>16</v>
      </c>
      <c r="AF10" s="127" t="s">
        <v>16</v>
      </c>
      <c r="AG10" s="127" t="s">
        <v>16</v>
      </c>
      <c r="AH10"/>
    </row>
    <row r="11" spans="1:34" x14ac:dyDescent="0.35">
      <c r="A11" s="34" t="s">
        <v>12</v>
      </c>
      <c r="B11" s="33" t="s">
        <v>52</v>
      </c>
      <c r="C11" s="133" t="s">
        <v>16</v>
      </c>
      <c r="D11" s="133" t="s">
        <v>16</v>
      </c>
      <c r="E11" s="133" t="s">
        <v>16</v>
      </c>
      <c r="F11" s="133" t="s">
        <v>16</v>
      </c>
      <c r="G11" s="133" t="s">
        <v>17</v>
      </c>
      <c r="H11" s="133" t="s">
        <v>17</v>
      </c>
      <c r="I11" s="131" t="s">
        <v>7</v>
      </c>
      <c r="J11" s="131" t="s">
        <v>7</v>
      </c>
      <c r="K11" s="131" t="s">
        <v>7</v>
      </c>
      <c r="L11" s="131" t="s">
        <v>7</v>
      </c>
      <c r="M11" s="131" t="s">
        <v>7</v>
      </c>
      <c r="N11" s="131" t="s">
        <v>7</v>
      </c>
      <c r="O11" s="131" t="s">
        <v>7</v>
      </c>
      <c r="P11" s="133" t="s">
        <v>16</v>
      </c>
      <c r="Q11" s="133" t="s">
        <v>16</v>
      </c>
      <c r="R11" s="133" t="s">
        <v>16</v>
      </c>
      <c r="S11" s="133" t="s">
        <v>16</v>
      </c>
      <c r="T11" s="133" t="s">
        <v>16</v>
      </c>
      <c r="U11" s="133" t="s">
        <v>17</v>
      </c>
      <c r="V11" s="133" t="s">
        <v>17</v>
      </c>
      <c r="W11" s="131" t="s">
        <v>7</v>
      </c>
      <c r="X11" s="131" t="s">
        <v>7</v>
      </c>
      <c r="Y11" s="131" t="s">
        <v>7</v>
      </c>
      <c r="Z11" s="131" t="s">
        <v>7</v>
      </c>
      <c r="AA11" s="131" t="s">
        <v>7</v>
      </c>
      <c r="AB11" s="131" t="s">
        <v>7</v>
      </c>
      <c r="AC11" s="131" t="s">
        <v>7</v>
      </c>
      <c r="AD11" s="133" t="s">
        <v>16</v>
      </c>
      <c r="AE11" s="133" t="s">
        <v>16</v>
      </c>
      <c r="AF11" s="133" t="s">
        <v>16</v>
      </c>
      <c r="AG11" s="133" t="s">
        <v>16</v>
      </c>
      <c r="AH11"/>
    </row>
    <row r="12" spans="1:34" x14ac:dyDescent="0.35">
      <c r="A12" s="34" t="s">
        <v>12</v>
      </c>
      <c r="B12" s="33" t="s">
        <v>24</v>
      </c>
      <c r="C12" s="138" t="s">
        <v>7</v>
      </c>
      <c r="D12" s="131" t="s">
        <v>7</v>
      </c>
      <c r="E12" s="131" t="s">
        <v>7</v>
      </c>
      <c r="F12" s="131" t="s">
        <v>7</v>
      </c>
      <c r="G12" s="131" t="s">
        <v>7</v>
      </c>
      <c r="H12" s="131" t="s">
        <v>7</v>
      </c>
      <c r="I12" s="133" t="s">
        <v>16</v>
      </c>
      <c r="J12" s="133" t="s">
        <v>16</v>
      </c>
      <c r="K12" s="133" t="s">
        <v>16</v>
      </c>
      <c r="L12" s="133" t="s">
        <v>16</v>
      </c>
      <c r="M12" s="133" t="s">
        <v>16</v>
      </c>
      <c r="N12" s="133" t="s">
        <v>17</v>
      </c>
      <c r="O12" s="133" t="s">
        <v>17</v>
      </c>
      <c r="P12" s="131" t="s">
        <v>7</v>
      </c>
      <c r="Q12" s="131" t="s">
        <v>7</v>
      </c>
      <c r="R12" s="131" t="s">
        <v>7</v>
      </c>
      <c r="S12" s="131" t="s">
        <v>7</v>
      </c>
      <c r="T12" s="131" t="s">
        <v>7</v>
      </c>
      <c r="U12" s="131" t="s">
        <v>7</v>
      </c>
      <c r="V12" s="131" t="s">
        <v>7</v>
      </c>
      <c r="W12" s="133" t="s">
        <v>16</v>
      </c>
      <c r="X12" s="133" t="s">
        <v>16</v>
      </c>
      <c r="Y12" s="133" t="s">
        <v>16</v>
      </c>
      <c r="Z12" s="133" t="s">
        <v>16</v>
      </c>
      <c r="AA12" s="133" t="s">
        <v>16</v>
      </c>
      <c r="AB12" s="133" t="s">
        <v>17</v>
      </c>
      <c r="AC12" s="133" t="s">
        <v>17</v>
      </c>
      <c r="AD12" s="131" t="s">
        <v>7</v>
      </c>
      <c r="AE12" s="131" t="s">
        <v>7</v>
      </c>
      <c r="AF12" s="131" t="s">
        <v>7</v>
      </c>
      <c r="AG12" s="131" t="s">
        <v>7</v>
      </c>
      <c r="AH12"/>
    </row>
    <row r="13" spans="1:34" x14ac:dyDescent="0.35">
      <c r="A13" s="34" t="s">
        <v>12</v>
      </c>
      <c r="B13" s="33" t="s">
        <v>84</v>
      </c>
      <c r="C13" s="137" t="s">
        <v>20</v>
      </c>
      <c r="D13" s="136" t="s">
        <v>20</v>
      </c>
      <c r="E13" s="136" t="s">
        <v>20</v>
      </c>
      <c r="F13" s="136" t="s">
        <v>20</v>
      </c>
      <c r="G13" s="131" t="s">
        <v>7</v>
      </c>
      <c r="H13" s="131" t="s">
        <v>7</v>
      </c>
      <c r="I13" s="133" t="s">
        <v>16</v>
      </c>
      <c r="J13" s="133" t="s">
        <v>16</v>
      </c>
      <c r="K13" s="133" t="s">
        <v>16</v>
      </c>
      <c r="L13" s="133" t="s">
        <v>16</v>
      </c>
      <c r="M13" s="133" t="s">
        <v>16</v>
      </c>
      <c r="N13" s="133" t="s">
        <v>17</v>
      </c>
      <c r="O13" s="133" t="s">
        <v>17</v>
      </c>
      <c r="P13" s="131" t="s">
        <v>7</v>
      </c>
      <c r="Q13" s="131" t="s">
        <v>7</v>
      </c>
      <c r="R13" s="131" t="s">
        <v>7</v>
      </c>
      <c r="S13" s="131" t="s">
        <v>7</v>
      </c>
      <c r="T13" s="131" t="s">
        <v>7</v>
      </c>
      <c r="U13" s="131" t="s">
        <v>7</v>
      </c>
      <c r="V13" s="131" t="s">
        <v>7</v>
      </c>
      <c r="W13" s="136" t="s">
        <v>20</v>
      </c>
      <c r="X13" s="136" t="s">
        <v>20</v>
      </c>
      <c r="Y13" s="136" t="s">
        <v>20</v>
      </c>
      <c r="Z13" s="136" t="s">
        <v>20</v>
      </c>
      <c r="AA13" s="136" t="s">
        <v>20</v>
      </c>
      <c r="AB13" s="131" t="s">
        <v>7</v>
      </c>
      <c r="AC13" s="131" t="s">
        <v>7</v>
      </c>
      <c r="AD13" s="136" t="s">
        <v>20</v>
      </c>
      <c r="AE13" s="136" t="s">
        <v>20</v>
      </c>
      <c r="AF13" s="136" t="s">
        <v>20</v>
      </c>
      <c r="AG13" s="136" t="s">
        <v>20</v>
      </c>
      <c r="AH13"/>
    </row>
    <row r="14" spans="1:34" x14ac:dyDescent="0.35">
      <c r="A14" s="34" t="s">
        <v>12</v>
      </c>
      <c r="B14" s="33" t="s">
        <v>53</v>
      </c>
      <c r="C14" s="138" t="s">
        <v>7</v>
      </c>
      <c r="D14" s="131" t="s">
        <v>7</v>
      </c>
      <c r="E14" s="131" t="s">
        <v>7</v>
      </c>
      <c r="F14" s="131" t="s">
        <v>7</v>
      </c>
      <c r="G14" s="131" t="s">
        <v>7</v>
      </c>
      <c r="H14" s="131" t="s">
        <v>7</v>
      </c>
      <c r="I14" s="136" t="s">
        <v>20</v>
      </c>
      <c r="J14" s="136" t="s">
        <v>20</v>
      </c>
      <c r="K14" s="136" t="s">
        <v>20</v>
      </c>
      <c r="L14" s="136" t="s">
        <v>20</v>
      </c>
      <c r="M14" s="136" t="s">
        <v>20</v>
      </c>
      <c r="N14" s="131" t="s">
        <v>7</v>
      </c>
      <c r="O14" s="131" t="s">
        <v>7</v>
      </c>
      <c r="P14" s="136" t="s">
        <v>20</v>
      </c>
      <c r="Q14" s="136" t="s">
        <v>20</v>
      </c>
      <c r="R14" s="136" t="s">
        <v>20</v>
      </c>
      <c r="S14" s="136" t="s">
        <v>20</v>
      </c>
      <c r="T14" s="136" t="s">
        <v>20</v>
      </c>
      <c r="U14" s="131" t="s">
        <v>7</v>
      </c>
      <c r="V14" s="131" t="s">
        <v>7</v>
      </c>
      <c r="W14" s="133" t="s">
        <v>16</v>
      </c>
      <c r="X14" s="133" t="s">
        <v>16</v>
      </c>
      <c r="Y14" s="133" t="s">
        <v>16</v>
      </c>
      <c r="Z14" s="133" t="s">
        <v>16</v>
      </c>
      <c r="AA14" s="133" t="s">
        <v>16</v>
      </c>
      <c r="AB14" s="133" t="s">
        <v>17</v>
      </c>
      <c r="AC14" s="133" t="s">
        <v>17</v>
      </c>
      <c r="AD14" s="131" t="s">
        <v>7</v>
      </c>
      <c r="AE14" s="131" t="s">
        <v>7</v>
      </c>
      <c r="AF14" s="131" t="s">
        <v>7</v>
      </c>
      <c r="AG14" s="131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4</v>
      </c>
      <c r="H20" s="110">
        <f t="shared" si="0"/>
        <v>4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4</v>
      </c>
      <c r="O20" s="110">
        <f t="shared" si="0"/>
        <v>4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4</v>
      </c>
      <c r="V20" s="110">
        <f t="shared" si="0"/>
        <v>4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4</v>
      </c>
      <c r="AC20" s="110">
        <f t="shared" si="0"/>
        <v>4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0</v>
      </c>
      <c r="H21" s="112">
        <f t="shared" si="1"/>
        <v>0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0</v>
      </c>
      <c r="O21" s="112">
        <f t="shared" si="1"/>
        <v>0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0</v>
      </c>
      <c r="V21" s="112">
        <f t="shared" si="1"/>
        <v>0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0</v>
      </c>
      <c r="AC21" s="112">
        <f t="shared" si="1"/>
        <v>0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7" zoomScale="115" zoomScaleNormal="115" workbookViewId="0">
      <selection activeCell="I38" sqref="I38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113</v>
      </c>
      <c r="I2" s="102">
        <f>1800*10</f>
        <v>18000</v>
      </c>
    </row>
    <row r="3" spans="4:64" x14ac:dyDescent="0.35">
      <c r="G3" s="101" t="s">
        <v>114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115</v>
      </c>
      <c r="H9" s="99" t="s">
        <v>116</v>
      </c>
      <c r="I9" s="99" t="s">
        <v>117</v>
      </c>
      <c r="J9" s="99" t="s">
        <v>118</v>
      </c>
      <c r="K9" s="99" t="s">
        <v>119</v>
      </c>
      <c r="L9" s="99" t="s">
        <v>120</v>
      </c>
      <c r="M9" s="99" t="s">
        <v>121</v>
      </c>
      <c r="N9" s="99" t="s">
        <v>122</v>
      </c>
      <c r="O9" s="99" t="s">
        <v>123</v>
      </c>
      <c r="P9" s="99" t="s">
        <v>124</v>
      </c>
      <c r="Q9" s="99" t="s">
        <v>125</v>
      </c>
      <c r="R9" s="99" t="s">
        <v>126</v>
      </c>
      <c r="S9" s="99" t="s">
        <v>127</v>
      </c>
      <c r="T9" s="99" t="s">
        <v>128</v>
      </c>
      <c r="U9" s="99" t="s">
        <v>129</v>
      </c>
      <c r="V9" s="99" t="s">
        <v>130</v>
      </c>
      <c r="W9" s="99" t="s">
        <v>131</v>
      </c>
      <c r="X9" s="99" t="s">
        <v>132</v>
      </c>
      <c r="Y9" s="99" t="s">
        <v>133</v>
      </c>
      <c r="Z9" s="99" t="s">
        <v>134</v>
      </c>
      <c r="AA9" s="99" t="s">
        <v>135</v>
      </c>
      <c r="AB9" s="99" t="s">
        <v>136</v>
      </c>
      <c r="AC9" s="99" t="s">
        <v>137</v>
      </c>
      <c r="AD9" s="99" t="s">
        <v>138</v>
      </c>
      <c r="AE9" s="99" t="s">
        <v>139</v>
      </c>
      <c r="AF9" s="99" t="s">
        <v>140</v>
      </c>
      <c r="AG9" s="99" t="s">
        <v>141</v>
      </c>
      <c r="AH9" s="99" t="s">
        <v>142</v>
      </c>
      <c r="AI9" s="99" t="s">
        <v>143</v>
      </c>
      <c r="AJ9" s="99" t="s">
        <v>144</v>
      </c>
      <c r="AK9" s="99" t="s">
        <v>145</v>
      </c>
      <c r="AL9" s="99" t="s">
        <v>146</v>
      </c>
      <c r="AM9" s="99" t="s">
        <v>147</v>
      </c>
      <c r="AN9" s="99" t="s">
        <v>148</v>
      </c>
      <c r="AO9" s="99" t="s">
        <v>149</v>
      </c>
      <c r="AP9" s="99" t="s">
        <v>150</v>
      </c>
      <c r="AQ9" s="99" t="s">
        <v>151</v>
      </c>
      <c r="AR9" s="99" t="s">
        <v>152</v>
      </c>
      <c r="AS9" s="99" t="s">
        <v>153</v>
      </c>
      <c r="AT9" s="99" t="s">
        <v>154</v>
      </c>
      <c r="AU9" s="99" t="s">
        <v>155</v>
      </c>
      <c r="AV9" s="99" t="s">
        <v>156</v>
      </c>
      <c r="AW9" s="99" t="s">
        <v>157</v>
      </c>
      <c r="AX9" s="99" t="s">
        <v>158</v>
      </c>
      <c r="AY9" s="99" t="s">
        <v>159</v>
      </c>
      <c r="AZ9" s="99" t="s">
        <v>160</v>
      </c>
      <c r="BA9" s="99" t="s">
        <v>161</v>
      </c>
      <c r="BB9" s="99" t="s">
        <v>162</v>
      </c>
      <c r="BC9" s="99" t="s">
        <v>163</v>
      </c>
      <c r="BD9" s="99" t="s">
        <v>164</v>
      </c>
      <c r="BE9" s="99" t="s">
        <v>165</v>
      </c>
      <c r="BF9" s="99" t="s">
        <v>166</v>
      </c>
      <c r="BG9" s="99" t="s">
        <v>167</v>
      </c>
      <c r="BH9" s="99" t="s">
        <v>168</v>
      </c>
      <c r="BI9" s="99" t="s">
        <v>169</v>
      </c>
      <c r="BJ9" s="99" t="s">
        <v>170</v>
      </c>
      <c r="BK9" s="106" t="s">
        <v>171</v>
      </c>
      <c r="BL9" s="106" t="s">
        <v>172</v>
      </c>
    </row>
    <row r="10" spans="4:64" x14ac:dyDescent="0.35">
      <c r="D10" s="102"/>
      <c r="E10" s="102"/>
      <c r="F10" s="95"/>
      <c r="G10" s="97" t="s">
        <v>173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174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175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176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177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178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179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180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181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182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183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184</v>
      </c>
      <c r="H23">
        <f>AVERAGE(H10:H20)</f>
        <v>849.6</v>
      </c>
    </row>
    <row r="27" spans="7:64" x14ac:dyDescent="0.35">
      <c r="G27" s="99" t="s">
        <v>115</v>
      </c>
      <c r="H27" s="99" t="s">
        <v>116</v>
      </c>
      <c r="I27" s="99" t="s">
        <v>117</v>
      </c>
      <c r="J27" s="99" t="s">
        <v>118</v>
      </c>
      <c r="K27" s="99" t="s">
        <v>119</v>
      </c>
      <c r="L27" s="99" t="s">
        <v>120</v>
      </c>
      <c r="M27" s="99" t="s">
        <v>121</v>
      </c>
      <c r="N27" s="99" t="s">
        <v>122</v>
      </c>
      <c r="O27" s="99" t="s">
        <v>123</v>
      </c>
      <c r="P27" s="99" t="s">
        <v>124</v>
      </c>
      <c r="Q27" s="99" t="s">
        <v>125</v>
      </c>
      <c r="R27" s="99" t="s">
        <v>126</v>
      </c>
      <c r="S27" s="99" t="s">
        <v>127</v>
      </c>
      <c r="T27" s="99" t="s">
        <v>128</v>
      </c>
      <c r="U27" s="99" t="s">
        <v>129</v>
      </c>
      <c r="V27" s="99" t="s">
        <v>130</v>
      </c>
      <c r="W27" s="99" t="s">
        <v>131</v>
      </c>
      <c r="X27" s="99" t="s">
        <v>132</v>
      </c>
      <c r="Y27" s="99" t="s">
        <v>133</v>
      </c>
      <c r="Z27" s="99" t="s">
        <v>134</v>
      </c>
      <c r="AA27" s="99" t="s">
        <v>135</v>
      </c>
      <c r="AB27" s="99" t="s">
        <v>136</v>
      </c>
      <c r="AC27" s="99" t="s">
        <v>137</v>
      </c>
      <c r="AD27" s="99" t="s">
        <v>138</v>
      </c>
      <c r="AE27" s="99" t="s">
        <v>139</v>
      </c>
      <c r="AF27" s="99" t="s">
        <v>140</v>
      </c>
      <c r="AG27" s="99" t="s">
        <v>141</v>
      </c>
      <c r="AH27" s="99" t="s">
        <v>142</v>
      </c>
      <c r="AI27" s="99" t="s">
        <v>143</v>
      </c>
      <c r="AJ27" s="99" t="s">
        <v>144</v>
      </c>
      <c r="AK27" s="99" t="s">
        <v>145</v>
      </c>
      <c r="AL27" s="99" t="s">
        <v>146</v>
      </c>
      <c r="AM27" s="99" t="s">
        <v>147</v>
      </c>
      <c r="AN27" s="99" t="s">
        <v>148</v>
      </c>
      <c r="AO27" s="99" t="s">
        <v>149</v>
      </c>
      <c r="AP27" s="99" t="s">
        <v>150</v>
      </c>
      <c r="AQ27" s="99" t="s">
        <v>151</v>
      </c>
      <c r="AR27" s="99" t="s">
        <v>152</v>
      </c>
      <c r="AS27" s="99" t="s">
        <v>153</v>
      </c>
      <c r="AT27" s="99" t="s">
        <v>154</v>
      </c>
      <c r="AU27" s="99" t="s">
        <v>155</v>
      </c>
      <c r="AV27" s="99" t="s">
        <v>156</v>
      </c>
      <c r="AW27" s="99" t="s">
        <v>157</v>
      </c>
      <c r="AX27" s="99" t="s">
        <v>158</v>
      </c>
      <c r="AY27" s="99" t="s">
        <v>159</v>
      </c>
      <c r="AZ27" s="99" t="s">
        <v>160</v>
      </c>
      <c r="BA27" s="99" t="s">
        <v>161</v>
      </c>
      <c r="BB27" s="99" t="s">
        <v>162</v>
      </c>
      <c r="BC27" s="99" t="s">
        <v>163</v>
      </c>
      <c r="BD27" s="99" t="s">
        <v>164</v>
      </c>
      <c r="BE27" s="99" t="s">
        <v>165</v>
      </c>
      <c r="BF27" s="99" t="s">
        <v>166</v>
      </c>
      <c r="BG27" s="99" t="s">
        <v>167</v>
      </c>
      <c r="BH27" s="99" t="s">
        <v>168</v>
      </c>
      <c r="BI27" s="99" t="s">
        <v>169</v>
      </c>
      <c r="BJ27" s="99" t="s">
        <v>170</v>
      </c>
      <c r="BK27" s="106" t="s">
        <v>171</v>
      </c>
      <c r="BL27" s="106" t="s">
        <v>172</v>
      </c>
    </row>
    <row r="28" spans="7:64" x14ac:dyDescent="0.35">
      <c r="G28" s="97" t="s">
        <v>173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174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175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176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177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178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179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180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181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182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183</v>
      </c>
      <c r="H40">
        <f>SUM(H28:H38)</f>
        <v>17424</v>
      </c>
    </row>
    <row r="41" spans="7:64" x14ac:dyDescent="0.35">
      <c r="G41" s="101" t="s">
        <v>184</v>
      </c>
      <c r="H41">
        <f>AVERAGE(H28:H38)</f>
        <v>1742.4</v>
      </c>
      <c r="K41" s="104" t="s">
        <v>185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05be82777fdc7fdf29882453c6c6a7cb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4ba72682a79310710f916577017439ba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14FB83-56DB-46B1-A14A-5242E72CEA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2025-12-29T07:28:49Z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