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720" documentId="8_{BF395F17-8A36-4A5B-A61D-48748E8233D4}" xr6:coauthVersionLast="47" xr6:coauthVersionMax="47" xr10:uidLastSave="{95DF0810-B4E4-48AA-8007-284799436EE3}"/>
  <bookViews>
    <workbookView xWindow="38280" yWindow="-120" windowWidth="38640" windowHeight="21120" firstSheet="2" activeTab="6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sharedStrings.xml><?xml version="1.0" encoding="utf-8"?>
<sst xmlns="http://schemas.openxmlformats.org/spreadsheetml/2006/main" count="10120" uniqueCount="184">
  <si>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</si>
  <si>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</si>
  <si>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</si>
  <si>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</si>
  <si>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</si>
  <si>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</si>
  <si>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</si>
  <si>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</si>
  <si>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</si>
  <si>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</si>
  <si>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</si>
  <si>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</si>
  <si>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</si>
  <si>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</si>
  <si>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</si>
  <si>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</si>
  <si>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</si>
  <si>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</si>
  <si>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</si>
  <si>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</si>
  <si>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</si>
  <si>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</si>
  <si>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</si>
  <si>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</si>
  <si>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</si>
  <si>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</si>
  <si>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</si>
  <si>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</si>
  <si>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</si>
  <si>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</si>
  <si>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</si>
  <si>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</si>
  <si>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</si>
  <si>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</si>
  <si>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</si>
  <si>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</si>
  <si>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</si>
  <si>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</si>
  <si>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</si>
  <si>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</si>
  <si>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</si>
  <si>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</si>
  <si>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</si>
  <si>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</si>
  <si>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</si>
  <si>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</si>
  <si>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</si>
  <si>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</si>
  <si>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</si>
  <si>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</si>
  <si>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</si>
  <si>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</si>
  <si>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</si>
  <si>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</si>
  <si>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</si>
  <si>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</si>
  <si>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</si>
  <si>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</si>
  <si>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</si>
  <si>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</si>
  <si>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</si>
  <si>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</si>
  <si>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</si>
  <si>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</si>
  <si>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</si>
  <si>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</si>
  <si>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</si>
  <si>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</si>
  <si>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</si>
  <si>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</si>
  <si>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</si>
  <si>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</si>
  <si>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</si>
  <si>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</si>
  <si>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</si>
  <si>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</si>
  <si>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</si>
  <si>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</si>
  <si>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</si>
  <si>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</si>
  <si>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</si>
  <si>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</si>
  <si>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</si>
  <si>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</si>
  <si>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</si>
  <si>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</si>
  <si>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</si>
  <si>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</si>
  <si>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</si>
  <si>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</si>
  <si>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</si>
  <si>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</si>
  <si>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</si>
  <si>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</si>
  <si>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</si>
  <si>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ENERO</t>
  </si>
  <si>
    <t>FEBRERO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</si>
  <si>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</si>
  <si>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</si>
  <si>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</si>
  <si>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</si>
  <si>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</si>
  <si>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</si>
  <si>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</si>
  <si>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</si>
  <si>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</si>
  <si>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</si>
  <si>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</si>
  <si>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</si>
  <si>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</si>
  <si>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</si>
  <si>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</si>
  <si>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</si>
  <si>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</si>
  <si>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</si>
  <si>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</si>
  <si>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</si>
  <si>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</si>
  <si>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</si>
  <si>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</si>
  <si>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</si>
  <si>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</si>
  <si>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</si>
  <si>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</si>
  <si>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</si>
  <si>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</si>
  <si>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</si>
  <si>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</si>
  <si>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</si>
  <si>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</si>
  <si>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</si>
  <si>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</si>
  <si>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</si>
  <si>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</si>
  <si>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</si>
  <si>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</si>
  <si>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</si>
  <si>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</si>
  <si>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</si>
  <si>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</si>
  <si>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</si>
  <si>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</si>
  <si>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</si>
  <si>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</si>
  <si>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</si>
  <si>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</si>
  <si>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</si>
  <si>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</si>
  <si>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</si>
  <si>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</si>
  <si>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</si>
  <si>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</si>
  <si>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</si>
  <si>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</si>
  <si>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</si>
  <si>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</si>
  <si>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</si>
  <si>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</si>
  <si>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</si>
  <si>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</si>
  <si>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</si>
  <si>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</si>
  <si>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</si>
  <si>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</si>
  <si>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</si>
  <si>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</si>
  <si>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</si>
  <si>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</si>
  <si>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</si>
  <si>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</si>
  <si>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</si>
  <si>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</si>
  <si>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</si>
  <si>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</si>
  <si>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</si>
  <si>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</si>
  <si>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</si>
  <si>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</si>
  <si>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</si>
  <si>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</si>
  <si>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</si>
  <si>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</si>
  <si>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 xml:space="preserve">las </t>
  </si>
  <si>
    <t>Cesar Cuevas Marquez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</si>
</sst>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726562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48"/>
      <c r="E2" s="145" t="s">
        <v>0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ht="18" customHeight="1" x14ac:dyDescent="0.35">
      <c r="B3" s="32"/>
      <c r="D3" s="14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4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5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5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5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5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5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50"/>
      <c r="C11" s="34"/>
      <c r="D11" s="36"/>
      <c r="E11" s="155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7"/>
      <c r="AJ11" s="91"/>
    </row>
    <row r="12" spans="1:36" ht="18" customHeight="1" x14ac:dyDescent="0.35">
      <c r="A12" s="15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5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5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5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5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50"/>
      <c r="C17" s="34"/>
      <c r="D17" s="33"/>
      <c r="E17" s="155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7"/>
    </row>
    <row r="18" spans="1:36" ht="18" customHeight="1" x14ac:dyDescent="0.35">
      <c r="A18" s="15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5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5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5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5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50"/>
      <c r="C23" s="34"/>
      <c r="D23" s="35"/>
      <c r="E23" s="152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4"/>
    </row>
    <row r="24" spans="1:36" ht="18" customHeight="1" x14ac:dyDescent="0.35">
      <c r="A24" s="15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4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4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4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4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4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4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726562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48"/>
      <c r="E2" s="145" t="s">
        <v>49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x14ac:dyDescent="0.35">
      <c r="A3" s="6"/>
      <c r="B3" s="32"/>
      <c r="C3" s="6"/>
      <c r="D3" s="14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5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5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5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5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5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50"/>
      <c r="B10" s="6"/>
      <c r="C10" s="34"/>
      <c r="D10" s="36"/>
      <c r="E10" s="155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7"/>
    </row>
    <row r="11" spans="1:36" x14ac:dyDescent="0.35">
      <c r="A11" s="15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5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5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5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5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5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5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50"/>
      <c r="B18" s="6"/>
      <c r="C18" s="34"/>
      <c r="D18" s="33"/>
      <c r="E18" s="155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7"/>
    </row>
    <row r="19" spans="1:35" x14ac:dyDescent="0.35">
      <c r="A19" s="15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5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5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5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5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50"/>
      <c r="B24" s="6"/>
      <c r="C24" s="34"/>
      <c r="E24" s="152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4"/>
    </row>
    <row r="25" spans="1:35" ht="15" thickBot="1" x14ac:dyDescent="0.4">
      <c r="A25" s="15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4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4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4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4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4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4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15" customHeight="1" x14ac:dyDescent="0.35">
      <c r="A1" s="6"/>
      <c r="B1" s="148"/>
      <c r="C1" s="145" t="s">
        <v>57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 spans="1:33" x14ac:dyDescent="0.35">
      <c r="A2" s="6"/>
      <c r="B2" s="14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H7" sqref="H7"/>
    </sheetView>
  </sheetViews>
  <sheetFormatPr baseColWidth="10" defaultColWidth="8.5429687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15" customHeight="1" x14ac:dyDescent="0.35">
      <c r="A1" s="6"/>
      <c r="B1" s="148"/>
      <c r="C1" s="158" t="s">
        <v>78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60"/>
    </row>
    <row r="2" spans="1:34" x14ac:dyDescent="0.35">
      <c r="A2" s="6"/>
      <c r="B2" s="14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5" zoomScaleNormal="100" workbookViewId="0">
      <selection activeCell="B15" sqref="B15"/>
    </sheetView>
  </sheetViews>
  <sheetFormatPr baseColWidth="10" defaultColWidth="8.81640625" defaultRowHeight="14.5" x14ac:dyDescent="0.35"/>
  <cols>
    <col min="2" max="2" width="25.81640625" customWidth="1"/>
    <col min="3" max="32" width="4.7265625" customWidth="1"/>
    <col min="33" max="33" width="4" style="91" bestFit="1" customWidth="1"/>
  </cols>
  <sheetData>
    <row r="1" spans="1:34" x14ac:dyDescent="0.35">
      <c r="A1" s="6"/>
      <c r="B1" s="148"/>
      <c r="C1" s="161" t="s">
        <v>81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</row>
    <row r="2" spans="1:34" x14ac:dyDescent="0.35">
      <c r="A2" s="6"/>
      <c r="B2" s="14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182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82</v>
      </c>
      <c r="W8" s="81" t="s">
        <v>82</v>
      </c>
      <c r="X8" s="81" t="s">
        <v>82</v>
      </c>
      <c r="Y8" s="81" t="s">
        <v>82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83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84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85</v>
      </c>
      <c r="M18" s="4" t="s">
        <v>84</v>
      </c>
      <c r="N18" s="4" t="s">
        <v>84</v>
      </c>
      <c r="O18" s="4" t="s">
        <v>84</v>
      </c>
      <c r="P18" s="4" t="s">
        <v>84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86</v>
      </c>
      <c r="T19" s="4" t="s">
        <v>84</v>
      </c>
      <c r="U19" s="4" t="s">
        <v>84</v>
      </c>
      <c r="V19" s="4" t="s">
        <v>84</v>
      </c>
      <c r="W19" s="4" t="s">
        <v>84</v>
      </c>
      <c r="X19" s="48" t="s">
        <v>87</v>
      </c>
      <c r="Y19" s="48" t="s">
        <v>87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88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89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90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91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93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baseColWidth="10" defaultColWidth="8.81640625" defaultRowHeight="14.5" x14ac:dyDescent="0.35"/>
  <cols>
    <col min="2" max="2" width="31.1796875" customWidth="1"/>
    <col min="3" max="33" width="4.7265625" customWidth="1"/>
    <col min="34" max="34" width="8.81640625" style="91" customWidth="1"/>
  </cols>
  <sheetData>
    <row r="1" spans="1:37" ht="15" customHeight="1" x14ac:dyDescent="0.35">
      <c r="A1" s="6"/>
      <c r="B1" s="148"/>
      <c r="C1" s="161" t="s">
        <v>94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7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83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183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84</v>
      </c>
      <c r="R17" s="4" t="s">
        <v>84</v>
      </c>
      <c r="S17" s="4" t="s">
        <v>84</v>
      </c>
      <c r="T17" s="4" t="s">
        <v>84</v>
      </c>
      <c r="U17" s="4" t="s">
        <v>84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84</v>
      </c>
      <c r="D18" s="120" t="s">
        <v>84</v>
      </c>
      <c r="E18" s="4" t="s">
        <v>84</v>
      </c>
      <c r="F18" s="4" t="s">
        <v>84</v>
      </c>
      <c r="G18" s="4" t="s">
        <v>84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85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85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82</v>
      </c>
      <c r="R19" s="118" t="s">
        <v>82</v>
      </c>
      <c r="S19" s="118" t="s">
        <v>82</v>
      </c>
      <c r="T19" s="118" t="s">
        <v>82</v>
      </c>
      <c r="U19" s="118" t="s">
        <v>82</v>
      </c>
      <c r="V19" s="28" t="s">
        <v>7</v>
      </c>
      <c r="W19" s="28" t="s">
        <v>7</v>
      </c>
      <c r="X19" s="118" t="s">
        <v>82</v>
      </c>
      <c r="Y19" s="118" t="s">
        <v>82</v>
      </c>
      <c r="Z19" s="118" t="s">
        <v>82</v>
      </c>
      <c r="AA19" s="28" t="s">
        <v>7</v>
      </c>
      <c r="AB19" s="118" t="s">
        <v>82</v>
      </c>
      <c r="AC19" s="28" t="s">
        <v>7</v>
      </c>
      <c r="AD19" s="28" t="s">
        <v>7</v>
      </c>
      <c r="AE19" s="118" t="s">
        <v>82</v>
      </c>
      <c r="AF19" s="5" t="s">
        <v>11</v>
      </c>
      <c r="AG19" s="5" t="s">
        <v>11</v>
      </c>
    </row>
    <row r="21" spans="1:33" x14ac:dyDescent="0.35">
      <c r="B21" s="111" t="s">
        <v>88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89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90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91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92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abSelected="1" zoomScaleNormal="100" workbookViewId="0">
      <selection activeCell="W31" sqref="W31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x14ac:dyDescent="0.35">
      <c r="A1" s="6"/>
      <c r="B1" s="148"/>
      <c r="C1" s="161" t="s">
        <v>95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4" x14ac:dyDescent="0.35">
      <c r="A2" s="6"/>
      <c r="B2" s="14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83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183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x14ac:dyDescent="0.35">
      <c r="A18" s="34" t="s">
        <v>28</v>
      </c>
      <c r="B18" s="33" t="s">
        <v>29</v>
      </c>
      <c r="C18" s="28" t="s">
        <v>85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14</v>
      </c>
      <c r="X18" s="25" t="s">
        <v>14</v>
      </c>
      <c r="Y18" s="25" t="s">
        <v>14</v>
      </c>
      <c r="Z18" s="28" t="s">
        <v>7</v>
      </c>
      <c r="AA18" s="28" t="s">
        <v>7</v>
      </c>
      <c r="AB18" s="4" t="s">
        <v>32</v>
      </c>
      <c r="AC18" s="4" t="s">
        <v>32</v>
      </c>
      <c r="AD18" s="4" t="s">
        <v>32</v>
      </c>
      <c r="AE18" s="4" t="s">
        <v>32</v>
      </c>
      <c r="AF18" s="4" t="s">
        <v>32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32</v>
      </c>
      <c r="X19" s="4" t="s">
        <v>32</v>
      </c>
      <c r="Y19" s="4" t="s">
        <v>32</v>
      </c>
      <c r="Z19" s="28" t="s">
        <v>30</v>
      </c>
      <c r="AA19" s="28" t="s">
        <v>30</v>
      </c>
      <c r="AB19" s="25" t="s">
        <v>14</v>
      </c>
      <c r="AC19" s="25" t="s">
        <v>14</v>
      </c>
      <c r="AD19" s="25" t="s">
        <v>14</v>
      </c>
      <c r="AE19" s="25" t="s">
        <v>14</v>
      </c>
      <c r="AF19" s="25" t="s">
        <v>14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 x14ac:dyDescent="0.35">
      <c r="B22" s="111" t="s">
        <v>88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5</v>
      </c>
      <c r="X22" s="110">
        <f t="shared" si="2"/>
        <v>5</v>
      </c>
      <c r="Y22" s="110">
        <f t="shared" si="2"/>
        <v>5</v>
      </c>
      <c r="Z22" s="110">
        <f t="shared" si="2"/>
        <v>4</v>
      </c>
      <c r="AA22" s="110">
        <f t="shared" si="2"/>
        <v>4</v>
      </c>
      <c r="AB22" s="110">
        <f t="shared" si="2"/>
        <v>5</v>
      </c>
      <c r="AC22" s="110">
        <f t="shared" si="2"/>
        <v>5</v>
      </c>
      <c r="AD22" s="110">
        <f t="shared" si="2"/>
        <v>5</v>
      </c>
      <c r="AE22" s="110">
        <f t="shared" si="2"/>
        <v>5</v>
      </c>
      <c r="AF22" s="110">
        <f t="shared" si="2"/>
        <v>5</v>
      </c>
      <c r="AG22" s="110">
        <f t="shared" si="2"/>
        <v>4</v>
      </c>
    </row>
    <row r="23" spans="1:34" x14ac:dyDescent="0.35">
      <c r="B23" s="111" t="s">
        <v>89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90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1</v>
      </c>
      <c r="X25" s="112">
        <f t="shared" si="5"/>
        <v>1</v>
      </c>
      <c r="Y25" s="112">
        <f t="shared" si="5"/>
        <v>1</v>
      </c>
      <c r="Z25" s="112">
        <f t="shared" si="5"/>
        <v>2</v>
      </c>
      <c r="AA25" s="112">
        <f t="shared" si="5"/>
        <v>2</v>
      </c>
      <c r="AB25" s="112">
        <f t="shared" si="5"/>
        <v>1</v>
      </c>
      <c r="AC25" s="112">
        <f t="shared" si="5"/>
        <v>1</v>
      </c>
      <c r="AD25" s="112">
        <f t="shared" si="5"/>
        <v>1</v>
      </c>
      <c r="AE25" s="112">
        <f t="shared" si="5"/>
        <v>1</v>
      </c>
      <c r="AF25" s="112">
        <f t="shared" si="5"/>
        <v>1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92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workbookViewId="0">
      <selection activeCell="H31" sqref="H31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2" t="s">
        <v>96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H10"/>
    </row>
    <row r="11" spans="1:34" x14ac:dyDescent="0.35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 x14ac:dyDescent="0.35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 x14ac:dyDescent="0.35">
      <c r="A13" s="34" t="s">
        <v>12</v>
      </c>
      <c r="B13" s="33" t="s">
        <v>83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H13"/>
    </row>
    <row r="14" spans="1:34" x14ac:dyDescent="0.35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/>
      <c r="B16" s="52" t="s">
        <v>183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H16"/>
    </row>
    <row r="17" spans="1:34" x14ac:dyDescent="0.35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 x14ac:dyDescent="0.35">
      <c r="A18" s="34" t="s">
        <v>28</v>
      </c>
      <c r="B18" s="33" t="s">
        <v>29</v>
      </c>
      <c r="C18" s="28" t="s">
        <v>30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14</v>
      </c>
      <c r="L18" s="4" t="s">
        <v>14</v>
      </c>
      <c r="M18" s="4" t="s">
        <v>14</v>
      </c>
      <c r="N18" s="4" t="s">
        <v>14</v>
      </c>
      <c r="O18" s="4" t="s">
        <v>14</v>
      </c>
      <c r="P18" s="28" t="s">
        <v>7</v>
      </c>
      <c r="Q18" s="28" t="s">
        <v>7</v>
      </c>
      <c r="R18" s="4" t="s">
        <v>84</v>
      </c>
      <c r="S18" s="4" t="s">
        <v>84</v>
      </c>
      <c r="T18" s="4" t="s">
        <v>84</v>
      </c>
      <c r="U18" s="4" t="s">
        <v>84</v>
      </c>
      <c r="V18" s="4" t="s">
        <v>84</v>
      </c>
      <c r="W18" s="28" t="s">
        <v>30</v>
      </c>
      <c r="X18" s="28" t="s">
        <v>30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8" t="s">
        <v>7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4" t="s">
        <v>84</v>
      </c>
      <c r="E19" s="4" t="s">
        <v>84</v>
      </c>
      <c r="F19" s="4" t="s">
        <v>84</v>
      </c>
      <c r="G19" s="4" t="s">
        <v>84</v>
      </c>
      <c r="H19" s="4" t="s">
        <v>84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14</v>
      </c>
      <c r="S19" s="4" t="s">
        <v>14</v>
      </c>
      <c r="T19" s="4" t="s">
        <v>14</v>
      </c>
      <c r="U19" s="4" t="s">
        <v>14</v>
      </c>
      <c r="V19" s="4" t="s">
        <v>14</v>
      </c>
      <c r="W19" s="28" t="s">
        <v>7</v>
      </c>
      <c r="X19" s="28" t="s">
        <v>7</v>
      </c>
      <c r="Y19" s="4" t="s">
        <v>84</v>
      </c>
      <c r="Z19" s="4" t="s">
        <v>84</v>
      </c>
      <c r="AA19" s="4" t="s">
        <v>84</v>
      </c>
      <c r="AB19" s="4" t="s">
        <v>84</v>
      </c>
      <c r="AC19" s="4" t="s">
        <v>84</v>
      </c>
      <c r="AD19" s="28" t="s">
        <v>30</v>
      </c>
      <c r="AH19"/>
    </row>
    <row r="20" spans="1:34" x14ac:dyDescent="0.35">
      <c r="A20" s="34" t="s">
        <v>28</v>
      </c>
      <c r="B20" s="35"/>
      <c r="C20" s="140"/>
      <c r="D20" s="139"/>
      <c r="E20" s="139"/>
      <c r="F20" s="139"/>
      <c r="G20" s="139"/>
      <c r="H20" s="139"/>
      <c r="I20" s="140"/>
      <c r="J20" s="140"/>
      <c r="K20" s="139"/>
      <c r="L20" s="139"/>
      <c r="M20" s="139"/>
      <c r="N20" s="139"/>
      <c r="O20" s="139"/>
      <c r="P20" s="140"/>
      <c r="Q20" s="140"/>
      <c r="R20" s="141"/>
      <c r="S20" s="141"/>
      <c r="T20" s="141"/>
      <c r="U20" s="141"/>
      <c r="V20" s="141"/>
      <c r="W20" s="140"/>
      <c r="X20" s="140"/>
      <c r="Y20" s="139"/>
      <c r="Z20" s="139"/>
      <c r="AA20" s="139"/>
      <c r="AB20" s="139"/>
      <c r="AC20" s="139"/>
      <c r="AD20" s="140"/>
      <c r="AH20"/>
    </row>
    <row r="22" spans="1:34" x14ac:dyDescent="0.35">
      <c r="B22" s="111" t="s">
        <v>88</v>
      </c>
      <c r="C22" s="110">
        <f t="shared" ref="C22:AD22" si="0">SUM(C23:C25)</f>
        <v>4</v>
      </c>
      <c r="D22" s="110">
        <f t="shared" si="0"/>
        <v>6</v>
      </c>
      <c r="E22" s="110">
        <f t="shared" si="0"/>
        <v>4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</row>
    <row r="23" spans="1:34" x14ac:dyDescent="0.35">
      <c r="B23" s="111" t="s">
        <v>89</v>
      </c>
      <c r="C23" s="112">
        <f t="shared" ref="C23:AD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</row>
    <row r="24" spans="1:34" x14ac:dyDescent="0.35">
      <c r="B24" s="111" t="s">
        <v>90</v>
      </c>
      <c r="C24" s="112">
        <f t="shared" ref="C24:AD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</row>
    <row r="25" spans="1:34" x14ac:dyDescent="0.3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D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92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D1"/>
  </mergeCells>
  <conditionalFormatting sqref="C23:AD25">
    <cfRule type="cellIs" dxfId="10" priority="1" operator="equal">
      <formula>1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97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 x14ac:dyDescent="0.35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 x14ac:dyDescent="0.35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 x14ac:dyDescent="0.35">
      <c r="A13" s="34" t="s">
        <v>12</v>
      </c>
      <c r="B13" s="33" t="s">
        <v>83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 x14ac:dyDescent="0.35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 x14ac:dyDescent="0.35">
      <c r="A15" s="34"/>
      <c r="AH15"/>
    </row>
    <row r="16" spans="1:34" x14ac:dyDescent="0.35">
      <c r="A16" s="34"/>
      <c r="B16" s="52" t="s">
        <v>183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84</v>
      </c>
      <c r="AG18" s="4" t="s">
        <v>84</v>
      </c>
      <c r="AH18"/>
    </row>
    <row r="19" spans="1:34" x14ac:dyDescent="0.35">
      <c r="A19" s="34" t="s">
        <v>28</v>
      </c>
      <c r="B19" s="35" t="s">
        <v>60</v>
      </c>
      <c r="C19" s="28" t="s">
        <v>30</v>
      </c>
      <c r="D19" s="25" t="s">
        <v>11</v>
      </c>
      <c r="E19" s="25" t="s">
        <v>11</v>
      </c>
      <c r="F19" s="25" t="s">
        <v>11</v>
      </c>
      <c r="G19" s="25" t="s">
        <v>11</v>
      </c>
      <c r="H19" s="25" t="s">
        <v>11</v>
      </c>
      <c r="I19" s="28" t="s">
        <v>7</v>
      </c>
      <c r="J19" s="28" t="s">
        <v>7</v>
      </c>
      <c r="K19" s="4" t="s">
        <v>14</v>
      </c>
      <c r="L19" s="4" t="s">
        <v>14</v>
      </c>
      <c r="M19" s="4" t="s">
        <v>14</v>
      </c>
      <c r="N19" s="4" t="s">
        <v>14</v>
      </c>
      <c r="O19" s="4" t="s">
        <v>14</v>
      </c>
      <c r="P19" s="28" t="s">
        <v>7</v>
      </c>
      <c r="Q19" s="28" t="s">
        <v>7</v>
      </c>
      <c r="R19" s="4" t="s">
        <v>84</v>
      </c>
      <c r="S19" s="4" t="s">
        <v>84</v>
      </c>
      <c r="T19" s="4" t="s">
        <v>84</v>
      </c>
      <c r="U19" s="4" t="s">
        <v>84</v>
      </c>
      <c r="V19" s="4" t="s">
        <v>84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14</v>
      </c>
      <c r="AG19" s="4" t="s">
        <v>14</v>
      </c>
      <c r="AH19"/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84</v>
      </c>
      <c r="E20" s="4" t="s">
        <v>84</v>
      </c>
      <c r="F20" s="4" t="s">
        <v>84</v>
      </c>
      <c r="G20" s="4" t="s">
        <v>84</v>
      </c>
      <c r="H20" s="4" t="s">
        <v>84</v>
      </c>
      <c r="I20" s="28" t="s">
        <v>30</v>
      </c>
      <c r="J20" s="28" t="s">
        <v>30</v>
      </c>
      <c r="K20" s="25" t="s">
        <v>11</v>
      </c>
      <c r="L20" s="25" t="s">
        <v>11</v>
      </c>
      <c r="M20" s="25" t="s">
        <v>11</v>
      </c>
      <c r="N20" s="25" t="s">
        <v>11</v>
      </c>
      <c r="O20" s="25" t="s">
        <v>11</v>
      </c>
      <c r="P20" s="28" t="s">
        <v>7</v>
      </c>
      <c r="Q20" s="28" t="s">
        <v>7</v>
      </c>
      <c r="R20" s="4" t="s">
        <v>14</v>
      </c>
      <c r="S20" s="4" t="s">
        <v>14</v>
      </c>
      <c r="T20" s="4" t="s">
        <v>14</v>
      </c>
      <c r="U20" s="4" t="s">
        <v>14</v>
      </c>
      <c r="V20" s="4" t="s">
        <v>14</v>
      </c>
      <c r="W20" s="28" t="s">
        <v>7</v>
      </c>
      <c r="X20" s="28" t="s">
        <v>7</v>
      </c>
      <c r="Y20" s="4" t="s">
        <v>84</v>
      </c>
      <c r="Z20" s="4" t="s">
        <v>84</v>
      </c>
      <c r="AA20" s="4" t="s">
        <v>84</v>
      </c>
      <c r="AB20" s="4" t="s">
        <v>84</v>
      </c>
      <c r="AC20" s="4" t="s">
        <v>84</v>
      </c>
      <c r="AD20" s="28" t="s">
        <v>30</v>
      </c>
      <c r="AE20" s="28" t="s">
        <v>30</v>
      </c>
      <c r="AF20" s="25" t="s">
        <v>11</v>
      </c>
      <c r="AG20" s="25" t="s">
        <v>11</v>
      </c>
      <c r="AH20"/>
    </row>
    <row r="22" spans="1:34" x14ac:dyDescent="0.35">
      <c r="B22" s="111" t="s">
        <v>88</v>
      </c>
      <c r="C22" s="110">
        <f t="shared" ref="C22:AG22" si="0">SUM(C23:C25)</f>
        <v>4</v>
      </c>
      <c r="D22" s="110">
        <f t="shared" si="0"/>
        <v>6</v>
      </c>
      <c r="E22" s="110">
        <f t="shared" si="0"/>
        <v>4</v>
      </c>
      <c r="F22" s="110">
        <f t="shared" si="0"/>
        <v>6</v>
      </c>
      <c r="G22" s="110">
        <f t="shared" si="0"/>
        <v>6</v>
      </c>
      <c r="H22" s="110">
        <f t="shared" si="0"/>
        <v>6</v>
      </c>
      <c r="I22" s="110">
        <f t="shared" si="0"/>
        <v>4</v>
      </c>
      <c r="J22" s="110">
        <f t="shared" si="0"/>
        <v>4</v>
      </c>
      <c r="K22" s="110">
        <f t="shared" si="0"/>
        <v>6</v>
      </c>
      <c r="L22" s="110">
        <f t="shared" si="0"/>
        <v>6</v>
      </c>
      <c r="M22" s="110">
        <f t="shared" si="0"/>
        <v>6</v>
      </c>
      <c r="N22" s="110">
        <f t="shared" si="0"/>
        <v>6</v>
      </c>
      <c r="O22" s="110">
        <f t="shared" si="0"/>
        <v>6</v>
      </c>
      <c r="P22" s="110">
        <f t="shared" si="0"/>
        <v>4</v>
      </c>
      <c r="Q22" s="110">
        <f t="shared" si="0"/>
        <v>4</v>
      </c>
      <c r="R22" s="110">
        <f t="shared" si="0"/>
        <v>6</v>
      </c>
      <c r="S22" s="110">
        <f t="shared" si="0"/>
        <v>6</v>
      </c>
      <c r="T22" s="110">
        <f t="shared" si="0"/>
        <v>6</v>
      </c>
      <c r="U22" s="110">
        <f t="shared" si="0"/>
        <v>6</v>
      </c>
      <c r="V22" s="110">
        <f t="shared" si="0"/>
        <v>6</v>
      </c>
      <c r="W22" s="110">
        <f t="shared" si="0"/>
        <v>4</v>
      </c>
      <c r="X22" s="110">
        <f t="shared" si="0"/>
        <v>4</v>
      </c>
      <c r="Y22" s="110">
        <f t="shared" si="0"/>
        <v>6</v>
      </c>
      <c r="Z22" s="110">
        <f t="shared" si="0"/>
        <v>6</v>
      </c>
      <c r="AA22" s="110">
        <f t="shared" si="0"/>
        <v>6</v>
      </c>
      <c r="AB22" s="110">
        <f t="shared" si="0"/>
        <v>6</v>
      </c>
      <c r="AC22" s="110">
        <f t="shared" si="0"/>
        <v>6</v>
      </c>
      <c r="AD22" s="110">
        <f t="shared" si="0"/>
        <v>4</v>
      </c>
      <c r="AE22" s="110">
        <f t="shared" si="0"/>
        <v>4</v>
      </c>
      <c r="AF22" s="110">
        <f t="shared" si="0"/>
        <v>6</v>
      </c>
      <c r="AG22" s="110">
        <f t="shared" si="0"/>
        <v>6</v>
      </c>
    </row>
    <row r="23" spans="1:34" x14ac:dyDescent="0.35">
      <c r="B23" s="111" t="s">
        <v>89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 x14ac:dyDescent="0.35">
      <c r="B24" s="111" t="s">
        <v>90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 x14ac:dyDescent="0.3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92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98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 x14ac:dyDescent="0.35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 x14ac:dyDescent="0.35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 x14ac:dyDescent="0.35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/>
      <c r="B16" s="52" t="s">
        <v>183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 x14ac:dyDescent="0.35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 x14ac:dyDescent="0.35">
      <c r="A18" s="34" t="s">
        <v>28</v>
      </c>
      <c r="B18" s="33" t="s">
        <v>29</v>
      </c>
      <c r="C18" s="4" t="s">
        <v>84</v>
      </c>
      <c r="D18" s="4" t="s">
        <v>84</v>
      </c>
      <c r="E18" s="4" t="s">
        <v>84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14</v>
      </c>
      <c r="P18" s="4" t="s">
        <v>14</v>
      </c>
      <c r="Q18" s="4" t="s">
        <v>14</v>
      </c>
      <c r="R18" s="4" t="s">
        <v>14</v>
      </c>
      <c r="S18" s="4" t="s">
        <v>14</v>
      </c>
      <c r="T18" s="28" t="s">
        <v>7</v>
      </c>
      <c r="U18" s="28" t="s">
        <v>7</v>
      </c>
      <c r="V18" s="4" t="s">
        <v>84</v>
      </c>
      <c r="W18" s="4" t="s">
        <v>84</v>
      </c>
      <c r="X18" s="4" t="s">
        <v>84</v>
      </c>
      <c r="Y18" s="4" t="s">
        <v>84</v>
      </c>
      <c r="Z18" s="4" t="s">
        <v>84</v>
      </c>
      <c r="AA18" s="28" t="s">
        <v>7</v>
      </c>
      <c r="AB18" s="28" t="s">
        <v>7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 x14ac:dyDescent="0.35">
      <c r="A19" s="34" t="s">
        <v>28</v>
      </c>
      <c r="B19" s="35" t="s">
        <v>60</v>
      </c>
      <c r="C19" s="4" t="s">
        <v>14</v>
      </c>
      <c r="D19" s="4" t="s">
        <v>14</v>
      </c>
      <c r="E19" s="4" t="s">
        <v>14</v>
      </c>
      <c r="F19" s="28" t="s">
        <v>7</v>
      </c>
      <c r="G19" s="28" t="s">
        <v>7</v>
      </c>
      <c r="H19" s="4" t="s">
        <v>84</v>
      </c>
      <c r="I19" s="4" t="s">
        <v>84</v>
      </c>
      <c r="J19" s="4" t="s">
        <v>84</v>
      </c>
      <c r="K19" s="4" t="s">
        <v>84</v>
      </c>
      <c r="L19" s="4" t="s">
        <v>84</v>
      </c>
      <c r="M19" s="28" t="s">
        <v>7</v>
      </c>
      <c r="N19" s="28" t="s">
        <v>7</v>
      </c>
      <c r="O19" s="25" t="s">
        <v>11</v>
      </c>
      <c r="P19" s="25" t="s">
        <v>11</v>
      </c>
      <c r="Q19" s="25" t="s">
        <v>11</v>
      </c>
      <c r="R19" s="25" t="s">
        <v>11</v>
      </c>
      <c r="S19" s="25" t="s">
        <v>11</v>
      </c>
      <c r="T19" s="28" t="s">
        <v>7</v>
      </c>
      <c r="U19" s="28" t="s">
        <v>7</v>
      </c>
      <c r="V19" s="4" t="s">
        <v>14</v>
      </c>
      <c r="W19" s="4" t="s">
        <v>14</v>
      </c>
      <c r="X19" s="4" t="s">
        <v>14</v>
      </c>
      <c r="Y19" s="4" t="s">
        <v>14</v>
      </c>
      <c r="Z19" s="4" t="s">
        <v>14</v>
      </c>
      <c r="AA19" s="28" t="s">
        <v>7</v>
      </c>
      <c r="AB19" s="28" t="s">
        <v>7</v>
      </c>
      <c r="AC19" s="4" t="s">
        <v>84</v>
      </c>
      <c r="AD19" s="4" t="s">
        <v>84</v>
      </c>
      <c r="AE19" s="4" t="s">
        <v>84</v>
      </c>
      <c r="AF19" s="4" t="s">
        <v>84</v>
      </c>
      <c r="AG19"/>
    </row>
    <row r="20" spans="1:33" x14ac:dyDescent="0.35">
      <c r="A20" s="34" t="s">
        <v>28</v>
      </c>
      <c r="B20" s="35" t="s">
        <v>34</v>
      </c>
      <c r="C20" s="25" t="s">
        <v>11</v>
      </c>
      <c r="D20" s="25" t="s">
        <v>11</v>
      </c>
      <c r="E20" s="25" t="s">
        <v>11</v>
      </c>
      <c r="F20" s="28" t="s">
        <v>7</v>
      </c>
      <c r="G20" s="28" t="s">
        <v>7</v>
      </c>
      <c r="H20" s="4" t="s">
        <v>14</v>
      </c>
      <c r="I20" s="4" t="s">
        <v>14</v>
      </c>
      <c r="J20" s="4" t="s">
        <v>14</v>
      </c>
      <c r="K20" s="4" t="s">
        <v>14</v>
      </c>
      <c r="L20" s="4" t="s">
        <v>14</v>
      </c>
      <c r="M20" s="28" t="s">
        <v>7</v>
      </c>
      <c r="N20" s="28" t="s">
        <v>7</v>
      </c>
      <c r="O20" s="4" t="s">
        <v>84</v>
      </c>
      <c r="P20" s="4" t="s">
        <v>84</v>
      </c>
      <c r="Q20" s="4" t="s">
        <v>84</v>
      </c>
      <c r="R20" s="4" t="s">
        <v>84</v>
      </c>
      <c r="S20" s="4" t="s">
        <v>84</v>
      </c>
      <c r="T20" s="28" t="s">
        <v>7</v>
      </c>
      <c r="U20" s="28" t="s">
        <v>7</v>
      </c>
      <c r="V20" s="25" t="s">
        <v>11</v>
      </c>
      <c r="W20" s="25" t="s">
        <v>11</v>
      </c>
      <c r="X20" s="25" t="s">
        <v>11</v>
      </c>
      <c r="Y20" s="25" t="s">
        <v>11</v>
      </c>
      <c r="Z20" s="25" t="s">
        <v>11</v>
      </c>
      <c r="AA20" s="28" t="s">
        <v>7</v>
      </c>
      <c r="AB20" s="28" t="s">
        <v>7</v>
      </c>
      <c r="AC20" s="4" t="s">
        <v>14</v>
      </c>
      <c r="AD20" s="4" t="s">
        <v>14</v>
      </c>
      <c r="AE20" s="4" t="s">
        <v>14</v>
      </c>
      <c r="AF20" s="4" t="s">
        <v>14</v>
      </c>
      <c r="AG20"/>
    </row>
    <row r="21" spans="1:33" x14ac:dyDescent="0.35">
      <c r="AG21"/>
    </row>
    <row r="22" spans="1:33" x14ac:dyDescent="0.35">
      <c r="B22" s="111" t="s">
        <v>88</v>
      </c>
      <c r="C22" s="110">
        <f t="shared" ref="C22:AF22" si="0">SUM(C23:C25)</f>
        <v>6</v>
      </c>
      <c r="D22" s="110">
        <f t="shared" si="0"/>
        <v>6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6</v>
      </c>
      <c r="I22" s="110">
        <f t="shared" si="0"/>
        <v>6</v>
      </c>
      <c r="J22" s="110">
        <f t="shared" si="0"/>
        <v>6</v>
      </c>
      <c r="K22" s="110">
        <f t="shared" si="0"/>
        <v>6</v>
      </c>
      <c r="L22" s="110">
        <f t="shared" si="0"/>
        <v>6</v>
      </c>
      <c r="M22" s="110">
        <f t="shared" si="0"/>
        <v>4</v>
      </c>
      <c r="N22" s="110">
        <f t="shared" si="0"/>
        <v>4</v>
      </c>
      <c r="O22" s="110">
        <f t="shared" si="0"/>
        <v>6</v>
      </c>
      <c r="P22" s="110">
        <f t="shared" si="0"/>
        <v>6</v>
      </c>
      <c r="Q22" s="110">
        <f t="shared" si="0"/>
        <v>6</v>
      </c>
      <c r="R22" s="110">
        <f t="shared" si="0"/>
        <v>6</v>
      </c>
      <c r="S22" s="110">
        <f t="shared" si="0"/>
        <v>6</v>
      </c>
      <c r="T22" s="110">
        <f t="shared" si="0"/>
        <v>4</v>
      </c>
      <c r="U22" s="110">
        <f t="shared" si="0"/>
        <v>4</v>
      </c>
      <c r="V22" s="110">
        <f t="shared" si="0"/>
        <v>6</v>
      </c>
      <c r="W22" s="110">
        <f t="shared" si="0"/>
        <v>6</v>
      </c>
      <c r="X22" s="110">
        <f t="shared" si="0"/>
        <v>6</v>
      </c>
      <c r="Y22" s="110">
        <f t="shared" si="0"/>
        <v>6</v>
      </c>
      <c r="Z22" s="110">
        <f t="shared" si="0"/>
        <v>6</v>
      </c>
      <c r="AA22" s="110">
        <f t="shared" si="0"/>
        <v>4</v>
      </c>
      <c r="AB22" s="110">
        <f t="shared" si="0"/>
        <v>4</v>
      </c>
      <c r="AC22" s="110">
        <f t="shared" si="0"/>
        <v>6</v>
      </c>
      <c r="AD22" s="110">
        <f t="shared" si="0"/>
        <v>6</v>
      </c>
      <c r="AE22" s="110">
        <f t="shared" si="0"/>
        <v>6</v>
      </c>
      <c r="AF22" s="110">
        <f t="shared" si="0"/>
        <v>6</v>
      </c>
    </row>
    <row r="23" spans="1:33" x14ac:dyDescent="0.35">
      <c r="B23" s="111" t="s">
        <v>89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 x14ac:dyDescent="0.35">
      <c r="B24" s="111" t="s">
        <v>90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 x14ac:dyDescent="0.3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</row>
    <row r="27" spans="1:33" x14ac:dyDescent="0.35">
      <c r="B27" t="s">
        <v>65</v>
      </c>
    </row>
    <row r="28" spans="1:33" x14ac:dyDescent="0.35">
      <c r="B28" s="5" t="s">
        <v>66</v>
      </c>
    </row>
    <row r="29" spans="1:33" x14ac:dyDescent="0.35">
      <c r="B29" s="5" t="s">
        <v>67</v>
      </c>
    </row>
    <row r="30" spans="1:33" x14ac:dyDescent="0.35">
      <c r="B30" s="1" t="s">
        <v>68</v>
      </c>
    </row>
    <row r="31" spans="1:33" x14ac:dyDescent="0.35">
      <c r="B31" s="7" t="s">
        <v>69</v>
      </c>
    </row>
    <row r="32" spans="1:33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92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99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 x14ac:dyDescent="0.35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 x14ac:dyDescent="0.35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 x14ac:dyDescent="0.35">
      <c r="A13" s="34" t="s">
        <v>12</v>
      </c>
      <c r="B13" s="52" t="s">
        <v>83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 x14ac:dyDescent="0.35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/>
      <c r="B16" s="52" t="s">
        <v>183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 x14ac:dyDescent="0.35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84</v>
      </c>
      <c r="N18" s="4" t="s">
        <v>84</v>
      </c>
      <c r="O18" s="4" t="s">
        <v>84</v>
      </c>
      <c r="P18" s="4" t="s">
        <v>84</v>
      </c>
      <c r="Q18" s="4" t="s">
        <v>84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 x14ac:dyDescent="0.35">
      <c r="A19" s="34" t="s">
        <v>28</v>
      </c>
      <c r="B19" s="35" t="s">
        <v>60</v>
      </c>
      <c r="C19" s="4" t="s">
        <v>84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84</v>
      </c>
      <c r="U19" s="4" t="s">
        <v>84</v>
      </c>
      <c r="V19" s="4" t="s">
        <v>84</v>
      </c>
      <c r="W19" s="4" t="s">
        <v>84</v>
      </c>
      <c r="X19" s="4" t="s">
        <v>84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 x14ac:dyDescent="0.35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84</v>
      </c>
      <c r="G20" s="4" t="s">
        <v>84</v>
      </c>
      <c r="H20" s="4" t="s">
        <v>84</v>
      </c>
      <c r="I20" s="4" t="s">
        <v>84</v>
      </c>
      <c r="J20" s="4" t="s">
        <v>84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84</v>
      </c>
      <c r="AB20" s="4" t="s">
        <v>84</v>
      </c>
      <c r="AC20" s="4" t="s">
        <v>84</v>
      </c>
      <c r="AD20" s="4" t="s">
        <v>84</v>
      </c>
      <c r="AE20" s="4" t="s">
        <v>84</v>
      </c>
      <c r="AF20" s="28" t="s">
        <v>7</v>
      </c>
      <c r="AG20" s="28" t="s">
        <v>7</v>
      </c>
      <c r="AH20"/>
    </row>
    <row r="22" spans="1:34" x14ac:dyDescent="0.35">
      <c r="B22" s="111" t="s">
        <v>88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 x14ac:dyDescent="0.35">
      <c r="B23" s="111" t="s">
        <v>89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 x14ac:dyDescent="0.35">
      <c r="B24" s="111" t="s">
        <v>90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 x14ac:dyDescent="0.35">
      <c r="B25" s="111" t="s">
        <v>91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92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 x14ac:dyDescent="0.35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122" t="s">
        <v>101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 x14ac:dyDescent="0.3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4" t="s">
        <v>84</v>
      </c>
      <c r="D16" s="4" t="s">
        <v>84</v>
      </c>
      <c r="E16" s="4" t="s">
        <v>84</v>
      </c>
      <c r="F16" s="4" t="s">
        <v>84</v>
      </c>
      <c r="G16" s="4" t="s">
        <v>84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84</v>
      </c>
      <c r="Y16" s="4" t="s">
        <v>84</v>
      </c>
      <c r="Z16" s="4" t="s">
        <v>84</v>
      </c>
      <c r="AA16" s="4" t="s">
        <v>84</v>
      </c>
      <c r="AB16" s="4" t="s">
        <v>84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 x14ac:dyDescent="0.35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84</v>
      </c>
      <c r="K17" s="4" t="s">
        <v>84</v>
      </c>
      <c r="L17" s="4" t="s">
        <v>84</v>
      </c>
      <c r="M17" s="4" t="s">
        <v>84</v>
      </c>
      <c r="N17" s="4" t="s">
        <v>84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84</v>
      </c>
      <c r="AF17" s="4" t="s">
        <v>84</v>
      </c>
      <c r="AG17"/>
    </row>
    <row r="18" spans="1:33" x14ac:dyDescent="0.35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84</v>
      </c>
      <c r="R18" s="4" t="s">
        <v>84</v>
      </c>
      <c r="S18" s="4" t="s">
        <v>84</v>
      </c>
      <c r="T18" s="4" t="s">
        <v>84</v>
      </c>
      <c r="U18" s="4" t="s">
        <v>84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 x14ac:dyDescent="0.35">
      <c r="H19" t="s">
        <v>102</v>
      </c>
      <c r="AG19"/>
    </row>
    <row r="20" spans="1:33" x14ac:dyDescent="0.35">
      <c r="B20" s="111" t="s">
        <v>88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89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6" ht="24" customHeight="1" x14ac:dyDescent="0.35">
      <c r="A1" s="6"/>
      <c r="B1" s="148"/>
      <c r="C1" s="163" t="s">
        <v>103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6" x14ac:dyDescent="0.35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 x14ac:dyDescent="0.35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 x14ac:dyDescent="0.35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 x14ac:dyDescent="0.35">
      <c r="A13" s="34" t="s">
        <v>12</v>
      </c>
      <c r="B13" s="33" t="s">
        <v>83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 x14ac:dyDescent="0.35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84</v>
      </c>
      <c r="P16" s="4" t="s">
        <v>84</v>
      </c>
      <c r="Q16" s="4" t="s">
        <v>84</v>
      </c>
      <c r="R16" s="4" t="s">
        <v>84</v>
      </c>
      <c r="S16" s="4" t="s">
        <v>84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84</v>
      </c>
      <c r="W17" s="4" t="s">
        <v>84</v>
      </c>
      <c r="X17" s="4" t="s">
        <v>84</v>
      </c>
      <c r="Y17" s="4" t="s">
        <v>84</v>
      </c>
      <c r="Z17" s="4" t="s">
        <v>84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84</v>
      </c>
      <c r="I18" s="4" t="s">
        <v>84</v>
      </c>
      <c r="J18" s="4" t="s">
        <v>84</v>
      </c>
      <c r="K18" s="4" t="s">
        <v>84</v>
      </c>
      <c r="L18" s="4" t="s">
        <v>84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84</v>
      </c>
      <c r="AD18" s="4" t="s">
        <v>84</v>
      </c>
      <c r="AE18" s="4" t="s">
        <v>84</v>
      </c>
      <c r="AF18" s="4" t="s">
        <v>84</v>
      </c>
      <c r="AG18" s="4" t="s">
        <v>84</v>
      </c>
      <c r="AH18"/>
    </row>
    <row r="19" spans="1:34" x14ac:dyDescent="0.35">
      <c r="AH19"/>
    </row>
    <row r="20" spans="1:34" x14ac:dyDescent="0.3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104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84</v>
      </c>
      <c r="F16" s="4" t="s">
        <v>84</v>
      </c>
      <c r="G16" s="4" t="s">
        <v>84</v>
      </c>
      <c r="H16" s="4" t="s">
        <v>84</v>
      </c>
      <c r="I16" s="4" t="s">
        <v>84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84</v>
      </c>
      <c r="AA16" s="4" t="s">
        <v>84</v>
      </c>
      <c r="AB16" s="4" t="s">
        <v>84</v>
      </c>
      <c r="AC16" s="4" t="s">
        <v>84</v>
      </c>
      <c r="AD16" s="4" t="s">
        <v>84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84</v>
      </c>
      <c r="M17" s="4" t="s">
        <v>84</v>
      </c>
      <c r="N17" s="4" t="s">
        <v>84</v>
      </c>
      <c r="O17" s="4" t="s">
        <v>84</v>
      </c>
      <c r="P17" s="4" t="s">
        <v>84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84</v>
      </c>
      <c r="AH17"/>
    </row>
    <row r="18" spans="1:34" x14ac:dyDescent="0.35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84</v>
      </c>
      <c r="T18" s="4" t="s">
        <v>84</v>
      </c>
      <c r="U18" s="4" t="s">
        <v>84</v>
      </c>
      <c r="V18" s="4" t="s">
        <v>84</v>
      </c>
      <c r="W18" s="4" t="s">
        <v>84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88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89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9.54296875" style="91" customWidth="1"/>
  </cols>
  <sheetData>
    <row r="1" spans="1:33" ht="24" customHeight="1" x14ac:dyDescent="0.35">
      <c r="A1" s="6"/>
      <c r="B1" s="148"/>
      <c r="C1" s="163" t="s">
        <v>105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/>
    </row>
    <row r="2" spans="1:33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84</v>
      </c>
      <c r="Q16" s="4" t="s">
        <v>84</v>
      </c>
      <c r="R16" s="4" t="s">
        <v>84</v>
      </c>
      <c r="S16" s="4" t="s">
        <v>84</v>
      </c>
      <c r="T16" s="4" t="s">
        <v>84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84</v>
      </c>
      <c r="D17" s="4" t="s">
        <v>84</v>
      </c>
      <c r="E17" s="4" t="s">
        <v>84</v>
      </c>
      <c r="F17" s="4" t="s">
        <v>84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84</v>
      </c>
      <c r="X17" s="4" t="s">
        <v>84</v>
      </c>
      <c r="Y17" s="4" t="s">
        <v>84</v>
      </c>
      <c r="Z17" s="4" t="s">
        <v>84</v>
      </c>
      <c r="AA17" s="4" t="s">
        <v>84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84</v>
      </c>
      <c r="J18" s="4" t="s">
        <v>84</v>
      </c>
      <c r="K18" s="4" t="s">
        <v>84</v>
      </c>
      <c r="L18" s="4" t="s">
        <v>84</v>
      </c>
      <c r="M18" s="4" t="s">
        <v>84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84</v>
      </c>
      <c r="AE18" s="4" t="s">
        <v>84</v>
      </c>
      <c r="AF18" s="4" t="s">
        <v>84</v>
      </c>
      <c r="AG18"/>
    </row>
    <row r="19" spans="1:33" x14ac:dyDescent="0.35">
      <c r="AG19"/>
    </row>
    <row r="20" spans="1:33" x14ac:dyDescent="0.35">
      <c r="B20" s="111" t="s">
        <v>88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89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106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84</v>
      </c>
      <c r="H16" s="4" t="s">
        <v>84</v>
      </c>
      <c r="I16" s="4" t="s">
        <v>84</v>
      </c>
      <c r="J16" s="4" t="s">
        <v>84</v>
      </c>
      <c r="K16" s="4" t="s">
        <v>84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84</v>
      </c>
      <c r="AC16" s="4" t="s">
        <v>84</v>
      </c>
      <c r="AD16" s="4" t="s">
        <v>84</v>
      </c>
      <c r="AE16" s="4" t="s">
        <v>84</v>
      </c>
      <c r="AF16" s="4" t="s">
        <v>84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84</v>
      </c>
      <c r="O17" s="4" t="s">
        <v>84</v>
      </c>
      <c r="P17" s="4" t="s">
        <v>84</v>
      </c>
      <c r="Q17" s="4" t="s">
        <v>84</v>
      </c>
      <c r="R17" s="4" t="s">
        <v>84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84</v>
      </c>
      <c r="D18" s="4" t="s">
        <v>84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84</v>
      </c>
      <c r="V18" s="4" t="s">
        <v>84</v>
      </c>
      <c r="W18" s="4" t="s">
        <v>84</v>
      </c>
      <c r="X18" s="4" t="s">
        <v>84</v>
      </c>
      <c r="Y18" s="4" t="s">
        <v>84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48"/>
      <c r="C1" s="163" t="s">
        <v>107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 x14ac:dyDescent="0.35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84</v>
      </c>
      <c r="S16" s="4" t="s">
        <v>84</v>
      </c>
      <c r="T16" s="4" t="s">
        <v>84</v>
      </c>
      <c r="U16" s="4" t="s">
        <v>84</v>
      </c>
      <c r="V16" s="4" t="s">
        <v>84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84</v>
      </c>
      <c r="E17" s="4" t="s">
        <v>84</v>
      </c>
      <c r="F17" s="4" t="s">
        <v>84</v>
      </c>
      <c r="G17" s="4" t="s">
        <v>84</v>
      </c>
      <c r="H17" s="4" t="s">
        <v>84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84</v>
      </c>
      <c r="Z17" s="4" t="s">
        <v>84</v>
      </c>
      <c r="AA17" s="4" t="s">
        <v>84</v>
      </c>
      <c r="AB17" s="4" t="s">
        <v>84</v>
      </c>
      <c r="AC17" s="4" t="s">
        <v>84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84</v>
      </c>
      <c r="L18" s="4" t="s">
        <v>84</v>
      </c>
      <c r="M18" s="4" t="s">
        <v>84</v>
      </c>
      <c r="N18" s="4" t="s">
        <v>84</v>
      </c>
      <c r="O18" s="4" t="s">
        <v>84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84</v>
      </c>
      <c r="AG18"/>
    </row>
    <row r="20" spans="1:33" x14ac:dyDescent="0.35">
      <c r="B20" s="111" t="s">
        <v>88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89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90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48"/>
      <c r="C1" s="163" t="s">
        <v>108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 x14ac:dyDescent="0.35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 x14ac:dyDescent="0.35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 x14ac:dyDescent="0.35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 x14ac:dyDescent="0.35">
      <c r="A13" s="34" t="s">
        <v>12</v>
      </c>
      <c r="B13" s="33" t="s">
        <v>83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 x14ac:dyDescent="0.35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84</v>
      </c>
      <c r="J16" s="4" t="s">
        <v>84</v>
      </c>
      <c r="K16" s="4" t="s">
        <v>84</v>
      </c>
      <c r="L16" s="4" t="s">
        <v>84</v>
      </c>
      <c r="M16" s="4" t="s">
        <v>84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84</v>
      </c>
      <c r="AE16" s="4" t="s">
        <v>84</v>
      </c>
      <c r="AF16" s="4" t="s">
        <v>84</v>
      </c>
      <c r="AG16" s="4" t="s">
        <v>84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84</v>
      </c>
      <c r="Q17" s="4" t="s">
        <v>84</v>
      </c>
      <c r="R17" s="4" t="s">
        <v>84</v>
      </c>
      <c r="S17" s="4" t="s">
        <v>84</v>
      </c>
      <c r="T17" s="4" t="s">
        <v>84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84</v>
      </c>
      <c r="D18" s="4" t="s">
        <v>84</v>
      </c>
      <c r="E18" s="4" t="s">
        <v>84</v>
      </c>
      <c r="F18" s="4" t="s">
        <v>84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84</v>
      </c>
      <c r="X18" s="4" t="s">
        <v>84</v>
      </c>
      <c r="Y18" s="4" t="s">
        <v>84</v>
      </c>
      <c r="Z18" s="4" t="s">
        <v>84</v>
      </c>
      <c r="AA18" s="4" t="s">
        <v>84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88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89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90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91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92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726562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7265625" customWidth="1"/>
    <col min="63" max="63" width="5" customWidth="1"/>
    <col min="64" max="64" width="4.1796875" customWidth="1"/>
  </cols>
  <sheetData>
    <row r="2" spans="4:64" x14ac:dyDescent="0.35">
      <c r="G2" s="101" t="s">
        <v>109</v>
      </c>
      <c r="I2" s="102">
        <f>1800*10</f>
        <v>18000</v>
      </c>
    </row>
    <row r="3" spans="4:64" x14ac:dyDescent="0.35">
      <c r="G3" s="101" t="s">
        <v>110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111</v>
      </c>
      <c r="H9" s="99" t="s">
        <v>112</v>
      </c>
      <c r="I9" s="99" t="s">
        <v>113</v>
      </c>
      <c r="J9" s="99" t="s">
        <v>114</v>
      </c>
      <c r="K9" s="99" t="s">
        <v>115</v>
      </c>
      <c r="L9" s="99" t="s">
        <v>116</v>
      </c>
      <c r="M9" s="99" t="s">
        <v>117</v>
      </c>
      <c r="N9" s="99" t="s">
        <v>118</v>
      </c>
      <c r="O9" s="99" t="s">
        <v>119</v>
      </c>
      <c r="P9" s="99" t="s">
        <v>120</v>
      </c>
      <c r="Q9" s="99" t="s">
        <v>121</v>
      </c>
      <c r="R9" s="99" t="s">
        <v>122</v>
      </c>
      <c r="S9" s="99" t="s">
        <v>123</v>
      </c>
      <c r="T9" s="99" t="s">
        <v>124</v>
      </c>
      <c r="U9" s="99" t="s">
        <v>125</v>
      </c>
      <c r="V9" s="99" t="s">
        <v>126</v>
      </c>
      <c r="W9" s="99" t="s">
        <v>127</v>
      </c>
      <c r="X9" s="99" t="s">
        <v>128</v>
      </c>
      <c r="Y9" s="99" t="s">
        <v>129</v>
      </c>
      <c r="Z9" s="99" t="s">
        <v>130</v>
      </c>
      <c r="AA9" s="99" t="s">
        <v>131</v>
      </c>
      <c r="AB9" s="99" t="s">
        <v>132</v>
      </c>
      <c r="AC9" s="99" t="s">
        <v>133</v>
      </c>
      <c r="AD9" s="99" t="s">
        <v>134</v>
      </c>
      <c r="AE9" s="99" t="s">
        <v>135</v>
      </c>
      <c r="AF9" s="99" t="s">
        <v>136</v>
      </c>
      <c r="AG9" s="99" t="s">
        <v>137</v>
      </c>
      <c r="AH9" s="99" t="s">
        <v>138</v>
      </c>
      <c r="AI9" s="99" t="s">
        <v>139</v>
      </c>
      <c r="AJ9" s="99" t="s">
        <v>140</v>
      </c>
      <c r="AK9" s="99" t="s">
        <v>141</v>
      </c>
      <c r="AL9" s="99" t="s">
        <v>142</v>
      </c>
      <c r="AM9" s="99" t="s">
        <v>143</v>
      </c>
      <c r="AN9" s="99" t="s">
        <v>144</v>
      </c>
      <c r="AO9" s="99" t="s">
        <v>145</v>
      </c>
      <c r="AP9" s="99" t="s">
        <v>146</v>
      </c>
      <c r="AQ9" s="99" t="s">
        <v>147</v>
      </c>
      <c r="AR9" s="99" t="s">
        <v>148</v>
      </c>
      <c r="AS9" s="99" t="s">
        <v>149</v>
      </c>
      <c r="AT9" s="99" t="s">
        <v>150</v>
      </c>
      <c r="AU9" s="99" t="s">
        <v>151</v>
      </c>
      <c r="AV9" s="99" t="s">
        <v>152</v>
      </c>
      <c r="AW9" s="99" t="s">
        <v>153</v>
      </c>
      <c r="AX9" s="99" t="s">
        <v>154</v>
      </c>
      <c r="AY9" s="99" t="s">
        <v>155</v>
      </c>
      <c r="AZ9" s="99" t="s">
        <v>156</v>
      </c>
      <c r="BA9" s="99" t="s">
        <v>157</v>
      </c>
      <c r="BB9" s="99" t="s">
        <v>158</v>
      </c>
      <c r="BC9" s="99" t="s">
        <v>159</v>
      </c>
      <c r="BD9" s="99" t="s">
        <v>160</v>
      </c>
      <c r="BE9" s="99" t="s">
        <v>161</v>
      </c>
      <c r="BF9" s="99" t="s">
        <v>162</v>
      </c>
      <c r="BG9" s="99" t="s">
        <v>163</v>
      </c>
      <c r="BH9" s="99" t="s">
        <v>164</v>
      </c>
      <c r="BI9" s="99" t="s">
        <v>165</v>
      </c>
      <c r="BJ9" s="99" t="s">
        <v>166</v>
      </c>
      <c r="BK9" s="106" t="s">
        <v>167</v>
      </c>
      <c r="BL9" s="106" t="s">
        <v>168</v>
      </c>
    </row>
    <row r="10" spans="4:64" x14ac:dyDescent="0.35">
      <c r="D10" s="102"/>
      <c r="E10" s="102"/>
      <c r="F10" s="95"/>
      <c r="G10" s="97" t="s">
        <v>169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170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171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172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173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174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175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176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177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178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179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180</v>
      </c>
      <c r="H23">
        <f>AVERAGE(H10:H20)</f>
        <v>849.6</v>
      </c>
    </row>
    <row r="27" spans="7:64" x14ac:dyDescent="0.35">
      <c r="G27" s="99" t="s">
        <v>111</v>
      </c>
      <c r="H27" s="99" t="s">
        <v>112</v>
      </c>
      <c r="I27" s="99" t="s">
        <v>113</v>
      </c>
      <c r="J27" s="99" t="s">
        <v>114</v>
      </c>
      <c r="K27" s="99" t="s">
        <v>115</v>
      </c>
      <c r="L27" s="99" t="s">
        <v>116</v>
      </c>
      <c r="M27" s="99" t="s">
        <v>117</v>
      </c>
      <c r="N27" s="99" t="s">
        <v>118</v>
      </c>
      <c r="O27" s="99" t="s">
        <v>119</v>
      </c>
      <c r="P27" s="99" t="s">
        <v>120</v>
      </c>
      <c r="Q27" s="99" t="s">
        <v>121</v>
      </c>
      <c r="R27" s="99" t="s">
        <v>122</v>
      </c>
      <c r="S27" s="99" t="s">
        <v>123</v>
      </c>
      <c r="T27" s="99" t="s">
        <v>124</v>
      </c>
      <c r="U27" s="99" t="s">
        <v>125</v>
      </c>
      <c r="V27" s="99" t="s">
        <v>126</v>
      </c>
      <c r="W27" s="99" t="s">
        <v>127</v>
      </c>
      <c r="X27" s="99" t="s">
        <v>128</v>
      </c>
      <c r="Y27" s="99" t="s">
        <v>129</v>
      </c>
      <c r="Z27" s="99" t="s">
        <v>130</v>
      </c>
      <c r="AA27" s="99" t="s">
        <v>131</v>
      </c>
      <c r="AB27" s="99" t="s">
        <v>132</v>
      </c>
      <c r="AC27" s="99" t="s">
        <v>133</v>
      </c>
      <c r="AD27" s="99" t="s">
        <v>134</v>
      </c>
      <c r="AE27" s="99" t="s">
        <v>135</v>
      </c>
      <c r="AF27" s="99" t="s">
        <v>136</v>
      </c>
      <c r="AG27" s="99" t="s">
        <v>137</v>
      </c>
      <c r="AH27" s="99" t="s">
        <v>138</v>
      </c>
      <c r="AI27" s="99" t="s">
        <v>139</v>
      </c>
      <c r="AJ27" s="99" t="s">
        <v>140</v>
      </c>
      <c r="AK27" s="99" t="s">
        <v>141</v>
      </c>
      <c r="AL27" s="99" t="s">
        <v>142</v>
      </c>
      <c r="AM27" s="99" t="s">
        <v>143</v>
      </c>
      <c r="AN27" s="99" t="s">
        <v>144</v>
      </c>
      <c r="AO27" s="99" t="s">
        <v>145</v>
      </c>
      <c r="AP27" s="99" t="s">
        <v>146</v>
      </c>
      <c r="AQ27" s="99" t="s">
        <v>147</v>
      </c>
      <c r="AR27" s="99" t="s">
        <v>148</v>
      </c>
      <c r="AS27" s="99" t="s">
        <v>149</v>
      </c>
      <c r="AT27" s="99" t="s">
        <v>150</v>
      </c>
      <c r="AU27" s="99" t="s">
        <v>151</v>
      </c>
      <c r="AV27" s="99" t="s">
        <v>152</v>
      </c>
      <c r="AW27" s="99" t="s">
        <v>153</v>
      </c>
      <c r="AX27" s="99" t="s">
        <v>154</v>
      </c>
      <c r="AY27" s="99" t="s">
        <v>155</v>
      </c>
      <c r="AZ27" s="99" t="s">
        <v>156</v>
      </c>
      <c r="BA27" s="99" t="s">
        <v>157</v>
      </c>
      <c r="BB27" s="99" t="s">
        <v>158</v>
      </c>
      <c r="BC27" s="99" t="s">
        <v>159</v>
      </c>
      <c r="BD27" s="99" t="s">
        <v>160</v>
      </c>
      <c r="BE27" s="99" t="s">
        <v>161</v>
      </c>
      <c r="BF27" s="99" t="s">
        <v>162</v>
      </c>
      <c r="BG27" s="99" t="s">
        <v>163</v>
      </c>
      <c r="BH27" s="99" t="s">
        <v>164</v>
      </c>
      <c r="BI27" s="99" t="s">
        <v>165</v>
      </c>
      <c r="BJ27" s="99" t="s">
        <v>166</v>
      </c>
      <c r="BK27" s="106" t="s">
        <v>167</v>
      </c>
      <c r="BL27" s="106" t="s">
        <v>168</v>
      </c>
    </row>
    <row r="28" spans="7:64" x14ac:dyDescent="0.35">
      <c r="G28" s="97" t="s">
        <v>169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170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171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172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173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174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175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176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177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178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179</v>
      </c>
      <c r="H40">
        <f>SUM(H28:H38)</f>
        <v>17424</v>
      </c>
    </row>
    <row r="41" spans="7:64" x14ac:dyDescent="0.35">
      <c r="G41" s="101" t="s">
        <v>180</v>
      </c>
      <c r="H41">
        <f>AVERAGE(H28:H38)</f>
        <v>1742.4</v>
      </c>
      <c r="K41" s="104" t="s">
        <v>181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3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Hinojosa Alonso Victor</cp:lastModifiedBy>
  <cp:revision/>
  <dcterms:created xsi:type="dcterms:W3CDTF">2025-06-10T09:39:58Z</dcterms:created>
  <dcterms:modified xsi:type="dcterms:W3CDTF">2026-01-19T15:16:17Z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