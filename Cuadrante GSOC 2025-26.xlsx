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992" documentId="8_{BF395F17-8A36-4A5B-A61D-48748E8233D4}" xr6:coauthVersionLast="47" xr6:coauthVersionMax="47" xr10:uidLastSave="{97DF01D7-02C4-4101-82D7-9577881F6517}"/>
  <bookViews>
    <workbookView xWindow="-110" yWindow="-110" windowWidth="19200" windowHeight="9020" firstSheet="8" activeTab="9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<sst xmlns="http://schemas.openxmlformats.org/spreadsheetml/2006/main" count="10176" uniqueCount="189">
  <si>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</si>
  <si>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</si>
  <si>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</si>
  <si>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</si>
  <si>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</si>
  <si>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</si>
  <si>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</si>
  <si>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</si>
  <si>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</si>
  <si>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</si>
  <si>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</si>
  <si>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</si>
  <si>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</si>
  <si>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</si>
  <si>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</si>
  <si>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</si>
  <si>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</si>
  <si>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</si>
  <si>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</si>
  <si>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</si>
  <si>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</si>
  <si>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</si>
  <si>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</si>
  <si>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</si>
  <si>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</si>
  <si>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</si>
  <si>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</si>
  <si>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</si>
  <si>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</si>
  <si>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</si>
  <si>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</si>
  <si>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</si>
  <si>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</si>
  <si>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</si>
  <si>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</si>
  <si>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</si>
  <si>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</si>
  <si>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</si>
  <si>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</si>
  <si>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</si>
  <si>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</si>
  <si>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</si>
  <si>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</si>
  <si>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</si>
  <si>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</si>
  <si>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</si>
  <si>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</si>
  <si>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</si>
  <si>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</si>
  <si>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</si>
  <si>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</si>
  <si>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</si>
  <si>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</si>
  <si>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</si>
  <si>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</si>
  <si>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</si>
  <si>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</si>
  <si>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</si>
  <si>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</si>
  <si>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</si>
  <si>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</si>
  <si>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</si>
  <si>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</si>
  <si>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</si>
  <si>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</si>
  <si>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</si>
  <si>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</si>
  <si>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</si>
  <si>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</si>
  <si>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</si>
  <si>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</si>
  <si>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</si>
  <si>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</si>
  <si>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</si>
  <si>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</si>
  <si>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</si>
  <si>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</si>
  <si>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</si>
  <si>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</si>
  <si>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</si>
  <si>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</si>
  <si>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</si>
  <si>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</si>
  <si>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</si>
  <si>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</si>
  <si>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</si>
  <si>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</si>
  <si>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</si>
  <si>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</si>
  <si>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</si>
  <si>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</si>
  <si>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</si>
  <si>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</si>
  <si>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</si>
  <si>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</si>
  <si>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</si>
  <si>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</si>
  <si>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</si>
  <si>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</si>
  <si>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Erik</t>
  </si>
  <si>
    <t xml:space="preserve">Jared Orta/Cesar  </t>
  </si>
  <si>
    <t>V/G</t>
  </si>
  <si>
    <t>?</t>
  </si>
  <si>
    <t>Marzo</t>
  </si>
  <si>
    <t>Erik/Jorge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</si>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</sst>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72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55"/>
      <c r="E2" s="152" t="s">
        <v>0</v>
      </c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4"/>
    </row>
    <row r="3" spans="1:36" ht="18" customHeight="1" x14ac:dyDescent="0.35">
      <c r="B3" s="32"/>
      <c r="D3" s="155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55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56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57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57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57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57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57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57"/>
      <c r="C11" s="34"/>
      <c r="D11" s="36"/>
      <c r="E11" s="162"/>
      <c r="F11" s="163"/>
      <c r="G11" s="163"/>
      <c r="H11" s="163"/>
      <c r="I11" s="163"/>
      <c r="J11" s="163"/>
      <c r="K11" s="163"/>
      <c r="L11" s="163"/>
      <c r="M11" s="163"/>
      <c r="N11" s="163"/>
      <c r="O11" s="163"/>
      <c r="P11" s="163"/>
      <c r="Q11" s="16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  <c r="AD11" s="163"/>
      <c r="AE11" s="163"/>
      <c r="AF11" s="163"/>
      <c r="AG11" s="163"/>
      <c r="AH11" s="163"/>
      <c r="AI11" s="164"/>
      <c r="AJ11" s="91"/>
    </row>
    <row r="12" spans="1:36" ht="18" customHeight="1" x14ac:dyDescent="0.35">
      <c r="A12" s="157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57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57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57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57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57"/>
      <c r="C17" s="34"/>
      <c r="D17" s="33"/>
      <c r="E17" s="162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  <c r="Q17" s="16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  <c r="AD17" s="163"/>
      <c r="AE17" s="163"/>
      <c r="AF17" s="163"/>
      <c r="AG17" s="163"/>
      <c r="AH17" s="163"/>
      <c r="AI17" s="164"/>
    </row>
    <row r="18" spans="1:36" ht="18" customHeight="1" x14ac:dyDescent="0.35">
      <c r="A18" s="157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57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57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57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57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57"/>
      <c r="C23" s="34"/>
      <c r="D23" s="35"/>
      <c r="E23" s="159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  <c r="AD23" s="160"/>
      <c r="AE23" s="160"/>
      <c r="AF23" s="160"/>
      <c r="AG23" s="160"/>
      <c r="AH23" s="160"/>
      <c r="AI23" s="161"/>
    </row>
    <row r="24" spans="1:36" ht="18" customHeight="1" x14ac:dyDescent="0.35">
      <c r="A24" s="158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49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50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50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50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50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51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55"/>
      <c r="E2" s="152" t="s">
        <v>49</v>
      </c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4"/>
    </row>
    <row r="3" spans="1:36" x14ac:dyDescent="0.35">
      <c r="A3" s="6"/>
      <c r="B3" s="32"/>
      <c r="C3" s="6"/>
      <c r="D3" s="155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55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57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57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57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57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57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57"/>
      <c r="B10" s="6"/>
      <c r="C10" s="34"/>
      <c r="D10" s="36"/>
      <c r="E10" s="162"/>
      <c r="F10" s="163"/>
      <c r="G10" s="163"/>
      <c r="H10" s="163"/>
      <c r="I10" s="163"/>
      <c r="J10" s="163"/>
      <c r="K10" s="163"/>
      <c r="L10" s="163"/>
      <c r="M10" s="163"/>
      <c r="N10" s="163"/>
      <c r="O10" s="163"/>
      <c r="P10" s="163"/>
      <c r="Q10" s="16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  <c r="AD10" s="163"/>
      <c r="AE10" s="163"/>
      <c r="AF10" s="163"/>
      <c r="AG10" s="163"/>
      <c r="AH10" s="163"/>
      <c r="AI10" s="164"/>
    </row>
    <row r="11" spans="1:36" x14ac:dyDescent="0.35">
      <c r="A11" s="157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57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57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57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57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57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57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57"/>
      <c r="B18" s="6"/>
      <c r="C18" s="34"/>
      <c r="D18" s="33"/>
      <c r="E18" s="162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  <c r="AG18" s="163"/>
      <c r="AH18" s="163"/>
      <c r="AI18" s="164"/>
    </row>
    <row r="19" spans="1:35" x14ac:dyDescent="0.35">
      <c r="A19" s="157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57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57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57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57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57"/>
      <c r="B24" s="6"/>
      <c r="C24" s="34"/>
      <c r="E24" s="159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  <c r="U24" s="160"/>
      <c r="V24" s="160"/>
      <c r="W24" s="160"/>
      <c r="X24" s="160"/>
      <c r="Y24" s="160"/>
      <c r="Z24" s="160"/>
      <c r="AA24" s="160"/>
      <c r="AB24" s="160"/>
      <c r="AC24" s="160"/>
      <c r="AD24" s="160"/>
      <c r="AE24" s="160"/>
      <c r="AF24" s="160"/>
      <c r="AG24" s="160"/>
      <c r="AH24" s="160"/>
      <c r="AI24" s="161"/>
    </row>
    <row r="25" spans="1:35" ht="15" thickBot="1" x14ac:dyDescent="0.4">
      <c r="A25" s="158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49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50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50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50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50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51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55"/>
      <c r="C1" s="152" t="s">
        <v>57</v>
      </c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</row>
    <row r="2" spans="1:33" x14ac:dyDescent="0.35">
      <c r="A2" s="6"/>
      <c r="B2" s="155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  <c r="AD9" s="163"/>
      <c r="AE9" s="163"/>
      <c r="AF9" s="163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  <c r="AD15" s="163"/>
      <c r="AE15" s="163"/>
      <c r="AF15" s="163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63"/>
      <c r="D19" s="163"/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  <c r="AD19" s="163"/>
      <c r="AE19" s="163"/>
      <c r="AF19" s="163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63"/>
      <c r="D21" s="163"/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55"/>
      <c r="C1" s="165" t="s">
        <v>78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7"/>
    </row>
    <row r="2" spans="1:34" x14ac:dyDescent="0.35">
      <c r="A2" s="6"/>
      <c r="B2" s="155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  <c r="AD15" s="163"/>
      <c r="AE15" s="163"/>
      <c r="AF15" s="163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55"/>
      <c r="C1" s="168" t="s">
        <v>81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</row>
    <row r="2" spans="1:34" x14ac:dyDescent="0.35">
      <c r="A2" s="6"/>
      <c r="B2" s="155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55"/>
      <c r="C1" s="168" t="s">
        <v>95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8"/>
    </row>
    <row r="2" spans="1:37" x14ac:dyDescent="0.35">
      <c r="A2" s="6"/>
      <c r="B2" s="155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55"/>
      <c r="C1" s="168" t="s">
        <v>97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8"/>
    </row>
    <row r="2" spans="1:34" x14ac:dyDescent="0.35">
      <c r="A2" s="6"/>
      <c r="B2" s="155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K6" sqref="K6:O6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5"/>
      <c r="C1" s="169" t="s">
        <v>98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</row>
    <row r="2" spans="1:34" x14ac:dyDescent="0.35">
      <c r="A2" s="6"/>
      <c r="B2" s="155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99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100</v>
      </c>
      <c r="C12" s="131" t="s">
        <v>17</v>
      </c>
      <c r="D12" s="125" t="s">
        <v>7</v>
      </c>
      <c r="E12" s="125" t="s">
        <v>7</v>
      </c>
      <c r="F12" s="125" t="s">
        <v>7</v>
      </c>
      <c r="G12" s="109" t="s">
        <v>4</v>
      </c>
      <c r="H12" s="125" t="s">
        <v>7</v>
      </c>
      <c r="I12" s="125" t="s">
        <v>7</v>
      </c>
      <c r="J12" s="125" t="s">
        <v>7</v>
      </c>
      <c r="K12" s="126" t="s">
        <v>20</v>
      </c>
      <c r="L12" s="142" t="s">
        <v>16</v>
      </c>
      <c r="M12" s="126" t="s">
        <v>20</v>
      </c>
      <c r="N12" s="126" t="s">
        <v>20</v>
      </c>
      <c r="O12" s="126" t="s">
        <v>20</v>
      </c>
      <c r="P12" s="125" t="s">
        <v>7</v>
      </c>
      <c r="Q12" s="125" t="s">
        <v>7</v>
      </c>
      <c r="R12" s="144" t="s">
        <v>20</v>
      </c>
      <c r="S12" s="144" t="s">
        <v>20</v>
      </c>
      <c r="T12" s="144" t="s">
        <v>20</v>
      </c>
      <c r="U12" s="144" t="s">
        <v>20</v>
      </c>
      <c r="V12" s="144" t="s">
        <v>20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09" t="s">
        <v>4</v>
      </c>
      <c r="AC12" s="125" t="s">
        <v>7</v>
      </c>
      <c r="AD12" s="125" t="s">
        <v>7</v>
      </c>
      <c r="AH12"/>
    </row>
    <row r="13" spans="1:34" x14ac:dyDescent="0.35">
      <c r="A13" s="34" t="s">
        <v>12</v>
      </c>
      <c r="B13" s="33" t="s">
        <v>52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09" t="s">
        <v>4</v>
      </c>
      <c r="O13" s="125" t="s">
        <v>7</v>
      </c>
      <c r="P13" s="125" t="s">
        <v>7</v>
      </c>
      <c r="Q13" s="125" t="s">
        <v>7</v>
      </c>
      <c r="R13" s="143" t="s">
        <v>16</v>
      </c>
      <c r="S13" s="143" t="s">
        <v>16</v>
      </c>
      <c r="T13" s="143" t="s">
        <v>16</v>
      </c>
      <c r="U13" s="143" t="s">
        <v>16</v>
      </c>
      <c r="V13" s="143" t="s">
        <v>16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H13"/>
    </row>
    <row r="14" spans="1:34" x14ac:dyDescent="0.35">
      <c r="A14" s="34" t="s">
        <v>12</v>
      </c>
      <c r="B14" s="33" t="s">
        <v>24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09" t="s">
        <v>4</v>
      </c>
      <c r="I14" s="125" t="s">
        <v>7</v>
      </c>
      <c r="J14" s="125" t="s">
        <v>7</v>
      </c>
      <c r="K14" s="131" t="s">
        <v>16</v>
      </c>
      <c r="L14" s="143" t="s">
        <v>20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09" t="s">
        <v>4</v>
      </c>
      <c r="V14" s="125" t="s">
        <v>7</v>
      </c>
      <c r="W14" s="125" t="s">
        <v>7</v>
      </c>
      <c r="X14" s="125" t="s">
        <v>7</v>
      </c>
      <c r="Y14" s="126" t="s">
        <v>20</v>
      </c>
      <c r="Z14" s="126" t="s">
        <v>20</v>
      </c>
      <c r="AA14" s="126" t="s">
        <v>20</v>
      </c>
      <c r="AB14" s="126" t="s">
        <v>20</v>
      </c>
      <c r="AC14" s="126" t="s">
        <v>20</v>
      </c>
      <c r="AD14" s="125" t="s">
        <v>7</v>
      </c>
      <c r="AH14"/>
    </row>
    <row r="15" spans="1:34" x14ac:dyDescent="0.35">
      <c r="A15" s="34" t="s">
        <v>12</v>
      </c>
      <c r="B15" s="33" t="s">
        <v>84</v>
      </c>
      <c r="C15" s="125" t="s">
        <v>7</v>
      </c>
      <c r="D15" s="131" t="s">
        <v>16</v>
      </c>
      <c r="E15" s="131" t="s">
        <v>16</v>
      </c>
      <c r="F15" s="131" t="s">
        <v>16</v>
      </c>
      <c r="G15" s="131" t="s">
        <v>16</v>
      </c>
      <c r="H15" s="131" t="s">
        <v>16</v>
      </c>
      <c r="I15" s="131" t="s">
        <v>17</v>
      </c>
      <c r="J15" s="131" t="s">
        <v>17</v>
      </c>
      <c r="K15" s="125" t="s">
        <v>7</v>
      </c>
      <c r="L15" s="125" t="s">
        <v>7</v>
      </c>
      <c r="M15" s="125" t="s">
        <v>7</v>
      </c>
      <c r="N15" s="125" t="s">
        <v>7</v>
      </c>
      <c r="O15" s="109" t="s">
        <v>4</v>
      </c>
      <c r="P15" s="125" t="s">
        <v>7</v>
      </c>
      <c r="Q15" s="125" t="s">
        <v>7</v>
      </c>
      <c r="R15" s="131" t="s">
        <v>16</v>
      </c>
      <c r="S15" s="131" t="s">
        <v>16</v>
      </c>
      <c r="T15" s="131" t="s">
        <v>16</v>
      </c>
      <c r="U15" s="131" t="s">
        <v>16</v>
      </c>
      <c r="V15" s="131" t="s">
        <v>16</v>
      </c>
      <c r="W15" s="131" t="s">
        <v>17</v>
      </c>
      <c r="X15" s="131" t="s">
        <v>17</v>
      </c>
      <c r="Y15" s="125" t="s">
        <v>7</v>
      </c>
      <c r="Z15" s="125" t="s">
        <v>7</v>
      </c>
      <c r="AA15" s="125" t="s">
        <v>7</v>
      </c>
      <c r="AB15" s="125" t="s">
        <v>7</v>
      </c>
      <c r="AC15" s="109" t="s">
        <v>4</v>
      </c>
      <c r="AD15" s="125" t="s">
        <v>7</v>
      </c>
      <c r="AH15"/>
    </row>
    <row r="16" spans="1:34" x14ac:dyDescent="0.35">
      <c r="A16" s="34" t="s">
        <v>12</v>
      </c>
      <c r="B16" s="33" t="s">
        <v>53</v>
      </c>
      <c r="C16" s="125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25" t="s">
        <v>7</v>
      </c>
      <c r="J16" s="125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1" t="s">
        <v>17</v>
      </c>
      <c r="Q16" s="131" t="s">
        <v>17</v>
      </c>
      <c r="R16" s="125" t="s">
        <v>7</v>
      </c>
      <c r="S16" s="125" t="s">
        <v>7</v>
      </c>
      <c r="T16" s="125" t="s">
        <v>7</v>
      </c>
      <c r="U16" s="125" t="s">
        <v>7</v>
      </c>
      <c r="V16" s="109" t="s">
        <v>4</v>
      </c>
      <c r="W16" s="125" t="s">
        <v>7</v>
      </c>
      <c r="X16" s="125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1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7" t="s">
        <v>7</v>
      </c>
      <c r="D18" s="126" t="s">
        <v>20</v>
      </c>
      <c r="E18" s="126" t="s">
        <v>20</v>
      </c>
      <c r="F18" s="126" t="s">
        <v>20</v>
      </c>
      <c r="G18" s="126" t="s">
        <v>20</v>
      </c>
      <c r="H18" s="126" t="s">
        <v>20</v>
      </c>
      <c r="I18" s="137" t="s">
        <v>7</v>
      </c>
      <c r="J18" s="137" t="s">
        <v>7</v>
      </c>
      <c r="K18" s="131" t="s">
        <v>16</v>
      </c>
      <c r="L18" s="131" t="s">
        <v>16</v>
      </c>
      <c r="M18" s="131" t="s">
        <v>16</v>
      </c>
      <c r="N18" s="131" t="s">
        <v>16</v>
      </c>
      <c r="O18" s="131" t="s">
        <v>16</v>
      </c>
      <c r="P18" s="137" t="s">
        <v>7</v>
      </c>
      <c r="Q18" s="137" t="s">
        <v>7</v>
      </c>
      <c r="R18" s="126" t="s">
        <v>20</v>
      </c>
      <c r="S18" s="126" t="s">
        <v>20</v>
      </c>
      <c r="T18" s="126" t="s">
        <v>20</v>
      </c>
      <c r="U18" s="126" t="s">
        <v>20</v>
      </c>
      <c r="V18" s="126" t="s">
        <v>20</v>
      </c>
      <c r="W18" s="137" t="s">
        <v>7</v>
      </c>
      <c r="X18" s="137" t="s">
        <v>7</v>
      </c>
      <c r="Y18" s="131" t="s">
        <v>16</v>
      </c>
      <c r="Z18" s="131" t="s">
        <v>16</v>
      </c>
      <c r="AA18" s="131" t="s">
        <v>16</v>
      </c>
      <c r="AB18" s="131" t="s">
        <v>16</v>
      </c>
      <c r="AC18" s="131" t="s">
        <v>16</v>
      </c>
      <c r="AD18" s="137" t="s">
        <v>7</v>
      </c>
      <c r="AH18"/>
    </row>
    <row r="19" spans="1:34" x14ac:dyDescent="0.35">
      <c r="A19" s="34"/>
      <c r="E19" s="123"/>
      <c r="F19" s="123"/>
      <c r="G19" s="123"/>
      <c r="H19" s="12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3"/>
      <c r="Z19" s="123"/>
      <c r="AA19" s="123"/>
      <c r="AB19" s="123"/>
      <c r="AC19" s="123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101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102</v>
      </c>
      <c r="C22" s="137" t="s">
        <v>7</v>
      </c>
      <c r="D22" s="137" t="s">
        <v>7</v>
      </c>
      <c r="E22" s="137" t="s">
        <v>7</v>
      </c>
      <c r="F22" s="137" t="s">
        <v>7</v>
      </c>
      <c r="G22" s="137" t="s">
        <v>7</v>
      </c>
      <c r="H22" s="137" t="s">
        <v>7</v>
      </c>
      <c r="I22" s="137" t="s">
        <v>7</v>
      </c>
      <c r="J22" s="137" t="s">
        <v>7</v>
      </c>
      <c r="K22" s="137" t="s">
        <v>7</v>
      </c>
      <c r="L22" s="137" t="s">
        <v>7</v>
      </c>
      <c r="M22" s="137" t="s">
        <v>7</v>
      </c>
      <c r="N22" s="137" t="s">
        <v>7</v>
      </c>
      <c r="O22" s="137" t="s">
        <v>7</v>
      </c>
      <c r="P22" s="137" t="s">
        <v>7</v>
      </c>
      <c r="Q22" s="137" t="s">
        <v>7</v>
      </c>
      <c r="R22" s="137" t="s">
        <v>7</v>
      </c>
      <c r="S22" s="137" t="s">
        <v>7</v>
      </c>
      <c r="T22" s="137" t="s">
        <v>7</v>
      </c>
      <c r="U22" s="137" t="s">
        <v>7</v>
      </c>
      <c r="V22" s="137" t="s">
        <v>7</v>
      </c>
      <c r="W22" s="137" t="s">
        <v>7</v>
      </c>
      <c r="X22" s="137" t="s">
        <v>7</v>
      </c>
      <c r="Y22" s="137" t="s">
        <v>7</v>
      </c>
      <c r="Z22" s="137" t="s">
        <v>7</v>
      </c>
      <c r="AA22" s="137" t="s">
        <v>7</v>
      </c>
      <c r="AB22" s="137" t="s">
        <v>7</v>
      </c>
      <c r="AC22" s="137" t="s">
        <v>7</v>
      </c>
      <c r="AD22" s="137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7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2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R7" sqref="R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5"/>
      <c r="C1" s="170" t="s">
        <v>103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55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104</v>
      </c>
      <c r="C4" s="28" t="s">
        <v>7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14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7" t="s">
        <v>20</v>
      </c>
      <c r="E6" s="7" t="s">
        <v>20</v>
      </c>
      <c r="F6" s="7" t="s">
        <v>20</v>
      </c>
      <c r="G6" s="7" t="s">
        <v>20</v>
      </c>
      <c r="H6" s="7" t="s">
        <v>20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100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 x14ac:dyDescent="0.35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 x14ac:dyDescent="0.35">
      <c r="A13" s="34" t="s">
        <v>12</v>
      </c>
      <c r="B13" s="33" t="s">
        <v>84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 x14ac:dyDescent="0.35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3" t="s">
        <v>29</v>
      </c>
      <c r="C17" s="145" t="s">
        <v>7</v>
      </c>
      <c r="D17" s="146" t="s">
        <v>85</v>
      </c>
      <c r="E17" s="146" t="s">
        <v>85</v>
      </c>
      <c r="F17" s="146" t="s">
        <v>85</v>
      </c>
      <c r="G17" s="146" t="s">
        <v>85</v>
      </c>
      <c r="H17" s="146" t="s">
        <v>85</v>
      </c>
      <c r="I17" s="147" t="s">
        <v>30</v>
      </c>
      <c r="J17" s="147" t="s">
        <v>30</v>
      </c>
      <c r="K17" s="121" t="s">
        <v>11</v>
      </c>
      <c r="L17" s="121" t="s">
        <v>11</v>
      </c>
      <c r="M17" s="121" t="s">
        <v>11</v>
      </c>
      <c r="N17" s="121" t="s">
        <v>11</v>
      </c>
      <c r="O17" s="121" t="s">
        <v>11</v>
      </c>
      <c r="P17" s="145" t="s">
        <v>7</v>
      </c>
      <c r="Q17" s="145" t="s">
        <v>7</v>
      </c>
      <c r="R17" s="146" t="s">
        <v>54</v>
      </c>
      <c r="S17" s="146" t="s">
        <v>54</v>
      </c>
      <c r="T17" s="146" t="s">
        <v>54</v>
      </c>
      <c r="U17" s="146" t="s">
        <v>54</v>
      </c>
      <c r="V17" s="146" t="s">
        <v>54</v>
      </c>
      <c r="W17" s="145" t="s">
        <v>7</v>
      </c>
      <c r="X17" s="145" t="s">
        <v>7</v>
      </c>
      <c r="Y17" s="146" t="s">
        <v>85</v>
      </c>
      <c r="Z17" s="146" t="s">
        <v>85</v>
      </c>
      <c r="AA17" s="146" t="s">
        <v>85</v>
      </c>
      <c r="AB17" s="146" t="s">
        <v>85</v>
      </c>
      <c r="AC17" s="146" t="s">
        <v>85</v>
      </c>
      <c r="AD17" s="27" t="s">
        <v>30</v>
      </c>
      <c r="AE17" s="27" t="s">
        <v>30</v>
      </c>
      <c r="AF17" s="121" t="s">
        <v>11</v>
      </c>
      <c r="AG17" s="121" t="s">
        <v>11</v>
      </c>
      <c r="AH17"/>
    </row>
    <row r="18" spans="1:34" x14ac:dyDescent="0.35">
      <c r="A18" s="34" t="s">
        <v>28</v>
      </c>
      <c r="B18" s="35" t="s">
        <v>60</v>
      </c>
      <c r="C18" s="145" t="s">
        <v>7</v>
      </c>
      <c r="D18" s="146" t="s">
        <v>54</v>
      </c>
      <c r="E18" s="146" t="s">
        <v>54</v>
      </c>
      <c r="F18" s="146" t="s">
        <v>54</v>
      </c>
      <c r="G18" s="146" t="s">
        <v>54</v>
      </c>
      <c r="H18" s="146" t="s">
        <v>54</v>
      </c>
      <c r="I18" s="145" t="s">
        <v>7</v>
      </c>
      <c r="J18" s="145" t="s">
        <v>7</v>
      </c>
      <c r="K18" s="146" t="s">
        <v>85</v>
      </c>
      <c r="L18" s="146" t="s">
        <v>85</v>
      </c>
      <c r="M18" s="146" t="s">
        <v>85</v>
      </c>
      <c r="N18" s="146" t="s">
        <v>85</v>
      </c>
      <c r="O18" s="146" t="s">
        <v>85</v>
      </c>
      <c r="P18" s="147" t="s">
        <v>30</v>
      </c>
      <c r="Q18" s="147" t="s">
        <v>30</v>
      </c>
      <c r="R18" s="121" t="s">
        <v>11</v>
      </c>
      <c r="S18" s="121" t="s">
        <v>11</v>
      </c>
      <c r="T18" s="121" t="s">
        <v>11</v>
      </c>
      <c r="U18" s="121" t="s">
        <v>11</v>
      </c>
      <c r="V18" s="121" t="s">
        <v>11</v>
      </c>
      <c r="W18" s="145" t="s">
        <v>7</v>
      </c>
      <c r="X18" s="145" t="s">
        <v>7</v>
      </c>
      <c r="Y18" s="146" t="s">
        <v>54</v>
      </c>
      <c r="Z18" s="146" t="s">
        <v>54</v>
      </c>
      <c r="AA18" s="146" t="s">
        <v>54</v>
      </c>
      <c r="AB18" s="146" t="s">
        <v>54</v>
      </c>
      <c r="AC18" s="146" t="s">
        <v>54</v>
      </c>
      <c r="AD18" s="145" t="s">
        <v>7</v>
      </c>
      <c r="AE18" s="145" t="s">
        <v>7</v>
      </c>
      <c r="AF18" s="146" t="s">
        <v>85</v>
      </c>
      <c r="AG18" s="146" t="s">
        <v>85</v>
      </c>
      <c r="AH18"/>
    </row>
    <row r="19" spans="1:34" x14ac:dyDescent="0.35">
      <c r="A19" s="34" t="s">
        <v>28</v>
      </c>
      <c r="B19" s="62" t="s">
        <v>13</v>
      </c>
      <c r="C19" s="148" t="s">
        <v>7</v>
      </c>
      <c r="D19" s="25" t="s">
        <v>11</v>
      </c>
      <c r="E19" s="25" t="s">
        <v>11</v>
      </c>
      <c r="F19" s="25" t="s">
        <v>11</v>
      </c>
      <c r="G19" s="25" t="s">
        <v>11</v>
      </c>
      <c r="H19" s="25" t="s">
        <v>11</v>
      </c>
      <c r="I19" s="148" t="s">
        <v>7</v>
      </c>
      <c r="J19" s="148" t="s">
        <v>7</v>
      </c>
      <c r="K19" s="120" t="s">
        <v>54</v>
      </c>
      <c r="L19" s="120" t="s">
        <v>54</v>
      </c>
      <c r="M19" s="120" t="s">
        <v>54</v>
      </c>
      <c r="N19" s="120" t="s">
        <v>54</v>
      </c>
      <c r="O19" s="120" t="s">
        <v>54</v>
      </c>
      <c r="P19" s="148" t="s">
        <v>7</v>
      </c>
      <c r="Q19" s="148" t="s">
        <v>7</v>
      </c>
      <c r="R19" s="120" t="s">
        <v>85</v>
      </c>
      <c r="S19" s="120" t="s">
        <v>85</v>
      </c>
      <c r="T19" s="120" t="s">
        <v>85</v>
      </c>
      <c r="U19" s="120" t="s">
        <v>85</v>
      </c>
      <c r="V19" s="120" t="s">
        <v>85</v>
      </c>
      <c r="W19" s="27" t="s">
        <v>30</v>
      </c>
      <c r="X19" s="27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148" t="s">
        <v>7</v>
      </c>
      <c r="AE19" s="148" t="s">
        <v>7</v>
      </c>
      <c r="AF19" s="120" t="s">
        <v>54</v>
      </c>
      <c r="AG19" s="120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4</v>
      </c>
      <c r="D21" s="110">
        <f t="shared" si="0"/>
        <v>7</v>
      </c>
      <c r="E21" s="110">
        <f t="shared" si="0"/>
        <v>5</v>
      </c>
      <c r="F21" s="110">
        <f t="shared" si="0"/>
        <v>7</v>
      </c>
      <c r="G21" s="110">
        <f t="shared" si="0"/>
        <v>7</v>
      </c>
      <c r="H21" s="110">
        <f t="shared" si="0"/>
        <v>7</v>
      </c>
      <c r="I21" s="110">
        <f t="shared" si="0"/>
        <v>4</v>
      </c>
      <c r="J21" s="110">
        <f t="shared" si="0"/>
        <v>4</v>
      </c>
      <c r="K21" s="110">
        <f t="shared" si="0"/>
        <v>7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2</v>
      </c>
      <c r="E22" s="112">
        <f t="shared" si="1"/>
        <v>2</v>
      </c>
      <c r="F22" s="112">
        <f t="shared" si="1"/>
        <v>2</v>
      </c>
      <c r="G22" s="112">
        <f t="shared" si="1"/>
        <v>2</v>
      </c>
      <c r="H22" s="112">
        <f t="shared" si="1"/>
        <v>2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3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tabSelected="1" workbookViewId="0">
      <selection activeCell="O5" sqref="O5:S5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55"/>
      <c r="C1" s="170" t="s">
        <v>105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</row>
    <row r="2" spans="1:33" x14ac:dyDescent="0.35">
      <c r="A2" s="6"/>
      <c r="B2" s="155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/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B16" s="52" t="s">
        <v>96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 x14ac:dyDescent="0.35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28" t="s">
        <v>7</v>
      </c>
      <c r="G18" s="28" t="s">
        <v>7</v>
      </c>
      <c r="H18" s="4" t="s">
        <v>33</v>
      </c>
      <c r="I18" s="4" t="s">
        <v>33</v>
      </c>
      <c r="J18" s="4" t="s">
        <v>33</v>
      </c>
      <c r="K18" s="4" t="s">
        <v>33</v>
      </c>
      <c r="L18" s="4" t="s">
        <v>33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33</v>
      </c>
      <c r="W18" s="4" t="s">
        <v>33</v>
      </c>
      <c r="X18" s="4" t="s">
        <v>33</v>
      </c>
      <c r="Y18" s="4" t="s">
        <v>33</v>
      </c>
      <c r="Z18" s="4" t="s">
        <v>33</v>
      </c>
      <c r="AA18" s="28" t="s">
        <v>30</v>
      </c>
      <c r="AB18" s="28" t="s">
        <v>30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 x14ac:dyDescent="0.35">
      <c r="A19" s="34" t="s">
        <v>28</v>
      </c>
      <c r="B19" s="35" t="s">
        <v>60</v>
      </c>
      <c r="C19" s="4" t="s">
        <v>33</v>
      </c>
      <c r="D19" s="28" t="s">
        <v>30</v>
      </c>
      <c r="E19" s="28" t="s">
        <v>30</v>
      </c>
      <c r="F19" s="28" t="s">
        <v>30</v>
      </c>
      <c r="G19" s="28" t="s">
        <v>30</v>
      </c>
      <c r="H19" s="25" t="s">
        <v>11</v>
      </c>
      <c r="I19" s="25" t="s">
        <v>11</v>
      </c>
      <c r="J19" s="25" t="s">
        <v>11</v>
      </c>
      <c r="K19" s="25" t="s">
        <v>11</v>
      </c>
      <c r="L19" s="25" t="s">
        <v>11</v>
      </c>
      <c r="M19" s="28" t="s">
        <v>7</v>
      </c>
      <c r="N19" s="28" t="s">
        <v>7</v>
      </c>
      <c r="O19" s="4" t="s">
        <v>33</v>
      </c>
      <c r="P19" s="4" t="s">
        <v>33</v>
      </c>
      <c r="Q19" s="4" t="s">
        <v>33</v>
      </c>
      <c r="R19" s="4" t="s">
        <v>33</v>
      </c>
      <c r="S19" s="4" t="s">
        <v>33</v>
      </c>
      <c r="T19" s="28" t="s">
        <v>30</v>
      </c>
      <c r="U19" s="28" t="s">
        <v>30</v>
      </c>
      <c r="V19" s="25" t="s">
        <v>11</v>
      </c>
      <c r="W19" s="25" t="s">
        <v>11</v>
      </c>
      <c r="X19" s="25" t="s">
        <v>11</v>
      </c>
      <c r="Y19" s="25" t="s">
        <v>11</v>
      </c>
      <c r="Z19" s="25" t="s">
        <v>11</v>
      </c>
      <c r="AA19" s="28" t="s">
        <v>7</v>
      </c>
      <c r="AB19" s="28" t="s">
        <v>7</v>
      </c>
      <c r="AC19" s="4" t="s">
        <v>33</v>
      </c>
      <c r="AD19" s="4" t="s">
        <v>33</v>
      </c>
      <c r="AE19" s="4" t="s">
        <v>33</v>
      </c>
      <c r="AF19" s="4" t="s">
        <v>33</v>
      </c>
      <c r="AG19"/>
    </row>
    <row r="20" spans="1:33" x14ac:dyDescent="0.35">
      <c r="A20" s="34" t="s">
        <v>28</v>
      </c>
      <c r="B20" s="35" t="s">
        <v>102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/>
    </row>
    <row r="21" spans="1:33" x14ac:dyDescent="0.35">
      <c r="AG21"/>
    </row>
    <row r="22" spans="1:33" x14ac:dyDescent="0.35">
      <c r="B22" s="111" t="s">
        <v>89</v>
      </c>
      <c r="C22" s="110">
        <f t="shared" ref="C22:AF22" si="0">SUM(C23:C25)</f>
        <v>5</v>
      </c>
      <c r="D22" s="110">
        <f t="shared" si="0"/>
        <v>4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5</v>
      </c>
      <c r="I22" s="110">
        <f t="shared" si="0"/>
        <v>5</v>
      </c>
      <c r="J22" s="110">
        <f t="shared" si="0"/>
        <v>5</v>
      </c>
      <c r="K22" s="110">
        <f t="shared" si="0"/>
        <v>5</v>
      </c>
      <c r="L22" s="110">
        <f t="shared" si="0"/>
        <v>5</v>
      </c>
      <c r="M22" s="110">
        <f t="shared" si="0"/>
        <v>4</v>
      </c>
      <c r="N22" s="110">
        <f t="shared" si="0"/>
        <v>4</v>
      </c>
      <c r="O22" s="110">
        <f t="shared" si="0"/>
        <v>4</v>
      </c>
      <c r="P22" s="110">
        <f t="shared" si="0"/>
        <v>5</v>
      </c>
      <c r="Q22" s="110">
        <f t="shared" si="0"/>
        <v>5</v>
      </c>
      <c r="R22" s="110">
        <f t="shared" si="0"/>
        <v>5</v>
      </c>
      <c r="S22" s="110">
        <f t="shared" si="0"/>
        <v>5</v>
      </c>
      <c r="T22" s="110">
        <f t="shared" si="0"/>
        <v>4</v>
      </c>
      <c r="U22" s="110">
        <f t="shared" si="0"/>
        <v>4</v>
      </c>
      <c r="V22" s="110">
        <f t="shared" si="0"/>
        <v>5</v>
      </c>
      <c r="W22" s="110">
        <f t="shared" si="0"/>
        <v>5</v>
      </c>
      <c r="X22" s="110">
        <f t="shared" si="0"/>
        <v>5</v>
      </c>
      <c r="Y22" s="110">
        <f t="shared" si="0"/>
        <v>5</v>
      </c>
      <c r="Z22" s="110">
        <f t="shared" si="0"/>
        <v>5</v>
      </c>
      <c r="AA22" s="110">
        <f t="shared" si="0"/>
        <v>4</v>
      </c>
      <c r="AB22" s="110">
        <f t="shared" si="0"/>
        <v>4</v>
      </c>
      <c r="AC22" s="110">
        <f t="shared" si="0"/>
        <v>5</v>
      </c>
      <c r="AD22" s="110">
        <f t="shared" si="0"/>
        <v>5</v>
      </c>
      <c r="AE22" s="110">
        <f t="shared" si="0"/>
        <v>5</v>
      </c>
      <c r="AF22" s="110">
        <f t="shared" si="0"/>
        <v>5</v>
      </c>
    </row>
    <row r="23" spans="1:33" x14ac:dyDescent="0.35">
      <c r="B23" s="111" t="s">
        <v>90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1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 x14ac:dyDescent="0.35">
      <c r="B24" s="111" t="s">
        <v>91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 x14ac:dyDescent="0.35">
      <c r="B25" s="111" t="s">
        <v>92</v>
      </c>
      <c r="C25" s="112">
        <f>COUNTIF(C4:C20,"M/F")+COUNTIF(C4:C20,"M1")+COUNTIF(C4:C20,"M3")+COUNTIF(C4:C20,"M3/G")+COUNTIF(C4:C20,"M2")</f>
        <v>1</v>
      </c>
      <c r="D25" s="112">
        <f>COUNTIF(D4:D20,"M/F")+COUNTIF(D4:D20,"M1")+COUNTIF(D4:D20,"M3")+COUNTIF(D4:D20,"M3/G")+COUNTIF(D4:D20,"M2")</f>
        <v>0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1</v>
      </c>
      <c r="I25" s="112">
        <f t="shared" si="3"/>
        <v>1</v>
      </c>
      <c r="J25" s="112">
        <f t="shared" si="3"/>
        <v>1</v>
      </c>
      <c r="K25" s="112">
        <f t="shared" si="3"/>
        <v>1</v>
      </c>
      <c r="L25" s="112">
        <f t="shared" si="3"/>
        <v>1</v>
      </c>
      <c r="M25" s="112">
        <f t="shared" si="3"/>
        <v>2</v>
      </c>
      <c r="N25" s="112">
        <f t="shared" si="3"/>
        <v>2</v>
      </c>
      <c r="O25" s="112">
        <f t="shared" si="3"/>
        <v>1</v>
      </c>
      <c r="P25" s="112">
        <f t="shared" si="3"/>
        <v>1</v>
      </c>
      <c r="Q25" s="112">
        <f t="shared" si="3"/>
        <v>1</v>
      </c>
      <c r="R25" s="112">
        <f t="shared" si="3"/>
        <v>1</v>
      </c>
      <c r="S25" s="112">
        <f t="shared" si="3"/>
        <v>1</v>
      </c>
      <c r="T25" s="112">
        <f t="shared" si="3"/>
        <v>2</v>
      </c>
      <c r="U25" s="112">
        <f t="shared" si="3"/>
        <v>2</v>
      </c>
      <c r="V25" s="112">
        <f t="shared" si="3"/>
        <v>1</v>
      </c>
      <c r="W25" s="112">
        <f t="shared" si="3"/>
        <v>1</v>
      </c>
      <c r="X25" s="112">
        <f t="shared" si="3"/>
        <v>1</v>
      </c>
      <c r="Y25" s="112">
        <f t="shared" si="3"/>
        <v>1</v>
      </c>
      <c r="Z25" s="112">
        <f t="shared" si="3"/>
        <v>1</v>
      </c>
      <c r="AA25" s="112">
        <f t="shared" si="3"/>
        <v>2</v>
      </c>
      <c r="AB25" s="112">
        <f t="shared" si="3"/>
        <v>2</v>
      </c>
      <c r="AC25" s="112">
        <f t="shared" si="3"/>
        <v>1</v>
      </c>
      <c r="AD25" s="112">
        <f t="shared" si="3"/>
        <v>1</v>
      </c>
      <c r="AE25" s="112">
        <f t="shared" si="3"/>
        <v>1</v>
      </c>
      <c r="AF25" s="112">
        <f t="shared" si="3"/>
        <v>1</v>
      </c>
    </row>
    <row r="27" spans="1:33" x14ac:dyDescent="0.35">
      <c r="B27" t="s">
        <v>65</v>
      </c>
    </row>
    <row r="28" spans="1:33" x14ac:dyDescent="0.35">
      <c r="B28" s="5" t="s">
        <v>66</v>
      </c>
    </row>
    <row r="29" spans="1:33" x14ac:dyDescent="0.35">
      <c r="B29" s="5" t="s">
        <v>67</v>
      </c>
    </row>
    <row r="30" spans="1:33" x14ac:dyDescent="0.35">
      <c r="B30" s="1" t="s">
        <v>68</v>
      </c>
    </row>
    <row r="31" spans="1:33" x14ac:dyDescent="0.35">
      <c r="B31" s="7" t="s">
        <v>69</v>
      </c>
    </row>
    <row r="32" spans="1:33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AA19" sqref="AA19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5"/>
      <c r="C1" s="170" t="s">
        <v>106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55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B16" s="52" t="s">
        <v>96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85</v>
      </c>
      <c r="N18" s="4" t="s">
        <v>85</v>
      </c>
      <c r="O18" s="4" t="s">
        <v>85</v>
      </c>
      <c r="P18" s="4" t="s">
        <v>85</v>
      </c>
      <c r="Q18" s="4" t="s">
        <v>85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35" t="s">
        <v>60</v>
      </c>
      <c r="C19" s="4" t="s">
        <v>85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85</v>
      </c>
      <c r="U19" s="4" t="s">
        <v>85</v>
      </c>
      <c r="V19" s="4" t="s">
        <v>85</v>
      </c>
      <c r="W19" s="4" t="s">
        <v>85</v>
      </c>
      <c r="X19" s="4" t="s">
        <v>85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 x14ac:dyDescent="0.35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85</v>
      </c>
      <c r="G20" s="4" t="s">
        <v>85</v>
      </c>
      <c r="H20" s="4" t="s">
        <v>85</v>
      </c>
      <c r="I20" s="4" t="s">
        <v>85</v>
      </c>
      <c r="J20" s="4" t="s">
        <v>85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85</v>
      </c>
      <c r="AB20" s="4" t="s">
        <v>85</v>
      </c>
      <c r="AC20" s="4" t="s">
        <v>85</v>
      </c>
      <c r="AD20" s="4" t="s">
        <v>85</v>
      </c>
      <c r="AE20" s="4" t="s">
        <v>85</v>
      </c>
      <c r="AF20" s="28" t="s">
        <v>7</v>
      </c>
      <c r="AG20" s="28" t="s">
        <v>7</v>
      </c>
      <c r="AH20"/>
    </row>
    <row r="22" spans="1:34" x14ac:dyDescent="0.35">
      <c r="B22" s="111" t="s">
        <v>89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 x14ac:dyDescent="0.35">
      <c r="B23" s="111" t="s">
        <v>90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 x14ac:dyDescent="0.35">
      <c r="B24" s="111" t="s">
        <v>91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U19" sqref="U19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55"/>
      <c r="C1" s="170" t="s">
        <v>107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</row>
    <row r="2" spans="1:33" x14ac:dyDescent="0.35">
      <c r="A2" s="6"/>
      <c r="B2" s="155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108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109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55"/>
      <c r="C1" s="170" t="s">
        <v>110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6" x14ac:dyDescent="0.35">
      <c r="A2" s="6"/>
      <c r="B2" s="155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5"/>
      <c r="C1" s="170" t="s">
        <v>111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55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55"/>
      <c r="C1" s="170" t="s">
        <v>112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/>
    </row>
    <row r="2" spans="1:33" x14ac:dyDescent="0.35">
      <c r="A2" s="6"/>
      <c r="B2" s="155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5"/>
      <c r="C1" s="170" t="s">
        <v>113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55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55"/>
      <c r="C1" s="170" t="s">
        <v>114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</row>
    <row r="2" spans="1:33" x14ac:dyDescent="0.35">
      <c r="A2" s="6"/>
      <c r="B2" s="155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5"/>
      <c r="C1" s="170" t="s">
        <v>115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55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5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116</v>
      </c>
      <c r="I2" s="102">
        <f>1800*10</f>
        <v>18000</v>
      </c>
    </row>
    <row r="3" spans="4:64" x14ac:dyDescent="0.35">
      <c r="G3" s="101" t="s">
        <v>117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118</v>
      </c>
      <c r="H9" s="99" t="s">
        <v>119</v>
      </c>
      <c r="I9" s="99" t="s">
        <v>120</v>
      </c>
      <c r="J9" s="99" t="s">
        <v>121</v>
      </c>
      <c r="K9" s="99" t="s">
        <v>122</v>
      </c>
      <c r="L9" s="99" t="s">
        <v>123</v>
      </c>
      <c r="M9" s="99" t="s">
        <v>124</v>
      </c>
      <c r="N9" s="99" t="s">
        <v>125</v>
      </c>
      <c r="O9" s="99" t="s">
        <v>126</v>
      </c>
      <c r="P9" s="99" t="s">
        <v>127</v>
      </c>
      <c r="Q9" s="99" t="s">
        <v>128</v>
      </c>
      <c r="R9" s="99" t="s">
        <v>129</v>
      </c>
      <c r="S9" s="99" t="s">
        <v>130</v>
      </c>
      <c r="T9" s="99" t="s">
        <v>131</v>
      </c>
      <c r="U9" s="99" t="s">
        <v>132</v>
      </c>
      <c r="V9" s="99" t="s">
        <v>133</v>
      </c>
      <c r="W9" s="99" t="s">
        <v>134</v>
      </c>
      <c r="X9" s="99" t="s">
        <v>135</v>
      </c>
      <c r="Y9" s="99" t="s">
        <v>136</v>
      </c>
      <c r="Z9" s="99" t="s">
        <v>137</v>
      </c>
      <c r="AA9" s="99" t="s">
        <v>138</v>
      </c>
      <c r="AB9" s="99" t="s">
        <v>139</v>
      </c>
      <c r="AC9" s="99" t="s">
        <v>140</v>
      </c>
      <c r="AD9" s="99" t="s">
        <v>141</v>
      </c>
      <c r="AE9" s="99" t="s">
        <v>142</v>
      </c>
      <c r="AF9" s="99" t="s">
        <v>143</v>
      </c>
      <c r="AG9" s="99" t="s">
        <v>144</v>
      </c>
      <c r="AH9" s="99" t="s">
        <v>145</v>
      </c>
      <c r="AI9" s="99" t="s">
        <v>146</v>
      </c>
      <c r="AJ9" s="99" t="s">
        <v>147</v>
      </c>
      <c r="AK9" s="99" t="s">
        <v>148</v>
      </c>
      <c r="AL9" s="99" t="s">
        <v>149</v>
      </c>
      <c r="AM9" s="99" t="s">
        <v>150</v>
      </c>
      <c r="AN9" s="99" t="s">
        <v>151</v>
      </c>
      <c r="AO9" s="99" t="s">
        <v>152</v>
      </c>
      <c r="AP9" s="99" t="s">
        <v>153</v>
      </c>
      <c r="AQ9" s="99" t="s">
        <v>154</v>
      </c>
      <c r="AR9" s="99" t="s">
        <v>155</v>
      </c>
      <c r="AS9" s="99" t="s">
        <v>156</v>
      </c>
      <c r="AT9" s="99" t="s">
        <v>157</v>
      </c>
      <c r="AU9" s="99" t="s">
        <v>158</v>
      </c>
      <c r="AV9" s="99" t="s">
        <v>159</v>
      </c>
      <c r="AW9" s="99" t="s">
        <v>160</v>
      </c>
      <c r="AX9" s="99" t="s">
        <v>161</v>
      </c>
      <c r="AY9" s="99" t="s">
        <v>162</v>
      </c>
      <c r="AZ9" s="99" t="s">
        <v>163</v>
      </c>
      <c r="BA9" s="99" t="s">
        <v>164</v>
      </c>
      <c r="BB9" s="99" t="s">
        <v>165</v>
      </c>
      <c r="BC9" s="99" t="s">
        <v>166</v>
      </c>
      <c r="BD9" s="99" t="s">
        <v>167</v>
      </c>
      <c r="BE9" s="99" t="s">
        <v>168</v>
      </c>
      <c r="BF9" s="99" t="s">
        <v>169</v>
      </c>
      <c r="BG9" s="99" t="s">
        <v>170</v>
      </c>
      <c r="BH9" s="99" t="s">
        <v>171</v>
      </c>
      <c r="BI9" s="99" t="s">
        <v>172</v>
      </c>
      <c r="BJ9" s="99" t="s">
        <v>173</v>
      </c>
      <c r="BK9" s="106" t="s">
        <v>174</v>
      </c>
      <c r="BL9" s="106" t="s">
        <v>175</v>
      </c>
    </row>
    <row r="10" spans="4:64" x14ac:dyDescent="0.35">
      <c r="D10" s="102"/>
      <c r="E10" s="102"/>
      <c r="F10" s="95"/>
      <c r="G10" s="97" t="s">
        <v>176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177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178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179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180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181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182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183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184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185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186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187</v>
      </c>
      <c r="H23">
        <f>AVERAGE(H10:H20)</f>
        <v>849.6</v>
      </c>
    </row>
    <row r="27" spans="7:64" x14ac:dyDescent="0.35">
      <c r="G27" s="99" t="s">
        <v>118</v>
      </c>
      <c r="H27" s="99" t="s">
        <v>119</v>
      </c>
      <c r="I27" s="99" t="s">
        <v>120</v>
      </c>
      <c r="J27" s="99" t="s">
        <v>121</v>
      </c>
      <c r="K27" s="99" t="s">
        <v>122</v>
      </c>
      <c r="L27" s="99" t="s">
        <v>123</v>
      </c>
      <c r="M27" s="99" t="s">
        <v>124</v>
      </c>
      <c r="N27" s="99" t="s">
        <v>125</v>
      </c>
      <c r="O27" s="99" t="s">
        <v>126</v>
      </c>
      <c r="P27" s="99" t="s">
        <v>127</v>
      </c>
      <c r="Q27" s="99" t="s">
        <v>128</v>
      </c>
      <c r="R27" s="99" t="s">
        <v>129</v>
      </c>
      <c r="S27" s="99" t="s">
        <v>130</v>
      </c>
      <c r="T27" s="99" t="s">
        <v>131</v>
      </c>
      <c r="U27" s="99" t="s">
        <v>132</v>
      </c>
      <c r="V27" s="99" t="s">
        <v>133</v>
      </c>
      <c r="W27" s="99" t="s">
        <v>134</v>
      </c>
      <c r="X27" s="99" t="s">
        <v>135</v>
      </c>
      <c r="Y27" s="99" t="s">
        <v>136</v>
      </c>
      <c r="Z27" s="99" t="s">
        <v>137</v>
      </c>
      <c r="AA27" s="99" t="s">
        <v>138</v>
      </c>
      <c r="AB27" s="99" t="s">
        <v>139</v>
      </c>
      <c r="AC27" s="99" t="s">
        <v>140</v>
      </c>
      <c r="AD27" s="99" t="s">
        <v>141</v>
      </c>
      <c r="AE27" s="99" t="s">
        <v>142</v>
      </c>
      <c r="AF27" s="99" t="s">
        <v>143</v>
      </c>
      <c r="AG27" s="99" t="s">
        <v>144</v>
      </c>
      <c r="AH27" s="99" t="s">
        <v>145</v>
      </c>
      <c r="AI27" s="99" t="s">
        <v>146</v>
      </c>
      <c r="AJ27" s="99" t="s">
        <v>147</v>
      </c>
      <c r="AK27" s="99" t="s">
        <v>148</v>
      </c>
      <c r="AL27" s="99" t="s">
        <v>149</v>
      </c>
      <c r="AM27" s="99" t="s">
        <v>150</v>
      </c>
      <c r="AN27" s="99" t="s">
        <v>151</v>
      </c>
      <c r="AO27" s="99" t="s">
        <v>152</v>
      </c>
      <c r="AP27" s="99" t="s">
        <v>153</v>
      </c>
      <c r="AQ27" s="99" t="s">
        <v>154</v>
      </c>
      <c r="AR27" s="99" t="s">
        <v>155</v>
      </c>
      <c r="AS27" s="99" t="s">
        <v>156</v>
      </c>
      <c r="AT27" s="99" t="s">
        <v>157</v>
      </c>
      <c r="AU27" s="99" t="s">
        <v>158</v>
      </c>
      <c r="AV27" s="99" t="s">
        <v>159</v>
      </c>
      <c r="AW27" s="99" t="s">
        <v>160</v>
      </c>
      <c r="AX27" s="99" t="s">
        <v>161</v>
      </c>
      <c r="AY27" s="99" t="s">
        <v>162</v>
      </c>
      <c r="AZ27" s="99" t="s">
        <v>163</v>
      </c>
      <c r="BA27" s="99" t="s">
        <v>164</v>
      </c>
      <c r="BB27" s="99" t="s">
        <v>165</v>
      </c>
      <c r="BC27" s="99" t="s">
        <v>166</v>
      </c>
      <c r="BD27" s="99" t="s">
        <v>167</v>
      </c>
      <c r="BE27" s="99" t="s">
        <v>168</v>
      </c>
      <c r="BF27" s="99" t="s">
        <v>169</v>
      </c>
      <c r="BG27" s="99" t="s">
        <v>170</v>
      </c>
      <c r="BH27" s="99" t="s">
        <v>171</v>
      </c>
      <c r="BI27" s="99" t="s">
        <v>172</v>
      </c>
      <c r="BJ27" s="99" t="s">
        <v>173</v>
      </c>
      <c r="BK27" s="106" t="s">
        <v>174</v>
      </c>
      <c r="BL27" s="106" t="s">
        <v>175</v>
      </c>
    </row>
    <row r="28" spans="7:64" x14ac:dyDescent="0.35">
      <c r="G28" s="97" t="s">
        <v>176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177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178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179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180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181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182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183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184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185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186</v>
      </c>
      <c r="H40">
        <f>SUM(H28:H38)</f>
        <v>17424</v>
      </c>
    </row>
    <row r="41" spans="7:64" x14ac:dyDescent="0.35">
      <c r="G41" s="101" t="s">
        <v>187</v>
      </c>
      <c r="H41">
        <f>AVERAGE(H28:H38)</f>
        <v>1742.4</v>
      </c>
      <c r="K41" s="104" t="s">
        <v>188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2026-02-18T07:38:08Z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