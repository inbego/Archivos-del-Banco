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1785" documentId="8_{BF395F17-8A36-4A5B-A61D-48748E8233D4}" xr6:coauthVersionLast="47" xr6:coauthVersionMax="47" xr10:uidLastSave="{99A7FB1B-219A-476F-9563-998E3A78025E}"/>
  <bookViews>
    <workbookView xWindow="38280" yWindow="-120" windowWidth="38640" windowHeight="21120" firstSheet="7" activeTab="7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5" i="20"/>
  <c r="D25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AF25" i="20"/>
  <c r="C24" i="14"/>
  <c r="AG15" i="13"/>
  <c r="AH15" i="14"/>
  <c r="AH16" i="15"/>
  <c r="AE23" i="19"/>
  <c r="AF23" i="19"/>
  <c r="AG23" i="19"/>
  <c r="AE24" i="19"/>
  <c r="AF24" i="19"/>
  <c r="AG24" i="19"/>
  <c r="AE25" i="19"/>
  <c r="AF25" i="19"/>
  <c r="AG25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9"/>
  <c r="D25" i="19"/>
  <c r="E25" i="19"/>
  <c r="F25" i="19"/>
  <c r="G25" i="19"/>
  <c r="H25" i="19"/>
  <c r="I25" i="19"/>
  <c r="J25" i="19"/>
  <c r="K25" i="19"/>
  <c r="L25" i="19"/>
  <c r="M25" i="19"/>
  <c r="N25" i="19"/>
  <c r="O25" i="19"/>
  <c r="P25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C23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C24" i="18"/>
  <c r="D24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N22" i="19" l="1"/>
  <c r="Z22" i="19"/>
  <c r="Y22" i="19"/>
  <c r="M22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2" i="21"/>
  <c r="Y22" i="21"/>
  <c r="N22" i="21"/>
  <c r="M22" i="21"/>
  <c r="X22" i="19"/>
  <c r="L22" i="19"/>
  <c r="K22" i="19"/>
  <c r="W22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2" i="21"/>
  <c r="L22" i="21"/>
  <c r="X22" i="21"/>
  <c r="K22" i="21"/>
  <c r="AE22" i="21"/>
  <c r="V22" i="21"/>
  <c r="AC22" i="21"/>
  <c r="Q22" i="21"/>
  <c r="E22" i="21"/>
  <c r="AG22" i="21"/>
  <c r="U22" i="21"/>
  <c r="I22" i="21"/>
  <c r="AB22" i="21"/>
  <c r="P22" i="21"/>
  <c r="D22" i="21"/>
  <c r="AD22" i="21"/>
  <c r="R22" i="21"/>
  <c r="F22" i="21"/>
  <c r="AF22" i="21"/>
  <c r="H22" i="21"/>
  <c r="G22" i="21"/>
  <c r="AA22" i="21"/>
  <c r="O22" i="21"/>
  <c r="C22" i="21"/>
  <c r="T22" i="21"/>
  <c r="S22" i="21"/>
  <c r="J22" i="21"/>
  <c r="V22" i="20"/>
  <c r="J22" i="20"/>
  <c r="I22" i="20"/>
  <c r="U22" i="20"/>
  <c r="S22" i="20"/>
  <c r="G22" i="20"/>
  <c r="AD22" i="20"/>
  <c r="C22" i="20"/>
  <c r="Z22" i="20"/>
  <c r="N22" i="20"/>
  <c r="Y22" i="20"/>
  <c r="M22" i="20"/>
  <c r="F22" i="20"/>
  <c r="AC22" i="20"/>
  <c r="Q22" i="20"/>
  <c r="E22" i="20"/>
  <c r="AB22" i="20"/>
  <c r="P22" i="20"/>
  <c r="D22" i="20"/>
  <c r="AA22" i="20"/>
  <c r="X22" i="20"/>
  <c r="L22" i="20"/>
  <c r="AF22" i="20"/>
  <c r="T22" i="20"/>
  <c r="H22" i="20"/>
  <c r="AE22" i="20"/>
  <c r="R22" i="20"/>
  <c r="O22" i="20"/>
  <c r="W22" i="20"/>
  <c r="K22" i="20"/>
  <c r="AD22" i="19"/>
  <c r="AC22" i="19"/>
  <c r="AB22" i="19"/>
  <c r="AA22" i="19"/>
  <c r="V22" i="19"/>
  <c r="U22" i="19"/>
  <c r="T22" i="19"/>
  <c r="S22" i="19"/>
  <c r="R22" i="19"/>
  <c r="Q22" i="19"/>
  <c r="P22" i="19"/>
  <c r="O22" i="19"/>
  <c r="J22" i="19"/>
  <c r="I22" i="19"/>
  <c r="H22" i="19"/>
  <c r="G22" i="19"/>
  <c r="F22" i="19"/>
  <c r="E22" i="19"/>
  <c r="D22" i="19"/>
  <c r="C22" i="19"/>
  <c r="AG22" i="19"/>
  <c r="AF22" i="19"/>
  <c r="AE22" i="19"/>
  <c r="N22" i="18"/>
  <c r="Z22" i="18"/>
  <c r="Y22" i="18"/>
  <c r="X22" i="18"/>
  <c r="L22" i="18"/>
  <c r="S22" i="18"/>
  <c r="G22" i="18"/>
  <c r="W22" i="18"/>
  <c r="K22" i="18"/>
  <c r="AD22" i="18"/>
  <c r="R22" i="18"/>
  <c r="F22" i="18"/>
  <c r="D22" i="18"/>
  <c r="V22" i="18"/>
  <c r="AC22" i="18"/>
  <c r="E22" i="18"/>
  <c r="U22" i="18"/>
  <c r="T22" i="18"/>
  <c r="H22" i="18"/>
  <c r="AA22" i="18"/>
  <c r="O22" i="18"/>
  <c r="C22" i="18"/>
  <c r="P22" i="18"/>
  <c r="I22" i="18"/>
  <c r="M22" i="18"/>
  <c r="J22" i="18"/>
  <c r="Q22" i="18"/>
  <c r="AB22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tc={4E3C475F-E43B-4DAE-803E-C501BE1E3373}</author>
  </authors>
  <commentList>
    <comment ref="E18" authorId="0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sharedStrings.xml><?xml version="1.0" encoding="utf-8"?>
<sst xmlns="http://schemas.openxmlformats.org/spreadsheetml/2006/main" count="10120" uniqueCount="184">
  <si>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</si>
  <si>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</si>
  <si>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</si>
  <si>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</si>
  <si>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</si>
  <si>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</si>
  <si>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</si>
  <si>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</si>
  <si>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</si>
  <si>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</si>
  <si>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</si>
  <si>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</si>
  <si>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</si>
  <si>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</si>
  <si>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</si>
  <si>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</si>
  <si>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</si>
  <si>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</si>
  <si>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</si>
  <si>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</si>
  <si>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</si>
  <si>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</si>
  <si>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</si>
  <si>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</si>
  <si>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</si>
  <si>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</si>
  <si>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</si>
  <si>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</si>
  <si>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</si>
  <si>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</si>
  <si>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</si>
  <si>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</si>
  <si>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</si>
  <si>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</si>
  <si>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</si>
  <si>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</si>
  <si>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</si>
  <si>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</si>
  <si>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</si>
  <si>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</si>
  <si>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</si>
  <si>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</si>
  <si>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</si>
  <si>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</si>
  <si>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</si>
  <si>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</si>
  <si>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</si>
  <si>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</si>
  <si>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</si>
  <si>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</si>
  <si>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</si>
  <si>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</si>
  <si>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</si>
  <si>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</si>
  <si>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</si>
  <si>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</si>
  <si>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</si>
  <si>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</si>
  <si>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</si>
  <si>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</si>
  <si>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</si>
  <si>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</si>
  <si>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</si>
  <si>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</si>
  <si>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</si>
  <si>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</si>
  <si>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</si>
  <si>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</si>
  <si>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</si>
  <si>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</si>
  <si>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</si>
  <si>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</si>
  <si>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</si>
  <si>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</si>
  <si>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</si>
  <si>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</si>
  <si>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</si>
  <si>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</si>
  <si>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</si>
  <si>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</si>
  <si>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</si>
  <si>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</si>
  <si>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</si>
  <si>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</si>
  <si>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</si>
  <si>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</si>
  <si>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</si>
  <si>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</si>
  <si>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</si>
  <si>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</si>
  <si>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</si>
  <si>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</si>
  <si>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</si>
  <si>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</si>
  <si>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</si>
  <si>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</si>
  <si>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</si>
  <si>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</si>
  <si>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</si>
  <si>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Marzo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</si>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</sst>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2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65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8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710937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48"/>
      <c r="E2" s="145" t="s">
        <v>0</v>
      </c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7"/>
    </row>
    <row r="3" spans="1:36" ht="18" customHeight="1">
      <c r="B3" s="32"/>
      <c r="D3" s="148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4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49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50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50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50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50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50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50"/>
      <c r="C11" s="34"/>
      <c r="D11" s="36"/>
      <c r="E11" s="155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  <c r="AG11" s="156"/>
      <c r="AH11" s="156"/>
      <c r="AI11" s="157"/>
      <c r="AJ11" s="91"/>
    </row>
    <row r="12" spans="1:36" ht="18" customHeight="1">
      <c r="A12" s="150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50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50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50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50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50"/>
      <c r="C17" s="34"/>
      <c r="D17" s="33"/>
      <c r="E17" s="155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  <c r="AG17" s="156"/>
      <c r="AH17" s="156"/>
      <c r="AI17" s="157"/>
    </row>
    <row r="18" spans="1:36" ht="18" customHeight="1">
      <c r="A18" s="150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50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50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50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50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50"/>
      <c r="C23" s="34"/>
      <c r="D23" s="35"/>
      <c r="E23" s="152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4"/>
    </row>
    <row r="24" spans="1:36" ht="18" customHeight="1">
      <c r="A24" s="151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42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43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43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43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43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44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710937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48"/>
      <c r="E2" s="145" t="s">
        <v>49</v>
      </c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7"/>
    </row>
    <row r="3" spans="1:36">
      <c r="A3" s="6"/>
      <c r="B3" s="32"/>
      <c r="C3" s="6"/>
      <c r="D3" s="148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4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50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50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50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50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50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50"/>
      <c r="B10" s="6"/>
      <c r="C10" s="34"/>
      <c r="D10" s="36"/>
      <c r="E10" s="155"/>
      <c r="F10" s="156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  <c r="AG10" s="156"/>
      <c r="AH10" s="156"/>
      <c r="AI10" s="157"/>
    </row>
    <row r="11" spans="1:36">
      <c r="A11" s="150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50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50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50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50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50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50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50"/>
      <c r="B18" s="6"/>
      <c r="C18" s="34"/>
      <c r="D18" s="33"/>
      <c r="E18" s="155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  <c r="AG18" s="156"/>
      <c r="AH18" s="156"/>
      <c r="AI18" s="157"/>
    </row>
    <row r="19" spans="1:35">
      <c r="A19" s="150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50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50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50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50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50"/>
      <c r="B24" s="6"/>
      <c r="C24" s="34"/>
      <c r="E24" s="152"/>
      <c r="F24" s="153"/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53"/>
      <c r="T24" s="153"/>
      <c r="U24" s="153"/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  <c r="AH24" s="153"/>
      <c r="AI24" s="154"/>
    </row>
    <row r="25" spans="1:35" ht="15" thickBot="1">
      <c r="A25" s="151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42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43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43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43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43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44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15" customHeight="1">
      <c r="A1" s="6"/>
      <c r="B1" s="148"/>
      <c r="C1" s="145" t="s">
        <v>57</v>
      </c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</row>
    <row r="2" spans="1:33">
      <c r="A2" s="6"/>
      <c r="B2" s="148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H7" sqref="H7"/>
    </sheetView>
  </sheetViews>
  <sheetFormatPr defaultColWidth="8.570312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15" customHeight="1">
      <c r="A1" s="6"/>
      <c r="B1" s="148"/>
      <c r="C1" s="158" t="s">
        <v>78</v>
      </c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60"/>
    </row>
    <row r="2" spans="1:34">
      <c r="A2" s="6"/>
      <c r="B2" s="148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5" zoomScaleNormal="100" workbookViewId="0">
      <selection activeCell="B15" sqref="B15"/>
    </sheetView>
  </sheetViews>
  <sheetFormatPr defaultColWidth="8.85546875" defaultRowHeight="14.45"/>
  <cols>
    <col min="2" max="2" width="25.85546875" customWidth="1"/>
    <col min="3" max="32" width="4.7109375" customWidth="1"/>
    <col min="33" max="33" width="4" style="91" bestFit="1" customWidth="1"/>
  </cols>
  <sheetData>
    <row r="1" spans="1:34">
      <c r="A1" s="6"/>
      <c r="B1" s="148"/>
      <c r="C1" s="161" t="s">
        <v>81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</row>
    <row r="2" spans="1:34">
      <c r="A2" s="6"/>
      <c r="B2" s="148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defaultColWidth="8.85546875" defaultRowHeight="14.45"/>
  <cols>
    <col min="2" max="2" width="31.140625" customWidth="1"/>
    <col min="3" max="33" width="4.7109375" customWidth="1"/>
    <col min="34" max="34" width="8.85546875" style="91" customWidth="1"/>
  </cols>
  <sheetData>
    <row r="1" spans="1:37" ht="15" customHeight="1">
      <c r="A1" s="6"/>
      <c r="B1" s="148"/>
      <c r="C1" s="161" t="s">
        <v>95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</row>
    <row r="2" spans="1:37">
      <c r="A2" s="6"/>
      <c r="B2" s="14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zoomScaleNormal="100" workbookViewId="0">
      <selection activeCell="AK17" sqref="AK17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>
      <c r="A1" s="6"/>
      <c r="B1" s="148"/>
      <c r="C1" s="161" t="s">
        <v>97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</row>
    <row r="2" spans="1:34">
      <c r="A2" s="6"/>
      <c r="B2" s="148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5" t="s">
        <v>14</v>
      </c>
      <c r="Y5" s="5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1" t="s">
        <v>14</v>
      </c>
      <c r="Y7" s="1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31" t="s">
        <v>16</v>
      </c>
      <c r="O10" s="131" t="s">
        <v>16</v>
      </c>
      <c r="P10" s="131" t="s">
        <v>16</v>
      </c>
      <c r="Q10" s="131" t="s">
        <v>16</v>
      </c>
      <c r="R10" s="131" t="s">
        <v>16</v>
      </c>
      <c r="S10" s="131" t="s">
        <v>17</v>
      </c>
      <c r="T10" s="131" t="s">
        <v>17</v>
      </c>
      <c r="U10" s="129" t="s">
        <v>7</v>
      </c>
      <c r="V10" s="129" t="s">
        <v>7</v>
      </c>
      <c r="W10" s="129" t="s">
        <v>7</v>
      </c>
      <c r="X10" s="129" t="s">
        <v>7</v>
      </c>
      <c r="Y10" s="129" t="s">
        <v>7</v>
      </c>
      <c r="Z10" s="129" t="s">
        <v>7</v>
      </c>
      <c r="AA10" s="129" t="s">
        <v>7</v>
      </c>
      <c r="AB10" s="131" t="s">
        <v>16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 s="131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7" t="s">
        <v>54</v>
      </c>
      <c r="D11" s="128" t="s">
        <v>14</v>
      </c>
      <c r="E11" s="128" t="s">
        <v>15</v>
      </c>
      <c r="F11" s="128" t="s">
        <v>15</v>
      </c>
      <c r="G11" s="129" t="s">
        <v>7</v>
      </c>
      <c r="H11" s="129" t="s">
        <v>7</v>
      </c>
      <c r="I11" s="130" t="s">
        <v>4</v>
      </c>
      <c r="J11" s="129" t="s">
        <v>7</v>
      </c>
      <c r="K11" s="129" t="s">
        <v>7</v>
      </c>
      <c r="L11" s="129" t="s">
        <v>7</v>
      </c>
      <c r="M11" s="129" t="s">
        <v>7</v>
      </c>
      <c r="N11" s="126" t="s">
        <v>20</v>
      </c>
      <c r="O11" s="126" t="s">
        <v>20</v>
      </c>
      <c r="P11" s="126" t="s">
        <v>20</v>
      </c>
      <c r="Q11" s="126" t="s">
        <v>20</v>
      </c>
      <c r="R11" s="126" t="s">
        <v>20</v>
      </c>
      <c r="S11" s="129" t="s">
        <v>7</v>
      </c>
      <c r="T11" s="129" t="s">
        <v>7</v>
      </c>
      <c r="U11" s="131" t="s">
        <v>16</v>
      </c>
      <c r="V11" s="131" t="s">
        <v>16</v>
      </c>
      <c r="W11" s="131" t="s">
        <v>16</v>
      </c>
      <c r="X11" s="131" t="s">
        <v>16</v>
      </c>
      <c r="Y11" s="131" t="s">
        <v>16</v>
      </c>
      <c r="Z11" s="131" t="s">
        <v>17</v>
      </c>
      <c r="AA11" s="131" t="s">
        <v>17</v>
      </c>
      <c r="AB11" s="129" t="s">
        <v>7</v>
      </c>
      <c r="AC11" s="129" t="s">
        <v>7</v>
      </c>
      <c r="AD11" s="129" t="s">
        <v>7</v>
      </c>
      <c r="AE11" s="129" t="s">
        <v>7</v>
      </c>
      <c r="AF11" s="129" t="s">
        <v>7</v>
      </c>
      <c r="AG11" s="129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2" t="s">
        <v>4</v>
      </c>
      <c r="D12" s="129" t="s">
        <v>7</v>
      </c>
      <c r="E12" s="129" t="s">
        <v>7</v>
      </c>
      <c r="F12" s="129" t="s">
        <v>7</v>
      </c>
      <c r="G12" s="128" t="s">
        <v>14</v>
      </c>
      <c r="H12" s="128" t="s">
        <v>54</v>
      </c>
      <c r="I12" s="128" t="s">
        <v>14</v>
      </c>
      <c r="J12" s="128" t="s">
        <v>14</v>
      </c>
      <c r="K12" s="128" t="s">
        <v>14</v>
      </c>
      <c r="L12" s="128" t="s">
        <v>15</v>
      </c>
      <c r="M12" s="128" t="s">
        <v>15</v>
      </c>
      <c r="N12" s="129" t="s">
        <v>7</v>
      </c>
      <c r="O12" s="129" t="s">
        <v>7</v>
      </c>
      <c r="P12" s="129" t="s">
        <v>7</v>
      </c>
      <c r="Q12" s="129" t="s">
        <v>7</v>
      </c>
      <c r="R12" s="129" t="s">
        <v>7</v>
      </c>
      <c r="S12" s="129" t="s">
        <v>7</v>
      </c>
      <c r="T12" s="129" t="s">
        <v>7</v>
      </c>
      <c r="U12" s="126" t="s">
        <v>20</v>
      </c>
      <c r="V12" s="126" t="s">
        <v>20</v>
      </c>
      <c r="W12" s="126" t="s">
        <v>20</v>
      </c>
      <c r="X12" s="126" t="s">
        <v>20</v>
      </c>
      <c r="Y12" s="126" t="s">
        <v>20</v>
      </c>
      <c r="Z12" s="129" t="s">
        <v>7</v>
      </c>
      <c r="AA12" s="129" t="s">
        <v>7</v>
      </c>
      <c r="AB12" s="131" t="s">
        <v>16</v>
      </c>
      <c r="AC12" s="131" t="s">
        <v>16</v>
      </c>
      <c r="AD12" s="131" t="s">
        <v>16</v>
      </c>
      <c r="AE12" s="131" t="s">
        <v>16</v>
      </c>
      <c r="AF12" s="131" t="s">
        <v>16</v>
      </c>
      <c r="AG12" s="131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1" t="s">
        <v>16</v>
      </c>
      <c r="D13" s="131" t="s">
        <v>16</v>
      </c>
      <c r="E13" s="131" t="s">
        <v>17</v>
      </c>
      <c r="F13" s="131" t="s">
        <v>17</v>
      </c>
      <c r="G13" s="129" t="s">
        <v>7</v>
      </c>
      <c r="H13" s="129" t="s">
        <v>7</v>
      </c>
      <c r="I13" s="129" t="s">
        <v>7</v>
      </c>
      <c r="J13" s="130" t="s">
        <v>4</v>
      </c>
      <c r="K13" s="129" t="s">
        <v>7</v>
      </c>
      <c r="L13" s="129" t="s">
        <v>7</v>
      </c>
      <c r="M13" s="129" t="s">
        <v>7</v>
      </c>
      <c r="N13" s="131" t="s">
        <v>16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17</v>
      </c>
      <c r="T13" s="131" t="s">
        <v>17</v>
      </c>
      <c r="U13" s="129" t="s">
        <v>7</v>
      </c>
      <c r="V13" s="129" t="s">
        <v>7</v>
      </c>
      <c r="W13" s="129" t="s">
        <v>7</v>
      </c>
      <c r="X13" s="129" t="s">
        <v>7</v>
      </c>
      <c r="Y13" s="129" t="s">
        <v>7</v>
      </c>
      <c r="Z13" s="129" t="s">
        <v>7</v>
      </c>
      <c r="AA13" s="129" t="s">
        <v>7</v>
      </c>
      <c r="AB13" s="126" t="s">
        <v>20</v>
      </c>
      <c r="AC13" s="126" t="s">
        <v>20</v>
      </c>
      <c r="AD13" s="126" t="s">
        <v>20</v>
      </c>
      <c r="AE13" s="126" t="s">
        <v>20</v>
      </c>
      <c r="AF13" s="126" t="s">
        <v>20</v>
      </c>
      <c r="AG13" s="129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4" t="s">
        <v>20</v>
      </c>
      <c r="D14" s="133" t="s">
        <v>20</v>
      </c>
      <c r="E14" s="129" t="s">
        <v>7</v>
      </c>
      <c r="F14" s="129" t="s">
        <v>7</v>
      </c>
      <c r="G14" s="131" t="s">
        <v>16</v>
      </c>
      <c r="H14" s="131" t="s">
        <v>16</v>
      </c>
      <c r="I14" s="131" t="s">
        <v>16</v>
      </c>
      <c r="J14" s="131" t="s">
        <v>16</v>
      </c>
      <c r="K14" s="131" t="s">
        <v>16</v>
      </c>
      <c r="L14" s="131" t="s">
        <v>17</v>
      </c>
      <c r="M14" s="131" t="s">
        <v>17</v>
      </c>
      <c r="N14" s="129" t="s">
        <v>7</v>
      </c>
      <c r="O14" s="129" t="s">
        <v>7</v>
      </c>
      <c r="P14" s="129" t="s">
        <v>7</v>
      </c>
      <c r="Q14" s="129" t="s">
        <v>7</v>
      </c>
      <c r="R14" s="129" t="s">
        <v>7</v>
      </c>
      <c r="S14" s="129" t="s">
        <v>7</v>
      </c>
      <c r="T14" s="129" t="s">
        <v>7</v>
      </c>
      <c r="U14" s="131" t="s">
        <v>16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17</v>
      </c>
      <c r="AA14" s="131" t="s">
        <v>17</v>
      </c>
      <c r="AB14" s="129" t="s">
        <v>7</v>
      </c>
      <c r="AC14" s="129" t="s">
        <v>7</v>
      </c>
      <c r="AD14" s="129" t="s">
        <v>7</v>
      </c>
      <c r="AE14" s="129" t="s">
        <v>7</v>
      </c>
      <c r="AF14" s="129" t="s">
        <v>7</v>
      </c>
      <c r="AG14" s="129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6" t="s">
        <v>7</v>
      </c>
      <c r="D16" s="136" t="s">
        <v>7</v>
      </c>
      <c r="E16" s="137" t="s">
        <v>7</v>
      </c>
      <c r="F16" s="137" t="s">
        <v>7</v>
      </c>
      <c r="G16" s="138" t="s">
        <v>54</v>
      </c>
      <c r="H16" s="138" t="s">
        <v>54</v>
      </c>
      <c r="I16" s="138" t="s">
        <v>54</v>
      </c>
      <c r="J16" s="138" t="s">
        <v>54</v>
      </c>
      <c r="K16" s="138" t="s">
        <v>54</v>
      </c>
      <c r="L16" s="137" t="s">
        <v>7</v>
      </c>
      <c r="M16" s="137" t="s">
        <v>7</v>
      </c>
      <c r="N16" s="138" t="s">
        <v>54</v>
      </c>
      <c r="O16" s="138" t="s">
        <v>54</v>
      </c>
      <c r="P16" s="138" t="s">
        <v>54</v>
      </c>
      <c r="Q16" s="138" t="s">
        <v>54</v>
      </c>
      <c r="R16" s="138" t="s">
        <v>54</v>
      </c>
      <c r="S16" s="137" t="s">
        <v>7</v>
      </c>
      <c r="T16" s="137" t="s">
        <v>7</v>
      </c>
      <c r="U16" s="138" t="s">
        <v>54</v>
      </c>
      <c r="V16" s="138" t="s">
        <v>54</v>
      </c>
      <c r="W16" s="138" t="s">
        <v>54</v>
      </c>
      <c r="X16" s="138" t="s">
        <v>54</v>
      </c>
      <c r="Y16" s="138" t="s">
        <v>54</v>
      </c>
      <c r="Z16" s="137" t="s">
        <v>7</v>
      </c>
      <c r="AA16" s="137" t="s">
        <v>7</v>
      </c>
      <c r="AB16" s="138" t="s">
        <v>54</v>
      </c>
      <c r="AC16" s="138" t="s">
        <v>54</v>
      </c>
      <c r="AD16" s="138" t="s">
        <v>54</v>
      </c>
      <c r="AE16" s="138" t="s">
        <v>54</v>
      </c>
      <c r="AF16" s="138" t="s">
        <v>54</v>
      </c>
      <c r="AG16" s="137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</row>
    <row r="18" spans="1:34" ht="1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ht="1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9"/>
      <c r="V20" s="139"/>
      <c r="W20" s="139"/>
      <c r="X20" s="139"/>
      <c r="Y20" s="139"/>
      <c r="Z20" s="140"/>
      <c r="AA20" s="140"/>
      <c r="AB20" s="141"/>
      <c r="AC20" s="141"/>
      <c r="AD20" s="141"/>
      <c r="AE20" s="141"/>
      <c r="AF20" s="141"/>
      <c r="AG20" s="140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39"/>
  <sheetViews>
    <sheetView tabSelected="1" workbookViewId="0">
      <selection activeCell="E18" sqref="E18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48"/>
      <c r="C1" s="162" t="s">
        <v>98</v>
      </c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</row>
    <row r="2" spans="1:34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7" t="s">
        <v>20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122" t="s">
        <v>23</v>
      </c>
      <c r="C10" s="131" t="s">
        <v>17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6" t="s">
        <v>20</v>
      </c>
      <c r="L10" s="126" t="s">
        <v>20</v>
      </c>
      <c r="M10" s="126" t="s">
        <v>20</v>
      </c>
      <c r="N10" s="126" t="s">
        <v>20</v>
      </c>
      <c r="O10" s="126" t="s">
        <v>20</v>
      </c>
      <c r="P10" s="125" t="s">
        <v>7</v>
      </c>
      <c r="Q10" s="125" t="s">
        <v>7</v>
      </c>
      <c r="R10" s="131" t="s">
        <v>16</v>
      </c>
      <c r="S10" s="131" t="s">
        <v>16</v>
      </c>
      <c r="T10" s="131" t="s">
        <v>16</v>
      </c>
      <c r="U10" s="131" t="s">
        <v>16</v>
      </c>
      <c r="V10" s="131" t="s">
        <v>16</v>
      </c>
      <c r="W10" s="131" t="s">
        <v>17</v>
      </c>
      <c r="X10" s="131" t="s">
        <v>17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H10"/>
    </row>
    <row r="11" spans="1:34">
      <c r="A11" s="34" t="s">
        <v>12</v>
      </c>
      <c r="B11" s="33" t="s">
        <v>52</v>
      </c>
      <c r="C11" s="125" t="s">
        <v>7</v>
      </c>
      <c r="D11" s="131" t="s">
        <v>16</v>
      </c>
      <c r="E11" s="131" t="s">
        <v>16</v>
      </c>
      <c r="F11" s="131" t="s">
        <v>16</v>
      </c>
      <c r="G11" s="131" t="s">
        <v>16</v>
      </c>
      <c r="H11" s="131" t="s">
        <v>16</v>
      </c>
      <c r="I11" s="131" t="s">
        <v>17</v>
      </c>
      <c r="J11" s="131" t="s">
        <v>17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6" t="s">
        <v>20</v>
      </c>
      <c r="S11" s="126" t="s">
        <v>20</v>
      </c>
      <c r="T11" s="126" t="s">
        <v>20</v>
      </c>
      <c r="U11" s="126" t="s">
        <v>20</v>
      </c>
      <c r="V11" s="126" t="s">
        <v>20</v>
      </c>
      <c r="W11" s="125" t="s">
        <v>7</v>
      </c>
      <c r="X11" s="125" t="s">
        <v>7</v>
      </c>
      <c r="Y11" s="131" t="s">
        <v>16</v>
      </c>
      <c r="Z11" s="131" t="s">
        <v>16</v>
      </c>
      <c r="AA11" s="131" t="s">
        <v>16</v>
      </c>
      <c r="AB11" s="131" t="s">
        <v>16</v>
      </c>
      <c r="AC11" s="131" t="s">
        <v>16</v>
      </c>
      <c r="AD11" s="131" t="s">
        <v>17</v>
      </c>
      <c r="AH11"/>
    </row>
    <row r="12" spans="1:34">
      <c r="A12" s="34" t="s">
        <v>12</v>
      </c>
      <c r="B12" s="33" t="s">
        <v>24</v>
      </c>
      <c r="C12" s="131" t="s">
        <v>17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31" t="s">
        <v>16</v>
      </c>
      <c r="L12" s="131" t="s">
        <v>16</v>
      </c>
      <c r="M12" s="131" t="s">
        <v>16</v>
      </c>
      <c r="N12" s="131" t="s">
        <v>16</v>
      </c>
      <c r="O12" s="131" t="s">
        <v>16</v>
      </c>
      <c r="P12" s="131" t="s">
        <v>17</v>
      </c>
      <c r="Q12" s="131" t="s">
        <v>17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6" t="s">
        <v>20</v>
      </c>
      <c r="Z12" s="126" t="s">
        <v>20</v>
      </c>
      <c r="AA12" s="126" t="s">
        <v>20</v>
      </c>
      <c r="AB12" s="126" t="s">
        <v>20</v>
      </c>
      <c r="AC12" s="126" t="s">
        <v>20</v>
      </c>
      <c r="AD12" s="125" t="s">
        <v>7</v>
      </c>
      <c r="AH12"/>
    </row>
    <row r="13" spans="1:34">
      <c r="A13" s="34" t="s">
        <v>12</v>
      </c>
      <c r="B13" s="33" t="s">
        <v>84</v>
      </c>
      <c r="C13" s="125" t="s">
        <v>7</v>
      </c>
      <c r="D13" s="131" t="s">
        <v>16</v>
      </c>
      <c r="E13" s="131" t="s">
        <v>16</v>
      </c>
      <c r="F13" s="131" t="s">
        <v>16</v>
      </c>
      <c r="G13" s="131" t="s">
        <v>16</v>
      </c>
      <c r="H13" s="131" t="s">
        <v>16</v>
      </c>
      <c r="I13" s="131" t="s">
        <v>17</v>
      </c>
      <c r="J13" s="131" t="s">
        <v>17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31" t="s">
        <v>16</v>
      </c>
      <c r="S13" s="131" t="s">
        <v>16</v>
      </c>
      <c r="T13" s="131" t="s">
        <v>16</v>
      </c>
      <c r="U13" s="131" t="s">
        <v>16</v>
      </c>
      <c r="V13" s="131" t="s">
        <v>16</v>
      </c>
      <c r="W13" s="131" t="s">
        <v>17</v>
      </c>
      <c r="X13" s="131" t="s">
        <v>17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H13"/>
    </row>
    <row r="14" spans="1:34">
      <c r="A14" s="34" t="s">
        <v>12</v>
      </c>
      <c r="B14" s="33" t="s">
        <v>53</v>
      </c>
      <c r="C14" s="125" t="s">
        <v>7</v>
      </c>
      <c r="D14" s="126" t="s">
        <v>20</v>
      </c>
      <c r="E14" s="126" t="s">
        <v>20</v>
      </c>
      <c r="F14" s="126" t="s">
        <v>20</v>
      </c>
      <c r="G14" s="126" t="s">
        <v>20</v>
      </c>
      <c r="H14" s="126" t="s">
        <v>20</v>
      </c>
      <c r="I14" s="125" t="s">
        <v>7</v>
      </c>
      <c r="J14" s="125" t="s">
        <v>7</v>
      </c>
      <c r="K14" s="131" t="s">
        <v>16</v>
      </c>
      <c r="L14" s="131" t="s">
        <v>16</v>
      </c>
      <c r="M14" s="131" t="s">
        <v>16</v>
      </c>
      <c r="N14" s="131" t="s">
        <v>16</v>
      </c>
      <c r="O14" s="131" t="s">
        <v>16</v>
      </c>
      <c r="P14" s="131" t="s">
        <v>17</v>
      </c>
      <c r="Q14" s="131" t="s">
        <v>17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31" t="s">
        <v>16</v>
      </c>
      <c r="Z14" s="131" t="s">
        <v>16</v>
      </c>
      <c r="AA14" s="131" t="s">
        <v>16</v>
      </c>
      <c r="AB14" s="131" t="s">
        <v>16</v>
      </c>
      <c r="AC14" s="131" t="s">
        <v>16</v>
      </c>
      <c r="AD14" s="131" t="s">
        <v>17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/>
      <c r="B16" s="52" t="s">
        <v>96</v>
      </c>
      <c r="C16" s="137" t="s">
        <v>7</v>
      </c>
      <c r="D16" s="5" t="s">
        <v>14</v>
      </c>
      <c r="E16" s="5" t="s">
        <v>14</v>
      </c>
      <c r="F16" s="5" t="s">
        <v>14</v>
      </c>
      <c r="G16" s="5" t="s">
        <v>14</v>
      </c>
      <c r="H16" s="5" t="s">
        <v>14</v>
      </c>
      <c r="I16" s="137" t="s">
        <v>7</v>
      </c>
      <c r="J16" s="137" t="s">
        <v>7</v>
      </c>
      <c r="K16" s="5" t="s">
        <v>14</v>
      </c>
      <c r="L16" s="5" t="s">
        <v>14</v>
      </c>
      <c r="M16" s="5" t="s">
        <v>14</v>
      </c>
      <c r="N16" s="5" t="s">
        <v>14</v>
      </c>
      <c r="O16" s="5" t="s">
        <v>14</v>
      </c>
      <c r="P16" s="137" t="s">
        <v>7</v>
      </c>
      <c r="Q16" s="137" t="s">
        <v>7</v>
      </c>
      <c r="R16" s="5" t="s">
        <v>14</v>
      </c>
      <c r="S16" s="5" t="s">
        <v>14</v>
      </c>
      <c r="T16" s="5" t="s">
        <v>14</v>
      </c>
      <c r="U16" s="5" t="s">
        <v>14</v>
      </c>
      <c r="V16" s="5" t="s">
        <v>14</v>
      </c>
      <c r="W16" s="137" t="s">
        <v>7</v>
      </c>
      <c r="X16" s="137" t="s">
        <v>7</v>
      </c>
      <c r="Y16" s="5" t="s">
        <v>14</v>
      </c>
      <c r="Z16" s="5" t="s">
        <v>14</v>
      </c>
      <c r="AA16" s="5" t="s">
        <v>14</v>
      </c>
      <c r="AB16" s="5" t="s">
        <v>14</v>
      </c>
      <c r="AC16" s="5" t="s">
        <v>14</v>
      </c>
      <c r="AD16" s="137" t="s">
        <v>7</v>
      </c>
      <c r="AH16"/>
    </row>
    <row r="17" spans="1:34">
      <c r="A17" s="34"/>
      <c r="E17" s="123"/>
      <c r="F17" s="123"/>
      <c r="G17" s="123"/>
      <c r="H17" s="123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123"/>
      <c r="Z17" s="123"/>
      <c r="AA17" s="123"/>
      <c r="AB17" s="123"/>
      <c r="AC17" s="123"/>
      <c r="AD17" s="50"/>
      <c r="AH17"/>
    </row>
    <row r="18" spans="1:34">
      <c r="A18" s="34" t="s">
        <v>28</v>
      </c>
      <c r="B18" s="33" t="s">
        <v>29</v>
      </c>
      <c r="C18" s="28" t="s">
        <v>30</v>
      </c>
      <c r="D18" s="25" t="s">
        <v>11</v>
      </c>
      <c r="E18" s="118" t="s">
        <v>11</v>
      </c>
      <c r="F18" s="25" t="s">
        <v>11</v>
      </c>
      <c r="G18" s="25" t="s">
        <v>11</v>
      </c>
      <c r="H18" s="25" t="s">
        <v>11</v>
      </c>
      <c r="I18" s="28" t="s">
        <v>7</v>
      </c>
      <c r="J18" s="28" t="s">
        <v>7</v>
      </c>
      <c r="K18" s="4" t="s">
        <v>33</v>
      </c>
      <c r="L18" s="4" t="s">
        <v>33</v>
      </c>
      <c r="M18" s="4" t="s">
        <v>33</v>
      </c>
      <c r="N18" s="4" t="s">
        <v>33</v>
      </c>
      <c r="O18" s="4" t="s">
        <v>33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30</v>
      </c>
      <c r="X18" s="28" t="s">
        <v>30</v>
      </c>
      <c r="Y18" s="4" t="s">
        <v>33</v>
      </c>
      <c r="Z18" s="4" t="s">
        <v>33</v>
      </c>
      <c r="AA18" s="4" t="s">
        <v>33</v>
      </c>
      <c r="AB18" s="4" t="s">
        <v>33</v>
      </c>
      <c r="AC18" s="4" t="s">
        <v>33</v>
      </c>
      <c r="AD18" s="28" t="s">
        <v>7</v>
      </c>
      <c r="AH18"/>
    </row>
    <row r="19" spans="1:34">
      <c r="A19" s="34" t="s">
        <v>28</v>
      </c>
      <c r="B19" s="35" t="s">
        <v>60</v>
      </c>
      <c r="C19" s="28" t="s">
        <v>7</v>
      </c>
      <c r="D19" s="4" t="s">
        <v>33</v>
      </c>
      <c r="E19" s="4" t="s">
        <v>33</v>
      </c>
      <c r="F19" s="4" t="s">
        <v>33</v>
      </c>
      <c r="G19" s="4" t="s">
        <v>33</v>
      </c>
      <c r="H19" s="4" t="s">
        <v>33</v>
      </c>
      <c r="I19" s="28" t="s">
        <v>30</v>
      </c>
      <c r="J19" s="28" t="s">
        <v>30</v>
      </c>
      <c r="K19" s="25" t="s">
        <v>11</v>
      </c>
      <c r="L19" s="25" t="s">
        <v>11</v>
      </c>
      <c r="M19" s="25" t="s">
        <v>11</v>
      </c>
      <c r="N19" s="25" t="s">
        <v>11</v>
      </c>
      <c r="O19" s="25" t="s">
        <v>11</v>
      </c>
      <c r="P19" s="28" t="s">
        <v>7</v>
      </c>
      <c r="Q19" s="28" t="s">
        <v>7</v>
      </c>
      <c r="R19" s="4" t="s">
        <v>33</v>
      </c>
      <c r="S19" s="4" t="s">
        <v>33</v>
      </c>
      <c r="T19" s="4" t="s">
        <v>33</v>
      </c>
      <c r="U19" s="4" t="s">
        <v>33</v>
      </c>
      <c r="V19" s="4" t="s">
        <v>33</v>
      </c>
      <c r="W19" s="28" t="s">
        <v>30</v>
      </c>
      <c r="X19" s="28" t="s">
        <v>30</v>
      </c>
      <c r="Y19" s="25" t="s">
        <v>11</v>
      </c>
      <c r="Z19" s="25" t="s">
        <v>11</v>
      </c>
      <c r="AA19" s="25" t="s">
        <v>11</v>
      </c>
      <c r="AB19" s="25" t="s">
        <v>11</v>
      </c>
      <c r="AC19" s="25" t="s">
        <v>11</v>
      </c>
      <c r="AD19" s="28" t="s">
        <v>30</v>
      </c>
      <c r="AH19"/>
    </row>
    <row r="20" spans="1:34">
      <c r="A20" s="34" t="s">
        <v>28</v>
      </c>
      <c r="B20" s="35"/>
      <c r="C20" s="140"/>
      <c r="D20" s="139"/>
      <c r="E20" s="139"/>
      <c r="F20" s="139"/>
      <c r="G20" s="139"/>
      <c r="H20" s="139"/>
      <c r="I20" s="140"/>
      <c r="J20" s="140"/>
      <c r="K20" s="139"/>
      <c r="L20" s="139"/>
      <c r="M20" s="139"/>
      <c r="N20" s="139"/>
      <c r="O20" s="139"/>
      <c r="P20" s="140"/>
      <c r="Q20" s="140"/>
      <c r="R20" s="141"/>
      <c r="S20" s="141"/>
      <c r="T20" s="141"/>
      <c r="U20" s="141"/>
      <c r="V20" s="141"/>
      <c r="W20" s="140"/>
      <c r="X20" s="140"/>
      <c r="Y20" s="139"/>
      <c r="Z20" s="139"/>
      <c r="AA20" s="139"/>
      <c r="AB20" s="139"/>
      <c r="AC20" s="139"/>
      <c r="AD20" s="140"/>
      <c r="AH20"/>
    </row>
    <row r="22" spans="1:34">
      <c r="B22" s="111" t="s">
        <v>89</v>
      </c>
      <c r="C22" s="110">
        <f t="shared" ref="C22:AD22" si="0">SUM(C23:C25)</f>
        <v>4</v>
      </c>
      <c r="D22" s="110">
        <f t="shared" si="0"/>
        <v>5</v>
      </c>
      <c r="E22" s="110">
        <f t="shared" si="0"/>
        <v>4</v>
      </c>
      <c r="F22" s="110">
        <f t="shared" si="0"/>
        <v>5</v>
      </c>
      <c r="G22" s="110">
        <f t="shared" si="0"/>
        <v>5</v>
      </c>
      <c r="H22" s="110">
        <f t="shared" si="0"/>
        <v>5</v>
      </c>
      <c r="I22" s="110">
        <f t="shared" si="0"/>
        <v>4</v>
      </c>
      <c r="J22" s="110">
        <f t="shared" si="0"/>
        <v>4</v>
      </c>
      <c r="K22" s="110">
        <f t="shared" si="0"/>
        <v>5</v>
      </c>
      <c r="L22" s="110">
        <f t="shared" si="0"/>
        <v>5</v>
      </c>
      <c r="M22" s="110">
        <f t="shared" si="0"/>
        <v>5</v>
      </c>
      <c r="N22" s="110">
        <f t="shared" si="0"/>
        <v>5</v>
      </c>
      <c r="O22" s="110">
        <f t="shared" si="0"/>
        <v>5</v>
      </c>
      <c r="P22" s="110">
        <f t="shared" si="0"/>
        <v>4</v>
      </c>
      <c r="Q22" s="110">
        <f t="shared" si="0"/>
        <v>4</v>
      </c>
      <c r="R22" s="110">
        <f t="shared" si="0"/>
        <v>5</v>
      </c>
      <c r="S22" s="110">
        <f t="shared" si="0"/>
        <v>5</v>
      </c>
      <c r="T22" s="110">
        <f t="shared" si="0"/>
        <v>5</v>
      </c>
      <c r="U22" s="110">
        <f t="shared" si="0"/>
        <v>5</v>
      </c>
      <c r="V22" s="110">
        <f t="shared" si="0"/>
        <v>5</v>
      </c>
      <c r="W22" s="110">
        <f t="shared" si="0"/>
        <v>4</v>
      </c>
      <c r="X22" s="110">
        <f t="shared" si="0"/>
        <v>4</v>
      </c>
      <c r="Y22" s="110">
        <f t="shared" si="0"/>
        <v>5</v>
      </c>
      <c r="Z22" s="110">
        <f t="shared" si="0"/>
        <v>5</v>
      </c>
      <c r="AA22" s="110">
        <f t="shared" si="0"/>
        <v>5</v>
      </c>
      <c r="AB22" s="110">
        <f t="shared" si="0"/>
        <v>5</v>
      </c>
      <c r="AC22" s="110">
        <f t="shared" si="0"/>
        <v>5</v>
      </c>
      <c r="AD22" s="110">
        <f t="shared" si="0"/>
        <v>4</v>
      </c>
    </row>
    <row r="23" spans="1:34">
      <c r="B23" s="111" t="s">
        <v>90</v>
      </c>
      <c r="C23" s="112">
        <f t="shared" ref="C23:AD23" si="1">COUNTIF(C4:C20,"T")</f>
        <v>0</v>
      </c>
      <c r="D23" s="112">
        <f t="shared" si="1"/>
        <v>2</v>
      </c>
      <c r="E23" s="112">
        <f t="shared" si="1"/>
        <v>2</v>
      </c>
      <c r="F23" s="112">
        <f t="shared" si="1"/>
        <v>2</v>
      </c>
      <c r="G23" s="112">
        <f t="shared" si="1"/>
        <v>2</v>
      </c>
      <c r="H23" s="112">
        <f t="shared" si="1"/>
        <v>2</v>
      </c>
      <c r="I23" s="112">
        <f t="shared" si="1"/>
        <v>0</v>
      </c>
      <c r="J23" s="112">
        <f t="shared" si="1"/>
        <v>0</v>
      </c>
      <c r="K23" s="112">
        <f t="shared" si="1"/>
        <v>2</v>
      </c>
      <c r="L23" s="112">
        <f t="shared" si="1"/>
        <v>2</v>
      </c>
      <c r="M23" s="112">
        <f t="shared" si="1"/>
        <v>2</v>
      </c>
      <c r="N23" s="112">
        <f t="shared" si="1"/>
        <v>2</v>
      </c>
      <c r="O23" s="112">
        <f t="shared" si="1"/>
        <v>2</v>
      </c>
      <c r="P23" s="112">
        <f t="shared" si="1"/>
        <v>0</v>
      </c>
      <c r="Q23" s="112">
        <f t="shared" si="1"/>
        <v>0</v>
      </c>
      <c r="R23" s="112">
        <f t="shared" si="1"/>
        <v>2</v>
      </c>
      <c r="S23" s="112">
        <f t="shared" si="1"/>
        <v>2</v>
      </c>
      <c r="T23" s="112">
        <f t="shared" si="1"/>
        <v>2</v>
      </c>
      <c r="U23" s="112">
        <f t="shared" si="1"/>
        <v>2</v>
      </c>
      <c r="V23" s="112">
        <f t="shared" si="1"/>
        <v>2</v>
      </c>
      <c r="W23" s="112">
        <f t="shared" si="1"/>
        <v>0</v>
      </c>
      <c r="X23" s="112">
        <f t="shared" si="1"/>
        <v>0</v>
      </c>
      <c r="Y23" s="112">
        <f t="shared" si="1"/>
        <v>2</v>
      </c>
      <c r="Z23" s="112">
        <f t="shared" si="1"/>
        <v>2</v>
      </c>
      <c r="AA23" s="112">
        <f t="shared" si="1"/>
        <v>2</v>
      </c>
      <c r="AB23" s="112">
        <f t="shared" si="1"/>
        <v>2</v>
      </c>
      <c r="AC23" s="112">
        <f t="shared" si="1"/>
        <v>2</v>
      </c>
      <c r="AD23" s="112">
        <f t="shared" si="1"/>
        <v>0</v>
      </c>
    </row>
    <row r="24" spans="1:34">
      <c r="B24" s="111" t="s">
        <v>91</v>
      </c>
      <c r="C24" s="112">
        <f t="shared" ref="C24:AD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1</v>
      </c>
      <c r="E25" s="112">
        <f>COUNTIF(E4:E20,"M1")+COUNTIF(E4:E20,"NF")</f>
        <v>0</v>
      </c>
      <c r="F25" s="112">
        <f t="shared" ref="F25:AD25" si="3">COUNTIF(F4:F20,"M/F")+COUNTIF(F4:F20,"M1")+COUNTIF(F4:F20,"M3")+COUNTIF(F4:F20,"M3/G")+COUNTIF(F4:F20,"M2")</f>
        <v>1</v>
      </c>
      <c r="G25" s="112">
        <f t="shared" si="3"/>
        <v>1</v>
      </c>
      <c r="H25" s="112">
        <f t="shared" si="3"/>
        <v>1</v>
      </c>
      <c r="I25" s="112">
        <f t="shared" si="3"/>
        <v>2</v>
      </c>
      <c r="J25" s="112">
        <f t="shared" si="3"/>
        <v>2</v>
      </c>
      <c r="K25" s="112">
        <f t="shared" si="3"/>
        <v>1</v>
      </c>
      <c r="L25" s="112">
        <f t="shared" si="3"/>
        <v>1</v>
      </c>
      <c r="M25" s="112">
        <f t="shared" si="3"/>
        <v>1</v>
      </c>
      <c r="N25" s="112">
        <f t="shared" si="3"/>
        <v>1</v>
      </c>
      <c r="O25" s="112">
        <f t="shared" si="3"/>
        <v>1</v>
      </c>
      <c r="P25" s="112">
        <f t="shared" si="3"/>
        <v>2</v>
      </c>
      <c r="Q25" s="112">
        <f t="shared" si="3"/>
        <v>2</v>
      </c>
      <c r="R25" s="112">
        <f t="shared" si="3"/>
        <v>1</v>
      </c>
      <c r="S25" s="112">
        <f t="shared" si="3"/>
        <v>1</v>
      </c>
      <c r="T25" s="112">
        <f t="shared" si="3"/>
        <v>1</v>
      </c>
      <c r="U25" s="112">
        <f t="shared" si="3"/>
        <v>1</v>
      </c>
      <c r="V25" s="112">
        <f t="shared" si="3"/>
        <v>1</v>
      </c>
      <c r="W25" s="112">
        <f t="shared" si="3"/>
        <v>2</v>
      </c>
      <c r="X25" s="112">
        <f t="shared" si="3"/>
        <v>2</v>
      </c>
      <c r="Y25" s="112">
        <f t="shared" si="3"/>
        <v>1</v>
      </c>
      <c r="Z25" s="112">
        <f t="shared" si="3"/>
        <v>1</v>
      </c>
      <c r="AA25" s="112">
        <f t="shared" si="3"/>
        <v>1</v>
      </c>
      <c r="AB25" s="112">
        <f t="shared" si="3"/>
        <v>1</v>
      </c>
      <c r="AC25" s="112">
        <f t="shared" si="3"/>
        <v>1</v>
      </c>
      <c r="AD25" s="112">
        <f t="shared" si="3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D1"/>
  </mergeCells>
  <conditionalFormatting sqref="C23:AD25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9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48"/>
      <c r="C1" s="163" t="s">
        <v>99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 s="84" t="s">
        <v>1</v>
      </c>
      <c r="AH2"/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 s="5" t="s">
        <v>14</v>
      </c>
      <c r="AH5"/>
    </row>
    <row r="6" spans="1:34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 s="1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 s="7" t="s">
        <v>20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122" t="s">
        <v>23</v>
      </c>
      <c r="C10" s="125" t="s">
        <v>7</v>
      </c>
      <c r="D10" s="131" t="s">
        <v>16</v>
      </c>
      <c r="E10" s="131" t="s">
        <v>16</v>
      </c>
      <c r="F10" s="131" t="s">
        <v>16</v>
      </c>
      <c r="G10" s="131" t="s">
        <v>16</v>
      </c>
      <c r="H10" s="131" t="s">
        <v>16</v>
      </c>
      <c r="I10" s="131" t="s">
        <v>17</v>
      </c>
      <c r="J10" s="131" t="s">
        <v>17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6" t="s">
        <v>20</v>
      </c>
      <c r="S10" s="126" t="s">
        <v>20</v>
      </c>
      <c r="T10" s="126" t="s">
        <v>20</v>
      </c>
      <c r="U10" s="126" t="s">
        <v>20</v>
      </c>
      <c r="V10" s="126" t="s">
        <v>20</v>
      </c>
      <c r="W10" s="125" t="s">
        <v>7</v>
      </c>
      <c r="X10" s="125" t="s">
        <v>7</v>
      </c>
      <c r="Y10" s="131" t="s">
        <v>16</v>
      </c>
      <c r="Z10" s="131" t="s">
        <v>16</v>
      </c>
      <c r="AA10" s="131" t="s">
        <v>16</v>
      </c>
      <c r="AB10" s="131" t="s">
        <v>16</v>
      </c>
      <c r="AC10" s="131" t="s">
        <v>16</v>
      </c>
      <c r="AD10" s="131" t="s">
        <v>17</v>
      </c>
      <c r="AE10" s="131" t="s">
        <v>17</v>
      </c>
      <c r="AF10" s="125" t="s">
        <v>7</v>
      </c>
      <c r="AG10" s="125" t="s">
        <v>7</v>
      </c>
      <c r="AH10"/>
    </row>
    <row r="11" spans="1:34">
      <c r="A11" s="34" t="s">
        <v>12</v>
      </c>
      <c r="B11" s="33" t="s">
        <v>52</v>
      </c>
      <c r="C11" s="131" t="s">
        <v>17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31" t="s">
        <v>16</v>
      </c>
      <c r="L11" s="131" t="s">
        <v>16</v>
      </c>
      <c r="M11" s="131" t="s">
        <v>16</v>
      </c>
      <c r="N11" s="131" t="s">
        <v>16</v>
      </c>
      <c r="O11" s="131" t="s">
        <v>16</v>
      </c>
      <c r="P11" s="131" t="s">
        <v>17</v>
      </c>
      <c r="Q11" s="131" t="s">
        <v>17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6" t="s">
        <v>20</v>
      </c>
      <c r="Z11" s="126" t="s">
        <v>20</v>
      </c>
      <c r="AA11" s="126" t="s">
        <v>20</v>
      </c>
      <c r="AB11" s="126" t="s">
        <v>20</v>
      </c>
      <c r="AC11" s="126" t="s">
        <v>20</v>
      </c>
      <c r="AD11" s="125" t="s">
        <v>7</v>
      </c>
      <c r="AE11" s="125" t="s">
        <v>7</v>
      </c>
      <c r="AF11" s="131" t="s">
        <v>16</v>
      </c>
      <c r="AG11" s="131" t="s">
        <v>16</v>
      </c>
      <c r="AH11"/>
    </row>
    <row r="12" spans="1:34">
      <c r="A12" s="34" t="s">
        <v>12</v>
      </c>
      <c r="B12" s="33" t="s">
        <v>24</v>
      </c>
      <c r="C12" s="125" t="s">
        <v>7</v>
      </c>
      <c r="D12" s="131" t="s">
        <v>16</v>
      </c>
      <c r="E12" s="131" t="s">
        <v>16</v>
      </c>
      <c r="F12" s="131" t="s">
        <v>16</v>
      </c>
      <c r="G12" s="131" t="s">
        <v>16</v>
      </c>
      <c r="H12" s="131" t="s">
        <v>16</v>
      </c>
      <c r="I12" s="131" t="s">
        <v>17</v>
      </c>
      <c r="J12" s="131" t="s">
        <v>17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31" t="s">
        <v>16</v>
      </c>
      <c r="S12" s="131" t="s">
        <v>16</v>
      </c>
      <c r="T12" s="131" t="s">
        <v>16</v>
      </c>
      <c r="U12" s="131" t="s">
        <v>16</v>
      </c>
      <c r="V12" s="131" t="s">
        <v>16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6" t="s">
        <v>20</v>
      </c>
      <c r="AG12" s="126" t="s">
        <v>20</v>
      </c>
      <c r="AH12"/>
    </row>
    <row r="13" spans="1:34">
      <c r="A13" s="34" t="s">
        <v>12</v>
      </c>
      <c r="B13" s="33" t="s">
        <v>84</v>
      </c>
      <c r="C13" s="125" t="s">
        <v>7</v>
      </c>
      <c r="D13" s="126" t="s">
        <v>20</v>
      </c>
      <c r="E13" s="126" t="s">
        <v>20</v>
      </c>
      <c r="F13" s="126" t="s">
        <v>20</v>
      </c>
      <c r="G13" s="126" t="s">
        <v>20</v>
      </c>
      <c r="H13" s="126" t="s">
        <v>20</v>
      </c>
      <c r="I13" s="125" t="s">
        <v>7</v>
      </c>
      <c r="J13" s="125" t="s">
        <v>7</v>
      </c>
      <c r="K13" s="131" t="s">
        <v>16</v>
      </c>
      <c r="L13" s="131" t="s">
        <v>16</v>
      </c>
      <c r="M13" s="131" t="s">
        <v>16</v>
      </c>
      <c r="N13" s="131" t="s">
        <v>16</v>
      </c>
      <c r="O13" s="131" t="s">
        <v>16</v>
      </c>
      <c r="P13" s="131" t="s">
        <v>17</v>
      </c>
      <c r="Q13" s="131" t="s">
        <v>17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E13" s="131" t="s">
        <v>17</v>
      </c>
      <c r="AF13" s="125" t="s">
        <v>7</v>
      </c>
      <c r="AG13" s="125" t="s">
        <v>7</v>
      </c>
      <c r="AH13"/>
    </row>
    <row r="14" spans="1:34">
      <c r="A14" s="34" t="s">
        <v>12</v>
      </c>
      <c r="B14" s="33" t="s">
        <v>53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6" t="s">
        <v>20</v>
      </c>
      <c r="L14" s="126" t="s">
        <v>20</v>
      </c>
      <c r="M14" s="126" t="s">
        <v>20</v>
      </c>
      <c r="N14" s="126" t="s">
        <v>20</v>
      </c>
      <c r="O14" s="126" t="s">
        <v>20</v>
      </c>
      <c r="P14" s="125" t="s">
        <v>7</v>
      </c>
      <c r="Q14" s="125" t="s">
        <v>7</v>
      </c>
      <c r="R14" s="131" t="s">
        <v>16</v>
      </c>
      <c r="S14" s="131" t="s">
        <v>16</v>
      </c>
      <c r="T14" s="131" t="s">
        <v>16</v>
      </c>
      <c r="U14" s="131" t="s">
        <v>16</v>
      </c>
      <c r="V14" s="131" t="s">
        <v>16</v>
      </c>
      <c r="W14" s="131" t="s">
        <v>17</v>
      </c>
      <c r="X14" s="131" t="s">
        <v>17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31" t="s">
        <v>16</v>
      </c>
      <c r="AG14" s="131" t="s">
        <v>16</v>
      </c>
      <c r="AH14"/>
    </row>
    <row r="15" spans="1:34">
      <c r="A15" s="34"/>
      <c r="AH15"/>
    </row>
    <row r="16" spans="1:34">
      <c r="A16" s="34"/>
      <c r="B16" s="52" t="s">
        <v>96</v>
      </c>
      <c r="C16" s="137" t="s">
        <v>7</v>
      </c>
      <c r="D16" s="5" t="s">
        <v>14</v>
      </c>
      <c r="E16" s="5" t="s">
        <v>14</v>
      </c>
      <c r="F16" s="5" t="s">
        <v>14</v>
      </c>
      <c r="G16" s="5" t="s">
        <v>14</v>
      </c>
      <c r="H16" s="5" t="s">
        <v>14</v>
      </c>
      <c r="I16" s="137" t="s">
        <v>7</v>
      </c>
      <c r="J16" s="137" t="s">
        <v>7</v>
      </c>
      <c r="K16" s="5" t="s">
        <v>14</v>
      </c>
      <c r="L16" s="5" t="s">
        <v>14</v>
      </c>
      <c r="M16" s="5" t="s">
        <v>14</v>
      </c>
      <c r="N16" s="5" t="s">
        <v>14</v>
      </c>
      <c r="O16" s="5" t="s">
        <v>14</v>
      </c>
      <c r="P16" s="137" t="s">
        <v>7</v>
      </c>
      <c r="Q16" s="137" t="s">
        <v>7</v>
      </c>
      <c r="R16" s="5" t="s">
        <v>14</v>
      </c>
      <c r="S16" s="5" t="s">
        <v>14</v>
      </c>
      <c r="T16" s="5" t="s">
        <v>14</v>
      </c>
      <c r="U16" s="5" t="s">
        <v>14</v>
      </c>
      <c r="V16" s="5" t="s">
        <v>14</v>
      </c>
      <c r="W16" s="137" t="s">
        <v>7</v>
      </c>
      <c r="X16" s="137" t="s">
        <v>7</v>
      </c>
      <c r="Y16" s="5" t="s">
        <v>14</v>
      </c>
      <c r="Z16" s="5" t="s">
        <v>14</v>
      </c>
      <c r="AA16" s="5" t="s">
        <v>14</v>
      </c>
      <c r="AB16" s="5" t="s">
        <v>14</v>
      </c>
      <c r="AC16" s="5" t="s">
        <v>14</v>
      </c>
      <c r="AD16" s="137" t="s">
        <v>7</v>
      </c>
      <c r="AE16" s="137" t="s">
        <v>7</v>
      </c>
      <c r="AF16" s="5" t="s">
        <v>14</v>
      </c>
      <c r="AG16" s="5" t="s">
        <v>14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 t="s">
        <v>28</v>
      </c>
      <c r="B18" s="33" t="s">
        <v>29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5" t="s">
        <v>60</v>
      </c>
      <c r="C19" s="28" t="s">
        <v>30</v>
      </c>
      <c r="D19" s="25" t="s">
        <v>11</v>
      </c>
      <c r="E19" s="25" t="s">
        <v>11</v>
      </c>
      <c r="F19" s="25" t="s">
        <v>11</v>
      </c>
      <c r="G19" s="25" t="s">
        <v>11</v>
      </c>
      <c r="H19" s="25" t="s">
        <v>11</v>
      </c>
      <c r="I19" s="28" t="s">
        <v>7</v>
      </c>
      <c r="J19" s="28" t="s">
        <v>7</v>
      </c>
      <c r="K19" s="4" t="s">
        <v>14</v>
      </c>
      <c r="L19" s="4" t="s">
        <v>14</v>
      </c>
      <c r="M19" s="4" t="s">
        <v>14</v>
      </c>
      <c r="N19" s="4" t="s">
        <v>14</v>
      </c>
      <c r="O19" s="4" t="s">
        <v>14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28" t="s">
        <v>30</v>
      </c>
      <c r="X19" s="28" t="s">
        <v>30</v>
      </c>
      <c r="Y19" s="25" t="s">
        <v>11</v>
      </c>
      <c r="Z19" s="25" t="s">
        <v>11</v>
      </c>
      <c r="AA19" s="25" t="s">
        <v>11</v>
      </c>
      <c r="AB19" s="25" t="s">
        <v>11</v>
      </c>
      <c r="AC19" s="25" t="s">
        <v>11</v>
      </c>
      <c r="AD19" s="28" t="s">
        <v>7</v>
      </c>
      <c r="AE19" s="28" t="s">
        <v>7</v>
      </c>
      <c r="AF19" s="4" t="s">
        <v>14</v>
      </c>
      <c r="AG19" s="4" t="s">
        <v>14</v>
      </c>
      <c r="AH19"/>
    </row>
    <row r="20" spans="1:34">
      <c r="A20" s="34" t="s">
        <v>28</v>
      </c>
      <c r="B20" s="35" t="s">
        <v>34</v>
      </c>
      <c r="C20" s="28" t="s">
        <v>7</v>
      </c>
      <c r="D20" s="4" t="s">
        <v>85</v>
      </c>
      <c r="E20" s="4" t="s">
        <v>85</v>
      </c>
      <c r="F20" s="4" t="s">
        <v>85</v>
      </c>
      <c r="G20" s="4" t="s">
        <v>85</v>
      </c>
      <c r="H20" s="4" t="s">
        <v>85</v>
      </c>
      <c r="I20" s="28" t="s">
        <v>30</v>
      </c>
      <c r="J20" s="28" t="s">
        <v>30</v>
      </c>
      <c r="K20" s="25" t="s">
        <v>11</v>
      </c>
      <c r="L20" s="25" t="s">
        <v>11</v>
      </c>
      <c r="M20" s="25" t="s">
        <v>11</v>
      </c>
      <c r="N20" s="25" t="s">
        <v>11</v>
      </c>
      <c r="O20" s="25" t="s">
        <v>11</v>
      </c>
      <c r="P20" s="28" t="s">
        <v>7</v>
      </c>
      <c r="Q20" s="28" t="s">
        <v>7</v>
      </c>
      <c r="R20" s="4" t="s">
        <v>14</v>
      </c>
      <c r="S20" s="4" t="s">
        <v>14</v>
      </c>
      <c r="T20" s="4" t="s">
        <v>14</v>
      </c>
      <c r="U20" s="4" t="s">
        <v>14</v>
      </c>
      <c r="V20" s="4" t="s">
        <v>14</v>
      </c>
      <c r="W20" s="28" t="s">
        <v>7</v>
      </c>
      <c r="X20" s="28" t="s">
        <v>7</v>
      </c>
      <c r="Y20" s="4" t="s">
        <v>85</v>
      </c>
      <c r="Z20" s="4" t="s">
        <v>85</v>
      </c>
      <c r="AA20" s="4" t="s">
        <v>85</v>
      </c>
      <c r="AB20" s="4" t="s">
        <v>85</v>
      </c>
      <c r="AC20" s="4" t="s">
        <v>85</v>
      </c>
      <c r="AD20" s="28" t="s">
        <v>30</v>
      </c>
      <c r="AE20" s="28" t="s">
        <v>30</v>
      </c>
      <c r="AF20" s="25" t="s">
        <v>11</v>
      </c>
      <c r="AG20" s="25" t="s">
        <v>11</v>
      </c>
      <c r="AH20"/>
    </row>
    <row r="22" spans="1:34">
      <c r="B22" s="111" t="s">
        <v>89</v>
      </c>
      <c r="C22" s="110">
        <f t="shared" ref="C22:AG22" si="0">SUM(C23:C25)</f>
        <v>4</v>
      </c>
      <c r="D22" s="110">
        <f t="shared" si="0"/>
        <v>6</v>
      </c>
      <c r="E22" s="110">
        <f t="shared" si="0"/>
        <v>4</v>
      </c>
      <c r="F22" s="110">
        <f t="shared" si="0"/>
        <v>6</v>
      </c>
      <c r="G22" s="110">
        <f t="shared" si="0"/>
        <v>6</v>
      </c>
      <c r="H22" s="110">
        <f t="shared" si="0"/>
        <v>6</v>
      </c>
      <c r="I22" s="110">
        <f t="shared" si="0"/>
        <v>4</v>
      </c>
      <c r="J22" s="110">
        <f t="shared" si="0"/>
        <v>4</v>
      </c>
      <c r="K22" s="110">
        <f t="shared" si="0"/>
        <v>6</v>
      </c>
      <c r="L22" s="110">
        <f t="shared" si="0"/>
        <v>6</v>
      </c>
      <c r="M22" s="110">
        <f t="shared" si="0"/>
        <v>6</v>
      </c>
      <c r="N22" s="110">
        <f t="shared" si="0"/>
        <v>6</v>
      </c>
      <c r="O22" s="110">
        <f t="shared" si="0"/>
        <v>6</v>
      </c>
      <c r="P22" s="110">
        <f t="shared" si="0"/>
        <v>4</v>
      </c>
      <c r="Q22" s="110">
        <f t="shared" si="0"/>
        <v>4</v>
      </c>
      <c r="R22" s="110">
        <f t="shared" si="0"/>
        <v>6</v>
      </c>
      <c r="S22" s="110">
        <f t="shared" si="0"/>
        <v>6</v>
      </c>
      <c r="T22" s="110">
        <f t="shared" si="0"/>
        <v>6</v>
      </c>
      <c r="U22" s="110">
        <f t="shared" si="0"/>
        <v>6</v>
      </c>
      <c r="V22" s="110">
        <f t="shared" si="0"/>
        <v>6</v>
      </c>
      <c r="W22" s="110">
        <f t="shared" si="0"/>
        <v>4</v>
      </c>
      <c r="X22" s="110">
        <f t="shared" si="0"/>
        <v>4</v>
      </c>
      <c r="Y22" s="110">
        <f t="shared" si="0"/>
        <v>6</v>
      </c>
      <c r="Z22" s="110">
        <f t="shared" si="0"/>
        <v>6</v>
      </c>
      <c r="AA22" s="110">
        <f t="shared" si="0"/>
        <v>6</v>
      </c>
      <c r="AB22" s="110">
        <f t="shared" si="0"/>
        <v>6</v>
      </c>
      <c r="AC22" s="110">
        <f t="shared" si="0"/>
        <v>6</v>
      </c>
      <c r="AD22" s="110">
        <f t="shared" si="0"/>
        <v>4</v>
      </c>
      <c r="AE22" s="110">
        <f t="shared" si="0"/>
        <v>4</v>
      </c>
      <c r="AF22" s="110">
        <f t="shared" si="0"/>
        <v>6</v>
      </c>
      <c r="AG22" s="110">
        <f t="shared" si="0"/>
        <v>6</v>
      </c>
    </row>
    <row r="23" spans="1:34">
      <c r="B23" s="111" t="s">
        <v>90</v>
      </c>
      <c r="C23" s="112">
        <f t="shared" ref="C23:AG23" si="1">COUNTIF(C4:C20,"T")</f>
        <v>0</v>
      </c>
      <c r="D23" s="112">
        <f t="shared" si="1"/>
        <v>2</v>
      </c>
      <c r="E23" s="112">
        <f t="shared" si="1"/>
        <v>2</v>
      </c>
      <c r="F23" s="112">
        <f t="shared" si="1"/>
        <v>2</v>
      </c>
      <c r="G23" s="112">
        <f t="shared" si="1"/>
        <v>2</v>
      </c>
      <c r="H23" s="112">
        <f t="shared" si="1"/>
        <v>2</v>
      </c>
      <c r="I23" s="112">
        <f t="shared" si="1"/>
        <v>0</v>
      </c>
      <c r="J23" s="112">
        <f t="shared" si="1"/>
        <v>0</v>
      </c>
      <c r="K23" s="112">
        <f t="shared" si="1"/>
        <v>2</v>
      </c>
      <c r="L23" s="112">
        <f t="shared" si="1"/>
        <v>2</v>
      </c>
      <c r="M23" s="112">
        <f t="shared" si="1"/>
        <v>2</v>
      </c>
      <c r="N23" s="112">
        <f t="shared" si="1"/>
        <v>2</v>
      </c>
      <c r="O23" s="112">
        <f t="shared" si="1"/>
        <v>2</v>
      </c>
      <c r="P23" s="112">
        <f t="shared" si="1"/>
        <v>0</v>
      </c>
      <c r="Q23" s="112">
        <f t="shared" si="1"/>
        <v>0</v>
      </c>
      <c r="R23" s="112">
        <f t="shared" si="1"/>
        <v>2</v>
      </c>
      <c r="S23" s="112">
        <f t="shared" si="1"/>
        <v>2</v>
      </c>
      <c r="T23" s="112">
        <f t="shared" si="1"/>
        <v>2</v>
      </c>
      <c r="U23" s="112">
        <f t="shared" si="1"/>
        <v>2</v>
      </c>
      <c r="V23" s="112">
        <f t="shared" si="1"/>
        <v>2</v>
      </c>
      <c r="W23" s="112">
        <f t="shared" si="1"/>
        <v>0</v>
      </c>
      <c r="X23" s="112">
        <f t="shared" si="1"/>
        <v>0</v>
      </c>
      <c r="Y23" s="112">
        <f t="shared" si="1"/>
        <v>2</v>
      </c>
      <c r="Z23" s="112">
        <f t="shared" si="1"/>
        <v>2</v>
      </c>
      <c r="AA23" s="112">
        <f t="shared" si="1"/>
        <v>2</v>
      </c>
      <c r="AB23" s="112">
        <f t="shared" si="1"/>
        <v>2</v>
      </c>
      <c r="AC23" s="112">
        <f t="shared" si="1"/>
        <v>2</v>
      </c>
      <c r="AD23" s="112">
        <f t="shared" si="1"/>
        <v>0</v>
      </c>
      <c r="AE23" s="112">
        <f t="shared" si="1"/>
        <v>0</v>
      </c>
      <c r="AF23" s="112">
        <f t="shared" si="1"/>
        <v>2</v>
      </c>
      <c r="AG23" s="112">
        <f t="shared" si="1"/>
        <v>2</v>
      </c>
    </row>
    <row r="24" spans="1:34">
      <c r="B24" s="111" t="s">
        <v>91</v>
      </c>
      <c r="C24" s="112">
        <f t="shared" ref="C24:AG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  <c r="AG24" s="112">
        <f t="shared" si="2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  <c r="AG25" s="112">
        <f t="shared" si="3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conditionalFormatting sqref="C23:AG25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9"/>
  <sheetViews>
    <sheetView workbookViewId="0">
      <selection activeCell="C10" sqref="C10:AF14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48"/>
      <c r="C1" s="163" t="s">
        <v>100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>
      <c r="A2" s="6"/>
      <c r="B2" s="148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5" t="s">
        <v>14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>
      <c r="A9" s="34"/>
      <c r="AG9"/>
    </row>
    <row r="10" spans="1:33">
      <c r="A10" s="34" t="s">
        <v>12</v>
      </c>
      <c r="B10" s="122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31" t="s">
        <v>16</v>
      </c>
      <c r="I10" s="131" t="s">
        <v>16</v>
      </c>
      <c r="J10" s="131" t="s">
        <v>16</v>
      </c>
      <c r="K10" s="131" t="s">
        <v>16</v>
      </c>
      <c r="L10" s="131" t="s">
        <v>16</v>
      </c>
      <c r="M10" s="131" t="s">
        <v>17</v>
      </c>
      <c r="N10" s="131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6" t="s">
        <v>20</v>
      </c>
      <c r="W10" s="126" t="s">
        <v>20</v>
      </c>
      <c r="X10" s="126" t="s">
        <v>20</v>
      </c>
      <c r="Y10" s="126" t="s">
        <v>20</v>
      </c>
      <c r="Z10" s="126" t="s">
        <v>20</v>
      </c>
      <c r="AA10" s="125" t="s">
        <v>7</v>
      </c>
      <c r="AB10" s="125" t="s">
        <v>7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/>
    </row>
    <row r="11" spans="1:33">
      <c r="A11" s="34" t="s">
        <v>12</v>
      </c>
      <c r="B11" s="33" t="s">
        <v>52</v>
      </c>
      <c r="C11" s="131" t="s">
        <v>16</v>
      </c>
      <c r="D11" s="131" t="s">
        <v>16</v>
      </c>
      <c r="E11" s="131" t="s">
        <v>16</v>
      </c>
      <c r="F11" s="131" t="s">
        <v>17</v>
      </c>
      <c r="G11" s="131" t="s">
        <v>17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31" t="s">
        <v>16</v>
      </c>
      <c r="P11" s="131" t="s">
        <v>16</v>
      </c>
      <c r="Q11" s="131" t="s">
        <v>16</v>
      </c>
      <c r="R11" s="131" t="s">
        <v>16</v>
      </c>
      <c r="S11" s="131" t="s">
        <v>16</v>
      </c>
      <c r="T11" s="131" t="s">
        <v>17</v>
      </c>
      <c r="U11" s="131" t="s">
        <v>17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6" t="s">
        <v>20</v>
      </c>
      <c r="AD11" s="126" t="s">
        <v>20</v>
      </c>
      <c r="AE11" s="126" t="s">
        <v>20</v>
      </c>
      <c r="AF11" s="126" t="s">
        <v>20</v>
      </c>
      <c r="AG11"/>
    </row>
    <row r="12" spans="1:33">
      <c r="A12" s="34" t="s">
        <v>12</v>
      </c>
      <c r="B12" s="33" t="s">
        <v>24</v>
      </c>
      <c r="C12" s="126" t="s">
        <v>20</v>
      </c>
      <c r="D12" s="126" t="s">
        <v>20</v>
      </c>
      <c r="E12" s="126" t="s">
        <v>20</v>
      </c>
      <c r="F12" s="125" t="s">
        <v>7</v>
      </c>
      <c r="G12" s="125" t="s">
        <v>7</v>
      </c>
      <c r="H12" s="131" t="s">
        <v>16</v>
      </c>
      <c r="I12" s="131" t="s">
        <v>16</v>
      </c>
      <c r="J12" s="131" t="s">
        <v>16</v>
      </c>
      <c r="K12" s="131" t="s">
        <v>16</v>
      </c>
      <c r="L12" s="131" t="s">
        <v>16</v>
      </c>
      <c r="M12" s="131" t="s">
        <v>17</v>
      </c>
      <c r="N12" s="131" t="s">
        <v>17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31" t="s">
        <v>16</v>
      </c>
      <c r="W12" s="131" t="s">
        <v>16</v>
      </c>
      <c r="X12" s="131" t="s">
        <v>16</v>
      </c>
      <c r="Y12" s="131" t="s">
        <v>16</v>
      </c>
      <c r="Z12" s="131" t="s">
        <v>16</v>
      </c>
      <c r="AA12" s="131" t="s">
        <v>17</v>
      </c>
      <c r="AB12" s="131" t="s">
        <v>17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6" t="s">
        <v>20</v>
      </c>
      <c r="I13" s="126" t="s">
        <v>20</v>
      </c>
      <c r="J13" s="126" t="s">
        <v>20</v>
      </c>
      <c r="K13" s="126" t="s">
        <v>20</v>
      </c>
      <c r="L13" s="126" t="s">
        <v>20</v>
      </c>
      <c r="M13" s="125" t="s">
        <v>7</v>
      </c>
      <c r="N13" s="125" t="s">
        <v>7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16</v>
      </c>
      <c r="T13" s="131" t="s">
        <v>17</v>
      </c>
      <c r="U13" s="131" t="s">
        <v>17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31" t="s">
        <v>16</v>
      </c>
      <c r="AD13" s="131" t="s">
        <v>16</v>
      </c>
      <c r="AE13" s="131" t="s">
        <v>16</v>
      </c>
      <c r="AF13" s="131" t="s">
        <v>16</v>
      </c>
      <c r="AG13"/>
    </row>
    <row r="14" spans="1:33">
      <c r="A14" s="34" t="s">
        <v>12</v>
      </c>
      <c r="B14" s="33" t="s">
        <v>53</v>
      </c>
      <c r="C14" s="131" t="s">
        <v>16</v>
      </c>
      <c r="D14" s="131" t="s">
        <v>16</v>
      </c>
      <c r="E14" s="131" t="s">
        <v>16</v>
      </c>
      <c r="F14" s="131" t="s">
        <v>17</v>
      </c>
      <c r="G14" s="131" t="s">
        <v>17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6" t="s">
        <v>20</v>
      </c>
      <c r="P14" s="126" t="s">
        <v>20</v>
      </c>
      <c r="Q14" s="126" t="s">
        <v>20</v>
      </c>
      <c r="R14" s="126" t="s">
        <v>20</v>
      </c>
      <c r="S14" s="126" t="s">
        <v>20</v>
      </c>
      <c r="T14" s="125" t="s">
        <v>7</v>
      </c>
      <c r="U14" s="125" t="s">
        <v>7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16</v>
      </c>
      <c r="AA14" s="131" t="s">
        <v>17</v>
      </c>
      <c r="AB14" s="131" t="s">
        <v>17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/>
      <c r="B16" s="52" t="s">
        <v>96</v>
      </c>
      <c r="C16" s="5" t="s">
        <v>14</v>
      </c>
      <c r="D16" s="5" t="s">
        <v>14</v>
      </c>
      <c r="E16" s="5" t="s">
        <v>14</v>
      </c>
      <c r="F16" s="137" t="s">
        <v>7</v>
      </c>
      <c r="G16" s="137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137" t="s">
        <v>7</v>
      </c>
      <c r="N16" s="137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137" t="s">
        <v>7</v>
      </c>
      <c r="U16" s="137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137" t="s">
        <v>7</v>
      </c>
      <c r="AB16" s="137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/>
    </row>
    <row r="17" spans="1:33">
      <c r="A17" s="34"/>
      <c r="E17" s="50"/>
      <c r="F17" s="50"/>
      <c r="G17" s="50"/>
      <c r="H17" s="123"/>
      <c r="I17" s="123"/>
      <c r="J17" s="123"/>
      <c r="K17" s="123"/>
      <c r="L17" s="123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123"/>
      <c r="AD17" s="123"/>
      <c r="AG17"/>
    </row>
    <row r="18" spans="1:33">
      <c r="A18" s="34" t="s">
        <v>28</v>
      </c>
      <c r="B18" s="33" t="s">
        <v>29</v>
      </c>
      <c r="C18" s="4" t="s">
        <v>85</v>
      </c>
      <c r="D18" s="4" t="s">
        <v>85</v>
      </c>
      <c r="E18" s="4" t="s">
        <v>85</v>
      </c>
      <c r="F18" s="28" t="s">
        <v>7</v>
      </c>
      <c r="G18" s="28" t="s">
        <v>7</v>
      </c>
      <c r="H18" s="25" t="s">
        <v>11</v>
      </c>
      <c r="I18" s="25" t="s">
        <v>11</v>
      </c>
      <c r="J18" s="25" t="s">
        <v>11</v>
      </c>
      <c r="K18" s="25" t="s">
        <v>11</v>
      </c>
      <c r="L18" s="25" t="s">
        <v>11</v>
      </c>
      <c r="M18" s="28" t="s">
        <v>7</v>
      </c>
      <c r="N18" s="28" t="s">
        <v>7</v>
      </c>
      <c r="O18" s="4" t="s">
        <v>14</v>
      </c>
      <c r="P18" s="4" t="s">
        <v>14</v>
      </c>
      <c r="Q18" s="4" t="s">
        <v>14</v>
      </c>
      <c r="R18" s="4" t="s">
        <v>14</v>
      </c>
      <c r="S18" s="4" t="s">
        <v>14</v>
      </c>
      <c r="T18" s="28" t="s">
        <v>7</v>
      </c>
      <c r="U18" s="28" t="s">
        <v>7</v>
      </c>
      <c r="V18" s="4" t="s">
        <v>85</v>
      </c>
      <c r="W18" s="4" t="s">
        <v>85</v>
      </c>
      <c r="X18" s="4" t="s">
        <v>85</v>
      </c>
      <c r="Y18" s="4" t="s">
        <v>85</v>
      </c>
      <c r="Z18" s="4" t="s">
        <v>85</v>
      </c>
      <c r="AA18" s="28" t="s">
        <v>7</v>
      </c>
      <c r="AB18" s="28" t="s">
        <v>7</v>
      </c>
      <c r="AC18" s="25" t="s">
        <v>11</v>
      </c>
      <c r="AD18" s="25" t="s">
        <v>11</v>
      </c>
      <c r="AE18" s="25" t="s">
        <v>11</v>
      </c>
      <c r="AF18" s="25" t="s">
        <v>11</v>
      </c>
      <c r="AG18"/>
    </row>
    <row r="19" spans="1:33">
      <c r="A19" s="34" t="s">
        <v>28</v>
      </c>
      <c r="B19" s="35" t="s">
        <v>60</v>
      </c>
      <c r="C19" s="4" t="s">
        <v>14</v>
      </c>
      <c r="D19" s="4" t="s">
        <v>14</v>
      </c>
      <c r="E19" s="4" t="s">
        <v>14</v>
      </c>
      <c r="F19" s="28" t="s">
        <v>7</v>
      </c>
      <c r="G19" s="28" t="s">
        <v>7</v>
      </c>
      <c r="H19" s="4" t="s">
        <v>85</v>
      </c>
      <c r="I19" s="4" t="s">
        <v>85</v>
      </c>
      <c r="J19" s="4" t="s">
        <v>85</v>
      </c>
      <c r="K19" s="4" t="s">
        <v>85</v>
      </c>
      <c r="L19" s="4" t="s">
        <v>85</v>
      </c>
      <c r="M19" s="28" t="s">
        <v>7</v>
      </c>
      <c r="N19" s="28" t="s">
        <v>7</v>
      </c>
      <c r="O19" s="25" t="s">
        <v>11</v>
      </c>
      <c r="P19" s="25" t="s">
        <v>11</v>
      </c>
      <c r="Q19" s="25" t="s">
        <v>11</v>
      </c>
      <c r="R19" s="25" t="s">
        <v>11</v>
      </c>
      <c r="S19" s="25" t="s">
        <v>11</v>
      </c>
      <c r="T19" s="28" t="s">
        <v>7</v>
      </c>
      <c r="U19" s="28" t="s">
        <v>7</v>
      </c>
      <c r="V19" s="4" t="s">
        <v>14</v>
      </c>
      <c r="W19" s="4" t="s">
        <v>14</v>
      </c>
      <c r="X19" s="4" t="s">
        <v>14</v>
      </c>
      <c r="Y19" s="4" t="s">
        <v>14</v>
      </c>
      <c r="Z19" s="4" t="s">
        <v>14</v>
      </c>
      <c r="AA19" s="28" t="s">
        <v>7</v>
      </c>
      <c r="AB19" s="28" t="s">
        <v>7</v>
      </c>
      <c r="AC19" s="4" t="s">
        <v>85</v>
      </c>
      <c r="AD19" s="4" t="s">
        <v>85</v>
      </c>
      <c r="AE19" s="4" t="s">
        <v>85</v>
      </c>
      <c r="AF19" s="4" t="s">
        <v>85</v>
      </c>
      <c r="AG19"/>
    </row>
    <row r="20" spans="1:33">
      <c r="A20" s="34" t="s">
        <v>28</v>
      </c>
      <c r="B20" s="35" t="s">
        <v>34</v>
      </c>
      <c r="C20" s="25" t="s">
        <v>11</v>
      </c>
      <c r="D20" s="25" t="s">
        <v>11</v>
      </c>
      <c r="E20" s="25" t="s">
        <v>11</v>
      </c>
      <c r="F20" s="28" t="s">
        <v>7</v>
      </c>
      <c r="G20" s="28" t="s">
        <v>7</v>
      </c>
      <c r="H20" s="4" t="s">
        <v>14</v>
      </c>
      <c r="I20" s="4" t="s">
        <v>14</v>
      </c>
      <c r="J20" s="4" t="s">
        <v>14</v>
      </c>
      <c r="K20" s="4" t="s">
        <v>14</v>
      </c>
      <c r="L20" s="4" t="s">
        <v>14</v>
      </c>
      <c r="M20" s="28" t="s">
        <v>7</v>
      </c>
      <c r="N20" s="28" t="s">
        <v>7</v>
      </c>
      <c r="O20" s="4" t="s">
        <v>85</v>
      </c>
      <c r="P20" s="4" t="s">
        <v>85</v>
      </c>
      <c r="Q20" s="4" t="s">
        <v>85</v>
      </c>
      <c r="R20" s="4" t="s">
        <v>85</v>
      </c>
      <c r="S20" s="4" t="s">
        <v>85</v>
      </c>
      <c r="T20" s="28" t="s">
        <v>7</v>
      </c>
      <c r="U20" s="28" t="s">
        <v>7</v>
      </c>
      <c r="V20" s="25" t="s">
        <v>11</v>
      </c>
      <c r="W20" s="25" t="s">
        <v>11</v>
      </c>
      <c r="X20" s="25" t="s">
        <v>11</v>
      </c>
      <c r="Y20" s="25" t="s">
        <v>11</v>
      </c>
      <c r="Z20" s="25" t="s">
        <v>11</v>
      </c>
      <c r="AA20" s="28" t="s">
        <v>7</v>
      </c>
      <c r="AB20" s="28" t="s">
        <v>7</v>
      </c>
      <c r="AC20" s="4" t="s">
        <v>14</v>
      </c>
      <c r="AD20" s="4" t="s">
        <v>14</v>
      </c>
      <c r="AE20" s="4" t="s">
        <v>14</v>
      </c>
      <c r="AF20" s="4" t="s">
        <v>14</v>
      </c>
      <c r="AG20"/>
    </row>
    <row r="21" spans="1:33">
      <c r="AG21"/>
    </row>
    <row r="22" spans="1:33">
      <c r="B22" s="111" t="s">
        <v>89</v>
      </c>
      <c r="C22" s="110">
        <f t="shared" ref="C22:AF22" si="0">SUM(C23:C25)</f>
        <v>6</v>
      </c>
      <c r="D22" s="110">
        <f t="shared" si="0"/>
        <v>6</v>
      </c>
      <c r="E22" s="110">
        <f t="shared" si="0"/>
        <v>4</v>
      </c>
      <c r="F22" s="110">
        <f t="shared" si="0"/>
        <v>4</v>
      </c>
      <c r="G22" s="110">
        <f t="shared" si="0"/>
        <v>4</v>
      </c>
      <c r="H22" s="110">
        <f t="shared" si="0"/>
        <v>6</v>
      </c>
      <c r="I22" s="110">
        <f t="shared" si="0"/>
        <v>6</v>
      </c>
      <c r="J22" s="110">
        <f t="shared" si="0"/>
        <v>6</v>
      </c>
      <c r="K22" s="110">
        <f t="shared" si="0"/>
        <v>6</v>
      </c>
      <c r="L22" s="110">
        <f t="shared" si="0"/>
        <v>6</v>
      </c>
      <c r="M22" s="110">
        <f t="shared" si="0"/>
        <v>4</v>
      </c>
      <c r="N22" s="110">
        <f t="shared" si="0"/>
        <v>4</v>
      </c>
      <c r="O22" s="110">
        <f t="shared" si="0"/>
        <v>6</v>
      </c>
      <c r="P22" s="110">
        <f t="shared" si="0"/>
        <v>6</v>
      </c>
      <c r="Q22" s="110">
        <f t="shared" si="0"/>
        <v>6</v>
      </c>
      <c r="R22" s="110">
        <f t="shared" si="0"/>
        <v>6</v>
      </c>
      <c r="S22" s="110">
        <f t="shared" si="0"/>
        <v>6</v>
      </c>
      <c r="T22" s="110">
        <f t="shared" si="0"/>
        <v>4</v>
      </c>
      <c r="U22" s="110">
        <f t="shared" si="0"/>
        <v>4</v>
      </c>
      <c r="V22" s="110">
        <f t="shared" si="0"/>
        <v>6</v>
      </c>
      <c r="W22" s="110">
        <f t="shared" si="0"/>
        <v>6</v>
      </c>
      <c r="X22" s="110">
        <f t="shared" si="0"/>
        <v>6</v>
      </c>
      <c r="Y22" s="110">
        <f t="shared" si="0"/>
        <v>6</v>
      </c>
      <c r="Z22" s="110">
        <f t="shared" si="0"/>
        <v>6</v>
      </c>
      <c r="AA22" s="110">
        <f t="shared" si="0"/>
        <v>4</v>
      </c>
      <c r="AB22" s="110">
        <f t="shared" si="0"/>
        <v>4</v>
      </c>
      <c r="AC22" s="110">
        <f t="shared" si="0"/>
        <v>6</v>
      </c>
      <c r="AD22" s="110">
        <f t="shared" si="0"/>
        <v>6</v>
      </c>
      <c r="AE22" s="110">
        <f t="shared" si="0"/>
        <v>6</v>
      </c>
      <c r="AF22" s="110">
        <f t="shared" si="0"/>
        <v>6</v>
      </c>
    </row>
    <row r="23" spans="1:33">
      <c r="B23" s="111" t="s">
        <v>90</v>
      </c>
      <c r="C23" s="112">
        <f t="shared" ref="C23:AF23" si="1">COUNTIF(C4:C20,"T")</f>
        <v>2</v>
      </c>
      <c r="D23" s="112">
        <f t="shared" si="1"/>
        <v>2</v>
      </c>
      <c r="E23" s="112">
        <f t="shared" si="1"/>
        <v>2</v>
      </c>
      <c r="F23" s="112">
        <f t="shared" si="1"/>
        <v>0</v>
      </c>
      <c r="G23" s="112">
        <f t="shared" si="1"/>
        <v>0</v>
      </c>
      <c r="H23" s="112">
        <f t="shared" si="1"/>
        <v>2</v>
      </c>
      <c r="I23" s="112">
        <f t="shared" si="1"/>
        <v>2</v>
      </c>
      <c r="J23" s="112">
        <f t="shared" si="1"/>
        <v>2</v>
      </c>
      <c r="K23" s="112">
        <f t="shared" si="1"/>
        <v>2</v>
      </c>
      <c r="L23" s="112">
        <f t="shared" si="1"/>
        <v>2</v>
      </c>
      <c r="M23" s="112">
        <f t="shared" si="1"/>
        <v>0</v>
      </c>
      <c r="N23" s="112">
        <f t="shared" si="1"/>
        <v>0</v>
      </c>
      <c r="O23" s="112">
        <f t="shared" si="1"/>
        <v>2</v>
      </c>
      <c r="P23" s="112">
        <f t="shared" si="1"/>
        <v>2</v>
      </c>
      <c r="Q23" s="112">
        <f t="shared" si="1"/>
        <v>2</v>
      </c>
      <c r="R23" s="112">
        <f t="shared" si="1"/>
        <v>2</v>
      </c>
      <c r="S23" s="112">
        <f t="shared" si="1"/>
        <v>2</v>
      </c>
      <c r="T23" s="112">
        <f t="shared" si="1"/>
        <v>0</v>
      </c>
      <c r="U23" s="112">
        <f t="shared" si="1"/>
        <v>0</v>
      </c>
      <c r="V23" s="112">
        <f t="shared" si="1"/>
        <v>2</v>
      </c>
      <c r="W23" s="112">
        <f t="shared" si="1"/>
        <v>2</v>
      </c>
      <c r="X23" s="112">
        <f t="shared" si="1"/>
        <v>2</v>
      </c>
      <c r="Y23" s="112">
        <f t="shared" si="1"/>
        <v>2</v>
      </c>
      <c r="Z23" s="112">
        <f t="shared" si="1"/>
        <v>2</v>
      </c>
      <c r="AA23" s="112">
        <f t="shared" si="1"/>
        <v>0</v>
      </c>
      <c r="AB23" s="112">
        <f t="shared" si="1"/>
        <v>0</v>
      </c>
      <c r="AC23" s="112">
        <f t="shared" si="1"/>
        <v>2</v>
      </c>
      <c r="AD23" s="112">
        <f t="shared" si="1"/>
        <v>2</v>
      </c>
      <c r="AE23" s="112">
        <f t="shared" si="1"/>
        <v>2</v>
      </c>
      <c r="AF23" s="112">
        <f t="shared" si="1"/>
        <v>2</v>
      </c>
    </row>
    <row r="24" spans="1:33">
      <c r="B24" s="111" t="s">
        <v>91</v>
      </c>
      <c r="C24" s="112">
        <f t="shared" ref="C24:AF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</row>
    <row r="25" spans="1:33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F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</row>
    <row r="27" spans="1:33">
      <c r="B27" t="s">
        <v>65</v>
      </c>
    </row>
    <row r="28" spans="1:33">
      <c r="B28" s="5" t="s">
        <v>66</v>
      </c>
    </row>
    <row r="29" spans="1:33">
      <c r="B29" s="5" t="s">
        <v>67</v>
      </c>
    </row>
    <row r="30" spans="1:33">
      <c r="B30" s="1" t="s">
        <v>68</v>
      </c>
    </row>
    <row r="31" spans="1:33">
      <c r="B31" s="7" t="s">
        <v>69</v>
      </c>
    </row>
    <row r="32" spans="1:33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F1"/>
  </mergeCells>
  <conditionalFormatting sqref="C23:AF25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9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48"/>
      <c r="C1" s="163" t="s">
        <v>101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>
      <c r="A2" s="6"/>
      <c r="B2" s="148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52" t="s">
        <v>23</v>
      </c>
      <c r="C10" s="137" t="s">
        <v>7</v>
      </c>
      <c r="D10" s="137" t="s">
        <v>7</v>
      </c>
      <c r="E10" s="137" t="s">
        <v>7</v>
      </c>
      <c r="F10" s="137" t="s">
        <v>7</v>
      </c>
      <c r="G10" s="137" t="s">
        <v>7</v>
      </c>
      <c r="H10" s="137" t="s">
        <v>7</v>
      </c>
      <c r="I10" s="137" t="s">
        <v>7</v>
      </c>
      <c r="J10" s="137" t="s">
        <v>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37" t="s">
        <v>7</v>
      </c>
      <c r="S10" s="137" t="s">
        <v>7</v>
      </c>
      <c r="T10" s="137" t="s">
        <v>7</v>
      </c>
      <c r="U10" s="137" t="s">
        <v>7</v>
      </c>
      <c r="V10" s="137" t="s">
        <v>7</v>
      </c>
      <c r="W10" s="137" t="s">
        <v>7</v>
      </c>
      <c r="X10" s="137" t="s">
        <v>7</v>
      </c>
      <c r="Y10" s="137" t="s">
        <v>7</v>
      </c>
      <c r="Z10" s="137" t="s">
        <v>7</v>
      </c>
      <c r="AA10" s="137" t="s">
        <v>7</v>
      </c>
      <c r="AB10" s="137" t="s">
        <v>7</v>
      </c>
      <c r="AC10" s="137" t="s">
        <v>7</v>
      </c>
      <c r="AD10" s="137" t="s">
        <v>7</v>
      </c>
      <c r="AE10" s="137" t="s">
        <v>7</v>
      </c>
      <c r="AF10" s="137" t="s">
        <v>7</v>
      </c>
      <c r="AG10" s="137" t="s">
        <v>7</v>
      </c>
      <c r="AH10"/>
    </row>
    <row r="11" spans="1:34">
      <c r="A11" s="34" t="s">
        <v>12</v>
      </c>
      <c r="B11" s="52" t="s">
        <v>52</v>
      </c>
      <c r="C11" s="137" t="s">
        <v>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37" t="s">
        <v>7</v>
      </c>
      <c r="L11" s="137" t="s">
        <v>7</v>
      </c>
      <c r="M11" s="137" t="s">
        <v>7</v>
      </c>
      <c r="N11" s="137" t="s">
        <v>7</v>
      </c>
      <c r="O11" s="137" t="s">
        <v>7</v>
      </c>
      <c r="P11" s="137" t="s">
        <v>7</v>
      </c>
      <c r="Q11" s="137" t="s">
        <v>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37" t="s">
        <v>7</v>
      </c>
      <c r="Z11" s="137" t="s">
        <v>7</v>
      </c>
      <c r="AA11" s="137" t="s">
        <v>7</v>
      </c>
      <c r="AB11" s="137" t="s">
        <v>7</v>
      </c>
      <c r="AC11" s="137" t="s">
        <v>7</v>
      </c>
      <c r="AD11" s="137" t="s">
        <v>7</v>
      </c>
      <c r="AE11" s="137" t="s">
        <v>7</v>
      </c>
      <c r="AF11" s="137" t="s">
        <v>7</v>
      </c>
      <c r="AG11" s="137" t="s">
        <v>7</v>
      </c>
      <c r="AH11"/>
    </row>
    <row r="12" spans="1:34">
      <c r="A12" s="34" t="s">
        <v>12</v>
      </c>
      <c r="B12" s="52" t="s">
        <v>24</v>
      </c>
      <c r="C12" s="137" t="s">
        <v>7</v>
      </c>
      <c r="D12" s="137" t="s">
        <v>7</v>
      </c>
      <c r="E12" s="137" t="s">
        <v>7</v>
      </c>
      <c r="F12" s="137" t="s">
        <v>7</v>
      </c>
      <c r="G12" s="137" t="s">
        <v>7</v>
      </c>
      <c r="H12" s="137" t="s">
        <v>7</v>
      </c>
      <c r="I12" s="137" t="s">
        <v>7</v>
      </c>
      <c r="J12" s="137" t="s">
        <v>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37" t="s">
        <v>7</v>
      </c>
      <c r="S12" s="137" t="s">
        <v>7</v>
      </c>
      <c r="T12" s="137" t="s">
        <v>7</v>
      </c>
      <c r="U12" s="137" t="s">
        <v>7</v>
      </c>
      <c r="V12" s="137" t="s">
        <v>7</v>
      </c>
      <c r="W12" s="137" t="s">
        <v>7</v>
      </c>
      <c r="X12" s="137" t="s">
        <v>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37" t="s">
        <v>7</v>
      </c>
      <c r="AG12" s="137" t="s">
        <v>7</v>
      </c>
      <c r="AH12"/>
    </row>
    <row r="13" spans="1:34">
      <c r="A13" s="34" t="s">
        <v>12</v>
      </c>
      <c r="B13" s="52" t="s">
        <v>84</v>
      </c>
      <c r="C13" s="137" t="s">
        <v>7</v>
      </c>
      <c r="D13" s="137" t="s">
        <v>7</v>
      </c>
      <c r="E13" s="137" t="s">
        <v>7</v>
      </c>
      <c r="F13" s="137" t="s">
        <v>7</v>
      </c>
      <c r="G13" s="137" t="s">
        <v>7</v>
      </c>
      <c r="H13" s="137" t="s">
        <v>7</v>
      </c>
      <c r="I13" s="137" t="s">
        <v>7</v>
      </c>
      <c r="J13" s="137" t="s">
        <v>7</v>
      </c>
      <c r="K13" s="137" t="s">
        <v>7</v>
      </c>
      <c r="L13" s="137" t="s">
        <v>7</v>
      </c>
      <c r="M13" s="137" t="s">
        <v>7</v>
      </c>
      <c r="N13" s="137" t="s">
        <v>7</v>
      </c>
      <c r="O13" s="137" t="s">
        <v>7</v>
      </c>
      <c r="P13" s="137" t="s">
        <v>7</v>
      </c>
      <c r="Q13" s="137" t="s">
        <v>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37" t="s">
        <v>7</v>
      </c>
      <c r="Z13" s="137" t="s">
        <v>7</v>
      </c>
      <c r="AA13" s="137" t="s">
        <v>7</v>
      </c>
      <c r="AB13" s="137" t="s">
        <v>7</v>
      </c>
      <c r="AC13" s="137" t="s">
        <v>7</v>
      </c>
      <c r="AD13" s="137" t="s">
        <v>7</v>
      </c>
      <c r="AE13" s="137" t="s">
        <v>7</v>
      </c>
      <c r="AF13" s="137" t="s">
        <v>7</v>
      </c>
      <c r="AG13" s="137" t="s">
        <v>7</v>
      </c>
      <c r="AH13"/>
    </row>
    <row r="14" spans="1:34" ht="14.25" customHeight="1">
      <c r="A14" s="34" t="s">
        <v>12</v>
      </c>
      <c r="B14" s="52" t="s">
        <v>53</v>
      </c>
      <c r="C14" s="137" t="s">
        <v>7</v>
      </c>
      <c r="D14" s="137" t="s">
        <v>7</v>
      </c>
      <c r="E14" s="137" t="s">
        <v>7</v>
      </c>
      <c r="F14" s="137" t="s">
        <v>7</v>
      </c>
      <c r="G14" s="137" t="s">
        <v>7</v>
      </c>
      <c r="H14" s="137" t="s">
        <v>7</v>
      </c>
      <c r="I14" s="137" t="s">
        <v>7</v>
      </c>
      <c r="J14" s="137" t="s">
        <v>7</v>
      </c>
      <c r="K14" s="137" t="s">
        <v>7</v>
      </c>
      <c r="L14" s="137" t="s">
        <v>7</v>
      </c>
      <c r="M14" s="137" t="s">
        <v>7</v>
      </c>
      <c r="N14" s="137" t="s">
        <v>7</v>
      </c>
      <c r="O14" s="137" t="s">
        <v>7</v>
      </c>
      <c r="P14" s="137" t="s">
        <v>7</v>
      </c>
      <c r="Q14" s="137" t="s">
        <v>7</v>
      </c>
      <c r="R14" s="137" t="s">
        <v>7</v>
      </c>
      <c r="S14" s="137" t="s">
        <v>7</v>
      </c>
      <c r="T14" s="137" t="s">
        <v>7</v>
      </c>
      <c r="U14" s="137" t="s">
        <v>7</v>
      </c>
      <c r="V14" s="137" t="s">
        <v>7</v>
      </c>
      <c r="W14" s="137" t="s">
        <v>7</v>
      </c>
      <c r="X14" s="137" t="s">
        <v>7</v>
      </c>
      <c r="Y14" s="137" t="s">
        <v>7</v>
      </c>
      <c r="Z14" s="137" t="s">
        <v>7</v>
      </c>
      <c r="AA14" s="137" t="s">
        <v>7</v>
      </c>
      <c r="AB14" s="137" t="s">
        <v>7</v>
      </c>
      <c r="AC14" s="137" t="s">
        <v>7</v>
      </c>
      <c r="AD14" s="137" t="s">
        <v>7</v>
      </c>
      <c r="AE14" s="137" t="s">
        <v>7</v>
      </c>
      <c r="AF14" s="137" t="s">
        <v>7</v>
      </c>
      <c r="AG14" s="137" t="s">
        <v>7</v>
      </c>
      <c r="AH14"/>
    </row>
    <row r="15" spans="1:34" ht="14.25" customHeight="1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>
      <c r="A16" s="34"/>
      <c r="B16" s="52" t="s">
        <v>96</v>
      </c>
      <c r="C16" s="125" t="s">
        <v>7</v>
      </c>
      <c r="D16" s="125" t="s">
        <v>7</v>
      </c>
      <c r="E16" s="125" t="s">
        <v>7</v>
      </c>
      <c r="F16" s="125" t="s">
        <v>7</v>
      </c>
      <c r="G16" s="125" t="s">
        <v>7</v>
      </c>
      <c r="H16" s="125" t="s">
        <v>7</v>
      </c>
      <c r="I16" s="125" t="s">
        <v>7</v>
      </c>
      <c r="J16" s="125" t="s">
        <v>7</v>
      </c>
      <c r="K16" s="125" t="s">
        <v>7</v>
      </c>
      <c r="L16" s="125" t="s">
        <v>7</v>
      </c>
      <c r="M16" s="125" t="s">
        <v>7</v>
      </c>
      <c r="N16" s="125" t="s">
        <v>7</v>
      </c>
      <c r="O16" s="125" t="s">
        <v>7</v>
      </c>
      <c r="P16" s="125" t="s">
        <v>7</v>
      </c>
      <c r="Q16" s="125" t="s">
        <v>7</v>
      </c>
      <c r="R16" s="125" t="s">
        <v>7</v>
      </c>
      <c r="S16" s="125" t="s">
        <v>7</v>
      </c>
      <c r="T16" s="125" t="s">
        <v>7</v>
      </c>
      <c r="U16" s="125" t="s">
        <v>7</v>
      </c>
      <c r="V16" s="125" t="s">
        <v>7</v>
      </c>
      <c r="W16" s="125" t="s">
        <v>7</v>
      </c>
      <c r="X16" s="125" t="s">
        <v>7</v>
      </c>
      <c r="Y16" s="125" t="s">
        <v>7</v>
      </c>
      <c r="Z16" s="125" t="s">
        <v>7</v>
      </c>
      <c r="AA16" s="125" t="s">
        <v>7</v>
      </c>
      <c r="AB16" s="125" t="s">
        <v>7</v>
      </c>
      <c r="AC16" s="125" t="s">
        <v>7</v>
      </c>
      <c r="AD16" s="125" t="s">
        <v>7</v>
      </c>
      <c r="AE16" s="125" t="s">
        <v>7</v>
      </c>
      <c r="AF16" s="125" t="s">
        <v>7</v>
      </c>
      <c r="AG16" s="125" t="s">
        <v>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123"/>
      <c r="U17" s="123"/>
      <c r="V17" s="123"/>
      <c r="W17" s="123"/>
      <c r="X17" s="123"/>
      <c r="Y17" s="50"/>
      <c r="Z17" s="50"/>
      <c r="AA17" s="50"/>
      <c r="AB17" s="50"/>
      <c r="AC17" s="50"/>
      <c r="AD17" s="50"/>
      <c r="AH17"/>
    </row>
    <row r="18" spans="1:34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4" t="s">
        <v>14</v>
      </c>
      <c r="G18" s="4" t="s">
        <v>14</v>
      </c>
      <c r="H18" s="4" t="s">
        <v>14</v>
      </c>
      <c r="I18" s="4" t="s">
        <v>14</v>
      </c>
      <c r="J18" s="4" t="s">
        <v>14</v>
      </c>
      <c r="K18" s="28" t="s">
        <v>7</v>
      </c>
      <c r="L18" s="28" t="s">
        <v>7</v>
      </c>
      <c r="M18" s="4" t="s">
        <v>85</v>
      </c>
      <c r="N18" s="4" t="s">
        <v>85</v>
      </c>
      <c r="O18" s="4" t="s">
        <v>85</v>
      </c>
      <c r="P18" s="4" t="s">
        <v>85</v>
      </c>
      <c r="Q18" s="4" t="s">
        <v>85</v>
      </c>
      <c r="R18" s="28" t="s">
        <v>7</v>
      </c>
      <c r="S18" s="28" t="s">
        <v>7</v>
      </c>
      <c r="T18" s="25" t="s">
        <v>11</v>
      </c>
      <c r="U18" s="25" t="s">
        <v>11</v>
      </c>
      <c r="V18" s="25" t="s">
        <v>11</v>
      </c>
      <c r="W18" s="25" t="s">
        <v>11</v>
      </c>
      <c r="X18" s="25" t="s">
        <v>11</v>
      </c>
      <c r="Y18" s="28" t="s">
        <v>7</v>
      </c>
      <c r="Z18" s="28" t="s">
        <v>7</v>
      </c>
      <c r="AA18" s="4" t="s">
        <v>14</v>
      </c>
      <c r="AB18" s="4" t="s">
        <v>14</v>
      </c>
      <c r="AC18" s="4" t="s">
        <v>14</v>
      </c>
      <c r="AD18" s="4" t="s">
        <v>14</v>
      </c>
      <c r="AE18" s="4" t="s">
        <v>14</v>
      </c>
      <c r="AF18" s="28" t="s">
        <v>7</v>
      </c>
      <c r="AG18" s="28" t="s">
        <v>7</v>
      </c>
      <c r="AH18"/>
    </row>
    <row r="19" spans="1:34">
      <c r="A19" s="34" t="s">
        <v>28</v>
      </c>
      <c r="B19" s="35" t="s">
        <v>60</v>
      </c>
      <c r="C19" s="4" t="s">
        <v>85</v>
      </c>
      <c r="D19" s="28" t="s">
        <v>7</v>
      </c>
      <c r="E19" s="28" t="s">
        <v>7</v>
      </c>
      <c r="F19" s="25" t="s">
        <v>11</v>
      </c>
      <c r="G19" s="25" t="s">
        <v>11</v>
      </c>
      <c r="H19" s="25" t="s">
        <v>11</v>
      </c>
      <c r="I19" s="25" t="s">
        <v>11</v>
      </c>
      <c r="J19" s="25" t="s">
        <v>11</v>
      </c>
      <c r="K19" s="28" t="s">
        <v>7</v>
      </c>
      <c r="L19" s="28" t="s">
        <v>7</v>
      </c>
      <c r="M19" s="4" t="s">
        <v>14</v>
      </c>
      <c r="N19" s="4" t="s">
        <v>14</v>
      </c>
      <c r="O19" s="4" t="s">
        <v>14</v>
      </c>
      <c r="P19" s="4" t="s">
        <v>14</v>
      </c>
      <c r="Q19" s="4" t="s">
        <v>14</v>
      </c>
      <c r="R19" s="28" t="s">
        <v>7</v>
      </c>
      <c r="S19" s="28" t="s">
        <v>7</v>
      </c>
      <c r="T19" s="4" t="s">
        <v>85</v>
      </c>
      <c r="U19" s="4" t="s">
        <v>85</v>
      </c>
      <c r="V19" s="4" t="s">
        <v>85</v>
      </c>
      <c r="W19" s="4" t="s">
        <v>85</v>
      </c>
      <c r="X19" s="4" t="s">
        <v>85</v>
      </c>
      <c r="Y19" s="28" t="s">
        <v>7</v>
      </c>
      <c r="Z19" s="2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8" t="s">
        <v>7</v>
      </c>
      <c r="AG19" s="28" t="s">
        <v>7</v>
      </c>
      <c r="AH19"/>
    </row>
    <row r="20" spans="1:34">
      <c r="A20" s="34" t="s">
        <v>28</v>
      </c>
      <c r="B20" s="35" t="s">
        <v>34</v>
      </c>
      <c r="C20" s="4" t="s">
        <v>14</v>
      </c>
      <c r="D20" s="28" t="s">
        <v>7</v>
      </c>
      <c r="E20" s="28" t="s">
        <v>7</v>
      </c>
      <c r="F20" s="4" t="s">
        <v>85</v>
      </c>
      <c r="G20" s="4" t="s">
        <v>85</v>
      </c>
      <c r="H20" s="4" t="s">
        <v>85</v>
      </c>
      <c r="I20" s="4" t="s">
        <v>85</v>
      </c>
      <c r="J20" s="4" t="s">
        <v>85</v>
      </c>
      <c r="K20" s="28" t="s">
        <v>7</v>
      </c>
      <c r="L20" s="28" t="s">
        <v>7</v>
      </c>
      <c r="M20" s="25" t="s">
        <v>11</v>
      </c>
      <c r="N20" s="25" t="s">
        <v>11</v>
      </c>
      <c r="O20" s="25" t="s">
        <v>11</v>
      </c>
      <c r="P20" s="25" t="s">
        <v>11</v>
      </c>
      <c r="Q20" s="25" t="s">
        <v>11</v>
      </c>
      <c r="R20" s="28" t="s">
        <v>7</v>
      </c>
      <c r="S20" s="28" t="s">
        <v>7</v>
      </c>
      <c r="T20" s="4" t="s">
        <v>14</v>
      </c>
      <c r="U20" s="4" t="s">
        <v>14</v>
      </c>
      <c r="V20" s="4" t="s">
        <v>14</v>
      </c>
      <c r="W20" s="4" t="s">
        <v>14</v>
      </c>
      <c r="X20" s="4" t="s">
        <v>14</v>
      </c>
      <c r="Y20" s="28" t="s">
        <v>7</v>
      </c>
      <c r="Z20" s="28" t="s">
        <v>7</v>
      </c>
      <c r="AA20" s="4" t="s">
        <v>85</v>
      </c>
      <c r="AB20" s="4" t="s">
        <v>85</v>
      </c>
      <c r="AC20" s="4" t="s">
        <v>85</v>
      </c>
      <c r="AD20" s="4" t="s">
        <v>85</v>
      </c>
      <c r="AE20" s="4" t="s">
        <v>85</v>
      </c>
      <c r="AF20" s="28" t="s">
        <v>7</v>
      </c>
      <c r="AG20" s="28" t="s">
        <v>7</v>
      </c>
      <c r="AH20"/>
    </row>
    <row r="22" spans="1:34">
      <c r="B22" s="111" t="s">
        <v>89</v>
      </c>
      <c r="C22" s="110">
        <f t="shared" ref="C22:AG22" si="0">SUM(C23:C25)</f>
        <v>3</v>
      </c>
      <c r="D22" s="110">
        <f t="shared" si="0"/>
        <v>2</v>
      </c>
      <c r="E22" s="110">
        <f t="shared" si="0"/>
        <v>0</v>
      </c>
      <c r="F22" s="110">
        <f t="shared" si="0"/>
        <v>3</v>
      </c>
      <c r="G22" s="110">
        <f t="shared" si="0"/>
        <v>3</v>
      </c>
      <c r="H22" s="110">
        <f t="shared" si="0"/>
        <v>3</v>
      </c>
      <c r="I22" s="110">
        <f t="shared" si="0"/>
        <v>3</v>
      </c>
      <c r="J22" s="110">
        <f t="shared" si="0"/>
        <v>3</v>
      </c>
      <c r="K22" s="110">
        <f t="shared" si="0"/>
        <v>2</v>
      </c>
      <c r="L22" s="110">
        <f t="shared" si="0"/>
        <v>2</v>
      </c>
      <c r="M22" s="110">
        <f t="shared" si="0"/>
        <v>3</v>
      </c>
      <c r="N22" s="110">
        <f t="shared" si="0"/>
        <v>3</v>
      </c>
      <c r="O22" s="110">
        <f t="shared" si="0"/>
        <v>3</v>
      </c>
      <c r="P22" s="110">
        <f t="shared" si="0"/>
        <v>3</v>
      </c>
      <c r="Q22" s="110">
        <f t="shared" si="0"/>
        <v>3</v>
      </c>
      <c r="R22" s="110">
        <f t="shared" si="0"/>
        <v>2</v>
      </c>
      <c r="S22" s="110">
        <f t="shared" si="0"/>
        <v>2</v>
      </c>
      <c r="T22" s="110">
        <f t="shared" si="0"/>
        <v>3</v>
      </c>
      <c r="U22" s="110">
        <f t="shared" si="0"/>
        <v>3</v>
      </c>
      <c r="V22" s="110">
        <f t="shared" si="0"/>
        <v>3</v>
      </c>
      <c r="W22" s="110">
        <f t="shared" si="0"/>
        <v>3</v>
      </c>
      <c r="X22" s="110">
        <f t="shared" si="0"/>
        <v>3</v>
      </c>
      <c r="Y22" s="110">
        <f t="shared" si="0"/>
        <v>2</v>
      </c>
      <c r="Z22" s="110">
        <f t="shared" si="0"/>
        <v>2</v>
      </c>
      <c r="AA22" s="110">
        <f t="shared" si="0"/>
        <v>3</v>
      </c>
      <c r="AB22" s="110">
        <f t="shared" si="0"/>
        <v>3</v>
      </c>
      <c r="AC22" s="110">
        <f t="shared" si="0"/>
        <v>3</v>
      </c>
      <c r="AD22" s="110">
        <f t="shared" si="0"/>
        <v>3</v>
      </c>
      <c r="AE22" s="110">
        <f t="shared" si="0"/>
        <v>3</v>
      </c>
      <c r="AF22" s="110">
        <f t="shared" si="0"/>
        <v>2</v>
      </c>
      <c r="AG22" s="110">
        <f t="shared" si="0"/>
        <v>2</v>
      </c>
    </row>
    <row r="23" spans="1:34">
      <c r="B23" s="111" t="s">
        <v>90</v>
      </c>
      <c r="C23" s="112">
        <f t="shared" ref="C23:AG23" si="1">COUNTIF(C4:C20,"T")</f>
        <v>1</v>
      </c>
      <c r="D23" s="112">
        <f t="shared" si="1"/>
        <v>0</v>
      </c>
      <c r="E23" s="112">
        <f t="shared" si="1"/>
        <v>0</v>
      </c>
      <c r="F23" s="112">
        <f t="shared" si="1"/>
        <v>1</v>
      </c>
      <c r="G23" s="112">
        <f t="shared" si="1"/>
        <v>1</v>
      </c>
      <c r="H23" s="112">
        <f t="shared" si="1"/>
        <v>1</v>
      </c>
      <c r="I23" s="112">
        <f t="shared" si="1"/>
        <v>1</v>
      </c>
      <c r="J23" s="112">
        <f t="shared" si="1"/>
        <v>1</v>
      </c>
      <c r="K23" s="112">
        <f t="shared" si="1"/>
        <v>0</v>
      </c>
      <c r="L23" s="112">
        <f t="shared" si="1"/>
        <v>0</v>
      </c>
      <c r="M23" s="112">
        <f t="shared" si="1"/>
        <v>1</v>
      </c>
      <c r="N23" s="112">
        <f t="shared" si="1"/>
        <v>1</v>
      </c>
      <c r="O23" s="112">
        <f t="shared" si="1"/>
        <v>1</v>
      </c>
      <c r="P23" s="112">
        <f t="shared" si="1"/>
        <v>1</v>
      </c>
      <c r="Q23" s="112">
        <f t="shared" si="1"/>
        <v>1</v>
      </c>
      <c r="R23" s="112">
        <f t="shared" si="1"/>
        <v>0</v>
      </c>
      <c r="S23" s="112">
        <f t="shared" si="1"/>
        <v>0</v>
      </c>
      <c r="T23" s="112">
        <f t="shared" si="1"/>
        <v>1</v>
      </c>
      <c r="U23" s="112">
        <f t="shared" si="1"/>
        <v>1</v>
      </c>
      <c r="V23" s="112">
        <f t="shared" si="1"/>
        <v>1</v>
      </c>
      <c r="W23" s="112">
        <f t="shared" si="1"/>
        <v>1</v>
      </c>
      <c r="X23" s="112">
        <f t="shared" si="1"/>
        <v>1</v>
      </c>
      <c r="Y23" s="112">
        <f t="shared" si="1"/>
        <v>0</v>
      </c>
      <c r="Z23" s="112">
        <f t="shared" si="1"/>
        <v>0</v>
      </c>
      <c r="AA23" s="112">
        <f t="shared" si="1"/>
        <v>1</v>
      </c>
      <c r="AB23" s="112">
        <f t="shared" si="1"/>
        <v>1</v>
      </c>
      <c r="AC23" s="112">
        <f t="shared" si="1"/>
        <v>1</v>
      </c>
      <c r="AD23" s="112">
        <f t="shared" si="1"/>
        <v>1</v>
      </c>
      <c r="AE23" s="112">
        <f t="shared" si="1"/>
        <v>1</v>
      </c>
      <c r="AF23" s="112">
        <f t="shared" si="1"/>
        <v>0</v>
      </c>
      <c r="AG23" s="112">
        <f t="shared" si="1"/>
        <v>0</v>
      </c>
    </row>
    <row r="24" spans="1:34">
      <c r="B24" s="111" t="s">
        <v>91</v>
      </c>
      <c r="C24" s="112">
        <f t="shared" ref="C24:AG24" si="2">COUNTIF(C4:C20,"N")+COUNTIF(C4:C20,"NF")</f>
        <v>0</v>
      </c>
      <c r="D24" s="112">
        <f t="shared" si="2"/>
        <v>0</v>
      </c>
      <c r="E24" s="112">
        <f t="shared" si="2"/>
        <v>0</v>
      </c>
      <c r="F24" s="112">
        <f t="shared" si="2"/>
        <v>0</v>
      </c>
      <c r="G24" s="112">
        <f t="shared" si="2"/>
        <v>0</v>
      </c>
      <c r="H24" s="112">
        <f t="shared" si="2"/>
        <v>0</v>
      </c>
      <c r="I24" s="112">
        <f t="shared" si="2"/>
        <v>0</v>
      </c>
      <c r="J24" s="112">
        <f t="shared" si="2"/>
        <v>0</v>
      </c>
      <c r="K24" s="112">
        <f t="shared" si="2"/>
        <v>0</v>
      </c>
      <c r="L24" s="112">
        <f t="shared" si="2"/>
        <v>0</v>
      </c>
      <c r="M24" s="112">
        <f t="shared" si="2"/>
        <v>0</v>
      </c>
      <c r="N24" s="112">
        <f t="shared" si="2"/>
        <v>0</v>
      </c>
      <c r="O24" s="112">
        <f t="shared" si="2"/>
        <v>0</v>
      </c>
      <c r="P24" s="112">
        <f t="shared" si="2"/>
        <v>0</v>
      </c>
      <c r="Q24" s="112">
        <f t="shared" si="2"/>
        <v>0</v>
      </c>
      <c r="R24" s="112">
        <f t="shared" si="2"/>
        <v>0</v>
      </c>
      <c r="S24" s="112">
        <f t="shared" si="2"/>
        <v>0</v>
      </c>
      <c r="T24" s="112">
        <f t="shared" si="2"/>
        <v>0</v>
      </c>
      <c r="U24" s="112">
        <f t="shared" si="2"/>
        <v>0</v>
      </c>
      <c r="V24" s="112">
        <f t="shared" si="2"/>
        <v>0</v>
      </c>
      <c r="W24" s="112">
        <f t="shared" si="2"/>
        <v>0</v>
      </c>
      <c r="X24" s="112">
        <f t="shared" si="2"/>
        <v>0</v>
      </c>
      <c r="Y24" s="112">
        <f t="shared" si="2"/>
        <v>0</v>
      </c>
      <c r="Z24" s="112">
        <f t="shared" si="2"/>
        <v>0</v>
      </c>
      <c r="AA24" s="112">
        <f t="shared" si="2"/>
        <v>0</v>
      </c>
      <c r="AB24" s="112">
        <f t="shared" si="2"/>
        <v>0</v>
      </c>
      <c r="AC24" s="112">
        <f t="shared" si="2"/>
        <v>0</v>
      </c>
      <c r="AD24" s="112">
        <f t="shared" si="2"/>
        <v>0</v>
      </c>
      <c r="AE24" s="112">
        <f t="shared" si="2"/>
        <v>0</v>
      </c>
      <c r="AF24" s="112">
        <f t="shared" si="2"/>
        <v>0</v>
      </c>
      <c r="AG24" s="112">
        <f t="shared" si="2"/>
        <v>0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  <c r="AG25" s="112">
        <f t="shared" si="3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conditionalFormatting sqref="C23:AG25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C10" sqref="C10:AF14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48"/>
      <c r="C1" s="163" t="s">
        <v>102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>
      <c r="A2" s="6"/>
      <c r="B2" s="14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122" t="s">
        <v>103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/>
    </row>
    <row r="12" spans="1:33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/>
    </row>
    <row r="14" spans="1:33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4" t="s">
        <v>85</v>
      </c>
      <c r="D16" s="4" t="s">
        <v>85</v>
      </c>
      <c r="E16" s="4" t="s">
        <v>85</v>
      </c>
      <c r="F16" s="4" t="s">
        <v>85</v>
      </c>
      <c r="G16" s="4" t="s">
        <v>85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85</v>
      </c>
      <c r="Y16" s="4" t="s">
        <v>85</v>
      </c>
      <c r="Z16" s="4" t="s">
        <v>85</v>
      </c>
      <c r="AA16" s="4" t="s">
        <v>85</v>
      </c>
      <c r="AB16" s="4" t="s">
        <v>85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85</v>
      </c>
      <c r="K17" s="4" t="s">
        <v>85</v>
      </c>
      <c r="L17" s="4" t="s">
        <v>85</v>
      </c>
      <c r="M17" s="4" t="s">
        <v>85</v>
      </c>
      <c r="N17" s="4" t="s">
        <v>85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85</v>
      </c>
      <c r="AF17" s="4" t="s">
        <v>85</v>
      </c>
      <c r="AG17"/>
    </row>
    <row r="18" spans="1:33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85</v>
      </c>
      <c r="R18" s="4" t="s">
        <v>85</v>
      </c>
      <c r="S18" s="4" t="s">
        <v>85</v>
      </c>
      <c r="T18" s="4" t="s">
        <v>85</v>
      </c>
      <c r="U18" s="4" t="s">
        <v>85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>
      <c r="H19" t="s">
        <v>104</v>
      </c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2</v>
      </c>
      <c r="I20" s="110">
        <f t="shared" si="0"/>
        <v>2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2</v>
      </c>
      <c r="P20" s="110">
        <f t="shared" si="0"/>
        <v>2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2</v>
      </c>
      <c r="W20" s="110">
        <f t="shared" si="0"/>
        <v>2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2</v>
      </c>
      <c r="AD20" s="110">
        <f t="shared" si="0"/>
        <v>2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0</v>
      </c>
      <c r="I21" s="112">
        <f t="shared" si="1"/>
        <v>0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0</v>
      </c>
      <c r="P21" s="112">
        <f t="shared" si="1"/>
        <v>0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0</v>
      </c>
      <c r="W21" s="112">
        <f t="shared" si="1"/>
        <v>0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0</v>
      </c>
      <c r="AD21" s="112">
        <f t="shared" si="1"/>
        <v>0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6" ht="24" customHeight="1">
      <c r="A1" s="6"/>
      <c r="B1" s="148"/>
      <c r="C1" s="163" t="s">
        <v>105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6">
      <c r="A2" s="6"/>
      <c r="B2" s="148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>
      <c r="A10" s="34" t="s">
        <v>12</v>
      </c>
      <c r="B10" s="33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6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 s="125" t="s">
        <v>7</v>
      </c>
      <c r="AH11"/>
    </row>
    <row r="12" spans="1:36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 s="125" t="s">
        <v>7</v>
      </c>
      <c r="AH12"/>
    </row>
    <row r="13" spans="1:36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 s="125" t="s">
        <v>7</v>
      </c>
      <c r="AH13"/>
    </row>
    <row r="14" spans="1:36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 s="125" t="s">
        <v>7</v>
      </c>
      <c r="AH14"/>
      <c r="AJ14" s="135"/>
    </row>
    <row r="15" spans="1:36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2</v>
      </c>
      <c r="G20" s="110">
        <f t="shared" si="0"/>
        <v>2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2</v>
      </c>
      <c r="N20" s="110">
        <f t="shared" si="0"/>
        <v>2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2</v>
      </c>
      <c r="U20" s="110">
        <f t="shared" si="0"/>
        <v>2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2</v>
      </c>
      <c r="AB20" s="110">
        <f t="shared" si="0"/>
        <v>2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0</v>
      </c>
      <c r="G21" s="112">
        <f t="shared" si="1"/>
        <v>0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0</v>
      </c>
      <c r="N21" s="112">
        <f t="shared" si="1"/>
        <v>0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0</v>
      </c>
      <c r="U21" s="112">
        <f t="shared" si="1"/>
        <v>0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0</v>
      </c>
      <c r="AB21" s="112">
        <f t="shared" si="1"/>
        <v>0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48"/>
      <c r="C1" s="163" t="s">
        <v>106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>
      <c r="A2" s="6"/>
      <c r="B2" s="148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defaultColWidth="8.85546875" defaultRowHeight="14.45"/>
  <cols>
    <col min="2" max="2" width="25.5703125" customWidth="1"/>
    <col min="3" max="32" width="4.7109375" customWidth="1"/>
    <col min="33" max="33" width="9.5703125" style="91" customWidth="1"/>
  </cols>
  <sheetData>
    <row r="1" spans="1:33" ht="24" customHeight="1">
      <c r="A1" s="6"/>
      <c r="B1" s="148"/>
      <c r="C1" s="163" t="s">
        <v>107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/>
    </row>
    <row r="2" spans="1:33">
      <c r="A2" s="6"/>
      <c r="B2" s="14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48"/>
      <c r="C1" s="163" t="s">
        <v>108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>
      <c r="A2" s="6"/>
      <c r="B2" s="148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48"/>
      <c r="C1" s="163" t="s">
        <v>109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48"/>
      <c r="C1" s="163" t="s">
        <v>110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>
      <c r="A2" s="6"/>
      <c r="B2" s="14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7" zoomScale="115" zoomScaleNormal="115" workbookViewId="0">
      <selection activeCell="I38" sqref="I38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710937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7109375" customWidth="1"/>
    <col min="63" max="63" width="5" customWidth="1"/>
    <col min="64" max="64" width="4.140625" customWidth="1"/>
  </cols>
  <sheetData>
    <row r="2" spans="4:64">
      <c r="G2" s="101" t="s">
        <v>111</v>
      </c>
      <c r="I2" s="102">
        <f>1800*10</f>
        <v>18000</v>
      </c>
    </row>
    <row r="3" spans="4:64">
      <c r="G3" s="101" t="s">
        <v>112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113</v>
      </c>
      <c r="H9" s="99" t="s">
        <v>114</v>
      </c>
      <c r="I9" s="99" t="s">
        <v>115</v>
      </c>
      <c r="J9" s="99" t="s">
        <v>116</v>
      </c>
      <c r="K9" s="99" t="s">
        <v>117</v>
      </c>
      <c r="L9" s="99" t="s">
        <v>118</v>
      </c>
      <c r="M9" s="99" t="s">
        <v>119</v>
      </c>
      <c r="N9" s="99" t="s">
        <v>120</v>
      </c>
      <c r="O9" s="99" t="s">
        <v>121</v>
      </c>
      <c r="P9" s="99" t="s">
        <v>122</v>
      </c>
      <c r="Q9" s="99" t="s">
        <v>123</v>
      </c>
      <c r="R9" s="99" t="s">
        <v>124</v>
      </c>
      <c r="S9" s="99" t="s">
        <v>125</v>
      </c>
      <c r="T9" s="99" t="s">
        <v>126</v>
      </c>
      <c r="U9" s="99" t="s">
        <v>127</v>
      </c>
      <c r="V9" s="99" t="s">
        <v>128</v>
      </c>
      <c r="W9" s="99" t="s">
        <v>129</v>
      </c>
      <c r="X9" s="99" t="s">
        <v>130</v>
      </c>
      <c r="Y9" s="99" t="s">
        <v>131</v>
      </c>
      <c r="Z9" s="99" t="s">
        <v>132</v>
      </c>
      <c r="AA9" s="99" t="s">
        <v>133</v>
      </c>
      <c r="AB9" s="99" t="s">
        <v>134</v>
      </c>
      <c r="AC9" s="99" t="s">
        <v>135</v>
      </c>
      <c r="AD9" s="99" t="s">
        <v>136</v>
      </c>
      <c r="AE9" s="99" t="s">
        <v>137</v>
      </c>
      <c r="AF9" s="99" t="s">
        <v>138</v>
      </c>
      <c r="AG9" s="99" t="s">
        <v>139</v>
      </c>
      <c r="AH9" s="99" t="s">
        <v>140</v>
      </c>
      <c r="AI9" s="99" t="s">
        <v>141</v>
      </c>
      <c r="AJ9" s="99" t="s">
        <v>142</v>
      </c>
      <c r="AK9" s="99" t="s">
        <v>143</v>
      </c>
      <c r="AL9" s="99" t="s">
        <v>144</v>
      </c>
      <c r="AM9" s="99" t="s">
        <v>145</v>
      </c>
      <c r="AN9" s="99" t="s">
        <v>146</v>
      </c>
      <c r="AO9" s="99" t="s">
        <v>147</v>
      </c>
      <c r="AP9" s="99" t="s">
        <v>148</v>
      </c>
      <c r="AQ9" s="99" t="s">
        <v>149</v>
      </c>
      <c r="AR9" s="99" t="s">
        <v>150</v>
      </c>
      <c r="AS9" s="99" t="s">
        <v>151</v>
      </c>
      <c r="AT9" s="99" t="s">
        <v>152</v>
      </c>
      <c r="AU9" s="99" t="s">
        <v>153</v>
      </c>
      <c r="AV9" s="99" t="s">
        <v>154</v>
      </c>
      <c r="AW9" s="99" t="s">
        <v>155</v>
      </c>
      <c r="AX9" s="99" t="s">
        <v>156</v>
      </c>
      <c r="AY9" s="99" t="s">
        <v>157</v>
      </c>
      <c r="AZ9" s="99" t="s">
        <v>158</v>
      </c>
      <c r="BA9" s="99" t="s">
        <v>159</v>
      </c>
      <c r="BB9" s="99" t="s">
        <v>160</v>
      </c>
      <c r="BC9" s="99" t="s">
        <v>161</v>
      </c>
      <c r="BD9" s="99" t="s">
        <v>162</v>
      </c>
      <c r="BE9" s="99" t="s">
        <v>163</v>
      </c>
      <c r="BF9" s="99" t="s">
        <v>164</v>
      </c>
      <c r="BG9" s="99" t="s">
        <v>165</v>
      </c>
      <c r="BH9" s="99" t="s">
        <v>166</v>
      </c>
      <c r="BI9" s="99" t="s">
        <v>167</v>
      </c>
      <c r="BJ9" s="99" t="s">
        <v>168</v>
      </c>
      <c r="BK9" s="106" t="s">
        <v>169</v>
      </c>
      <c r="BL9" s="106" t="s">
        <v>170</v>
      </c>
    </row>
    <row r="10" spans="4:64">
      <c r="D10" s="102"/>
      <c r="E10" s="102"/>
      <c r="F10" s="95"/>
      <c r="G10" s="97" t="s">
        <v>171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172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173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174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175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176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177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178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179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180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181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182</v>
      </c>
      <c r="H23">
        <f>AVERAGE(H10:H20)</f>
        <v>849.6</v>
      </c>
    </row>
    <row r="27" spans="7:64">
      <c r="G27" s="99" t="s">
        <v>113</v>
      </c>
      <c r="H27" s="99" t="s">
        <v>114</v>
      </c>
      <c r="I27" s="99" t="s">
        <v>115</v>
      </c>
      <c r="J27" s="99" t="s">
        <v>116</v>
      </c>
      <c r="K27" s="99" t="s">
        <v>117</v>
      </c>
      <c r="L27" s="99" t="s">
        <v>118</v>
      </c>
      <c r="M27" s="99" t="s">
        <v>119</v>
      </c>
      <c r="N27" s="99" t="s">
        <v>120</v>
      </c>
      <c r="O27" s="99" t="s">
        <v>121</v>
      </c>
      <c r="P27" s="99" t="s">
        <v>122</v>
      </c>
      <c r="Q27" s="99" t="s">
        <v>123</v>
      </c>
      <c r="R27" s="99" t="s">
        <v>124</v>
      </c>
      <c r="S27" s="99" t="s">
        <v>125</v>
      </c>
      <c r="T27" s="99" t="s">
        <v>126</v>
      </c>
      <c r="U27" s="99" t="s">
        <v>127</v>
      </c>
      <c r="V27" s="99" t="s">
        <v>128</v>
      </c>
      <c r="W27" s="99" t="s">
        <v>129</v>
      </c>
      <c r="X27" s="99" t="s">
        <v>130</v>
      </c>
      <c r="Y27" s="99" t="s">
        <v>131</v>
      </c>
      <c r="Z27" s="99" t="s">
        <v>132</v>
      </c>
      <c r="AA27" s="99" t="s">
        <v>133</v>
      </c>
      <c r="AB27" s="99" t="s">
        <v>134</v>
      </c>
      <c r="AC27" s="99" t="s">
        <v>135</v>
      </c>
      <c r="AD27" s="99" t="s">
        <v>136</v>
      </c>
      <c r="AE27" s="99" t="s">
        <v>137</v>
      </c>
      <c r="AF27" s="99" t="s">
        <v>138</v>
      </c>
      <c r="AG27" s="99" t="s">
        <v>139</v>
      </c>
      <c r="AH27" s="99" t="s">
        <v>140</v>
      </c>
      <c r="AI27" s="99" t="s">
        <v>141</v>
      </c>
      <c r="AJ27" s="99" t="s">
        <v>142</v>
      </c>
      <c r="AK27" s="99" t="s">
        <v>143</v>
      </c>
      <c r="AL27" s="99" t="s">
        <v>144</v>
      </c>
      <c r="AM27" s="99" t="s">
        <v>145</v>
      </c>
      <c r="AN27" s="99" t="s">
        <v>146</v>
      </c>
      <c r="AO27" s="99" t="s">
        <v>147</v>
      </c>
      <c r="AP27" s="99" t="s">
        <v>148</v>
      </c>
      <c r="AQ27" s="99" t="s">
        <v>149</v>
      </c>
      <c r="AR27" s="99" t="s">
        <v>150</v>
      </c>
      <c r="AS27" s="99" t="s">
        <v>151</v>
      </c>
      <c r="AT27" s="99" t="s">
        <v>152</v>
      </c>
      <c r="AU27" s="99" t="s">
        <v>153</v>
      </c>
      <c r="AV27" s="99" t="s">
        <v>154</v>
      </c>
      <c r="AW27" s="99" t="s">
        <v>155</v>
      </c>
      <c r="AX27" s="99" t="s">
        <v>156</v>
      </c>
      <c r="AY27" s="99" t="s">
        <v>157</v>
      </c>
      <c r="AZ27" s="99" t="s">
        <v>158</v>
      </c>
      <c r="BA27" s="99" t="s">
        <v>159</v>
      </c>
      <c r="BB27" s="99" t="s">
        <v>160</v>
      </c>
      <c r="BC27" s="99" t="s">
        <v>161</v>
      </c>
      <c r="BD27" s="99" t="s">
        <v>162</v>
      </c>
      <c r="BE27" s="99" t="s">
        <v>163</v>
      </c>
      <c r="BF27" s="99" t="s">
        <v>164</v>
      </c>
      <c r="BG27" s="99" t="s">
        <v>165</v>
      </c>
      <c r="BH27" s="99" t="s">
        <v>166</v>
      </c>
      <c r="BI27" s="99" t="s">
        <v>167</v>
      </c>
      <c r="BJ27" s="99" t="s">
        <v>168</v>
      </c>
      <c r="BK27" s="106" t="s">
        <v>169</v>
      </c>
      <c r="BL27" s="106" t="s">
        <v>170</v>
      </c>
    </row>
    <row r="28" spans="7:64">
      <c r="G28" s="97" t="s">
        <v>171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172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173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174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175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176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177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178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179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180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181</v>
      </c>
      <c r="H40">
        <f>SUM(H28:H38)</f>
        <v>17424</v>
      </c>
    </row>
    <row r="41" spans="7:64">
      <c r="G41" s="101" t="s">
        <v>182</v>
      </c>
      <c r="H41">
        <f>AVERAGE(H28:H38)</f>
        <v>1742.4</v>
      </c>
      <c r="K41" s="104" t="s">
        <v>183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C30E971C-1E23-4A69-8C76-8F8841CEE5F0}"/>
</file>

<file path=customXml/itemProps2.xml><?xml version="1.0" encoding="utf-8"?>
<ds:datastoreItem xmlns:ds="http://schemas.openxmlformats.org/officeDocument/2006/customXml" ds:itemID="{1EECE65D-B437-4372-9E5B-6949431F5EBF}"/>
</file>

<file path=customXml/itemProps3.xml><?xml version="1.0" encoding="utf-8"?>
<ds:datastoreItem xmlns:ds="http://schemas.openxmlformats.org/officeDocument/2006/customXml" ds:itemID="{7555FA03-0D71-42C1-B384-265EE4FF17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Muñoz Valle Adrian</cp:lastModifiedBy>
  <cp:revision/>
  <dcterms:created xsi:type="dcterms:W3CDTF">2025-06-10T09:39:58Z</dcterms:created>
  <dcterms:modified xsi:type="dcterms:W3CDTF">2026-01-20T12:05:58Z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