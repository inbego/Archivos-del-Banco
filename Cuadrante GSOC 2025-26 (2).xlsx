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threadedComments/threadedComment4.xml" ContentType="application/vnd.ms-excel.threaded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threadedComments/threadedComment5.xml" ContentType="application/vnd.ms-excel.threaded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Escritorio/"/>
    </mc:Choice>
  </mc:AlternateContent>
  <xr:revisionPtr revIDLastSave="0" documentId="8_{8A096B3A-F922-4756-A861-5B8600367DE6}" xr6:coauthVersionLast="47" xr6:coauthVersionMax="47" xr10:uidLastSave="{00000000-0000-0000-0000-000000000000}"/>
  <bookViews>
    <workbookView xWindow="-110" yWindow="-110" windowWidth="19200" windowHeight="9020" firstSheet="6" activeTab="9" xr2:uid="{6DB78A5B-4DAA-4A46-A863-E76731A704F4}"/>
  </bookViews>
  <sheets>
    <sheet name="Julio" sheetId="1" r:id="rId1"/>
    <sheet name="Agosto " sheetId="9" r:id="rId2"/>
    <sheet name="Septiembre" sheetId="10" r:id="rId3"/>
    <sheet name="Octubre" sheetId="12" r:id="rId4"/>
    <sheet name="Noviembre " sheetId="13" r:id="rId5"/>
    <sheet name="Diciembre" sheetId="14" r:id="rId6"/>
    <sheet name="Enero-2026" sheetId="15" r:id="rId7"/>
    <sheet name="Febrero-2026" sheetId="18" r:id="rId8"/>
    <sheet name="Marzo-2026" sheetId="19" r:id="rId9"/>
    <sheet name="Abril-2026" sheetId="20" r:id="rId10"/>
    <sheet name="Mayo-2026" sheetId="21" r:id="rId11"/>
    <sheet name="Junio-2026" sheetId="22" r:id="rId12"/>
    <sheet name="Julio-2026" sheetId="23" r:id="rId13"/>
    <sheet name="Agosto-2026" sheetId="24" r:id="rId14"/>
    <sheet name="Septiembre-2026" sheetId="26" r:id="rId15"/>
    <sheet name="Octubre-2026" sheetId="27" r:id="rId16"/>
    <sheet name="Noviembre-2026" sheetId="28" r:id="rId17"/>
    <sheet name="Diciembre-2026" sheetId="29" r:id="rId18"/>
    <sheet name="Análisis Cuadrante" sheetId="17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5" l="1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AH10" i="15"/>
  <c r="I3" i="17"/>
  <c r="C21" i="29" l="1"/>
  <c r="D21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W21" i="29"/>
  <c r="X21" i="29"/>
  <c r="Y21" i="29"/>
  <c r="Z21" i="29"/>
  <c r="AA21" i="29"/>
  <c r="AB21" i="29"/>
  <c r="AC21" i="29"/>
  <c r="AD21" i="29"/>
  <c r="AE21" i="29"/>
  <c r="AF21" i="29"/>
  <c r="AG21" i="29"/>
  <c r="C22" i="29"/>
  <c r="D22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W22" i="29"/>
  <c r="X22" i="29"/>
  <c r="Y22" i="29"/>
  <c r="Z22" i="29"/>
  <c r="AA22" i="29"/>
  <c r="AB22" i="29"/>
  <c r="AC22" i="29"/>
  <c r="AD22" i="29"/>
  <c r="AE22" i="29"/>
  <c r="AF22" i="29"/>
  <c r="AG22" i="29"/>
  <c r="C23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AE23" i="29"/>
  <c r="AF23" i="29"/>
  <c r="AG23" i="29"/>
  <c r="C21" i="28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C22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C23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C21" i="27"/>
  <c r="D21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S21" i="27"/>
  <c r="T21" i="27"/>
  <c r="U21" i="27"/>
  <c r="V21" i="27"/>
  <c r="W21" i="27"/>
  <c r="X21" i="27"/>
  <c r="Y21" i="27"/>
  <c r="Z21" i="27"/>
  <c r="AA21" i="27"/>
  <c r="AB21" i="27"/>
  <c r="AC21" i="27"/>
  <c r="AD21" i="27"/>
  <c r="AE21" i="27"/>
  <c r="AF21" i="27"/>
  <c r="AG21" i="27"/>
  <c r="C22" i="27"/>
  <c r="D22" i="27"/>
  <c r="E22" i="27"/>
  <c r="F22" i="27"/>
  <c r="G22" i="27"/>
  <c r="H22" i="27"/>
  <c r="I22" i="27"/>
  <c r="J22" i="27"/>
  <c r="K22" i="27"/>
  <c r="L22" i="27"/>
  <c r="M22" i="27"/>
  <c r="N22" i="27"/>
  <c r="O22" i="27"/>
  <c r="P22" i="27"/>
  <c r="Q22" i="27"/>
  <c r="R22" i="27"/>
  <c r="S22" i="27"/>
  <c r="T22" i="27"/>
  <c r="U22" i="27"/>
  <c r="V22" i="27"/>
  <c r="W22" i="27"/>
  <c r="X22" i="27"/>
  <c r="Y22" i="27"/>
  <c r="Z22" i="27"/>
  <c r="AA22" i="27"/>
  <c r="AB22" i="27"/>
  <c r="AC22" i="27"/>
  <c r="AD22" i="27"/>
  <c r="AE22" i="27"/>
  <c r="AF22" i="27"/>
  <c r="AG22" i="27"/>
  <c r="C23" i="27"/>
  <c r="D23" i="27"/>
  <c r="E23" i="27"/>
  <c r="F23" i="27"/>
  <c r="G23" i="27"/>
  <c r="H23" i="27"/>
  <c r="I23" i="27"/>
  <c r="J23" i="27"/>
  <c r="K23" i="27"/>
  <c r="L23" i="27"/>
  <c r="M23" i="27"/>
  <c r="N23" i="27"/>
  <c r="O23" i="27"/>
  <c r="P23" i="27"/>
  <c r="Q23" i="27"/>
  <c r="R23" i="27"/>
  <c r="S23" i="27"/>
  <c r="T23" i="27"/>
  <c r="U23" i="27"/>
  <c r="V23" i="27"/>
  <c r="W23" i="27"/>
  <c r="X23" i="27"/>
  <c r="Y23" i="27"/>
  <c r="Z23" i="27"/>
  <c r="AA23" i="27"/>
  <c r="AB23" i="27"/>
  <c r="AC23" i="27"/>
  <c r="AD23" i="27"/>
  <c r="AE23" i="27"/>
  <c r="AF23" i="27"/>
  <c r="AG23" i="27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C21" i="24"/>
  <c r="D21" i="24"/>
  <c r="E21" i="24"/>
  <c r="F21" i="24"/>
  <c r="G21" i="24"/>
  <c r="H21" i="24"/>
  <c r="I21" i="24"/>
  <c r="J21" i="24"/>
  <c r="K21" i="24"/>
  <c r="L21" i="24"/>
  <c r="M21" i="24"/>
  <c r="N21" i="24"/>
  <c r="O21" i="24"/>
  <c r="P21" i="24"/>
  <c r="Q21" i="24"/>
  <c r="R21" i="24"/>
  <c r="S21" i="24"/>
  <c r="T21" i="24"/>
  <c r="U21" i="24"/>
  <c r="V21" i="24"/>
  <c r="W21" i="24"/>
  <c r="X21" i="24"/>
  <c r="Y21" i="24"/>
  <c r="Z21" i="24"/>
  <c r="AA21" i="24"/>
  <c r="AB21" i="24"/>
  <c r="AC21" i="24"/>
  <c r="AD21" i="24"/>
  <c r="AE21" i="24"/>
  <c r="AF21" i="24"/>
  <c r="AG21" i="24"/>
  <c r="C22" i="24"/>
  <c r="D22" i="24"/>
  <c r="E22" i="24"/>
  <c r="F22" i="24"/>
  <c r="G22" i="24"/>
  <c r="H22" i="24"/>
  <c r="I22" i="24"/>
  <c r="J22" i="24"/>
  <c r="K22" i="24"/>
  <c r="L22" i="24"/>
  <c r="M22" i="24"/>
  <c r="N22" i="24"/>
  <c r="O22" i="24"/>
  <c r="P22" i="24"/>
  <c r="Q22" i="24"/>
  <c r="R22" i="24"/>
  <c r="S22" i="24"/>
  <c r="T22" i="24"/>
  <c r="U22" i="24"/>
  <c r="V22" i="24"/>
  <c r="W22" i="24"/>
  <c r="X22" i="24"/>
  <c r="Y22" i="24"/>
  <c r="Z22" i="24"/>
  <c r="AA22" i="24"/>
  <c r="AB22" i="24"/>
  <c r="AC22" i="24"/>
  <c r="AD22" i="24"/>
  <c r="AE22" i="24"/>
  <c r="AF22" i="24"/>
  <c r="AG22" i="24"/>
  <c r="C23" i="24"/>
  <c r="D23" i="24"/>
  <c r="E23" i="24"/>
  <c r="F23" i="24"/>
  <c r="G23" i="24"/>
  <c r="H23" i="24"/>
  <c r="I23" i="24"/>
  <c r="J23" i="24"/>
  <c r="K23" i="24"/>
  <c r="L23" i="24"/>
  <c r="M23" i="24"/>
  <c r="N23" i="24"/>
  <c r="O23" i="24"/>
  <c r="P23" i="24"/>
  <c r="Q23" i="24"/>
  <c r="R23" i="24"/>
  <c r="S23" i="24"/>
  <c r="T23" i="24"/>
  <c r="U23" i="24"/>
  <c r="V23" i="24"/>
  <c r="W23" i="24"/>
  <c r="X23" i="24"/>
  <c r="Y23" i="24"/>
  <c r="Z23" i="24"/>
  <c r="AA23" i="24"/>
  <c r="AB23" i="24"/>
  <c r="AC23" i="24"/>
  <c r="AD23" i="24"/>
  <c r="AE23" i="24"/>
  <c r="AF23" i="24"/>
  <c r="AG23" i="24"/>
  <c r="C21" i="23"/>
  <c r="D21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C22" i="23"/>
  <c r="D22" i="23"/>
  <c r="E22" i="23"/>
  <c r="F22" i="23"/>
  <c r="G22" i="23"/>
  <c r="H22" i="23"/>
  <c r="I22" i="23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/>
  <c r="X22" i="23"/>
  <c r="Y22" i="23"/>
  <c r="Z22" i="23"/>
  <c r="AA22" i="23"/>
  <c r="AB22" i="23"/>
  <c r="AC22" i="23"/>
  <c r="AD22" i="23"/>
  <c r="AE22" i="23"/>
  <c r="AF22" i="23"/>
  <c r="AG22" i="23"/>
  <c r="C23" i="23"/>
  <c r="D23" i="23"/>
  <c r="E23" i="23"/>
  <c r="F23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Z23" i="23"/>
  <c r="AA23" i="23"/>
  <c r="AB23" i="23"/>
  <c r="AC23" i="23"/>
  <c r="AD23" i="23"/>
  <c r="AE23" i="23"/>
  <c r="AF23" i="23"/>
  <c r="AG23" i="23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AA21" i="22"/>
  <c r="AB21" i="22"/>
  <c r="AC21" i="22"/>
  <c r="AD21" i="22"/>
  <c r="AE21" i="22"/>
  <c r="AF21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AA22" i="22"/>
  <c r="AB22" i="22"/>
  <c r="AC22" i="22"/>
  <c r="AD22" i="22"/>
  <c r="AE22" i="22"/>
  <c r="AF22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AA23" i="22"/>
  <c r="AB23" i="22"/>
  <c r="AC23" i="22"/>
  <c r="AD23" i="22"/>
  <c r="AE23" i="22"/>
  <c r="AF23" i="22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C24" i="20"/>
  <c r="D24" i="20"/>
  <c r="E24" i="20"/>
  <c r="F24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C25" i="20"/>
  <c r="D25" i="20"/>
  <c r="E25" i="20"/>
  <c r="F25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C26" i="20"/>
  <c r="D26" i="20"/>
  <c r="E26" i="20"/>
  <c r="F26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C24" i="14"/>
  <c r="AG15" i="13"/>
  <c r="AH15" i="14"/>
  <c r="AH16" i="15"/>
  <c r="AE22" i="19"/>
  <c r="AF22" i="19"/>
  <c r="AG22" i="19"/>
  <c r="AE23" i="19"/>
  <c r="AF23" i="19"/>
  <c r="AG23" i="19"/>
  <c r="AE24" i="19"/>
  <c r="AF24" i="19"/>
  <c r="AG24" i="19"/>
  <c r="C22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C23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C24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N21" i="19" l="1"/>
  <c r="Z21" i="19"/>
  <c r="Y21" i="19"/>
  <c r="M21" i="19"/>
  <c r="L20" i="23"/>
  <c r="AG20" i="29"/>
  <c r="AF20" i="29"/>
  <c r="X20" i="29"/>
  <c r="W20" i="29"/>
  <c r="V20" i="29"/>
  <c r="U20" i="29"/>
  <c r="T20" i="29"/>
  <c r="L20" i="29"/>
  <c r="K20" i="29"/>
  <c r="J20" i="29"/>
  <c r="I20" i="29"/>
  <c r="H20" i="29"/>
  <c r="AE20" i="29"/>
  <c r="AD20" i="29"/>
  <c r="AC20" i="29"/>
  <c r="AB20" i="29"/>
  <c r="AA20" i="29"/>
  <c r="Z20" i="29"/>
  <c r="Y20" i="29"/>
  <c r="S20" i="29"/>
  <c r="R20" i="29"/>
  <c r="Q20" i="29"/>
  <c r="P20" i="29"/>
  <c r="O20" i="29"/>
  <c r="N20" i="29"/>
  <c r="M20" i="29"/>
  <c r="G20" i="29"/>
  <c r="F20" i="29"/>
  <c r="E20" i="29"/>
  <c r="D20" i="29"/>
  <c r="C20" i="29"/>
  <c r="W20" i="28"/>
  <c r="K20" i="28"/>
  <c r="Z20" i="28"/>
  <c r="Y20" i="28"/>
  <c r="N20" i="28"/>
  <c r="M20" i="28"/>
  <c r="E20" i="28"/>
  <c r="AG20" i="27"/>
  <c r="AF20" i="27"/>
  <c r="W20" i="27"/>
  <c r="V20" i="27"/>
  <c r="U20" i="27"/>
  <c r="T20" i="27"/>
  <c r="L20" i="27"/>
  <c r="K20" i="27"/>
  <c r="J20" i="27"/>
  <c r="I20" i="27"/>
  <c r="H20" i="27"/>
  <c r="AE20" i="27"/>
  <c r="AD20" i="27"/>
  <c r="AC20" i="27"/>
  <c r="AB20" i="27"/>
  <c r="AA20" i="27"/>
  <c r="Z20" i="27"/>
  <c r="Y20" i="27"/>
  <c r="X20" i="27"/>
  <c r="S20" i="27"/>
  <c r="R20" i="27"/>
  <c r="Q20" i="27"/>
  <c r="P20" i="27"/>
  <c r="O20" i="27"/>
  <c r="N20" i="27"/>
  <c r="M20" i="27"/>
  <c r="G20" i="27"/>
  <c r="F20" i="27"/>
  <c r="E20" i="27"/>
  <c r="D20" i="27"/>
  <c r="C20" i="27"/>
  <c r="X20" i="26"/>
  <c r="W20" i="26"/>
  <c r="L20" i="26"/>
  <c r="K20" i="26"/>
  <c r="Z20" i="26"/>
  <c r="Y20" i="26"/>
  <c r="N20" i="26"/>
  <c r="M20" i="26"/>
  <c r="X20" i="24"/>
  <c r="Y20" i="24"/>
  <c r="L20" i="24"/>
  <c r="AG20" i="24"/>
  <c r="C20" i="24"/>
  <c r="D20" i="24"/>
  <c r="V20" i="24"/>
  <c r="J20" i="24"/>
  <c r="W20" i="24"/>
  <c r="T20" i="24"/>
  <c r="Z20" i="24"/>
  <c r="N20" i="24"/>
  <c r="H20" i="24"/>
  <c r="G20" i="24"/>
  <c r="M20" i="24"/>
  <c r="S20" i="24"/>
  <c r="K20" i="24"/>
  <c r="AB20" i="24"/>
  <c r="AF20" i="24"/>
  <c r="AC20" i="24"/>
  <c r="AA20" i="24"/>
  <c r="AE20" i="24"/>
  <c r="AD20" i="24"/>
  <c r="Q20" i="24"/>
  <c r="E20" i="24"/>
  <c r="P20" i="24"/>
  <c r="R20" i="24"/>
  <c r="F20" i="24"/>
  <c r="O20" i="24"/>
  <c r="U20" i="24"/>
  <c r="I20" i="24"/>
  <c r="X20" i="23"/>
  <c r="M20" i="23"/>
  <c r="AE20" i="23"/>
  <c r="R20" i="23"/>
  <c r="K20" i="23"/>
  <c r="W20" i="23"/>
  <c r="J20" i="23"/>
  <c r="AG20" i="23"/>
  <c r="U20" i="23"/>
  <c r="I20" i="23"/>
  <c r="S20" i="23"/>
  <c r="V20" i="23"/>
  <c r="AD20" i="23"/>
  <c r="Z20" i="23"/>
  <c r="N20" i="23"/>
  <c r="Y20" i="23"/>
  <c r="E20" i="23"/>
  <c r="D20" i="23"/>
  <c r="G20" i="23"/>
  <c r="C20" i="23"/>
  <c r="F20" i="23"/>
  <c r="O20" i="23"/>
  <c r="AC20" i="23"/>
  <c r="AB20" i="23"/>
  <c r="P20" i="23"/>
  <c r="AA20" i="23"/>
  <c r="Q20" i="23"/>
  <c r="AF20" i="23"/>
  <c r="T20" i="23"/>
  <c r="H20" i="23"/>
  <c r="V20" i="22"/>
  <c r="Z20" i="22"/>
  <c r="Y20" i="22"/>
  <c r="J20" i="22"/>
  <c r="N20" i="22"/>
  <c r="M20" i="22"/>
  <c r="Z22" i="21"/>
  <c r="Y22" i="21"/>
  <c r="N22" i="21"/>
  <c r="M22" i="21"/>
  <c r="X21" i="19"/>
  <c r="L21" i="19"/>
  <c r="K21" i="19"/>
  <c r="W21" i="19"/>
  <c r="H20" i="28"/>
  <c r="AE20" i="28"/>
  <c r="S20" i="28"/>
  <c r="G20" i="28"/>
  <c r="AF20" i="28"/>
  <c r="T20" i="28"/>
  <c r="X20" i="28"/>
  <c r="L20" i="28"/>
  <c r="AD20" i="28"/>
  <c r="R20" i="28"/>
  <c r="F20" i="28"/>
  <c r="AC20" i="28"/>
  <c r="V20" i="28"/>
  <c r="J20" i="28"/>
  <c r="AB20" i="28"/>
  <c r="P20" i="28"/>
  <c r="D20" i="28"/>
  <c r="Q20" i="28"/>
  <c r="U20" i="28"/>
  <c r="I20" i="28"/>
  <c r="AA20" i="28"/>
  <c r="O20" i="28"/>
  <c r="C20" i="28"/>
  <c r="AE20" i="26"/>
  <c r="AD20" i="26"/>
  <c r="S20" i="26"/>
  <c r="AB20" i="26"/>
  <c r="AC20" i="26"/>
  <c r="P20" i="26"/>
  <c r="AA20" i="26"/>
  <c r="F20" i="26"/>
  <c r="Q20" i="26"/>
  <c r="D20" i="26"/>
  <c r="C20" i="26"/>
  <c r="V20" i="26"/>
  <c r="J20" i="26"/>
  <c r="R20" i="26"/>
  <c r="O20" i="26"/>
  <c r="U20" i="26"/>
  <c r="I20" i="26"/>
  <c r="G20" i="26"/>
  <c r="E20" i="26"/>
  <c r="AF20" i="26"/>
  <c r="T20" i="26"/>
  <c r="H20" i="26"/>
  <c r="AB20" i="22"/>
  <c r="D20" i="22"/>
  <c r="O20" i="22"/>
  <c r="C20" i="22"/>
  <c r="P20" i="22"/>
  <c r="H20" i="22"/>
  <c r="AE20" i="22"/>
  <c r="S20" i="22"/>
  <c r="G20" i="22"/>
  <c r="AA20" i="22"/>
  <c r="I20" i="22"/>
  <c r="AF20" i="22"/>
  <c r="T20" i="22"/>
  <c r="X20" i="22"/>
  <c r="L20" i="22"/>
  <c r="AD20" i="22"/>
  <c r="R20" i="22"/>
  <c r="F20" i="22"/>
  <c r="U20" i="22"/>
  <c r="W20" i="22"/>
  <c r="K20" i="22"/>
  <c r="AC20" i="22"/>
  <c r="Q20" i="22"/>
  <c r="E20" i="22"/>
  <c r="W22" i="21"/>
  <c r="L22" i="21"/>
  <c r="X22" i="21"/>
  <c r="K22" i="21"/>
  <c r="AE22" i="21"/>
  <c r="V22" i="21"/>
  <c r="AC22" i="21"/>
  <c r="Q22" i="21"/>
  <c r="E22" i="21"/>
  <c r="AG22" i="21"/>
  <c r="U22" i="21"/>
  <c r="I22" i="21"/>
  <c r="AB22" i="21"/>
  <c r="P22" i="21"/>
  <c r="D22" i="21"/>
  <c r="AD22" i="21"/>
  <c r="R22" i="21"/>
  <c r="F22" i="21"/>
  <c r="AF22" i="21"/>
  <c r="H22" i="21"/>
  <c r="G22" i="21"/>
  <c r="AA22" i="21"/>
  <c r="O22" i="21"/>
  <c r="C22" i="21"/>
  <c r="T22" i="21"/>
  <c r="S22" i="21"/>
  <c r="J22" i="21"/>
  <c r="V23" i="20"/>
  <c r="J23" i="20"/>
  <c r="I23" i="20"/>
  <c r="U23" i="20"/>
  <c r="S23" i="20"/>
  <c r="G23" i="20"/>
  <c r="AD23" i="20"/>
  <c r="C23" i="20"/>
  <c r="Z23" i="20"/>
  <c r="N23" i="20"/>
  <c r="Y23" i="20"/>
  <c r="M23" i="20"/>
  <c r="F23" i="20"/>
  <c r="AC23" i="20"/>
  <c r="Q23" i="20"/>
  <c r="E23" i="20"/>
  <c r="AB23" i="20"/>
  <c r="P23" i="20"/>
  <c r="D23" i="20"/>
  <c r="AA23" i="20"/>
  <c r="X23" i="20"/>
  <c r="L23" i="20"/>
  <c r="AF23" i="20"/>
  <c r="T23" i="20"/>
  <c r="H23" i="20"/>
  <c r="AE23" i="20"/>
  <c r="R23" i="20"/>
  <c r="O23" i="20"/>
  <c r="W23" i="20"/>
  <c r="K23" i="20"/>
  <c r="AD21" i="19"/>
  <c r="AC21" i="19"/>
  <c r="AB21" i="19"/>
  <c r="AA21" i="19"/>
  <c r="V21" i="19"/>
  <c r="U21" i="19"/>
  <c r="T21" i="19"/>
  <c r="S21" i="19"/>
  <c r="R21" i="19"/>
  <c r="Q21" i="19"/>
  <c r="P21" i="19"/>
  <c r="O21" i="19"/>
  <c r="J21" i="19"/>
  <c r="I21" i="19"/>
  <c r="H21" i="19"/>
  <c r="G21" i="19"/>
  <c r="F21" i="19"/>
  <c r="E21" i="19"/>
  <c r="D21" i="19"/>
  <c r="C21" i="19"/>
  <c r="AG21" i="19"/>
  <c r="AF21" i="19"/>
  <c r="AE21" i="19"/>
  <c r="N24" i="18"/>
  <c r="Z24" i="18"/>
  <c r="Y24" i="18"/>
  <c r="X24" i="18"/>
  <c r="L24" i="18"/>
  <c r="S24" i="18"/>
  <c r="G24" i="18"/>
  <c r="W24" i="18"/>
  <c r="K24" i="18"/>
  <c r="AD24" i="18"/>
  <c r="R24" i="18"/>
  <c r="F24" i="18"/>
  <c r="D24" i="18"/>
  <c r="V24" i="18"/>
  <c r="AC24" i="18"/>
  <c r="E24" i="18"/>
  <c r="U24" i="18"/>
  <c r="T24" i="18"/>
  <c r="H24" i="18"/>
  <c r="AA24" i="18"/>
  <c r="O24" i="18"/>
  <c r="C24" i="18"/>
  <c r="P24" i="18"/>
  <c r="I24" i="18"/>
  <c r="M24" i="18"/>
  <c r="J24" i="18"/>
  <c r="Q24" i="18"/>
  <c r="AB24" i="18"/>
  <c r="L23" i="14"/>
  <c r="M23" i="14"/>
  <c r="N23" i="14"/>
  <c r="K23" i="14"/>
  <c r="AH6" i="15" l="1"/>
  <c r="AH5" i="15"/>
  <c r="AH7" i="15"/>
  <c r="AH8" i="15"/>
  <c r="AH11" i="15"/>
  <c r="AH12" i="15"/>
  <c r="AH13" i="15"/>
  <c r="AH14" i="15"/>
  <c r="AH4" i="15"/>
  <c r="AH5" i="14"/>
  <c r="AH6" i="14"/>
  <c r="AH7" i="14"/>
  <c r="AH8" i="14"/>
  <c r="AH10" i="14"/>
  <c r="AH11" i="14"/>
  <c r="AH12" i="14"/>
  <c r="AH13" i="14"/>
  <c r="AH14" i="14"/>
  <c r="AH4" i="14"/>
  <c r="AG10" i="13"/>
  <c r="AG11" i="13"/>
  <c r="AG12" i="13"/>
  <c r="AG13" i="13"/>
  <c r="AG14" i="13"/>
  <c r="AG4" i="13"/>
  <c r="AG5" i="13"/>
  <c r="AG6" i="13"/>
  <c r="AG7" i="13"/>
  <c r="AG8" i="13"/>
  <c r="C24" i="13"/>
  <c r="D24" i="13"/>
  <c r="E24" i="13"/>
  <c r="F24" i="13"/>
  <c r="G24" i="13"/>
  <c r="H24" i="13"/>
  <c r="H21" i="13" s="1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X24" i="13"/>
  <c r="Y24" i="13"/>
  <c r="Z24" i="13"/>
  <c r="AA24" i="13"/>
  <c r="AB24" i="13"/>
  <c r="AC24" i="13"/>
  <c r="AD24" i="13"/>
  <c r="AE24" i="13"/>
  <c r="AF24" i="13"/>
  <c r="W24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S22" i="13"/>
  <c r="I2" i="17"/>
  <c r="I20" i="17"/>
  <c r="I19" i="17"/>
  <c r="I18" i="17"/>
  <c r="I17" i="17"/>
  <c r="I16" i="17"/>
  <c r="I11" i="17"/>
  <c r="I12" i="17"/>
  <c r="I13" i="17"/>
  <c r="I14" i="17"/>
  <c r="I10" i="17"/>
  <c r="I38" i="17"/>
  <c r="I37" i="17"/>
  <c r="I36" i="17"/>
  <c r="I35" i="17"/>
  <c r="I29" i="17"/>
  <c r="I30" i="17"/>
  <c r="I31" i="17"/>
  <c r="I32" i="17"/>
  <c r="I28" i="17"/>
  <c r="H28" i="17"/>
  <c r="E24" i="14"/>
  <c r="K74" i="17"/>
  <c r="I74" i="17"/>
  <c r="I72" i="17"/>
  <c r="I71" i="17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AG24" i="14"/>
  <c r="AG23" i="14"/>
  <c r="AG22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D24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J23" i="14"/>
  <c r="I23" i="14"/>
  <c r="H23" i="14"/>
  <c r="G23" i="14"/>
  <c r="F23" i="14"/>
  <c r="E23" i="14"/>
  <c r="D23" i="14"/>
  <c r="C23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C23" i="13"/>
  <c r="BL20" i="17"/>
  <c r="BL19" i="17"/>
  <c r="BL18" i="17"/>
  <c r="BL17" i="17"/>
  <c r="BL16" i="17"/>
  <c r="BL14" i="17"/>
  <c r="BL13" i="17"/>
  <c r="BL12" i="17"/>
  <c r="BL11" i="17"/>
  <c r="BL10" i="17"/>
  <c r="BL29" i="17"/>
  <c r="BL30" i="17"/>
  <c r="BL31" i="17"/>
  <c r="BL32" i="17"/>
  <c r="BL34" i="17"/>
  <c r="BL35" i="17"/>
  <c r="BL36" i="17"/>
  <c r="BL37" i="17"/>
  <c r="BL38" i="17"/>
  <c r="BL28" i="17"/>
  <c r="BK20" i="17"/>
  <c r="BK19" i="17"/>
  <c r="BK18" i="17"/>
  <c r="BK17" i="17"/>
  <c r="BK16" i="17"/>
  <c r="BK14" i="17"/>
  <c r="BK13" i="17"/>
  <c r="BK12" i="17"/>
  <c r="BK11" i="17"/>
  <c r="BK10" i="17"/>
  <c r="BK29" i="17"/>
  <c r="BK30" i="17"/>
  <c r="BK31" i="17"/>
  <c r="BK32" i="17"/>
  <c r="BK34" i="17"/>
  <c r="BK35" i="17"/>
  <c r="BK36" i="17"/>
  <c r="BK37" i="17"/>
  <c r="BK38" i="17"/>
  <c r="BK28" i="17"/>
  <c r="H19" i="17"/>
  <c r="H18" i="17"/>
  <c r="H17" i="17"/>
  <c r="H12" i="17"/>
  <c r="H14" i="17"/>
  <c r="H16" i="17"/>
  <c r="H13" i="17"/>
  <c r="H11" i="17"/>
  <c r="H10" i="17"/>
  <c r="H20" i="17"/>
  <c r="H37" i="17"/>
  <c r="H31" i="17"/>
  <c r="H35" i="17"/>
  <c r="H34" i="17"/>
  <c r="I34" i="17" s="1"/>
  <c r="H30" i="17"/>
  <c r="H29" i="17"/>
  <c r="H32" i="17"/>
  <c r="H36" i="17"/>
  <c r="H38" i="17"/>
  <c r="AJ7" i="1"/>
  <c r="AJ8" i="1"/>
  <c r="AJ9" i="1"/>
  <c r="AJ10" i="1"/>
  <c r="AJ12" i="1"/>
  <c r="AJ13" i="1"/>
  <c r="AJ14" i="1"/>
  <c r="AJ15" i="1"/>
  <c r="AJ16" i="1"/>
  <c r="AJ6" i="1"/>
  <c r="AJ14" i="9"/>
  <c r="AJ13" i="9"/>
  <c r="AJ12" i="9"/>
  <c r="AJ11" i="9"/>
  <c r="AJ9" i="9"/>
  <c r="AJ8" i="9"/>
  <c r="AJ7" i="9"/>
  <c r="AJ6" i="9"/>
  <c r="AJ5" i="9"/>
  <c r="AH5" i="12"/>
  <c r="AH6" i="12"/>
  <c r="AH7" i="12"/>
  <c r="AH8" i="12"/>
  <c r="AH10" i="12"/>
  <c r="AH11" i="12"/>
  <c r="AH12" i="12"/>
  <c r="AH13" i="12"/>
  <c r="AH14" i="12"/>
  <c r="AH4" i="12"/>
  <c r="AG14" i="10"/>
  <c r="AG13" i="10"/>
  <c r="AG12" i="10"/>
  <c r="AG11" i="10"/>
  <c r="AG10" i="10"/>
  <c r="AG8" i="10"/>
  <c r="AG7" i="10"/>
  <c r="AG6" i="10"/>
  <c r="AG5" i="10"/>
  <c r="AG4" i="10"/>
  <c r="AE22" i="15" l="1"/>
  <c r="AD22" i="15"/>
  <c r="T22" i="15"/>
  <c r="AG22" i="15"/>
  <c r="U22" i="15"/>
  <c r="W22" i="15"/>
  <c r="R22" i="15"/>
  <c r="P22" i="15"/>
  <c r="Z22" i="15"/>
  <c r="S22" i="15"/>
  <c r="G21" i="14"/>
  <c r="L21" i="13"/>
  <c r="F21" i="13"/>
  <c r="D21" i="13"/>
  <c r="AF21" i="13"/>
  <c r="C21" i="13"/>
  <c r="G21" i="13"/>
  <c r="T21" i="13"/>
  <c r="U21" i="14"/>
  <c r="F21" i="14"/>
  <c r="AD21" i="14"/>
  <c r="R21" i="14"/>
  <c r="AA21" i="14"/>
  <c r="AE21" i="14"/>
  <c r="P21" i="14"/>
  <c r="J21" i="14"/>
  <c r="D21" i="14"/>
  <c r="E21" i="14"/>
  <c r="Q21" i="14"/>
  <c r="AC21" i="14"/>
  <c r="O21" i="14"/>
  <c r="S21" i="14"/>
  <c r="H21" i="14"/>
  <c r="T21" i="14"/>
  <c r="I21" i="14"/>
  <c r="W21" i="14"/>
  <c r="V21" i="14"/>
  <c r="N22" i="15"/>
  <c r="V22" i="15"/>
  <c r="X22" i="15"/>
  <c r="E22" i="15"/>
  <c r="M22" i="15"/>
  <c r="F22" i="15"/>
  <c r="K22" i="15"/>
  <c r="Q22" i="15"/>
  <c r="AA22" i="15"/>
  <c r="L22" i="15"/>
  <c r="C22" i="15"/>
  <c r="O22" i="15"/>
  <c r="AB22" i="15"/>
  <c r="AC22" i="15"/>
  <c r="J22" i="15"/>
  <c r="G22" i="15"/>
  <c r="AF22" i="15"/>
  <c r="I22" i="15"/>
  <c r="H22" i="15"/>
  <c r="AG21" i="14"/>
  <c r="Y22" i="15"/>
  <c r="AB21" i="14"/>
  <c r="Y21" i="14"/>
  <c r="X21" i="14"/>
  <c r="C21" i="14"/>
  <c r="D22" i="15"/>
  <c r="AF21" i="14"/>
  <c r="L21" i="14"/>
  <c r="M21" i="14"/>
  <c r="N21" i="14"/>
  <c r="K21" i="14"/>
  <c r="Z21" i="14"/>
  <c r="X21" i="13"/>
  <c r="AE21" i="13"/>
  <c r="AA21" i="13"/>
  <c r="W21" i="13"/>
  <c r="S21" i="13"/>
  <c r="V21" i="13"/>
  <c r="N21" i="13"/>
  <c r="Z21" i="13"/>
  <c r="R21" i="13"/>
  <c r="Y21" i="13"/>
  <c r="U21" i="13"/>
  <c r="Q21" i="13"/>
  <c r="M21" i="13"/>
  <c r="I21" i="13"/>
  <c r="E21" i="13"/>
  <c r="K21" i="13"/>
  <c r="J21" i="13"/>
  <c r="AB21" i="13"/>
  <c r="AD21" i="13"/>
  <c r="AC21" i="13"/>
  <c r="P21" i="13"/>
  <c r="O21" i="13"/>
  <c r="H23" i="17"/>
  <c r="H22" i="17"/>
  <c r="H41" i="17"/>
  <c r="H40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Ruiz Diez Oscar</author>
  </authors>
  <commentList>
    <comment ref="C24" authorId="0" shapeId="0" xr:uid="{6240F96A-0C85-4007-95E1-2580E9652F5C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7" authorId="0" shapeId="0" xr:uid="{A17B04F1-F4F6-44FC-BB78-D3E0D7600FFF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  <author>Ruiz Diez Oscar</author>
  </authors>
  <commentList>
    <comment ref="V9" authorId="0" shapeId="0" xr:uid="{159745D3-A7D4-4DB5-80F9-3B9867CECCC9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Necesita ir al medico y por eso no va preencial
</t>
        </r>
      </text>
    </comment>
    <comment ref="C25" authorId="1" shapeId="0" xr:uid="{5EFEB969-CCDF-4BB1-A573-C12D782ABBD8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8" authorId="1" shapeId="0" xr:uid="{1407BB6C-5C38-4E99-A5C7-983EB4EE8DE9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X18" authorId="0" shapeId="0" xr:uid="{67F1845F-D35B-497B-962F-F2D628F9FAFD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medico kristina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tc={FAEC2A74-D994-4DA6-BE94-8E8D34E52978}</author>
    <author>tc={32F81BC9-05B3-41DD-87AB-020559C479AE}</author>
    <author>tc={A38EE8CA-7E5B-4089-800E-3E4712793E22}</author>
  </authors>
  <commentList>
    <comment ref="AA4" authorId="0" shapeId="0" xr:uid="{FAEC2A74-D994-4DA6-BE94-8E8D34E529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horario 25-26/10 , se trabaja 1h mas
03:00 am pasa a ser 02:00 am</t>
      </text>
    </comment>
    <comment ref="AB6" authorId="1" shapeId="0" xr:uid="{32F81BC9-05B3-41DD-87AB-020559C479A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Tener en cuenta cambio horario
</t>
      </text>
    </comment>
    <comment ref="AA13" authorId="2" shapeId="0" xr:uid="{A38EE8CA-7E5B-4089-800E-3E4712793E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horario 25-26/10 , se trabaja 1h mas
03:00 am pasa a ser 02:00 am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tc={4FA6F67C-1C4D-4549-93CC-5E294B81DA01}</author>
    <author>tc={E952243D-2C5F-488D-AE16-22AAF78AEC7E}</author>
  </authors>
  <commentList>
    <comment ref="U18" authorId="0" shapeId="0" xr:uid="{4FA6F67C-1C4D-4549-93CC-5E294B81DA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Médico a primera hora.</t>
      </text>
    </comment>
    <comment ref="AB20" authorId="1" shapeId="0" xr:uid="{E952243D-2C5F-488D-AE16-22AAF78AEC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Medico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tc={DCA4EE3B-D59B-4E31-9557-EE177DC56F6E}</author>
    <author>tc={4E3C475F-E43B-4DAE-803E-C501BE1E3373}</author>
  </authors>
  <commentList>
    <comment ref="D20" authorId="0" shapeId="0" xr:uid="{DCA4EE3B-D59B-4E31-9557-EE177DC56F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Preparacion para prueba medica del dia siguiente</t>
      </text>
    </comment>
    <comment ref="E20" authorId="1" shapeId="0" xr:uid="{4E3C475F-E43B-4DAE-803E-C501BE1E33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CITA MEDICA A 1º HORA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tc={5ADE881F-E651-420D-A494-FEFB262D444D}</author>
  </authors>
  <commentList>
    <comment ref="S21" authorId="0" shapeId="0" xr:uid="{5ADE881F-E651-420D-A494-FEFB262D44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de pedir por parte de Fernando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tc={834B8157-5FDA-4685-87A3-89F393058F0F}</author>
  </authors>
  <commentList>
    <comment ref="U18" authorId="0" shapeId="0" xr:uid="{834B8157-5FDA-4685-87A3-89F393058F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de pedir por parte de Fernando</t>
      </text>
    </comment>
  </commentList>
</comments>
</file>

<file path=xl/sharedStrings.xml><?xml version="1.0" encoding="utf-8"?>
<sst xmlns="http://schemas.openxmlformats.org/spreadsheetml/2006/main" count="10175" uniqueCount="192">
  <si>
    <t>JULIO</t>
  </si>
  <si>
    <t>M</t>
  </si>
  <si>
    <t>X</t>
  </si>
  <si>
    <t>J</t>
  </si>
  <si>
    <t>V</t>
  </si>
  <si>
    <t>S</t>
  </si>
  <si>
    <t>D</t>
  </si>
  <si>
    <t>L</t>
  </si>
  <si>
    <t>HT</t>
  </si>
  <si>
    <t>CIVIR</t>
  </si>
  <si>
    <t>Javier Lopez Lopez</t>
  </si>
  <si>
    <t>M2</t>
  </si>
  <si>
    <t>N1</t>
  </si>
  <si>
    <t>Fernando Martin Pavon</t>
  </si>
  <si>
    <t xml:space="preserve">M1 </t>
  </si>
  <si>
    <t>M/F</t>
  </si>
  <si>
    <t>N</t>
  </si>
  <si>
    <t>NF</t>
  </si>
  <si>
    <t>Sergio Cerezo</t>
  </si>
  <si>
    <t>Sergio Sanz</t>
  </si>
  <si>
    <t>T</t>
  </si>
  <si>
    <t>Óscar Rodríguez Zárate</t>
  </si>
  <si>
    <t>Jhammyr UlisesChávez Anyosa</t>
  </si>
  <si>
    <t xml:space="preserve">Jared Orta </t>
  </si>
  <si>
    <t>Luis Enrique Zarazua</t>
  </si>
  <si>
    <t>Daniel Antonio Cortes</t>
  </si>
  <si>
    <t>Kevin Adair Sotres</t>
  </si>
  <si>
    <t>Leonado Linares</t>
  </si>
  <si>
    <t>N1+</t>
  </si>
  <si>
    <t>Adrian Muñoz</t>
  </si>
  <si>
    <t>G</t>
  </si>
  <si>
    <t>Alvaro Jimenez Miranda</t>
  </si>
  <si>
    <t>M2/G</t>
  </si>
  <si>
    <t>M1/G</t>
  </si>
  <si>
    <t xml:space="preserve">Kristina Sape Dolor </t>
  </si>
  <si>
    <t>Apoyo</t>
  </si>
  <si>
    <t>Javier Arroyo</t>
  </si>
  <si>
    <t>RM</t>
  </si>
  <si>
    <t>Angel Perez</t>
  </si>
  <si>
    <t>P</t>
  </si>
  <si>
    <t>ENTELGY</t>
  </si>
  <si>
    <t>IM</t>
  </si>
  <si>
    <t>Giuseppe</t>
  </si>
  <si>
    <t>F</t>
  </si>
  <si>
    <t>Mariano</t>
  </si>
  <si>
    <t>Andrei</t>
  </si>
  <si>
    <t>Hector</t>
  </si>
  <si>
    <t>B</t>
  </si>
  <si>
    <t>Jorge</t>
  </si>
  <si>
    <t>AGOSTO</t>
  </si>
  <si>
    <t>KEVIN ADAIR Sostres</t>
  </si>
  <si>
    <t>BL</t>
  </si>
  <si>
    <t>Luis Fernando Aguirre</t>
  </si>
  <si>
    <t>Christian Alfredo Guerrero Banda</t>
  </si>
  <si>
    <t>M1</t>
  </si>
  <si>
    <t>Carlos</t>
  </si>
  <si>
    <t>MF</t>
  </si>
  <si>
    <t>SEPTIEMBRE</t>
  </si>
  <si>
    <t>Jhammyr Ulises Chávez Anyosa</t>
  </si>
  <si>
    <t>Gabriel Daniel Chiriac</t>
  </si>
  <si>
    <t>Victor Hinojosa Alonso</t>
  </si>
  <si>
    <t>M3</t>
  </si>
  <si>
    <t>M1 /G</t>
  </si>
  <si>
    <t>N/G</t>
  </si>
  <si>
    <t xml:space="preserve">Javier Garcia </t>
  </si>
  <si>
    <t>LEYENDAS</t>
  </si>
  <si>
    <t>M1 N1 (7:00-15:00)</t>
  </si>
  <si>
    <t>M1 N1+ (7:00-16:00)</t>
  </si>
  <si>
    <t>M1  (presencial)</t>
  </si>
  <si>
    <t>T (15:00-23:00)</t>
  </si>
  <si>
    <t>N (23:00-7:00)</t>
  </si>
  <si>
    <t>M/F (7:00-19:00)</t>
  </si>
  <si>
    <t>NF (19:00-7:00)</t>
  </si>
  <si>
    <t>M2 (8:00-17:00)</t>
  </si>
  <si>
    <t>M2 (presencial)</t>
  </si>
  <si>
    <t>M3 (8:35-17:30)</t>
  </si>
  <si>
    <t>L (libre)</t>
  </si>
  <si>
    <t>V (vacaciones)</t>
  </si>
  <si>
    <t>OCTUBRE</t>
  </si>
  <si>
    <t>Mexico a partir de 26/10 tienen que entrar 1h antes</t>
  </si>
  <si>
    <t>M3 (8:30-17:30)</t>
  </si>
  <si>
    <t>NOVIEMBRE</t>
  </si>
  <si>
    <t xml:space="preserve">las </t>
  </si>
  <si>
    <t>A</t>
  </si>
  <si>
    <t>Leobardo Angel Ibarra Rios</t>
  </si>
  <si>
    <t>M3/G</t>
  </si>
  <si>
    <t>L/G</t>
  </si>
  <si>
    <t>T/G</t>
  </si>
  <si>
    <t>M/F/G</t>
  </si>
  <si>
    <t>Total Jornada</t>
  </si>
  <si>
    <t>Total Tardes</t>
  </si>
  <si>
    <t>Total Noches</t>
  </si>
  <si>
    <t>Total Mañanas</t>
  </si>
  <si>
    <t>M3 (9:00-18:00)</t>
  </si>
  <si>
    <t>A (Ausencia)</t>
  </si>
  <si>
    <t>DICIEMBRE</t>
  </si>
  <si>
    <t>Cesar Cuevas Marquez</t>
  </si>
  <si>
    <t>ENERO</t>
  </si>
  <si>
    <t>FEBRERO</t>
  </si>
  <si>
    <t>Erik</t>
  </si>
  <si>
    <t xml:space="preserve">Jared Orta/Cesar  </t>
  </si>
  <si>
    <t>V/G</t>
  </si>
  <si>
    <t>?</t>
  </si>
  <si>
    <t>Marzo</t>
  </si>
  <si>
    <t>Erik/Jorge</t>
  </si>
  <si>
    <t>Jared Orta</t>
  </si>
  <si>
    <t>Cesar</t>
  </si>
  <si>
    <t>ABRIL</t>
  </si>
  <si>
    <t>Mayo</t>
  </si>
  <si>
    <t>Junio</t>
  </si>
  <si>
    <t>VICTOR BODA</t>
  </si>
  <si>
    <t>Julio</t>
  </si>
  <si>
    <t>Agosto</t>
  </si>
  <si>
    <t>Septiembre</t>
  </si>
  <si>
    <t>Octubre</t>
  </si>
  <si>
    <t>Noviembre</t>
  </si>
  <si>
    <t>Diciembre</t>
  </si>
  <si>
    <t>total Horas GSOC</t>
  </si>
  <si>
    <t>Requesito Servicio GSOC</t>
  </si>
  <si>
    <t>Técnicos</t>
  </si>
  <si>
    <t>HTP</t>
  </si>
  <si>
    <t>HNP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</si>
  <si>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</si>
  <si>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</si>
  <si>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</si>
  <si>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</si>
  <si>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</si>
  <si>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</si>
  <si>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</si>
  <si>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</si>
  <si>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</si>
  <si>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</si>
  <si>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</si>
  <si>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</si>
  <si>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</si>
  <si>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</si>
  <si>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</si>
  <si>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</si>
  <si>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</si>
  <si>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</si>
  <si>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</si>
  <si>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</si>
  <si>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</si>
  <si>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</si>
  <si>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</si>
  <si>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</si>
  <si>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</si>
  <si>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</si>
  <si>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</si>
  <si>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</si>
  <si>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</si>
  <si>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</si>
  <si>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</si>
  <si>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</si>
  <si>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</si>
  <si>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</si>
  <si>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</si>
  <si>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</si>
  <si>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</si>
  <si>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</si>
  <si>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</si>
  <si>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</si>
  <si>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</si>
  <si>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</si>
  <si>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</si>
  <si>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</si>
  <si>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</si>
  <si>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</si>
  <si>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</si>
  <si>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</si>
  <si>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</si>
  <si>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</si>
  <si>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</si>
  <si>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</si>
  <si>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</si>
  <si>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FST</t>
  </si>
  <si>
    <t>SL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</si>
  <si>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</si>
  <si>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</si>
  <si>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</si>
  <si>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</si>
  <si>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</si>
  <si>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</si>
  <si>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</si>
  <si>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</si>
  <si>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</si>
  <si>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</si>
  <si>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Total Horas Planificadas</t>
  </si>
  <si>
    <t>Promedio horas por Técnico</t>
  </si>
  <si>
    <t>*M1 y N incluyen las 24 horas de trabajo de fin de semana</t>
  </si>
  <si>
    <t>Sergio Contreras</t>
  </si>
  <si>
    <t>Sergio 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</si>
</sst>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mm;@"/>
    <numFmt numFmtId="165" formatCode="0.0"/>
  </numFmts>
  <fonts count="2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name val="Aptos Narrow"/>
      <family val="2"/>
    </font>
    <font>
      <sz val="9"/>
      <color rgb="FF000000"/>
      <name val="Aptos Narrow"/>
      <family val="2"/>
    </font>
    <font>
      <sz val="9"/>
      <color rgb="FFFFFFFF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9"/>
      <color theme="1" tint="0.499984740745262"/>
      <name val="Aptos Narrow"/>
      <family val="2"/>
      <scheme val="minor"/>
    </font>
    <font>
      <sz val="9"/>
      <color theme="1" tint="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name val="Aptos Narrow"/>
    </font>
    <font>
      <sz val="9"/>
      <color rgb="FF000000"/>
      <name val="Aptos Narrow"/>
    </font>
    <font>
      <sz val="9"/>
      <color rgb="FFFFFFFF"/>
      <name val="Aptos Narrow"/>
    </font>
  </fonts>
  <fills count="3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3E28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rgb="FFFF0000"/>
        <bgColor rgb="FFD8D8D8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rgb="FFD8D8D8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1"/>
        <bgColor rgb="FFD8D8D8"/>
      </patternFill>
    </fill>
    <fill>
      <patternFill patternType="solid">
        <fgColor rgb="FFFFFF00"/>
        <bgColor rgb="FF000000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6" fillId="31" borderId="0" applyNumberFormat="0" applyBorder="0" applyAlignment="0" applyProtection="0"/>
  </cellStyleXfs>
  <cellXfs count="192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8" fillId="17" borderId="1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vertical="center"/>
    </xf>
    <xf numFmtId="0" fontId="4" fillId="15" borderId="18" xfId="0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2" fillId="16" borderId="19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horizontal="center" vertical="center"/>
    </xf>
    <xf numFmtId="0" fontId="11" fillId="21" borderId="21" xfId="0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2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0" fillId="24" borderId="21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0" fillId="24" borderId="23" xfId="0" applyFont="1" applyFill="1" applyBorder="1" applyAlignment="1">
      <alignment horizontal="center" vertical="center"/>
    </xf>
    <xf numFmtId="0" fontId="10" fillId="25" borderId="5" xfId="0" applyFont="1" applyFill="1" applyBorder="1" applyAlignment="1">
      <alignment horizontal="center" vertical="center"/>
    </xf>
    <xf numFmtId="0" fontId="10" fillId="20" borderId="5" xfId="0" applyFont="1" applyFill="1" applyBorder="1" applyAlignment="1">
      <alignment horizontal="center" vertical="center"/>
    </xf>
    <xf numFmtId="0" fontId="11" fillId="21" borderId="23" xfId="0" applyFont="1" applyFill="1" applyBorder="1" applyAlignment="1">
      <alignment horizontal="center" vertical="center"/>
    </xf>
    <xf numFmtId="0" fontId="12" fillId="23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28" borderId="6" xfId="0" applyFont="1" applyFill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10" fillId="25" borderId="20" xfId="0" applyFont="1" applyFill="1" applyBorder="1" applyAlignment="1">
      <alignment horizontal="center" vertical="center"/>
    </xf>
    <xf numFmtId="0" fontId="10" fillId="20" borderId="20" xfId="0" applyFont="1" applyFill="1" applyBorder="1" applyAlignment="1">
      <alignment horizontal="center" vertical="center"/>
    </xf>
    <xf numFmtId="0" fontId="11" fillId="21" borderId="20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0" borderId="0" xfId="0" applyFont="1"/>
    <xf numFmtId="0" fontId="2" fillId="17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7" fillId="0" borderId="0" xfId="0" applyFont="1"/>
    <xf numFmtId="0" fontId="18" fillId="2" borderId="32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165" fontId="0" fillId="0" borderId="0" xfId="0" applyNumberFormat="1"/>
    <xf numFmtId="14" fontId="0" fillId="0" borderId="0" xfId="0" applyNumberFormat="1" applyAlignment="1">
      <alignment textRotation="90"/>
    </xf>
    <xf numFmtId="0" fontId="0" fillId="0" borderId="1" xfId="0" applyBorder="1"/>
    <xf numFmtId="0" fontId="0" fillId="32" borderId="1" xfId="0" applyFill="1" applyBorder="1"/>
    <xf numFmtId="0" fontId="6" fillId="32" borderId="1" xfId="0" applyFont="1" applyFill="1" applyBorder="1"/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20" fillId="32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6" fillId="32" borderId="3" xfId="0" applyFont="1" applyFill="1" applyBorder="1"/>
    <xf numFmtId="0" fontId="16" fillId="31" borderId="0" xfId="1"/>
    <xf numFmtId="0" fontId="16" fillId="31" borderId="1" xfId="1" applyBorder="1"/>
    <xf numFmtId="0" fontId="9" fillId="33" borderId="1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0" fontId="2" fillId="11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0" fillId="0" borderId="0" xfId="0" applyNumberFormat="1"/>
    <xf numFmtId="0" fontId="20" fillId="34" borderId="1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15" borderId="35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0" fillId="35" borderId="19" xfId="0" applyFont="1" applyFill="1" applyBorder="1" applyAlignment="1">
      <alignment horizontal="center"/>
    </xf>
    <xf numFmtId="0" fontId="11" fillId="36" borderId="2" xfId="0" applyFont="1" applyFill="1" applyBorder="1" applyAlignment="1">
      <alignment horizontal="center"/>
    </xf>
    <xf numFmtId="0" fontId="11" fillId="36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33" borderId="21" xfId="0" applyFont="1" applyFill="1" applyBorder="1" applyAlignment="1">
      <alignment horizontal="center"/>
    </xf>
    <xf numFmtId="0" fontId="12" fillId="23" borderId="21" xfId="0" applyFont="1" applyFill="1" applyBorder="1" applyAlignment="1">
      <alignment horizontal="center"/>
    </xf>
    <xf numFmtId="0" fontId="11" fillId="33" borderId="2" xfId="0" applyFont="1" applyFill="1" applyBorder="1" applyAlignment="1">
      <alignment horizontal="center"/>
    </xf>
    <xf numFmtId="0" fontId="10" fillId="35" borderId="21" xfId="0" applyFont="1" applyFill="1" applyBorder="1" applyAlignment="1">
      <alignment horizontal="center"/>
    </xf>
    <xf numFmtId="0" fontId="10" fillId="3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18" borderId="20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37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0" fillId="38" borderId="19" xfId="0" applyFont="1" applyFill="1" applyBorder="1" applyAlignment="1">
      <alignment horizontal="center"/>
    </xf>
    <xf numFmtId="0" fontId="10" fillId="38" borderId="21" xfId="0" applyFont="1" applyFill="1" applyBorder="1" applyAlignment="1">
      <alignment horizontal="center"/>
    </xf>
    <xf numFmtId="0" fontId="22" fillId="38" borderId="19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14" borderId="20" xfId="0" applyFont="1" applyFill="1" applyBorder="1" applyAlignment="1">
      <alignment horizontal="center" vertical="center"/>
    </xf>
    <xf numFmtId="0" fontId="8" fillId="17" borderId="20" xfId="0" applyFont="1" applyFill="1" applyBorder="1" applyAlignment="1">
      <alignment horizontal="center" vertical="center"/>
    </xf>
    <xf numFmtId="164" fontId="7" fillId="2" borderId="20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0" fillId="0" borderId="20" xfId="0" applyBorder="1"/>
    <xf numFmtId="0" fontId="4" fillId="15" borderId="20" xfId="0" applyFont="1" applyFill="1" applyBorder="1" applyAlignment="1">
      <alignment vertical="center"/>
    </xf>
    <xf numFmtId="0" fontId="12" fillId="23" borderId="20" xfId="0" applyFont="1" applyFill="1" applyBorder="1" applyAlignment="1">
      <alignment horizontal="center"/>
    </xf>
    <xf numFmtId="0" fontId="10" fillId="35" borderId="20" xfId="0" applyFont="1" applyFill="1" applyBorder="1" applyAlignment="1">
      <alignment horizontal="center"/>
    </xf>
    <xf numFmtId="0" fontId="12" fillId="23" borderId="22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0" fillId="35" borderId="22" xfId="0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/>
    </xf>
    <xf numFmtId="0" fontId="4" fillId="14" borderId="36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/>
    </xf>
    <xf numFmtId="0" fontId="22" fillId="35" borderId="20" xfId="0" applyFont="1" applyFill="1" applyBorder="1" applyAlignment="1">
      <alignment horizontal="center"/>
    </xf>
    <xf numFmtId="0" fontId="24" fillId="23" borderId="20" xfId="0" applyFont="1" applyFill="1" applyBorder="1" applyAlignment="1">
      <alignment horizontal="center"/>
    </xf>
    <xf numFmtId="0" fontId="23" fillId="2" borderId="22" xfId="0" applyFont="1" applyFill="1" applyBorder="1" applyAlignment="1">
      <alignment horizontal="center"/>
    </xf>
    <xf numFmtId="0" fontId="10" fillId="38" borderId="20" xfId="0" applyFont="1" applyFill="1" applyBorder="1" applyAlignment="1">
      <alignment horizontal="center"/>
    </xf>
    <xf numFmtId="0" fontId="10" fillId="29" borderId="20" xfId="0" applyFont="1" applyFill="1" applyBorder="1" applyAlignment="1">
      <alignment horizontal="center"/>
    </xf>
    <xf numFmtId="0" fontId="3" fillId="13" borderId="24" xfId="0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3" fillId="12" borderId="13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-9525</xdr:rowOff>
    </xdr:from>
    <xdr:to>
      <xdr:col>3</xdr:col>
      <xdr:colOff>1371600</xdr:colOff>
      <xdr:row>3</xdr:row>
      <xdr:rowOff>182880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2DB17D-B669-F727-F435-35AB00964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" y="-9525"/>
          <a:ext cx="1714500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85725</xdr:rowOff>
    </xdr:from>
    <xdr:to>
      <xdr:col>0</xdr:col>
      <xdr:colOff>38100</xdr:colOff>
      <xdr:row>0</xdr:row>
      <xdr:rowOff>87630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219E68-4F3D-4A41-9ACE-2C7A63027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85725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13BA1A-AB53-453D-AEB1-FED82CE25A36}"/>
            </a:ext>
            <a:ext uri="{147F2762-F138-4A5C-976F-8EAC2B608ADB}">
              <a16:predDERef xmlns:a16="http://schemas.microsoft.com/office/drawing/2014/main" pre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" y="0"/>
          <a:ext cx="1181100" cy="594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E34FF1-FE10-41B8-8EC9-7743D2001E25}"/>
            </a:ext>
            <a:ext uri="{147F2762-F138-4A5C-976F-8EAC2B608ADB}">
              <a16:predDERef xmlns:a16="http://schemas.microsoft.com/office/drawing/2014/main" pre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177165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177165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63A870D6-4D65-46D8-8798-6DEA85C477CF}"/>
            </a:ext>
            <a:ext uri="{147F2762-F138-4A5C-976F-8EAC2B608ADB}">
              <a16:predDERef xmlns:a16="http://schemas.microsoft.com/office/drawing/2014/main" pre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39CFE-31DB-4F41-8207-3FB8CD587A6B}"/>
            </a:ext>
            <a:ext uri="{147F2762-F138-4A5C-976F-8EAC2B608ADB}">
              <a16:predDERef xmlns:a16="http://schemas.microsoft.com/office/drawing/2014/main" pre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143510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491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143510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FAB727-6C51-481B-A7BE-AACAD80475EB}"/>
            </a:ext>
            <a:ext uri="{147F2762-F138-4A5C-976F-8EAC2B608ADB}">
              <a16:predDERef xmlns:a16="http://schemas.microsoft.com/office/drawing/2014/main" pre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533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BA24F1-7753-4910-98D7-8977C18D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64E84A-B1A5-470F-AD25-B5C85CBB71CC}"/>
            </a:ext>
            <a:ext uri="{147F2762-F138-4A5C-976F-8EAC2B608ADB}">
              <a16:predDERef xmlns:a16="http://schemas.microsoft.com/office/drawing/2014/main" pred="{0ABA24F1-7753-4910-98D7-8977C18D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518FCE-94E5-4D37-B741-AC069237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D39B61-8041-43C0-904D-042AC5C7E684}"/>
            </a:ext>
            <a:ext uri="{147F2762-F138-4A5C-976F-8EAC2B608ADB}">
              <a16:predDERef xmlns:a16="http://schemas.microsoft.com/office/drawing/2014/main" pred="{F0518FCE-94E5-4D37-B741-AC069237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6985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AB1083-724D-428B-9DAA-71546CDD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6985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0AF3C0-AC33-4C6B-B3ED-A208E6D91A2D}"/>
            </a:ext>
            <a:ext uri="{147F2762-F138-4A5C-976F-8EAC2B608ADB}">
              <a16:predDERef xmlns:a16="http://schemas.microsoft.com/office/drawing/2014/main" pred="{ECAB1083-724D-428B-9DAA-71546CDD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16510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545E2D-0BF1-4809-9F71-6CD5EB64A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16510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42C8B1-AAFB-49A3-A243-BB606DB93C94}"/>
            </a:ext>
            <a:ext uri="{147F2762-F138-4A5C-976F-8EAC2B608ADB}">
              <a16:predDERef xmlns:a16="http://schemas.microsoft.com/office/drawing/2014/main" pred="{0F545E2D-0BF1-4809-9F71-6CD5EB64A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8421C8-7154-431B-832D-14ADA9CA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1FF487-9380-4DF0-A880-3C406ACF9AE5}"/>
            </a:ext>
            <a:ext uri="{147F2762-F138-4A5C-976F-8EAC2B608ADB}">
              <a16:predDERef xmlns:a16="http://schemas.microsoft.com/office/drawing/2014/main" pred="{918421C8-7154-431B-832D-14ADA9CA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754902-0FE4-48FC-9636-13D1B6E1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BF5991-C986-4A0A-B3A1-BCA71729F9BC}"/>
            </a:ext>
            <a:ext uri="{147F2762-F138-4A5C-976F-8EAC2B608ADB}">
              <a16:predDERef xmlns:a16="http://schemas.microsoft.com/office/drawing/2014/main" pred="{37754902-0FE4-48FC-9636-13D1B6E1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07AD78-BFCD-4D09-9555-CE41F87C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72514E-98F4-4DF9-81E5-30A5CBFE32DF}"/>
            </a:ext>
            <a:ext uri="{147F2762-F138-4A5C-976F-8EAC2B608ADB}">
              <a16:predDERef xmlns:a16="http://schemas.microsoft.com/office/drawing/2014/main" pred="{BC07AD78-BFCD-4D09-9555-CE41F87C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0294E6-FEF8-4094-846A-B034D5A1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ABDBAA-1762-4271-9C60-7D1ABED9E944}"/>
            </a:ext>
            <a:ext uri="{147F2762-F138-4A5C-976F-8EAC2B608ADB}">
              <a16:predDERef xmlns:a16="http://schemas.microsoft.com/office/drawing/2014/main" pred="{CF0294E6-FEF8-4094-846A-B034D5A1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2331BA-71EB-41A0-B671-3AD4EB92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8A7E00-A319-4372-BA9C-853C30DACBB5}"/>
            </a:ext>
            <a:ext uri="{147F2762-F138-4A5C-976F-8EAC2B608ADB}">
              <a16:predDERef xmlns:a16="http://schemas.microsoft.com/office/drawing/2014/main" pred="{1D2331BA-71EB-41A0-B671-3AD4EB92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B4A024-134F-4B38-AC2E-AE2270FC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943686-B7B9-420F-B198-87D4CDB04355}"/>
            </a:ext>
            <a:ext uri="{147F2762-F138-4A5C-976F-8EAC2B608ADB}">
              <a16:predDERef xmlns:a16="http://schemas.microsoft.com/office/drawing/2014/main" pred="{44B4A024-134F-4B38-AC2E-AE2270FC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B1694F-1287-47B8-9195-2F16F1B0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8742DA-60C5-4D7E-983C-53C8EB210024}"/>
            </a:ext>
            <a:ext uri="{147F2762-F138-4A5C-976F-8EAC2B608ADB}">
              <a16:predDERef xmlns:a16="http://schemas.microsoft.com/office/drawing/2014/main" pred="{13B1694F-1287-47B8-9195-2F16F1B0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200024</xdr:colOff>
      <xdr:row>45</xdr:row>
      <xdr:rowOff>28575</xdr:rowOff>
    </xdr:from>
    <xdr:to>
      <xdr:col>33</xdr:col>
      <xdr:colOff>79771</xdr:colOff>
      <xdr:row>64</xdr:row>
      <xdr:rowOff>35035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DEF3A-58CB-D3F8-D2EE-FBBCEF770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1002" y="8369162"/>
          <a:ext cx="7964815" cy="3624055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24</xdr:row>
      <xdr:rowOff>47625</xdr:rowOff>
    </xdr:from>
    <xdr:ext cx="2947858" cy="342851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64B8DA1-06C2-4A53-79DC-E0F34B33A63E}"/>
            </a:ext>
          </a:extLst>
        </xdr:cNvPr>
        <xdr:cNvSpPr txBox="1"/>
      </xdr:nvSpPr>
      <xdr:spPr>
        <a:xfrm>
          <a:off x="5172075" y="2524125"/>
          <a:ext cx="29478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2026  GSOC</a:t>
          </a:r>
          <a:endParaRPr lang="es-ES" sz="1600" b="1"/>
        </a:p>
      </xdr:txBody>
    </xdr:sp>
    <xdr:clientData/>
  </xdr:oneCellAnchor>
  <xdr:oneCellAnchor>
    <xdr:from>
      <xdr:col>32</xdr:col>
      <xdr:colOff>190500</xdr:colOff>
      <xdr:row>0</xdr:row>
      <xdr:rowOff>-457200</xdr:rowOff>
    </xdr:from>
    <xdr:ext cx="0" cy="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B918E7F-AC50-43D3-A8FB-D6DD1F08AB34}"/>
            </a:ext>
            <a:ext uri="{147F2762-F138-4A5C-976F-8EAC2B608ADB}">
              <a16:predDERef xmlns:a16="http://schemas.microsoft.com/office/drawing/2014/main" pred="{E64B8DA1-06C2-4A53-79DC-E0F34B33A63E}"/>
            </a:ext>
          </a:extLst>
        </xdr:cNvPr>
        <xdr:cNvSpPr txBox="1"/>
      </xdr:nvSpPr>
      <xdr:spPr>
        <a:xfrm>
          <a:off x="9201150" y="-45720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2025  GSOC</a:t>
          </a:r>
          <a:endParaRPr lang="es-ES" sz="16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uñoz Valle Adrian" id="{678BB04D-11B0-457D-BCA0-D5F409BCB035}" userId="S::x743472@santanderglobaltech.com::793f26f2-85b9-4385-87c8-83ed6a415fe9" providerId="AD"/>
  <person displayName="Sape Dolor Kristina" id="{0A7F2EB7-93AE-4D1B-8B1F-3BE903E54C73}" userId="S::x757832@santanderglobaltech.com::9394378e-7cb2-407f-b890-7e14ae9d513f" providerId="AD"/>
  <person displayName="Hinojosa Alonso Victor" id="{B1741F2E-52E1-4B2A-997B-A4FC3D520989}" userId="S::x811072@santanderglobaltech.com::4a3a34e6-ae55-44f7-83d1-ef89f92d0ce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4" dT="2025-10-13T10:26:54.13" personId="{0A7F2EB7-93AE-4D1B-8B1F-3BE903E54C73}" id="{FAEC2A74-D994-4DA6-BE94-8E8D34E52978}">
    <text>Cambio horario 25-26/10 , se trabaja 1h mas
03:00 am pasa a ser 02:00 am</text>
  </threadedComment>
  <threadedComment ref="AB6" dT="2025-10-13T10:30:21.94" personId="{0A7F2EB7-93AE-4D1B-8B1F-3BE903E54C73}" id="{32F81BC9-05B3-41DD-87AB-020559C479AE}">
    <text xml:space="preserve">Tener en cuenta cambio horario
</text>
  </threadedComment>
  <threadedComment ref="AA13" dT="2025-10-13T10:28:38.89" personId="{0A7F2EB7-93AE-4D1B-8B1F-3BE903E54C73}" id="{A38EE8CA-7E5B-4089-800E-3E4712793E22}">
    <text xml:space="preserve">Cambio horario 25-26/10 , se trabaja 1h mas
03:00 am pasa a ser 02:00 am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8" dT="2026-01-17T10:59:38.16" personId="{B1741F2E-52E1-4B2A-997B-A4FC3D520989}" id="{4FA6F67C-1C4D-4549-93CC-5E294B81DA01}">
    <text>Médico a primera hora.</text>
  </threadedComment>
  <threadedComment ref="AB20" dT="2025-11-25T12:28:07.98" personId="{0A7F2EB7-93AE-4D1B-8B1F-3BE903E54C73}" id="{E952243D-2C5F-488D-AE16-22AAF78AEC7E}">
    <text xml:space="preserve">Medico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0" dT="2026-01-21T15:47:38.51" personId="{678BB04D-11B0-457D-BCA0-D5F409BCB035}" id="{DCA4EE3B-D59B-4E31-9557-EE177DC56F6E}">
    <text>Preparacion para prueba medica del dia siguiente</text>
  </threadedComment>
  <threadedComment ref="E20" dT="2026-01-20T12:05:03.14" personId="{678BB04D-11B0-457D-BCA0-D5F409BCB035}" id="{4E3C475F-E43B-4DAE-803E-C501BE1E3373}">
    <text>CITA MEDICA A 1º HORA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S21" dT="2026-03-10T11:21:01.36" personId="{678BB04D-11B0-457D-BCA0-D5F409BCB035}" id="{5ADE881F-E651-420D-A494-FEFB262D444D}">
    <text>Pendiente de pedir por parte de Fernando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U18" dT="2026-03-10T11:21:01.36" personId="{678BB04D-11B0-457D-BCA0-D5F409BCB035}" id="{834B8157-5FDA-4685-87A3-89F393058F0F}">
    <text>Pendiente de pedir por parte de Fernando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0.xml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2.xml"/><Relationship Id="rId4" Type="http://schemas.microsoft.com/office/2017/10/relationships/threadedComment" Target="../threadedComments/threadedComment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F761-CE2F-4B75-A640-5ABA8268AB52}">
  <dimension ref="A1:AJ32"/>
  <sheetViews>
    <sheetView showGridLines="0" zoomScaleNormal="100" workbookViewId="0">
      <pane xSplit="4" topLeftCell="I1" activePane="topRight" state="frozen"/>
      <selection activeCell="A5" sqref="A5"/>
      <selection pane="topRight" activeCell="H8" sqref="H8"/>
    </sheetView>
  </sheetViews>
  <sheetFormatPr baseColWidth="10" defaultColWidth="0" defaultRowHeight="0" customHeight="1" zeroHeight="1" x14ac:dyDescent="0.35"/>
  <cols>
    <col min="1" max="1" width="10.1796875" style="6" bestFit="1" customWidth="1"/>
    <col min="2" max="2" width="3.81640625" style="6" customWidth="1"/>
    <col min="3" max="3" width="6.453125" style="6" bestFit="1" customWidth="1"/>
    <col min="4" max="4" width="22.1796875" style="31" bestFit="1" customWidth="1"/>
    <col min="5" max="35" width="4.7265625" style="6" customWidth="1"/>
    <col min="36" max="36" width="4" style="93" bestFit="1" customWidth="1"/>
    <col min="37" max="16384" width="0" style="6" hidden="1"/>
  </cols>
  <sheetData>
    <row r="1" spans="1:36" ht="18" customHeight="1" x14ac:dyDescent="0.35"/>
    <row r="2" spans="1:36" ht="24" customHeight="1" x14ac:dyDescent="0.35">
      <c r="D2" s="175"/>
      <c r="E2" s="172" t="s">
        <v>0</v>
      </c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4"/>
    </row>
    <row r="3" spans="1:36" ht="18" customHeight="1" x14ac:dyDescent="0.35">
      <c r="B3" s="32"/>
      <c r="D3" s="175"/>
      <c r="E3" s="10" t="s">
        <v>1</v>
      </c>
      <c r="F3" s="11" t="s">
        <v>2</v>
      </c>
      <c r="G3" s="11" t="s">
        <v>3</v>
      </c>
      <c r="H3" s="11" t="s">
        <v>4</v>
      </c>
      <c r="I3" s="46" t="s">
        <v>5</v>
      </c>
      <c r="J3" s="46" t="s">
        <v>6</v>
      </c>
      <c r="K3" s="11" t="s">
        <v>7</v>
      </c>
      <c r="L3" s="11" t="s">
        <v>1</v>
      </c>
      <c r="M3" s="11" t="s">
        <v>2</v>
      </c>
      <c r="N3" s="11" t="s">
        <v>3</v>
      </c>
      <c r="O3" s="11" t="s">
        <v>4</v>
      </c>
      <c r="P3" s="46" t="s">
        <v>5</v>
      </c>
      <c r="Q3" s="46" t="s">
        <v>6</v>
      </c>
      <c r="R3" s="11" t="s">
        <v>7</v>
      </c>
      <c r="S3" s="11" t="s">
        <v>1</v>
      </c>
      <c r="T3" s="11" t="s">
        <v>2</v>
      </c>
      <c r="U3" s="11" t="s">
        <v>3</v>
      </c>
      <c r="V3" s="11" t="s">
        <v>4</v>
      </c>
      <c r="W3" s="46" t="s">
        <v>5</v>
      </c>
      <c r="X3" s="46" t="s">
        <v>6</v>
      </c>
      <c r="Y3" s="11" t="s">
        <v>7</v>
      </c>
      <c r="Z3" s="11" t="s">
        <v>1</v>
      </c>
      <c r="AA3" s="11" t="s">
        <v>2</v>
      </c>
      <c r="AB3" s="11" t="s">
        <v>3</v>
      </c>
      <c r="AC3" s="46" t="s">
        <v>4</v>
      </c>
      <c r="AD3" s="46" t="s">
        <v>5</v>
      </c>
      <c r="AE3" s="46" t="s">
        <v>6</v>
      </c>
      <c r="AF3" s="11" t="s">
        <v>7</v>
      </c>
      <c r="AG3" s="11" t="s">
        <v>1</v>
      </c>
      <c r="AH3" s="11" t="s">
        <v>2</v>
      </c>
      <c r="AI3" s="12" t="s">
        <v>3</v>
      </c>
      <c r="AJ3" s="93" t="s">
        <v>8</v>
      </c>
    </row>
    <row r="4" spans="1:36" ht="18" customHeight="1" x14ac:dyDescent="0.35">
      <c r="D4" s="175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 ht="18" customHeight="1" x14ac:dyDescent="0.35">
      <c r="A5" s="176" t="s">
        <v>9</v>
      </c>
      <c r="C5" s="30"/>
      <c r="D5" s="33" t="s">
        <v>10</v>
      </c>
      <c r="E5" s="1" t="s">
        <v>11</v>
      </c>
      <c r="F5" s="1" t="s">
        <v>11</v>
      </c>
      <c r="G5" s="1" t="s">
        <v>11</v>
      </c>
      <c r="H5" s="1" t="s">
        <v>11</v>
      </c>
      <c r="I5" s="28" t="s">
        <v>7</v>
      </c>
      <c r="J5" s="28" t="s">
        <v>7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28" t="s">
        <v>7</v>
      </c>
      <c r="Q5" s="28" t="s">
        <v>7</v>
      </c>
      <c r="R5" s="1" t="s">
        <v>11</v>
      </c>
      <c r="S5" s="1" t="s">
        <v>11</v>
      </c>
      <c r="T5" s="1" t="s">
        <v>11</v>
      </c>
      <c r="U5" s="1" t="s">
        <v>11</v>
      </c>
      <c r="V5" s="1" t="s">
        <v>11</v>
      </c>
      <c r="W5" s="28" t="s">
        <v>7</v>
      </c>
      <c r="X5" s="28" t="s">
        <v>7</v>
      </c>
      <c r="Y5" s="2" t="s">
        <v>7</v>
      </c>
      <c r="Z5" s="2" t="s">
        <v>7</v>
      </c>
      <c r="AA5" s="2" t="s">
        <v>7</v>
      </c>
      <c r="AB5" s="2" t="s">
        <v>7</v>
      </c>
      <c r="AC5" s="2" t="s">
        <v>7</v>
      </c>
      <c r="AD5" s="2" t="s">
        <v>7</v>
      </c>
      <c r="AE5" s="2" t="s">
        <v>7</v>
      </c>
      <c r="AF5" s="2" t="s">
        <v>7</v>
      </c>
      <c r="AG5" s="2" t="s">
        <v>7</v>
      </c>
      <c r="AH5" s="2" t="s">
        <v>7</v>
      </c>
      <c r="AI5" s="2" t="s">
        <v>7</v>
      </c>
    </row>
    <row r="6" spans="1:36" ht="18" customHeight="1" x14ac:dyDescent="0.35">
      <c r="A6" s="177"/>
      <c r="C6" s="34" t="s">
        <v>12</v>
      </c>
      <c r="D6" s="35" t="s">
        <v>13</v>
      </c>
      <c r="E6" s="1" t="s">
        <v>14</v>
      </c>
      <c r="F6" s="1" t="s">
        <v>14</v>
      </c>
      <c r="G6" s="1" t="s">
        <v>14</v>
      </c>
      <c r="H6" s="1" t="s">
        <v>14</v>
      </c>
      <c r="I6" s="5" t="s">
        <v>15</v>
      </c>
      <c r="J6" s="5" t="s">
        <v>15</v>
      </c>
      <c r="K6" s="2" t="s">
        <v>7</v>
      </c>
      <c r="L6" s="2" t="s">
        <v>7</v>
      </c>
      <c r="M6" s="2" t="s">
        <v>7</v>
      </c>
      <c r="N6" s="87" t="s">
        <v>7</v>
      </c>
      <c r="O6" s="87" t="s">
        <v>7</v>
      </c>
      <c r="P6" s="2" t="s">
        <v>7</v>
      </c>
      <c r="Q6" s="2" t="s">
        <v>7</v>
      </c>
      <c r="R6" s="3" t="s">
        <v>16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17</v>
      </c>
      <c r="X6" s="3" t="s">
        <v>17</v>
      </c>
      <c r="Y6" s="2" t="s">
        <v>7</v>
      </c>
      <c r="Z6" s="2" t="s">
        <v>7</v>
      </c>
      <c r="AA6" s="2" t="s">
        <v>7</v>
      </c>
      <c r="AB6" s="87" t="s">
        <v>7</v>
      </c>
      <c r="AC6" s="87" t="s">
        <v>7</v>
      </c>
      <c r="AD6" s="2" t="s">
        <v>7</v>
      </c>
      <c r="AE6" s="2" t="s">
        <v>7</v>
      </c>
      <c r="AF6" s="5" t="s">
        <v>14</v>
      </c>
      <c r="AG6" s="5" t="s">
        <v>14</v>
      </c>
      <c r="AH6" s="5" t="s">
        <v>14</v>
      </c>
      <c r="AI6" s="5" t="s">
        <v>14</v>
      </c>
      <c r="AJ6" s="91">
        <f>COUNTIFS(E6:AI6,"&lt;&gt;"&amp;"L",E6:AI6,"&lt;&gt;"&amp;"NF",E6:AI6,"&lt;&gt;"&amp;"M/F",E6:AI6,"&lt;&gt;"&amp;"V")*8+COUNTIFS(E6:AI6,"NF")*12+COUNTIFS(E6:AI6,"M/F")*12</f>
        <v>152</v>
      </c>
    </row>
    <row r="7" spans="1:36" ht="18" customHeight="1" x14ac:dyDescent="0.35">
      <c r="A7" s="177"/>
      <c r="C7" s="34" t="s">
        <v>12</v>
      </c>
      <c r="D7" s="35" t="s">
        <v>18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5" t="s">
        <v>14</v>
      </c>
      <c r="S7" s="5" t="s">
        <v>14</v>
      </c>
      <c r="T7" s="5" t="s">
        <v>14</v>
      </c>
      <c r="U7" s="5" t="s">
        <v>14</v>
      </c>
      <c r="V7" s="5" t="s">
        <v>14</v>
      </c>
      <c r="W7" s="5" t="s">
        <v>15</v>
      </c>
      <c r="X7" s="5" t="s">
        <v>15</v>
      </c>
      <c r="Y7" s="2" t="s">
        <v>7</v>
      </c>
      <c r="Z7" s="2" t="s">
        <v>7</v>
      </c>
      <c r="AA7" s="2" t="s">
        <v>7</v>
      </c>
      <c r="AB7" s="2" t="s">
        <v>7</v>
      </c>
      <c r="AC7" s="2" t="s">
        <v>7</v>
      </c>
      <c r="AD7" s="2" t="s">
        <v>7</v>
      </c>
      <c r="AE7" s="2" t="s">
        <v>7</v>
      </c>
      <c r="AF7" s="3" t="s">
        <v>16</v>
      </c>
      <c r="AG7" s="3" t="s">
        <v>16</v>
      </c>
      <c r="AH7" s="3" t="s">
        <v>16</v>
      </c>
      <c r="AI7" s="3" t="s">
        <v>16</v>
      </c>
      <c r="AJ7" s="91">
        <f t="shared" ref="AJ7:AJ16" si="0">COUNTIFS(E7:AI7,"&lt;&gt;"&amp;"L",E7:AI7,"&lt;&gt;"&amp;"NF",E7:AI7,"&lt;&gt;"&amp;"M/F",E7:AI7,"&lt;&gt;"&amp;"V")*8+COUNTIFS(E7:AI7,"NF")*12+COUNTIFS(E7:AI7,"M/F")*12</f>
        <v>152</v>
      </c>
    </row>
    <row r="8" spans="1:36" ht="18" customHeight="1" x14ac:dyDescent="0.35">
      <c r="A8" s="177"/>
      <c r="C8" s="34" t="s">
        <v>12</v>
      </c>
      <c r="D8" s="36" t="s">
        <v>19</v>
      </c>
      <c r="E8" s="7" t="s">
        <v>20</v>
      </c>
      <c r="F8" s="7" t="s">
        <v>20</v>
      </c>
      <c r="G8" s="7" t="s">
        <v>20</v>
      </c>
      <c r="H8" s="7" t="s">
        <v>20</v>
      </c>
      <c r="I8" s="2" t="s">
        <v>7</v>
      </c>
      <c r="J8" s="2" t="s">
        <v>7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15</v>
      </c>
      <c r="Q8" s="5" t="s">
        <v>15</v>
      </c>
      <c r="R8" s="2" t="s">
        <v>7</v>
      </c>
      <c r="S8" s="2" t="s">
        <v>7</v>
      </c>
      <c r="T8" s="2" t="s">
        <v>7</v>
      </c>
      <c r="U8" s="87" t="s">
        <v>7</v>
      </c>
      <c r="V8" s="87" t="s">
        <v>7</v>
      </c>
      <c r="W8" s="21" t="s">
        <v>15</v>
      </c>
      <c r="X8" s="21" t="s">
        <v>15</v>
      </c>
      <c r="Y8" s="5" t="s">
        <v>14</v>
      </c>
      <c r="Z8" s="5" t="s">
        <v>14</v>
      </c>
      <c r="AA8" s="47" t="s">
        <v>20</v>
      </c>
      <c r="AB8" s="47" t="s">
        <v>20</v>
      </c>
      <c r="AC8" s="5" t="s">
        <v>14</v>
      </c>
      <c r="AD8" s="5" t="s">
        <v>15</v>
      </c>
      <c r="AE8" s="5" t="s">
        <v>15</v>
      </c>
      <c r="AF8" s="2" t="s">
        <v>7</v>
      </c>
      <c r="AG8" s="2" t="s">
        <v>7</v>
      </c>
      <c r="AH8" s="2" t="s">
        <v>7</v>
      </c>
      <c r="AI8" s="87" t="s">
        <v>7</v>
      </c>
      <c r="AJ8" s="91">
        <f t="shared" si="0"/>
        <v>184</v>
      </c>
    </row>
    <row r="9" spans="1:36" ht="18" customHeight="1" x14ac:dyDescent="0.35">
      <c r="A9" s="177"/>
      <c r="C9" s="34" t="s">
        <v>12</v>
      </c>
      <c r="D9" s="33" t="s">
        <v>21</v>
      </c>
      <c r="E9" s="2" t="s">
        <v>7</v>
      </c>
      <c r="F9" s="2" t="s">
        <v>7</v>
      </c>
      <c r="G9" s="87" t="s">
        <v>7</v>
      </c>
      <c r="H9" s="87" t="s">
        <v>7</v>
      </c>
      <c r="I9" s="2" t="s">
        <v>7</v>
      </c>
      <c r="J9" s="2" t="s">
        <v>7</v>
      </c>
      <c r="K9" s="7" t="s">
        <v>20</v>
      </c>
      <c r="L9" s="7" t="s">
        <v>20</v>
      </c>
      <c r="M9" s="7" t="s">
        <v>20</v>
      </c>
      <c r="N9" s="7" t="s">
        <v>20</v>
      </c>
      <c r="O9" s="7" t="s">
        <v>20</v>
      </c>
      <c r="P9" s="5" t="s">
        <v>15</v>
      </c>
      <c r="Q9" s="5" t="s">
        <v>15</v>
      </c>
      <c r="R9" s="2" t="s">
        <v>7</v>
      </c>
      <c r="S9" s="2" t="s">
        <v>7</v>
      </c>
      <c r="T9" s="2" t="s">
        <v>7</v>
      </c>
      <c r="U9" s="87" t="s">
        <v>7</v>
      </c>
      <c r="V9" s="87" t="s">
        <v>7</v>
      </c>
      <c r="W9" s="2" t="s">
        <v>7</v>
      </c>
      <c r="X9" s="2" t="s">
        <v>7</v>
      </c>
      <c r="Y9" s="7" t="s">
        <v>20</v>
      </c>
      <c r="Z9" s="7" t="s">
        <v>20</v>
      </c>
      <c r="AA9" s="48" t="s">
        <v>14</v>
      </c>
      <c r="AB9" s="48" t="s">
        <v>14</v>
      </c>
      <c r="AC9" s="7" t="s">
        <v>20</v>
      </c>
      <c r="AD9" s="5" t="s">
        <v>15</v>
      </c>
      <c r="AE9" s="5" t="s">
        <v>15</v>
      </c>
      <c r="AF9" s="2" t="s">
        <v>7</v>
      </c>
      <c r="AG9" s="2" t="s">
        <v>7</v>
      </c>
      <c r="AH9" s="2" t="s">
        <v>7</v>
      </c>
      <c r="AI9" s="87" t="s">
        <v>7</v>
      </c>
      <c r="AJ9" s="91">
        <f t="shared" si="0"/>
        <v>128</v>
      </c>
    </row>
    <row r="10" spans="1:36" ht="18" customHeight="1" x14ac:dyDescent="0.35">
      <c r="A10" s="177"/>
      <c r="C10" s="34" t="s">
        <v>12</v>
      </c>
      <c r="D10" s="37" t="s">
        <v>22</v>
      </c>
      <c r="E10" s="20" t="s">
        <v>16</v>
      </c>
      <c r="F10" s="20" t="s">
        <v>16</v>
      </c>
      <c r="G10" s="20" t="s">
        <v>16</v>
      </c>
      <c r="H10" s="20" t="s">
        <v>16</v>
      </c>
      <c r="I10" s="20" t="s">
        <v>17</v>
      </c>
      <c r="J10" s="20" t="s">
        <v>17</v>
      </c>
      <c r="K10" s="19" t="s">
        <v>7</v>
      </c>
      <c r="L10" s="19" t="s">
        <v>7</v>
      </c>
      <c r="M10" s="19" t="s">
        <v>7</v>
      </c>
      <c r="N10" s="89" t="s">
        <v>7</v>
      </c>
      <c r="O10" s="89" t="s">
        <v>7</v>
      </c>
      <c r="P10" s="19" t="s">
        <v>7</v>
      </c>
      <c r="Q10" s="19" t="s">
        <v>7</v>
      </c>
      <c r="R10" s="18" t="s">
        <v>20</v>
      </c>
      <c r="S10" s="18" t="s">
        <v>20</v>
      </c>
      <c r="T10" s="18" t="s">
        <v>20</v>
      </c>
      <c r="U10" s="18" t="s">
        <v>20</v>
      </c>
      <c r="V10" s="18" t="s">
        <v>20</v>
      </c>
      <c r="W10" s="2" t="s">
        <v>7</v>
      </c>
      <c r="X10" s="2" t="s">
        <v>7</v>
      </c>
      <c r="Y10" s="20" t="s">
        <v>16</v>
      </c>
      <c r="Z10" s="20" t="s">
        <v>16</v>
      </c>
      <c r="AA10" s="20" t="s">
        <v>16</v>
      </c>
      <c r="AB10" s="20" t="s">
        <v>16</v>
      </c>
      <c r="AC10" s="20" t="s">
        <v>16</v>
      </c>
      <c r="AD10" s="20" t="s">
        <v>17</v>
      </c>
      <c r="AE10" s="20" t="s">
        <v>17</v>
      </c>
      <c r="AF10" s="19" t="s">
        <v>7</v>
      </c>
      <c r="AG10" s="19" t="s">
        <v>7</v>
      </c>
      <c r="AH10" s="19" t="s">
        <v>7</v>
      </c>
      <c r="AI10" s="89" t="s">
        <v>7</v>
      </c>
      <c r="AJ10" s="91">
        <f t="shared" si="0"/>
        <v>160</v>
      </c>
    </row>
    <row r="11" spans="1:36" ht="18" customHeight="1" x14ac:dyDescent="0.35">
      <c r="A11" s="177"/>
      <c r="C11" s="34"/>
      <c r="D11" s="36"/>
      <c r="E11" s="182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4"/>
      <c r="AJ11" s="91"/>
    </row>
    <row r="12" spans="1:36" ht="18" customHeight="1" x14ac:dyDescent="0.35">
      <c r="A12" s="177"/>
      <c r="C12" s="34" t="s">
        <v>12</v>
      </c>
      <c r="D12" s="33" t="s">
        <v>23</v>
      </c>
      <c r="E12" s="26" t="s">
        <v>20</v>
      </c>
      <c r="F12" s="26" t="s">
        <v>20</v>
      </c>
      <c r="G12" s="26" t="s">
        <v>20</v>
      </c>
      <c r="H12" s="26" t="s">
        <v>20</v>
      </c>
      <c r="I12" s="24" t="s">
        <v>7</v>
      </c>
      <c r="J12" s="23" t="s">
        <v>17</v>
      </c>
      <c r="K12" s="26" t="s">
        <v>20</v>
      </c>
      <c r="L12" s="26" t="s">
        <v>20</v>
      </c>
      <c r="M12" s="26" t="s">
        <v>20</v>
      </c>
      <c r="N12" s="26" t="s">
        <v>20</v>
      </c>
      <c r="O12" s="26" t="s">
        <v>20</v>
      </c>
      <c r="P12" s="2" t="s">
        <v>7</v>
      </c>
      <c r="Q12" s="24" t="s">
        <v>7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17</v>
      </c>
      <c r="X12" s="3" t="s">
        <v>17</v>
      </c>
      <c r="Y12" s="2" t="s">
        <v>7</v>
      </c>
      <c r="Z12" s="2" t="s">
        <v>7</v>
      </c>
      <c r="AA12" s="2" t="s">
        <v>7</v>
      </c>
      <c r="AB12" s="87" t="s">
        <v>7</v>
      </c>
      <c r="AC12" s="87" t="s">
        <v>7</v>
      </c>
      <c r="AD12" s="2" t="s">
        <v>7</v>
      </c>
      <c r="AE12" s="2" t="s">
        <v>7</v>
      </c>
      <c r="AF12" s="3" t="s">
        <v>16</v>
      </c>
      <c r="AG12" s="3" t="s">
        <v>16</v>
      </c>
      <c r="AH12" s="3" t="s">
        <v>16</v>
      </c>
      <c r="AI12" s="3" t="s">
        <v>16</v>
      </c>
      <c r="AJ12" s="91">
        <f t="shared" si="0"/>
        <v>180</v>
      </c>
    </row>
    <row r="13" spans="1:36" ht="18" customHeight="1" x14ac:dyDescent="0.35">
      <c r="A13" s="177"/>
      <c r="C13" s="34" t="s">
        <v>12</v>
      </c>
      <c r="D13" s="33" t="s">
        <v>24</v>
      </c>
      <c r="E13" s="7" t="s">
        <v>20</v>
      </c>
      <c r="F13" s="7" t="s">
        <v>20</v>
      </c>
      <c r="G13" s="7" t="s">
        <v>20</v>
      </c>
      <c r="H13" s="7" t="s">
        <v>20</v>
      </c>
      <c r="I13" s="2" t="s">
        <v>7</v>
      </c>
      <c r="J13" s="2" t="s">
        <v>7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  <c r="P13" s="3" t="s">
        <v>17</v>
      </c>
      <c r="Q13" s="3" t="s">
        <v>17</v>
      </c>
      <c r="R13" s="2" t="s">
        <v>7</v>
      </c>
      <c r="S13" s="2" t="s">
        <v>7</v>
      </c>
      <c r="T13" s="2" t="s">
        <v>7</v>
      </c>
      <c r="U13" s="87" t="s">
        <v>7</v>
      </c>
      <c r="V13" s="87" t="s">
        <v>7</v>
      </c>
      <c r="W13" s="2" t="s">
        <v>7</v>
      </c>
      <c r="X13" s="2" t="s">
        <v>7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3" t="s">
        <v>17</v>
      </c>
      <c r="AF13" s="2" t="s">
        <v>7</v>
      </c>
      <c r="AG13" s="2" t="s">
        <v>7</v>
      </c>
      <c r="AH13" s="2" t="s">
        <v>7</v>
      </c>
      <c r="AI13" s="87" t="s">
        <v>7</v>
      </c>
      <c r="AJ13" s="91">
        <f t="shared" si="0"/>
        <v>164</v>
      </c>
    </row>
    <row r="14" spans="1:36" ht="18" customHeight="1" x14ac:dyDescent="0.35">
      <c r="A14" s="177"/>
      <c r="C14" s="34" t="s">
        <v>12</v>
      </c>
      <c r="D14" s="33" t="s">
        <v>25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17</v>
      </c>
      <c r="J14" s="2" t="s">
        <v>7</v>
      </c>
      <c r="K14" s="7" t="s">
        <v>20</v>
      </c>
      <c r="L14" s="7" t="s">
        <v>20</v>
      </c>
      <c r="M14" s="7" t="s">
        <v>20</v>
      </c>
      <c r="N14" s="7" t="s">
        <v>20</v>
      </c>
      <c r="O14" s="7" t="s">
        <v>20</v>
      </c>
      <c r="P14" s="2" t="s">
        <v>7</v>
      </c>
      <c r="Q14" s="2" t="s">
        <v>7</v>
      </c>
      <c r="R14" s="3" t="s">
        <v>16</v>
      </c>
      <c r="S14" s="3" t="s">
        <v>16</v>
      </c>
      <c r="T14" s="3" t="s">
        <v>16</v>
      </c>
      <c r="U14" s="3" t="s">
        <v>16</v>
      </c>
      <c r="V14" s="3" t="s">
        <v>16</v>
      </c>
      <c r="W14" s="3" t="s">
        <v>17</v>
      </c>
      <c r="X14" s="3" t="s">
        <v>17</v>
      </c>
      <c r="Y14" s="2" t="s">
        <v>7</v>
      </c>
      <c r="Z14" s="2" t="s">
        <v>7</v>
      </c>
      <c r="AA14" s="2" t="s">
        <v>7</v>
      </c>
      <c r="AB14" s="87" t="s">
        <v>7</v>
      </c>
      <c r="AC14" s="87" t="s">
        <v>7</v>
      </c>
      <c r="AD14" s="2" t="s">
        <v>7</v>
      </c>
      <c r="AE14" s="2" t="s">
        <v>7</v>
      </c>
      <c r="AF14" s="7" t="s">
        <v>20</v>
      </c>
      <c r="AG14" s="7" t="s">
        <v>20</v>
      </c>
      <c r="AH14" s="7" t="s">
        <v>20</v>
      </c>
      <c r="AI14" s="7" t="s">
        <v>20</v>
      </c>
      <c r="AJ14" s="91">
        <f t="shared" si="0"/>
        <v>180</v>
      </c>
    </row>
    <row r="15" spans="1:36" ht="18" customHeight="1" x14ac:dyDescent="0.35">
      <c r="A15" s="177"/>
      <c r="C15" s="34" t="s">
        <v>12</v>
      </c>
      <c r="D15" s="33" t="s">
        <v>26</v>
      </c>
      <c r="E15" s="3" t="s">
        <v>16</v>
      </c>
      <c r="F15" s="3" t="s">
        <v>16</v>
      </c>
      <c r="G15" s="3" t="s">
        <v>16</v>
      </c>
      <c r="H15" s="3" t="s">
        <v>16</v>
      </c>
      <c r="I15" s="2" t="s">
        <v>7</v>
      </c>
      <c r="J15" s="3" t="s">
        <v>17</v>
      </c>
      <c r="K15" s="7" t="s">
        <v>20</v>
      </c>
      <c r="L15" s="7" t="s">
        <v>20</v>
      </c>
      <c r="M15" s="7" t="s">
        <v>20</v>
      </c>
      <c r="N15" s="7" t="s">
        <v>20</v>
      </c>
      <c r="O15" s="7" t="s">
        <v>20</v>
      </c>
      <c r="P15" s="2" t="s">
        <v>7</v>
      </c>
      <c r="Q15" s="2" t="s">
        <v>7</v>
      </c>
      <c r="R15" s="7" t="s">
        <v>20</v>
      </c>
      <c r="S15" s="7" t="s">
        <v>20</v>
      </c>
      <c r="T15" s="7" t="s">
        <v>20</v>
      </c>
      <c r="U15" s="7" t="s">
        <v>20</v>
      </c>
      <c r="V15" s="7" t="s">
        <v>20</v>
      </c>
      <c r="W15" s="2" t="s">
        <v>7</v>
      </c>
      <c r="X15" s="2" t="s">
        <v>7</v>
      </c>
      <c r="Y15" s="3" t="s">
        <v>16</v>
      </c>
      <c r="Z15" s="3" t="s">
        <v>16</v>
      </c>
      <c r="AA15" s="3" t="s">
        <v>16</v>
      </c>
      <c r="AB15" s="3" t="s">
        <v>16</v>
      </c>
      <c r="AC15" s="3" t="s">
        <v>17</v>
      </c>
      <c r="AD15" s="3" t="s">
        <v>17</v>
      </c>
      <c r="AE15" s="3" t="s">
        <v>17</v>
      </c>
      <c r="AF15" s="2" t="s">
        <v>7</v>
      </c>
      <c r="AG15" s="2" t="s">
        <v>7</v>
      </c>
      <c r="AH15" s="2" t="s">
        <v>7</v>
      </c>
      <c r="AI15" s="2" t="s">
        <v>7</v>
      </c>
      <c r="AJ15" s="91">
        <f t="shared" si="0"/>
        <v>192</v>
      </c>
    </row>
    <row r="16" spans="1:36" ht="18" customHeight="1" x14ac:dyDescent="0.35">
      <c r="A16" s="177"/>
      <c r="C16" s="34" t="s">
        <v>12</v>
      </c>
      <c r="D16" s="33" t="s">
        <v>27</v>
      </c>
      <c r="E16" s="18" t="s">
        <v>20</v>
      </c>
      <c r="F16" s="18" t="s">
        <v>20</v>
      </c>
      <c r="G16" s="18" t="s">
        <v>20</v>
      </c>
      <c r="H16" s="18" t="s">
        <v>20</v>
      </c>
      <c r="I16" s="3" t="s">
        <v>17</v>
      </c>
      <c r="J16" s="2" t="s">
        <v>7</v>
      </c>
      <c r="K16" s="20" t="s">
        <v>16</v>
      </c>
      <c r="L16" s="20" t="s">
        <v>16</v>
      </c>
      <c r="M16" s="20" t="s">
        <v>16</v>
      </c>
      <c r="N16" s="20" t="s">
        <v>16</v>
      </c>
      <c r="O16" s="20" t="s">
        <v>16</v>
      </c>
      <c r="P16" s="20" t="s">
        <v>17</v>
      </c>
      <c r="Q16" s="3" t="s">
        <v>17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2" t="s">
        <v>7</v>
      </c>
      <c r="Y16" s="7" t="s">
        <v>20</v>
      </c>
      <c r="Z16" s="7" t="s">
        <v>20</v>
      </c>
      <c r="AA16" s="7" t="s">
        <v>20</v>
      </c>
      <c r="AB16" s="7" t="s">
        <v>20</v>
      </c>
      <c r="AC16" s="7" t="s">
        <v>20</v>
      </c>
      <c r="AD16" s="2" t="s">
        <v>7</v>
      </c>
      <c r="AE16" s="2" t="s">
        <v>7</v>
      </c>
      <c r="AF16" s="3" t="s">
        <v>16</v>
      </c>
      <c r="AG16" s="3" t="s">
        <v>16</v>
      </c>
      <c r="AH16" s="3" t="s">
        <v>16</v>
      </c>
      <c r="AI16" s="3" t="s">
        <v>16</v>
      </c>
      <c r="AJ16" s="91">
        <f t="shared" si="0"/>
        <v>180</v>
      </c>
    </row>
    <row r="17" spans="1:36" ht="18" customHeight="1" x14ac:dyDescent="0.35">
      <c r="A17" s="177"/>
      <c r="C17" s="34"/>
      <c r="D17" s="33"/>
      <c r="E17" s="182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4"/>
    </row>
    <row r="18" spans="1:36" ht="18" customHeight="1" x14ac:dyDescent="0.35">
      <c r="A18" s="177"/>
      <c r="C18" s="34" t="s">
        <v>28</v>
      </c>
      <c r="D18" s="33" t="s">
        <v>29</v>
      </c>
      <c r="E18" s="22" t="s">
        <v>14</v>
      </c>
      <c r="F18" s="22" t="s">
        <v>14</v>
      </c>
      <c r="G18" s="22" t="s">
        <v>14</v>
      </c>
      <c r="H18" s="22" t="s">
        <v>14</v>
      </c>
      <c r="I18" s="27" t="s">
        <v>30</v>
      </c>
      <c r="J18" s="27" t="s">
        <v>30</v>
      </c>
      <c r="K18" s="23" t="s">
        <v>16</v>
      </c>
      <c r="L18" s="23" t="s">
        <v>16</v>
      </c>
      <c r="M18" s="23" t="s">
        <v>16</v>
      </c>
      <c r="N18" s="23" t="s">
        <v>16</v>
      </c>
      <c r="O18" s="23" t="s">
        <v>16</v>
      </c>
      <c r="P18" s="23" t="s">
        <v>17</v>
      </c>
      <c r="Q18" s="23" t="s">
        <v>17</v>
      </c>
      <c r="R18" s="24" t="s">
        <v>7</v>
      </c>
      <c r="S18" s="24" t="s">
        <v>7</v>
      </c>
      <c r="T18" s="24" t="s">
        <v>7</v>
      </c>
      <c r="U18" s="24" t="s">
        <v>7</v>
      </c>
      <c r="V18" s="24" t="s">
        <v>7</v>
      </c>
      <c r="W18" s="24" t="s">
        <v>7</v>
      </c>
      <c r="X18" s="24" t="s">
        <v>7</v>
      </c>
      <c r="Y18" s="25" t="s">
        <v>14</v>
      </c>
      <c r="Z18" s="25" t="s">
        <v>14</v>
      </c>
      <c r="AA18" s="25" t="s">
        <v>14</v>
      </c>
      <c r="AB18" s="25" t="s">
        <v>14</v>
      </c>
      <c r="AC18" s="24" t="s">
        <v>7</v>
      </c>
      <c r="AD18" s="24" t="s">
        <v>7</v>
      </c>
      <c r="AE18" s="24" t="s">
        <v>7</v>
      </c>
      <c r="AF18" s="26" t="s">
        <v>20</v>
      </c>
      <c r="AG18" s="26" t="s">
        <v>20</v>
      </c>
      <c r="AH18" s="26" t="s">
        <v>20</v>
      </c>
      <c r="AI18" s="26" t="s">
        <v>20</v>
      </c>
    </row>
    <row r="19" spans="1:36" ht="18" customHeight="1" x14ac:dyDescent="0.35">
      <c r="A19" s="177"/>
      <c r="C19" s="34" t="s">
        <v>28</v>
      </c>
      <c r="D19" s="35" t="s">
        <v>31</v>
      </c>
      <c r="E19" s="1" t="s">
        <v>11</v>
      </c>
      <c r="F19" s="1" t="s">
        <v>11</v>
      </c>
      <c r="G19" s="1" t="s">
        <v>11</v>
      </c>
      <c r="H19" s="1" t="s">
        <v>11</v>
      </c>
      <c r="I19" s="28" t="s">
        <v>7</v>
      </c>
      <c r="J19" s="28" t="s">
        <v>7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9" t="s">
        <v>30</v>
      </c>
      <c r="Q19" s="9" t="s">
        <v>30</v>
      </c>
      <c r="R19" s="1" t="s">
        <v>32</v>
      </c>
      <c r="S19" s="1" t="s">
        <v>32</v>
      </c>
      <c r="T19" s="1" t="s">
        <v>32</v>
      </c>
      <c r="U19" s="1" t="s">
        <v>32</v>
      </c>
      <c r="V19" s="1" t="s">
        <v>32</v>
      </c>
      <c r="W19" s="9" t="s">
        <v>30</v>
      </c>
      <c r="X19" s="9" t="s">
        <v>30</v>
      </c>
      <c r="Y19" s="4" t="s">
        <v>33</v>
      </c>
      <c r="Z19" s="4" t="s">
        <v>33</v>
      </c>
      <c r="AA19" s="4" t="s">
        <v>33</v>
      </c>
      <c r="AB19" s="4" t="s">
        <v>33</v>
      </c>
      <c r="AC19" s="4" t="s">
        <v>33</v>
      </c>
      <c r="AD19" s="9" t="s">
        <v>30</v>
      </c>
      <c r="AE19" s="9" t="s">
        <v>30</v>
      </c>
      <c r="AF19" s="1" t="s">
        <v>32</v>
      </c>
      <c r="AG19" s="1" t="s">
        <v>32</v>
      </c>
      <c r="AH19" s="1" t="s">
        <v>32</v>
      </c>
      <c r="AI19" s="1" t="s">
        <v>32</v>
      </c>
    </row>
    <row r="20" spans="1:36" ht="18" customHeight="1" x14ac:dyDescent="0.35">
      <c r="A20" s="177"/>
      <c r="C20" s="34" t="s">
        <v>28</v>
      </c>
      <c r="D20" s="35" t="s">
        <v>34</v>
      </c>
      <c r="E20" s="4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4" t="s">
        <v>11</v>
      </c>
      <c r="AG20" s="4" t="s">
        <v>11</v>
      </c>
      <c r="AH20" s="4" t="s">
        <v>11</v>
      </c>
      <c r="AI20" s="4" t="s">
        <v>11</v>
      </c>
    </row>
    <row r="21" spans="1:36" ht="18" customHeight="1" x14ac:dyDescent="0.35">
      <c r="A21" s="177"/>
      <c r="C21" s="34"/>
      <c r="D21" s="35"/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/>
    </row>
    <row r="22" spans="1:36" ht="18" customHeight="1" x14ac:dyDescent="0.35">
      <c r="A22" s="177"/>
      <c r="C22" s="34" t="s">
        <v>35</v>
      </c>
      <c r="D22" s="35" t="s">
        <v>36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4" t="s">
        <v>11</v>
      </c>
      <c r="S22" s="4" t="s">
        <v>11</v>
      </c>
      <c r="T22" s="4" t="s">
        <v>11</v>
      </c>
      <c r="U22" s="4" t="s">
        <v>11</v>
      </c>
      <c r="V22" s="4" t="s">
        <v>11</v>
      </c>
      <c r="W22" s="24" t="s">
        <v>7</v>
      </c>
      <c r="X22" s="24" t="s">
        <v>7</v>
      </c>
      <c r="Y22" s="4" t="s">
        <v>11</v>
      </c>
      <c r="Z22" s="4" t="s">
        <v>11</v>
      </c>
      <c r="AA22" s="4" t="s">
        <v>11</v>
      </c>
      <c r="AB22" s="4" t="s">
        <v>11</v>
      </c>
      <c r="AC22" s="24" t="s">
        <v>7</v>
      </c>
      <c r="AD22" s="24" t="s">
        <v>7</v>
      </c>
      <c r="AE22" s="24" t="s">
        <v>7</v>
      </c>
      <c r="AF22" s="4" t="s">
        <v>11</v>
      </c>
      <c r="AG22" s="4" t="s">
        <v>11</v>
      </c>
      <c r="AH22" s="4" t="s">
        <v>11</v>
      </c>
      <c r="AI22" s="4" t="s">
        <v>11</v>
      </c>
      <c r="AJ22" s="94"/>
    </row>
    <row r="23" spans="1:36" ht="18" customHeight="1" x14ac:dyDescent="0.35">
      <c r="A23" s="177"/>
      <c r="C23" s="34"/>
      <c r="D23" s="35"/>
      <c r="E23" s="179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1"/>
    </row>
    <row r="24" spans="1:36" ht="18" customHeight="1" x14ac:dyDescent="0.35">
      <c r="A24" s="178"/>
      <c r="C24" s="38" t="s">
        <v>37</v>
      </c>
      <c r="D24" s="35" t="s">
        <v>38</v>
      </c>
      <c r="E24" s="42" t="s">
        <v>39</v>
      </c>
      <c r="F24" s="42" t="s">
        <v>39</v>
      </c>
      <c r="G24" s="42" t="s">
        <v>39</v>
      </c>
      <c r="H24" s="42" t="s">
        <v>39</v>
      </c>
      <c r="I24" s="2" t="s">
        <v>7</v>
      </c>
      <c r="J24" s="2" t="s">
        <v>7</v>
      </c>
      <c r="K24" s="42" t="s">
        <v>39</v>
      </c>
      <c r="L24" s="42" t="s">
        <v>39</v>
      </c>
      <c r="M24" s="42" t="s">
        <v>39</v>
      </c>
      <c r="N24" s="42" t="s">
        <v>39</v>
      </c>
      <c r="O24" s="42" t="s">
        <v>39</v>
      </c>
      <c r="P24" s="2" t="s">
        <v>7</v>
      </c>
      <c r="Q24" s="2" t="s">
        <v>7</v>
      </c>
      <c r="R24" s="42" t="s">
        <v>39</v>
      </c>
      <c r="S24" s="42" t="s">
        <v>39</v>
      </c>
      <c r="T24" s="42" t="s">
        <v>39</v>
      </c>
      <c r="U24" s="42" t="s">
        <v>39</v>
      </c>
      <c r="V24" s="42" t="s">
        <v>39</v>
      </c>
      <c r="W24" s="2" t="s">
        <v>7</v>
      </c>
      <c r="X24" s="2" t="s">
        <v>7</v>
      </c>
      <c r="Y24" s="42" t="s">
        <v>39</v>
      </c>
      <c r="Z24" s="42" t="s">
        <v>39</v>
      </c>
      <c r="AA24" s="42" t="s">
        <v>39</v>
      </c>
      <c r="AB24" s="42" t="s">
        <v>39</v>
      </c>
      <c r="AC24" s="24" t="s">
        <v>7</v>
      </c>
      <c r="AD24" s="2" t="s">
        <v>7</v>
      </c>
      <c r="AE24" s="2" t="s">
        <v>7</v>
      </c>
      <c r="AF24" s="42" t="s">
        <v>39</v>
      </c>
      <c r="AG24" s="42" t="s">
        <v>39</v>
      </c>
      <c r="AH24" s="42" t="s">
        <v>39</v>
      </c>
      <c r="AI24" s="42" t="s">
        <v>39</v>
      </c>
    </row>
    <row r="25" spans="1:36" ht="18" customHeight="1" x14ac:dyDescent="0.35">
      <c r="A25" s="13"/>
      <c r="C25" s="39"/>
      <c r="D25" s="40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6" ht="18" customHeight="1" x14ac:dyDescent="0.35"/>
    <row r="27" spans="1:36" ht="18" customHeight="1" x14ac:dyDescent="0.35">
      <c r="A27" s="169" t="s">
        <v>40</v>
      </c>
      <c r="C27" s="41" t="s">
        <v>41</v>
      </c>
      <c r="D27" s="37" t="s">
        <v>42</v>
      </c>
      <c r="E27" s="42" t="s">
        <v>39</v>
      </c>
      <c r="F27" s="42" t="s">
        <v>39</v>
      </c>
      <c r="G27" s="42" t="s">
        <v>39</v>
      </c>
      <c r="H27" s="42" t="s">
        <v>39</v>
      </c>
      <c r="I27" s="2" t="s">
        <v>7</v>
      </c>
      <c r="J27" s="2" t="s">
        <v>7</v>
      </c>
      <c r="K27" s="42" t="s">
        <v>39</v>
      </c>
      <c r="L27" s="42" t="s">
        <v>39</v>
      </c>
      <c r="M27" s="42" t="s">
        <v>39</v>
      </c>
      <c r="N27" s="42" t="s">
        <v>39</v>
      </c>
      <c r="O27" s="42" t="s">
        <v>39</v>
      </c>
      <c r="P27" s="2" t="s">
        <v>7</v>
      </c>
      <c r="Q27" s="2" t="s">
        <v>7</v>
      </c>
      <c r="R27" s="42" t="s">
        <v>39</v>
      </c>
      <c r="S27" s="42" t="s">
        <v>39</v>
      </c>
      <c r="T27" s="42" t="s">
        <v>39</v>
      </c>
      <c r="U27" s="42" t="s">
        <v>39</v>
      </c>
      <c r="V27" s="42" t="s">
        <v>39</v>
      </c>
      <c r="W27" s="2" t="s">
        <v>7</v>
      </c>
      <c r="X27" s="2" t="s">
        <v>7</v>
      </c>
      <c r="Y27" s="42" t="s">
        <v>39</v>
      </c>
      <c r="Z27" s="42" t="s">
        <v>39</v>
      </c>
      <c r="AA27" s="42" t="s">
        <v>39</v>
      </c>
      <c r="AB27" s="65" t="s">
        <v>4</v>
      </c>
      <c r="AC27" s="24" t="s">
        <v>43</v>
      </c>
      <c r="AD27" s="2" t="s">
        <v>7</v>
      </c>
      <c r="AE27" s="2" t="s">
        <v>7</v>
      </c>
      <c r="AF27" s="65" t="s">
        <v>4</v>
      </c>
      <c r="AG27" s="42" t="s">
        <v>39</v>
      </c>
      <c r="AH27" s="42" t="s">
        <v>39</v>
      </c>
      <c r="AI27" s="42" t="s">
        <v>39</v>
      </c>
    </row>
    <row r="28" spans="1:36" ht="18" customHeight="1" x14ac:dyDescent="0.35">
      <c r="A28" s="170"/>
      <c r="C28" s="41" t="s">
        <v>28</v>
      </c>
      <c r="D28" s="37" t="s">
        <v>44</v>
      </c>
      <c r="E28" s="8" t="s">
        <v>1</v>
      </c>
      <c r="F28" s="8" t="s">
        <v>1</v>
      </c>
      <c r="G28" s="8" t="s">
        <v>1</v>
      </c>
      <c r="H28" s="8" t="s">
        <v>1</v>
      </c>
      <c r="I28" s="2" t="s">
        <v>7</v>
      </c>
      <c r="J28" s="2" t="s">
        <v>7</v>
      </c>
      <c r="K28" s="8" t="s">
        <v>1</v>
      </c>
      <c r="L28" s="8" t="s">
        <v>1</v>
      </c>
      <c r="M28" s="8" t="s">
        <v>1</v>
      </c>
      <c r="N28" s="8" t="s">
        <v>1</v>
      </c>
      <c r="O28" s="8" t="s">
        <v>1</v>
      </c>
      <c r="P28" s="2" t="s">
        <v>7</v>
      </c>
      <c r="Q28" s="2" t="s">
        <v>7</v>
      </c>
      <c r="R28" s="8" t="s">
        <v>1</v>
      </c>
      <c r="S28" s="8" t="s">
        <v>1</v>
      </c>
      <c r="T28" s="8" t="s">
        <v>1</v>
      </c>
      <c r="U28" s="8" t="s">
        <v>1</v>
      </c>
      <c r="V28" s="8" t="s">
        <v>1</v>
      </c>
      <c r="W28" s="2" t="s">
        <v>7</v>
      </c>
      <c r="X28" s="2" t="s">
        <v>7</v>
      </c>
      <c r="Y28" s="8" t="s">
        <v>1</v>
      </c>
      <c r="Z28" s="8" t="s">
        <v>1</v>
      </c>
      <c r="AA28" s="8" t="s">
        <v>1</v>
      </c>
      <c r="AB28" s="8" t="s">
        <v>1</v>
      </c>
      <c r="AC28" s="24" t="s">
        <v>43</v>
      </c>
      <c r="AD28" s="2" t="s">
        <v>7</v>
      </c>
      <c r="AE28" s="2" t="s">
        <v>7</v>
      </c>
      <c r="AF28" s="8" t="s">
        <v>1</v>
      </c>
      <c r="AG28" s="8" t="s">
        <v>1</v>
      </c>
      <c r="AH28" s="8" t="s">
        <v>1</v>
      </c>
      <c r="AI28" s="8" t="s">
        <v>1</v>
      </c>
    </row>
    <row r="29" spans="1:36" ht="18" customHeight="1" x14ac:dyDescent="0.35">
      <c r="A29" s="170"/>
      <c r="C29" s="41" t="s">
        <v>12</v>
      </c>
      <c r="D29" s="37" t="s">
        <v>45</v>
      </c>
      <c r="E29" s="2" t="s">
        <v>7</v>
      </c>
      <c r="F29" s="2" t="s">
        <v>7</v>
      </c>
      <c r="G29" s="2" t="s">
        <v>7</v>
      </c>
      <c r="H29" s="2" t="s">
        <v>7</v>
      </c>
      <c r="I29" s="2" t="s">
        <v>7</v>
      </c>
      <c r="J29" s="2" t="s">
        <v>7</v>
      </c>
      <c r="K29" s="1" t="s">
        <v>6</v>
      </c>
      <c r="L29" s="1" t="s">
        <v>6</v>
      </c>
      <c r="M29" s="1" t="s">
        <v>6</v>
      </c>
      <c r="N29" s="1" t="s">
        <v>6</v>
      </c>
      <c r="O29" s="1" t="s">
        <v>6</v>
      </c>
      <c r="P29" s="1" t="s">
        <v>6</v>
      </c>
      <c r="Q29" s="1" t="s">
        <v>6</v>
      </c>
      <c r="R29" s="7" t="s">
        <v>20</v>
      </c>
      <c r="S29" s="7" t="s">
        <v>20</v>
      </c>
      <c r="T29" s="7" t="s">
        <v>20</v>
      </c>
      <c r="U29" s="7" t="s">
        <v>20</v>
      </c>
      <c r="V29" s="7" t="s">
        <v>20</v>
      </c>
      <c r="W29" s="2" t="s">
        <v>7</v>
      </c>
      <c r="X29" s="2" t="s">
        <v>7</v>
      </c>
      <c r="Y29" s="3" t="s">
        <v>16</v>
      </c>
      <c r="Z29" s="3" t="s">
        <v>16</v>
      </c>
      <c r="AA29" s="3" t="s">
        <v>16</v>
      </c>
      <c r="AB29" s="3" t="s">
        <v>16</v>
      </c>
      <c r="AC29" s="3" t="s">
        <v>16</v>
      </c>
      <c r="AD29" s="2" t="s">
        <v>7</v>
      </c>
      <c r="AE29" s="2" t="s">
        <v>7</v>
      </c>
      <c r="AF29" s="7" t="s">
        <v>20</v>
      </c>
      <c r="AG29" s="7" t="s">
        <v>20</v>
      </c>
      <c r="AH29" s="7" t="s">
        <v>20</v>
      </c>
      <c r="AI29" s="7" t="s">
        <v>20</v>
      </c>
    </row>
    <row r="30" spans="1:36" ht="18" customHeight="1" x14ac:dyDescent="0.35">
      <c r="A30" s="170"/>
      <c r="C30" s="41" t="s">
        <v>12</v>
      </c>
      <c r="D30" s="37" t="s">
        <v>46</v>
      </c>
      <c r="E30" s="7" t="s">
        <v>20</v>
      </c>
      <c r="F30" s="7" t="s">
        <v>20</v>
      </c>
      <c r="G30" s="7" t="s">
        <v>20</v>
      </c>
      <c r="H30" s="7" t="s">
        <v>20</v>
      </c>
      <c r="I30" s="2" t="s">
        <v>7</v>
      </c>
      <c r="J30" s="2" t="s">
        <v>7</v>
      </c>
      <c r="K30" s="3" t="s">
        <v>16</v>
      </c>
      <c r="L30" s="3" t="s">
        <v>16</v>
      </c>
      <c r="M30" s="3" t="s">
        <v>16</v>
      </c>
      <c r="N30" s="3" t="s">
        <v>16</v>
      </c>
      <c r="O30" s="3" t="s">
        <v>16</v>
      </c>
      <c r="P30" s="3" t="s">
        <v>16</v>
      </c>
      <c r="Q30" s="3" t="s">
        <v>16</v>
      </c>
      <c r="R30" s="2" t="s">
        <v>7</v>
      </c>
      <c r="S30" s="2" t="s">
        <v>7</v>
      </c>
      <c r="T30" s="2" t="s">
        <v>7</v>
      </c>
      <c r="U30" s="2" t="s">
        <v>7</v>
      </c>
      <c r="V30" s="2" t="s">
        <v>7</v>
      </c>
      <c r="W30" s="2" t="s">
        <v>7</v>
      </c>
      <c r="X30" s="2" t="s">
        <v>7</v>
      </c>
      <c r="Y30" s="64" t="s">
        <v>47</v>
      </c>
      <c r="Z30" s="64" t="s">
        <v>47</v>
      </c>
      <c r="AA30" s="64" t="s">
        <v>47</v>
      </c>
      <c r="AB30" s="64" t="s">
        <v>47</v>
      </c>
      <c r="AC30" s="2" t="s">
        <v>7</v>
      </c>
      <c r="AD30" s="2" t="s">
        <v>7</v>
      </c>
      <c r="AE30" s="2" t="s">
        <v>7</v>
      </c>
      <c r="AF30" s="64" t="s">
        <v>47</v>
      </c>
      <c r="AG30" s="64" t="s">
        <v>47</v>
      </c>
      <c r="AH30" s="64" t="s">
        <v>47</v>
      </c>
      <c r="AI30" s="64" t="s">
        <v>47</v>
      </c>
    </row>
    <row r="31" spans="1:36" ht="18" customHeight="1" x14ac:dyDescent="0.35">
      <c r="A31" s="170"/>
      <c r="C31" s="41" t="s">
        <v>12</v>
      </c>
      <c r="D31" s="37" t="s">
        <v>48</v>
      </c>
      <c r="E31" s="2" t="s">
        <v>7</v>
      </c>
      <c r="F31" s="2" t="s">
        <v>7</v>
      </c>
      <c r="G31" s="2" t="s">
        <v>7</v>
      </c>
      <c r="H31" s="2" t="s">
        <v>7</v>
      </c>
      <c r="I31" s="2" t="s">
        <v>7</v>
      </c>
      <c r="J31" s="2" t="s">
        <v>7</v>
      </c>
      <c r="K31" s="9" t="s">
        <v>20</v>
      </c>
      <c r="L31" s="9" t="s">
        <v>20</v>
      </c>
      <c r="M31" s="9" t="s">
        <v>20</v>
      </c>
      <c r="N31" s="9" t="s">
        <v>20</v>
      </c>
      <c r="O31" s="9" t="s">
        <v>20</v>
      </c>
      <c r="P31" s="1" t="s">
        <v>6</v>
      </c>
      <c r="Q31" s="1" t="s">
        <v>6</v>
      </c>
      <c r="R31" s="3" t="s">
        <v>16</v>
      </c>
      <c r="S31" s="3" t="s">
        <v>16</v>
      </c>
      <c r="T31" s="3" t="s">
        <v>16</v>
      </c>
      <c r="U31" s="3" t="s">
        <v>16</v>
      </c>
      <c r="V31" s="3" t="s">
        <v>16</v>
      </c>
      <c r="W31" s="3" t="s">
        <v>16</v>
      </c>
      <c r="X31" s="3" t="s">
        <v>16</v>
      </c>
      <c r="Y31" s="2" t="s">
        <v>7</v>
      </c>
      <c r="Z31" s="2" t="s">
        <v>7</v>
      </c>
      <c r="AA31" s="2" t="s">
        <v>7</v>
      </c>
      <c r="AB31" s="2" t="s">
        <v>7</v>
      </c>
      <c r="AC31" s="2" t="s">
        <v>7</v>
      </c>
      <c r="AD31" s="3" t="s">
        <v>16</v>
      </c>
      <c r="AE31" s="3" t="s">
        <v>16</v>
      </c>
      <c r="AF31" s="1" t="s">
        <v>6</v>
      </c>
      <c r="AG31" s="1" t="s">
        <v>6</v>
      </c>
      <c r="AH31" s="1" t="s">
        <v>6</v>
      </c>
      <c r="AI31" s="1" t="s">
        <v>6</v>
      </c>
    </row>
    <row r="32" spans="1:36" ht="18" customHeight="1" x14ac:dyDescent="0.35">
      <c r="A32" s="171"/>
      <c r="C32" s="41" t="s">
        <v>12</v>
      </c>
      <c r="D32" s="33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</row>
  </sheetData>
  <mergeCells count="7">
    <mergeCell ref="A27:A32"/>
    <mergeCell ref="E2:AI2"/>
    <mergeCell ref="D2:D4"/>
    <mergeCell ref="A5:A24"/>
    <mergeCell ref="E23:AI23"/>
    <mergeCell ref="E17:AI17"/>
    <mergeCell ref="E11:AI11"/>
  </mergeCells>
  <phoneticPr fontId="1" type="noConversion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F590-D627-440D-B63E-9C9462D54068}">
  <dimension ref="A1:AJ33"/>
  <sheetViews>
    <sheetView topLeftCell="D1" workbookViewId="0">
      <selection activeCell="S5" sqref="S5"/>
    </sheetView>
  </sheetViews>
  <sheetFormatPr baseColWidth="10" defaultColWidth="8.54296875" defaultRowHeight="14.5" x14ac:dyDescent="0.35"/>
  <cols>
    <col min="1" max="1" width="10.1796875" bestFit="1" customWidth="1"/>
    <col min="2" max="2" width="3.81640625" customWidth="1"/>
    <col min="3" max="3" width="6.453125" bestFit="1" customWidth="1"/>
    <col min="4" max="4" width="27.54296875" customWidth="1"/>
    <col min="5" max="35" width="4.7265625" customWidth="1"/>
    <col min="36" max="36" width="4" bestFit="1" customWidth="1"/>
  </cols>
  <sheetData>
    <row r="1" spans="1:36" ht="15" thickBot="1" x14ac:dyDescent="0.4">
      <c r="A1" s="6"/>
      <c r="B1" s="6"/>
      <c r="C1" s="6"/>
      <c r="D1" s="31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6" ht="15" thickBot="1" x14ac:dyDescent="0.4">
      <c r="A2" s="6"/>
      <c r="B2" s="6"/>
      <c r="C2" s="6"/>
      <c r="D2" s="175"/>
      <c r="E2" s="172" t="s">
        <v>49</v>
      </c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4"/>
    </row>
    <row r="3" spans="1:36" x14ac:dyDescent="0.35">
      <c r="A3" s="6"/>
      <c r="B3" s="32"/>
      <c r="C3" s="6"/>
      <c r="D3" s="175"/>
      <c r="E3" s="11" t="s">
        <v>4</v>
      </c>
      <c r="F3" s="46" t="s">
        <v>5</v>
      </c>
      <c r="G3" s="46" t="s">
        <v>6</v>
      </c>
      <c r="H3" s="11" t="s">
        <v>7</v>
      </c>
      <c r="I3" s="11" t="s">
        <v>1</v>
      </c>
      <c r="J3" s="11" t="s">
        <v>2</v>
      </c>
      <c r="K3" s="11" t="s">
        <v>3</v>
      </c>
      <c r="L3" s="11" t="s">
        <v>4</v>
      </c>
      <c r="M3" s="46" t="s">
        <v>5</v>
      </c>
      <c r="N3" s="46" t="s">
        <v>6</v>
      </c>
      <c r="O3" s="11" t="s">
        <v>7</v>
      </c>
      <c r="P3" s="11" t="s">
        <v>1</v>
      </c>
      <c r="Q3" s="11" t="s">
        <v>2</v>
      </c>
      <c r="R3" s="11" t="s">
        <v>3</v>
      </c>
      <c r="S3" s="46" t="s">
        <v>4</v>
      </c>
      <c r="T3" s="46" t="s">
        <v>5</v>
      </c>
      <c r="U3" s="46" t="s">
        <v>6</v>
      </c>
      <c r="V3" s="11" t="s">
        <v>7</v>
      </c>
      <c r="W3" s="11" t="s">
        <v>1</v>
      </c>
      <c r="X3" s="11" t="s">
        <v>2</v>
      </c>
      <c r="Y3" s="11" t="s">
        <v>3</v>
      </c>
      <c r="Z3" s="11" t="s">
        <v>4</v>
      </c>
      <c r="AA3" s="46" t="s">
        <v>5</v>
      </c>
      <c r="AB3" s="46" t="s">
        <v>6</v>
      </c>
      <c r="AC3" s="11" t="s">
        <v>7</v>
      </c>
      <c r="AD3" s="11" t="s">
        <v>1</v>
      </c>
      <c r="AE3" s="11" t="s">
        <v>2</v>
      </c>
      <c r="AF3" s="11" t="s">
        <v>3</v>
      </c>
      <c r="AG3" s="11" t="s">
        <v>4</v>
      </c>
      <c r="AH3" s="46" t="s">
        <v>5</v>
      </c>
      <c r="AI3" s="46" t="s">
        <v>6</v>
      </c>
      <c r="AJ3" s="90" t="s">
        <v>8</v>
      </c>
    </row>
    <row r="4" spans="1:36" x14ac:dyDescent="0.35">
      <c r="A4" s="6"/>
      <c r="B4" s="6"/>
      <c r="C4" s="6"/>
      <c r="D4" s="175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 x14ac:dyDescent="0.35">
      <c r="A5" s="177" t="s">
        <v>9</v>
      </c>
      <c r="B5" s="6"/>
      <c r="C5" s="63" t="s">
        <v>12</v>
      </c>
      <c r="D5" s="62" t="s">
        <v>13</v>
      </c>
      <c r="E5" s="5" t="s">
        <v>14</v>
      </c>
      <c r="F5" s="5" t="s">
        <v>15</v>
      </c>
      <c r="G5" s="2" t="s">
        <v>7</v>
      </c>
      <c r="H5" s="7" t="s">
        <v>20</v>
      </c>
      <c r="I5" s="7" t="s">
        <v>20</v>
      </c>
      <c r="J5" s="7" t="s">
        <v>20</v>
      </c>
      <c r="K5" s="7" t="s">
        <v>20</v>
      </c>
      <c r="L5" s="7" t="s">
        <v>20</v>
      </c>
      <c r="M5" s="2" t="s">
        <v>7</v>
      </c>
      <c r="N5" s="2" t="s">
        <v>7</v>
      </c>
      <c r="O5" s="1" t="s">
        <v>14</v>
      </c>
      <c r="P5" s="1" t="s">
        <v>14</v>
      </c>
      <c r="Q5" s="1" t="s">
        <v>14</v>
      </c>
      <c r="R5" s="1" t="s">
        <v>14</v>
      </c>
      <c r="S5" s="1" t="s">
        <v>14</v>
      </c>
      <c r="T5" s="5" t="s">
        <v>15</v>
      </c>
      <c r="U5" s="5" t="s">
        <v>15</v>
      </c>
      <c r="V5" s="2" t="s">
        <v>7</v>
      </c>
      <c r="W5" s="2" t="s">
        <v>7</v>
      </c>
      <c r="X5" s="2" t="s">
        <v>7</v>
      </c>
      <c r="Y5" s="87" t="s">
        <v>7</v>
      </c>
      <c r="Z5" s="87" t="s">
        <v>7</v>
      </c>
      <c r="AA5" s="28" t="s">
        <v>7</v>
      </c>
      <c r="AB5" s="28" t="s">
        <v>7</v>
      </c>
      <c r="AC5" s="7" t="s">
        <v>20</v>
      </c>
      <c r="AD5" s="7" t="s">
        <v>20</v>
      </c>
      <c r="AE5" s="7" t="s">
        <v>20</v>
      </c>
      <c r="AF5" s="7" t="s">
        <v>20</v>
      </c>
      <c r="AG5" s="7" t="s">
        <v>20</v>
      </c>
      <c r="AH5" s="28" t="s">
        <v>7</v>
      </c>
      <c r="AI5" s="28" t="s">
        <v>7</v>
      </c>
      <c r="AJ5">
        <f>COUNTIFS(E5:AI5,"&lt;&gt;"&amp;"L",E5:AI5,"&lt;&gt;"&amp;"NF",E5:AI5,"&lt;&gt;"&amp;"M/F",E5:AI5,"&lt;&gt;"&amp;"V")*8+COUNTIFS(E5:AI5,"NF")*12+COUNTIFS(E5:AI5,"M/F")*12</f>
        <v>164</v>
      </c>
    </row>
    <row r="6" spans="1:36" x14ac:dyDescent="0.35">
      <c r="A6" s="177"/>
      <c r="B6" s="6"/>
      <c r="C6" s="34" t="s">
        <v>12</v>
      </c>
      <c r="D6" s="33" t="s">
        <v>18</v>
      </c>
      <c r="E6" s="3" t="s">
        <v>16</v>
      </c>
      <c r="F6" s="20" t="s">
        <v>17</v>
      </c>
      <c r="G6" s="20" t="s">
        <v>17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8" t="s">
        <v>7</v>
      </c>
      <c r="N6" s="28" t="s">
        <v>7</v>
      </c>
      <c r="O6" s="7" t="s">
        <v>20</v>
      </c>
      <c r="P6" s="7" t="s">
        <v>20</v>
      </c>
      <c r="Q6" s="7" t="s">
        <v>20</v>
      </c>
      <c r="R6" s="7" t="s">
        <v>20</v>
      </c>
      <c r="S6" s="7" t="s">
        <v>20</v>
      </c>
      <c r="T6" s="28" t="s">
        <v>7</v>
      </c>
      <c r="U6" s="28" t="s">
        <v>7</v>
      </c>
      <c r="V6" s="7" t="s">
        <v>20</v>
      </c>
      <c r="W6" s="7" t="s">
        <v>20</v>
      </c>
      <c r="X6" s="7" t="s">
        <v>20</v>
      </c>
      <c r="Y6" s="7" t="s">
        <v>20</v>
      </c>
      <c r="Z6" s="7" t="s">
        <v>20</v>
      </c>
      <c r="AA6" s="5" t="s">
        <v>15</v>
      </c>
      <c r="AB6" s="5" t="s">
        <v>15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8" t="s">
        <v>7</v>
      </c>
      <c r="AI6" s="28" t="s">
        <v>7</v>
      </c>
      <c r="AJ6">
        <f t="shared" ref="AJ6:AJ14" si="0">COUNTIFS(E6:AI6,"&lt;&gt;"&amp;"L",E6:AI6,"&lt;&gt;"&amp;"NF",E6:AI6,"&lt;&gt;"&amp;"M/F",E6:AI6,"&lt;&gt;"&amp;"V")*8+COUNTIFS(E6:AI6,"NF")*12+COUNTIFS(E6:AI6,"M/F")*12</f>
        <v>136</v>
      </c>
    </row>
    <row r="7" spans="1:36" x14ac:dyDescent="0.35">
      <c r="A7" s="177"/>
      <c r="B7" s="6"/>
      <c r="C7" s="34" t="s">
        <v>12</v>
      </c>
      <c r="D7" s="33" t="s">
        <v>19</v>
      </c>
      <c r="E7" s="87" t="s">
        <v>7</v>
      </c>
      <c r="F7" s="2" t="s">
        <v>7</v>
      </c>
      <c r="G7" s="2" t="s">
        <v>7</v>
      </c>
      <c r="H7" s="17" t="s">
        <v>4</v>
      </c>
      <c r="I7" s="17" t="s">
        <v>4</v>
      </c>
      <c r="J7" s="17" t="s">
        <v>4</v>
      </c>
      <c r="K7" s="17" t="s">
        <v>4</v>
      </c>
      <c r="L7" s="17" t="s">
        <v>4</v>
      </c>
      <c r="M7" s="28" t="s">
        <v>7</v>
      </c>
      <c r="N7" s="28" t="s">
        <v>7</v>
      </c>
      <c r="O7" s="3" t="s">
        <v>16</v>
      </c>
      <c r="P7" s="3" t="s">
        <v>16</v>
      </c>
      <c r="Q7" s="3" t="s">
        <v>16</v>
      </c>
      <c r="R7" s="3" t="s">
        <v>16</v>
      </c>
      <c r="S7" s="3" t="s">
        <v>16</v>
      </c>
      <c r="T7" s="3" t="s">
        <v>17</v>
      </c>
      <c r="U7" s="3" t="s">
        <v>17</v>
      </c>
      <c r="V7" s="2" t="s">
        <v>7</v>
      </c>
      <c r="W7" s="2" t="s">
        <v>7</v>
      </c>
      <c r="X7" s="2" t="s">
        <v>7</v>
      </c>
      <c r="Y7" s="87" t="s">
        <v>7</v>
      </c>
      <c r="Z7" s="87" t="s">
        <v>7</v>
      </c>
      <c r="AA7" s="28" t="s">
        <v>7</v>
      </c>
      <c r="AB7" s="28" t="s">
        <v>7</v>
      </c>
      <c r="AC7" s="7" t="s">
        <v>20</v>
      </c>
      <c r="AD7" s="7" t="s">
        <v>20</v>
      </c>
      <c r="AE7" s="7" t="s">
        <v>20</v>
      </c>
      <c r="AF7" s="7" t="s">
        <v>20</v>
      </c>
      <c r="AG7" s="7" t="s">
        <v>20</v>
      </c>
      <c r="AH7" s="81" t="s">
        <v>7</v>
      </c>
      <c r="AI7" s="81" t="s">
        <v>7</v>
      </c>
      <c r="AJ7">
        <f t="shared" si="0"/>
        <v>104</v>
      </c>
    </row>
    <row r="8" spans="1:36" x14ac:dyDescent="0.35">
      <c r="A8" s="177"/>
      <c r="B8" s="6"/>
      <c r="C8" s="34" t="s">
        <v>12</v>
      </c>
      <c r="D8" s="33" t="s">
        <v>21</v>
      </c>
      <c r="E8" s="87" t="s">
        <v>7</v>
      </c>
      <c r="F8" s="2" t="s">
        <v>7</v>
      </c>
      <c r="G8" s="2" t="s">
        <v>7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17</v>
      </c>
      <c r="N8" s="3" t="s">
        <v>17</v>
      </c>
      <c r="O8" s="2" t="s">
        <v>7</v>
      </c>
      <c r="P8" s="2" t="s">
        <v>7</v>
      </c>
      <c r="Q8" s="2" t="s">
        <v>7</v>
      </c>
      <c r="R8" s="87" t="s">
        <v>7</v>
      </c>
      <c r="S8" s="87" t="s">
        <v>7</v>
      </c>
      <c r="T8" s="28" t="s">
        <v>7</v>
      </c>
      <c r="U8" s="28" t="s">
        <v>7</v>
      </c>
      <c r="V8" s="17" t="s">
        <v>4</v>
      </c>
      <c r="W8" s="17" t="s">
        <v>4</v>
      </c>
      <c r="X8" s="17" t="s">
        <v>4</v>
      </c>
      <c r="Y8" s="17" t="s">
        <v>4</v>
      </c>
      <c r="Z8" s="17" t="s">
        <v>4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5" t="s">
        <v>15</v>
      </c>
      <c r="AI8" s="5" t="s">
        <v>15</v>
      </c>
      <c r="AJ8">
        <f t="shared" si="0"/>
        <v>128</v>
      </c>
    </row>
    <row r="9" spans="1:36" x14ac:dyDescent="0.35">
      <c r="A9" s="177"/>
      <c r="B9" s="6"/>
      <c r="C9" s="34" t="s">
        <v>12</v>
      </c>
      <c r="D9" s="33" t="s">
        <v>22</v>
      </c>
      <c r="E9" s="89" t="s">
        <v>7</v>
      </c>
      <c r="F9" s="2" t="s">
        <v>7</v>
      </c>
      <c r="G9" s="5" t="s">
        <v>15</v>
      </c>
      <c r="H9" s="1" t="s">
        <v>14</v>
      </c>
      <c r="I9" s="1" t="s">
        <v>14</v>
      </c>
      <c r="J9" s="1" t="s">
        <v>14</v>
      </c>
      <c r="K9" s="1" t="s">
        <v>14</v>
      </c>
      <c r="L9" s="1" t="s">
        <v>14</v>
      </c>
      <c r="M9" s="5" t="s">
        <v>15</v>
      </c>
      <c r="N9" s="5" t="s">
        <v>15</v>
      </c>
      <c r="O9" s="2" t="s">
        <v>7</v>
      </c>
      <c r="P9" s="2" t="s">
        <v>7</v>
      </c>
      <c r="Q9" s="2" t="s">
        <v>7</v>
      </c>
      <c r="R9" s="87" t="s">
        <v>7</v>
      </c>
      <c r="S9" s="87" t="s">
        <v>7</v>
      </c>
      <c r="T9" s="28" t="s">
        <v>7</v>
      </c>
      <c r="U9" s="28" t="s">
        <v>7</v>
      </c>
      <c r="V9" s="5" t="s">
        <v>14</v>
      </c>
      <c r="W9" s="1" t="s">
        <v>14</v>
      </c>
      <c r="X9" s="1" t="s">
        <v>14</v>
      </c>
      <c r="Y9" s="1" t="s">
        <v>14</v>
      </c>
      <c r="Z9" s="1" t="s">
        <v>14</v>
      </c>
      <c r="AA9" s="5" t="s">
        <v>15</v>
      </c>
      <c r="AB9" s="5" t="s">
        <v>15</v>
      </c>
      <c r="AC9" s="2" t="s">
        <v>7</v>
      </c>
      <c r="AD9" s="2" t="s">
        <v>7</v>
      </c>
      <c r="AE9" s="2" t="s">
        <v>7</v>
      </c>
      <c r="AF9" s="87" t="s">
        <v>7</v>
      </c>
      <c r="AG9" s="87" t="s">
        <v>7</v>
      </c>
      <c r="AH9" s="28" t="s">
        <v>7</v>
      </c>
      <c r="AI9" s="28" t="s">
        <v>7</v>
      </c>
      <c r="AJ9">
        <f t="shared" si="0"/>
        <v>140</v>
      </c>
    </row>
    <row r="10" spans="1:36" x14ac:dyDescent="0.35">
      <c r="A10" s="177"/>
      <c r="B10" s="6"/>
      <c r="C10" s="34"/>
      <c r="D10" s="36"/>
      <c r="E10" s="182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4"/>
    </row>
    <row r="11" spans="1:36" x14ac:dyDescent="0.35">
      <c r="A11" s="177"/>
      <c r="B11" s="6"/>
      <c r="C11" s="34" t="s">
        <v>12</v>
      </c>
      <c r="D11" s="33" t="s">
        <v>23</v>
      </c>
      <c r="E11" s="3" t="s">
        <v>16</v>
      </c>
      <c r="F11" s="3" t="s">
        <v>17</v>
      </c>
      <c r="G11" s="3" t="s">
        <v>17</v>
      </c>
      <c r="H11" s="47" t="s">
        <v>20</v>
      </c>
      <c r="I11" s="47" t="s">
        <v>20</v>
      </c>
      <c r="J11" s="47" t="s">
        <v>20</v>
      </c>
      <c r="K11" s="47" t="s">
        <v>20</v>
      </c>
      <c r="L11" s="47" t="s">
        <v>20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" t="s">
        <v>7</v>
      </c>
      <c r="U11" s="2" t="s">
        <v>7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17</v>
      </c>
      <c r="AB11" s="3" t="s">
        <v>17</v>
      </c>
      <c r="AC11" s="2" t="s">
        <v>7</v>
      </c>
      <c r="AD11" s="2" t="s">
        <v>7</v>
      </c>
      <c r="AE11" s="2" t="s">
        <v>7</v>
      </c>
      <c r="AF11" s="87" t="s">
        <v>7</v>
      </c>
      <c r="AG11" s="87" t="s">
        <v>7</v>
      </c>
      <c r="AH11" s="2" t="s">
        <v>7</v>
      </c>
      <c r="AI11" s="2" t="s">
        <v>7</v>
      </c>
      <c r="AJ11">
        <f t="shared" si="0"/>
        <v>176</v>
      </c>
    </row>
    <row r="12" spans="1:36" x14ac:dyDescent="0.35">
      <c r="A12" s="177"/>
      <c r="B12" s="6"/>
      <c r="C12" s="34" t="s">
        <v>12</v>
      </c>
      <c r="D12" s="33" t="s">
        <v>24</v>
      </c>
      <c r="E12" s="87" t="s">
        <v>7</v>
      </c>
      <c r="F12" s="2" t="s">
        <v>7</v>
      </c>
      <c r="G12" s="2" t="s">
        <v>7</v>
      </c>
      <c r="H12" s="48" t="s">
        <v>7</v>
      </c>
      <c r="I12" s="48" t="s">
        <v>7</v>
      </c>
      <c r="J12" s="48" t="s">
        <v>7</v>
      </c>
      <c r="K12" s="48" t="s">
        <v>7</v>
      </c>
      <c r="L12" s="48" t="s">
        <v>7</v>
      </c>
      <c r="M12" s="2" t="s">
        <v>7</v>
      </c>
      <c r="N12" s="2" t="s">
        <v>7</v>
      </c>
      <c r="O12" s="3" t="s">
        <v>16</v>
      </c>
      <c r="P12" s="3" t="s">
        <v>16</v>
      </c>
      <c r="Q12" s="3" t="s">
        <v>16</v>
      </c>
      <c r="R12" s="3" t="s">
        <v>16</v>
      </c>
      <c r="S12" s="3" t="s">
        <v>17</v>
      </c>
      <c r="T12" s="3" t="s">
        <v>17</v>
      </c>
      <c r="U12" s="3" t="s">
        <v>17</v>
      </c>
      <c r="V12" s="2" t="s">
        <v>7</v>
      </c>
      <c r="W12" s="2" t="s">
        <v>7</v>
      </c>
      <c r="X12" s="2" t="s">
        <v>7</v>
      </c>
      <c r="Y12" s="87" t="s">
        <v>7</v>
      </c>
      <c r="Z12" s="87" t="s">
        <v>7</v>
      </c>
      <c r="AA12" s="2" t="s">
        <v>7</v>
      </c>
      <c r="AB12" s="2" t="s">
        <v>7</v>
      </c>
      <c r="AC12" s="3" t="s">
        <v>16</v>
      </c>
      <c r="AD12" s="3" t="s">
        <v>16</v>
      </c>
      <c r="AE12" s="3" t="s">
        <v>16</v>
      </c>
      <c r="AF12" s="3" t="s">
        <v>16</v>
      </c>
      <c r="AG12" s="3" t="s">
        <v>16</v>
      </c>
      <c r="AH12" s="3" t="s">
        <v>17</v>
      </c>
      <c r="AI12" s="3" t="s">
        <v>17</v>
      </c>
      <c r="AJ12">
        <f t="shared" si="0"/>
        <v>132</v>
      </c>
    </row>
    <row r="13" spans="1:36" ht="15" thickBot="1" x14ac:dyDescent="0.4">
      <c r="A13" s="177"/>
      <c r="B13" s="6"/>
      <c r="C13" s="34" t="s">
        <v>12</v>
      </c>
      <c r="D13" s="33" t="s">
        <v>25</v>
      </c>
      <c r="E13" s="7" t="s">
        <v>20</v>
      </c>
      <c r="F13" s="2" t="s">
        <v>7</v>
      </c>
      <c r="G13" s="2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" t="s">
        <v>7</v>
      </c>
      <c r="P13" s="2" t="s">
        <v>7</v>
      </c>
      <c r="Q13" s="2" t="s">
        <v>7</v>
      </c>
      <c r="R13" s="87" t="s">
        <v>7</v>
      </c>
      <c r="S13" s="87" t="s">
        <v>7</v>
      </c>
      <c r="T13" s="2" t="s">
        <v>7</v>
      </c>
      <c r="U13" s="2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" t="s">
        <v>7</v>
      </c>
      <c r="AD13" s="2" t="s">
        <v>7</v>
      </c>
      <c r="AE13" s="2" t="s">
        <v>7</v>
      </c>
      <c r="AF13" s="2" t="s">
        <v>7</v>
      </c>
      <c r="AG13" s="2" t="s">
        <v>7</v>
      </c>
      <c r="AH13" s="2" t="s">
        <v>7</v>
      </c>
      <c r="AI13" s="2" t="s">
        <v>7</v>
      </c>
      <c r="AJ13">
        <f t="shared" si="0"/>
        <v>136</v>
      </c>
    </row>
    <row r="14" spans="1:36" ht="15" thickBot="1" x14ac:dyDescent="0.4">
      <c r="A14" s="177"/>
      <c r="B14" s="6"/>
      <c r="C14" s="34" t="s">
        <v>12</v>
      </c>
      <c r="D14" s="33" t="s">
        <v>50</v>
      </c>
      <c r="E14" s="2" t="s">
        <v>7</v>
      </c>
      <c r="F14" s="2" t="s">
        <v>7</v>
      </c>
      <c r="G14" s="2" t="s">
        <v>7</v>
      </c>
      <c r="H14" s="46" t="s">
        <v>51</v>
      </c>
      <c r="I14" s="46" t="s">
        <v>51</v>
      </c>
      <c r="J14" s="46" t="s">
        <v>51</v>
      </c>
      <c r="K14" s="46" t="s">
        <v>51</v>
      </c>
      <c r="L14" s="46" t="s">
        <v>51</v>
      </c>
      <c r="M14" s="46" t="s">
        <v>51</v>
      </c>
      <c r="N14" s="46" t="s">
        <v>51</v>
      </c>
      <c r="O14" s="46" t="s">
        <v>51</v>
      </c>
      <c r="P14" s="46" t="s">
        <v>51</v>
      </c>
      <c r="Q14" s="46" t="s">
        <v>51</v>
      </c>
      <c r="R14" s="46" t="s">
        <v>51</v>
      </c>
      <c r="S14" s="46" t="s">
        <v>51</v>
      </c>
      <c r="T14" s="46" t="s">
        <v>51</v>
      </c>
      <c r="U14" s="46" t="s">
        <v>51</v>
      </c>
      <c r="V14" s="46" t="s">
        <v>51</v>
      </c>
      <c r="W14" s="46" t="s">
        <v>51</v>
      </c>
      <c r="X14" s="46" t="s">
        <v>51</v>
      </c>
      <c r="Y14" s="46" t="s">
        <v>51</v>
      </c>
      <c r="Z14" s="46" t="s">
        <v>51</v>
      </c>
      <c r="AA14" s="46" t="s">
        <v>51</v>
      </c>
      <c r="AB14" s="46" t="s">
        <v>51</v>
      </c>
      <c r="AC14" s="46" t="s">
        <v>51</v>
      </c>
      <c r="AD14" s="46" t="s">
        <v>51</v>
      </c>
      <c r="AE14" s="46" t="s">
        <v>51</v>
      </c>
      <c r="AF14" s="46" t="s">
        <v>51</v>
      </c>
      <c r="AG14" s="46" t="s">
        <v>51</v>
      </c>
      <c r="AH14" s="46" t="s">
        <v>51</v>
      </c>
      <c r="AI14" s="46" t="s">
        <v>51</v>
      </c>
      <c r="AJ14">
        <f t="shared" si="0"/>
        <v>224</v>
      </c>
    </row>
    <row r="15" spans="1:36" x14ac:dyDescent="0.35">
      <c r="A15" s="177"/>
      <c r="B15" s="6"/>
      <c r="C15" s="34" t="s">
        <v>12</v>
      </c>
      <c r="D15" s="33" t="s">
        <v>27</v>
      </c>
      <c r="E15" s="3" t="s">
        <v>16</v>
      </c>
      <c r="F15" s="3" t="s">
        <v>17</v>
      </c>
      <c r="G15" s="3" t="s">
        <v>17</v>
      </c>
      <c r="H15" s="46" t="s">
        <v>51</v>
      </c>
      <c r="I15" s="46" t="s">
        <v>51</v>
      </c>
      <c r="J15" s="46" t="s">
        <v>51</v>
      </c>
      <c r="K15" s="46" t="s">
        <v>51</v>
      </c>
      <c r="L15" s="46" t="s">
        <v>51</v>
      </c>
      <c r="M15" s="46" t="s">
        <v>51</v>
      </c>
      <c r="N15" s="46" t="s">
        <v>51</v>
      </c>
      <c r="O15" s="46" t="s">
        <v>51</v>
      </c>
      <c r="P15" s="46" t="s">
        <v>51</v>
      </c>
      <c r="Q15" s="46" t="s">
        <v>51</v>
      </c>
      <c r="R15" s="46" t="s">
        <v>51</v>
      </c>
      <c r="S15" s="46" t="s">
        <v>51</v>
      </c>
      <c r="T15" s="46" t="s">
        <v>51</v>
      </c>
      <c r="U15" s="46" t="s">
        <v>51</v>
      </c>
      <c r="V15" s="46" t="s">
        <v>51</v>
      </c>
      <c r="W15" s="46" t="s">
        <v>51</v>
      </c>
      <c r="X15" s="46" t="s">
        <v>51</v>
      </c>
      <c r="Y15" s="46" t="s">
        <v>51</v>
      </c>
      <c r="Z15" s="46" t="s">
        <v>51</v>
      </c>
      <c r="AA15" s="46" t="s">
        <v>51</v>
      </c>
      <c r="AB15" s="46" t="s">
        <v>51</v>
      </c>
      <c r="AC15" s="46" t="s">
        <v>51</v>
      </c>
      <c r="AD15" s="46" t="s">
        <v>51</v>
      </c>
      <c r="AE15" s="46" t="s">
        <v>51</v>
      </c>
      <c r="AF15" s="46" t="s">
        <v>51</v>
      </c>
      <c r="AG15" s="46" t="s">
        <v>51</v>
      </c>
      <c r="AH15" s="46" t="s">
        <v>51</v>
      </c>
      <c r="AI15" s="46" t="s">
        <v>51</v>
      </c>
    </row>
    <row r="16" spans="1:36" x14ac:dyDescent="0.35">
      <c r="A16" s="177"/>
      <c r="B16" s="6"/>
      <c r="C16" s="34"/>
      <c r="D16" s="33" t="s">
        <v>52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7" t="s">
        <v>20</v>
      </c>
      <c r="P16" s="7" t="s">
        <v>20</v>
      </c>
      <c r="Q16" s="7" t="s">
        <v>20</v>
      </c>
      <c r="R16" s="7" t="s">
        <v>20</v>
      </c>
      <c r="S16" s="7" t="s">
        <v>20</v>
      </c>
      <c r="T16" s="28" t="s">
        <v>7</v>
      </c>
      <c r="U16" s="28" t="s">
        <v>7</v>
      </c>
      <c r="V16" s="7" t="s">
        <v>20</v>
      </c>
      <c r="W16" s="7" t="s">
        <v>20</v>
      </c>
      <c r="X16" s="7" t="s">
        <v>20</v>
      </c>
      <c r="Y16" s="7" t="s">
        <v>20</v>
      </c>
      <c r="Z16" s="7" t="s">
        <v>20</v>
      </c>
      <c r="AA16" s="2" t="s">
        <v>7</v>
      </c>
      <c r="AB16" s="2" t="s">
        <v>7</v>
      </c>
      <c r="AC16" s="3" t="s">
        <v>16</v>
      </c>
      <c r="AD16" s="3" t="s">
        <v>16</v>
      </c>
      <c r="AE16" s="3" t="s">
        <v>16</v>
      </c>
      <c r="AF16" s="3" t="s">
        <v>16</v>
      </c>
      <c r="AG16" s="3" t="s">
        <v>16</v>
      </c>
      <c r="AH16" s="2" t="s">
        <v>7</v>
      </c>
      <c r="AI16" s="2" t="s">
        <v>7</v>
      </c>
    </row>
    <row r="17" spans="1:35" x14ac:dyDescent="0.35">
      <c r="A17" s="177"/>
      <c r="B17" s="6"/>
      <c r="C17" s="34"/>
      <c r="D17" s="33" t="s">
        <v>53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7" t="s">
        <v>20</v>
      </c>
      <c r="P17" s="7" t="s">
        <v>20</v>
      </c>
      <c r="Q17" s="7" t="s">
        <v>20</v>
      </c>
      <c r="R17" s="7" t="s">
        <v>20</v>
      </c>
      <c r="S17" s="7" t="s">
        <v>20</v>
      </c>
      <c r="T17" s="28" t="s">
        <v>7</v>
      </c>
      <c r="U17" s="28" t="s">
        <v>7</v>
      </c>
      <c r="V17" s="3" t="s">
        <v>16</v>
      </c>
      <c r="W17" s="3" t="s">
        <v>16</v>
      </c>
      <c r="X17" s="3" t="s">
        <v>16</v>
      </c>
      <c r="Y17" s="3" t="s">
        <v>16</v>
      </c>
      <c r="Z17" s="3" t="s">
        <v>16</v>
      </c>
      <c r="AA17" s="2" t="s">
        <v>7</v>
      </c>
      <c r="AB17" s="2" t="s">
        <v>7</v>
      </c>
      <c r="AC17" s="7" t="s">
        <v>20</v>
      </c>
      <c r="AD17" s="7" t="s">
        <v>20</v>
      </c>
      <c r="AE17" s="7" t="s">
        <v>20</v>
      </c>
      <c r="AF17" s="7" t="s">
        <v>20</v>
      </c>
      <c r="AG17" s="7" t="s">
        <v>20</v>
      </c>
      <c r="AH17" s="2" t="s">
        <v>7</v>
      </c>
      <c r="AI17" s="2" t="s">
        <v>7</v>
      </c>
    </row>
    <row r="18" spans="1:35" x14ac:dyDescent="0.35">
      <c r="A18" s="177"/>
      <c r="B18" s="6"/>
      <c r="C18" s="34"/>
      <c r="D18" s="33"/>
      <c r="E18" s="182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4"/>
    </row>
    <row r="19" spans="1:35" x14ac:dyDescent="0.35">
      <c r="A19" s="177"/>
      <c r="B19" s="6"/>
      <c r="C19" s="34" t="s">
        <v>28</v>
      </c>
      <c r="D19" s="33" t="s">
        <v>29</v>
      </c>
      <c r="E19" s="7" t="s">
        <v>20</v>
      </c>
      <c r="F19" s="2" t="s">
        <v>7</v>
      </c>
      <c r="G19" s="2" t="s">
        <v>7</v>
      </c>
      <c r="H19" s="4" t="s">
        <v>32</v>
      </c>
      <c r="I19" s="4" t="s">
        <v>32</v>
      </c>
      <c r="J19" s="4" t="s">
        <v>33</v>
      </c>
      <c r="K19" s="4" t="s">
        <v>33</v>
      </c>
      <c r="L19" s="4" t="s">
        <v>33</v>
      </c>
      <c r="M19" s="9" t="s">
        <v>30</v>
      </c>
      <c r="N19" s="9" t="s">
        <v>30</v>
      </c>
      <c r="O19" s="4" t="s">
        <v>14</v>
      </c>
      <c r="P19" s="4" t="s">
        <v>14</v>
      </c>
      <c r="Q19" s="4" t="s">
        <v>14</v>
      </c>
      <c r="R19" s="4" t="s">
        <v>14</v>
      </c>
      <c r="S19" s="2" t="s">
        <v>7</v>
      </c>
      <c r="T19" s="2" t="s">
        <v>7</v>
      </c>
      <c r="U19" s="2" t="s">
        <v>7</v>
      </c>
      <c r="V19" s="25" t="s">
        <v>11</v>
      </c>
      <c r="W19" s="25" t="s">
        <v>11</v>
      </c>
      <c r="X19" s="25" t="s">
        <v>11</v>
      </c>
      <c r="Y19" s="4" t="s">
        <v>33</v>
      </c>
      <c r="Z19" s="4" t="s">
        <v>33</v>
      </c>
      <c r="AA19" s="9" t="s">
        <v>30</v>
      </c>
      <c r="AB19" s="9" t="s">
        <v>30</v>
      </c>
      <c r="AC19" s="4" t="s">
        <v>33</v>
      </c>
      <c r="AD19" s="4" t="s">
        <v>33</v>
      </c>
      <c r="AE19" s="4" t="s">
        <v>33</v>
      </c>
      <c r="AF19" s="4" t="s">
        <v>33</v>
      </c>
      <c r="AG19" s="4" t="s">
        <v>33</v>
      </c>
      <c r="AH19" s="9" t="s">
        <v>30</v>
      </c>
      <c r="AI19" s="9" t="s">
        <v>30</v>
      </c>
    </row>
    <row r="20" spans="1:35" x14ac:dyDescent="0.35">
      <c r="A20" s="177"/>
      <c r="B20" s="6"/>
      <c r="C20" s="34" t="s">
        <v>28</v>
      </c>
      <c r="D20" s="35" t="s">
        <v>31</v>
      </c>
      <c r="E20" s="25" t="s">
        <v>32</v>
      </c>
      <c r="F20" s="9" t="s">
        <v>30</v>
      </c>
      <c r="G20" s="9" t="s">
        <v>30</v>
      </c>
      <c r="H20" s="4" t="s">
        <v>14</v>
      </c>
      <c r="I20" s="4" t="s">
        <v>14</v>
      </c>
      <c r="J20" s="4" t="s">
        <v>11</v>
      </c>
      <c r="K20" s="4" t="s">
        <v>11</v>
      </c>
      <c r="L20" s="4" t="s">
        <v>11</v>
      </c>
      <c r="M20" s="2" t="s">
        <v>7</v>
      </c>
      <c r="N20" s="2" t="s">
        <v>7</v>
      </c>
      <c r="O20" s="25" t="s">
        <v>11</v>
      </c>
      <c r="P20" s="25" t="s">
        <v>11</v>
      </c>
      <c r="Q20" s="25" t="s">
        <v>11</v>
      </c>
      <c r="R20" s="25" t="s">
        <v>11</v>
      </c>
      <c r="S20" s="2" t="s">
        <v>7</v>
      </c>
      <c r="T20" s="2" t="s">
        <v>7</v>
      </c>
      <c r="U20" s="2" t="s">
        <v>7</v>
      </c>
      <c r="V20" s="4" t="s">
        <v>11</v>
      </c>
      <c r="W20" s="4" t="s">
        <v>11</v>
      </c>
      <c r="X20" s="4" t="s">
        <v>11</v>
      </c>
      <c r="Y20" s="46" t="s">
        <v>51</v>
      </c>
      <c r="Z20" s="46" t="s">
        <v>51</v>
      </c>
      <c r="AA20" s="46" t="s">
        <v>51</v>
      </c>
      <c r="AB20" s="46" t="s">
        <v>51</v>
      </c>
      <c r="AC20" s="46" t="s">
        <v>51</v>
      </c>
      <c r="AD20" s="46" t="s">
        <v>51</v>
      </c>
      <c r="AE20" s="46" t="s">
        <v>51</v>
      </c>
      <c r="AF20" s="46" t="s">
        <v>51</v>
      </c>
      <c r="AG20" s="46" t="s">
        <v>51</v>
      </c>
      <c r="AH20" s="46" t="s">
        <v>51</v>
      </c>
      <c r="AI20" s="46" t="s">
        <v>51</v>
      </c>
    </row>
    <row r="21" spans="1:35" x14ac:dyDescent="0.35">
      <c r="A21" s="177"/>
      <c r="B21" s="6"/>
      <c r="C21" s="34" t="s">
        <v>28</v>
      </c>
      <c r="D21" s="35" t="s">
        <v>34</v>
      </c>
      <c r="E21" s="4" t="s">
        <v>11</v>
      </c>
      <c r="F21" s="2" t="s">
        <v>7</v>
      </c>
      <c r="G21" s="2" t="s">
        <v>7</v>
      </c>
      <c r="H21" s="25" t="s">
        <v>11</v>
      </c>
      <c r="I21" s="25" t="s">
        <v>11</v>
      </c>
      <c r="J21" s="25" t="s">
        <v>11</v>
      </c>
      <c r="K21" s="25" t="s">
        <v>11</v>
      </c>
      <c r="L21" s="25" t="s">
        <v>11</v>
      </c>
      <c r="M21" s="2" t="s">
        <v>7</v>
      </c>
      <c r="N21" s="2" t="s">
        <v>7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9" t="s">
        <v>30</v>
      </c>
      <c r="U21" s="9" t="s">
        <v>30</v>
      </c>
      <c r="V21" s="4" t="s">
        <v>33</v>
      </c>
      <c r="W21" s="4" t="s">
        <v>33</v>
      </c>
      <c r="X21" s="4" t="s">
        <v>33</v>
      </c>
      <c r="Y21" s="4" t="s">
        <v>54</v>
      </c>
      <c r="Z21" s="4" t="s">
        <v>54</v>
      </c>
      <c r="AA21" s="2" t="s">
        <v>7</v>
      </c>
      <c r="AB21" s="2" t="s">
        <v>7</v>
      </c>
      <c r="AC21" s="1" t="s">
        <v>11</v>
      </c>
      <c r="AD21" s="1" t="s">
        <v>11</v>
      </c>
      <c r="AE21" s="1" t="s">
        <v>11</v>
      </c>
      <c r="AF21" s="1" t="s">
        <v>11</v>
      </c>
      <c r="AG21" s="1" t="s">
        <v>11</v>
      </c>
      <c r="AH21" s="2" t="s">
        <v>7</v>
      </c>
      <c r="AI21" s="2" t="s">
        <v>7</v>
      </c>
    </row>
    <row r="22" spans="1:35" x14ac:dyDescent="0.35">
      <c r="A22" s="177"/>
      <c r="B22" s="6"/>
      <c r="C22" s="34"/>
      <c r="D22" s="35"/>
      <c r="E22" s="43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/>
    </row>
    <row r="23" spans="1:35" x14ac:dyDescent="0.35">
      <c r="A23" s="177"/>
      <c r="B23" s="6"/>
      <c r="C23" s="34" t="s">
        <v>35</v>
      </c>
      <c r="D23" s="35" t="s">
        <v>36</v>
      </c>
      <c r="E23" s="25" t="s">
        <v>11</v>
      </c>
      <c r="F23" s="2" t="s">
        <v>7</v>
      </c>
      <c r="G23" s="2" t="s">
        <v>7</v>
      </c>
      <c r="H23" s="25" t="s">
        <v>11</v>
      </c>
      <c r="I23" s="25" t="s">
        <v>11</v>
      </c>
      <c r="J23" s="25" t="s">
        <v>11</v>
      </c>
      <c r="K23" s="25" t="s">
        <v>11</v>
      </c>
      <c r="L23" s="25" t="s">
        <v>11</v>
      </c>
      <c r="M23" s="2" t="s">
        <v>7</v>
      </c>
      <c r="N23" s="2" t="s">
        <v>7</v>
      </c>
      <c r="O23" s="4" t="s">
        <v>11</v>
      </c>
      <c r="P23" s="4" t="s">
        <v>11</v>
      </c>
      <c r="Q23" s="4" t="s">
        <v>11</v>
      </c>
      <c r="R23" s="4" t="s">
        <v>11</v>
      </c>
      <c r="S23" s="2" t="s">
        <v>7</v>
      </c>
      <c r="T23" s="2" t="s">
        <v>7</v>
      </c>
      <c r="U23" s="2" t="s">
        <v>7</v>
      </c>
      <c r="V23" s="25" t="s">
        <v>11</v>
      </c>
      <c r="W23" s="25" t="s">
        <v>11</v>
      </c>
      <c r="X23" s="25" t="s">
        <v>11</v>
      </c>
      <c r="Y23" s="25" t="s">
        <v>11</v>
      </c>
      <c r="Z23" s="25" t="s">
        <v>11</v>
      </c>
      <c r="AA23" s="2" t="s">
        <v>7</v>
      </c>
      <c r="AB23" s="2" t="s">
        <v>7</v>
      </c>
      <c r="AC23" s="4" t="s">
        <v>11</v>
      </c>
      <c r="AD23" s="4" t="s">
        <v>11</v>
      </c>
      <c r="AE23" s="4" t="s">
        <v>11</v>
      </c>
      <c r="AF23" s="4" t="s">
        <v>11</v>
      </c>
      <c r="AG23" s="4" t="s">
        <v>11</v>
      </c>
      <c r="AH23" s="2" t="s">
        <v>7</v>
      </c>
      <c r="AI23" s="2" t="s">
        <v>7</v>
      </c>
    </row>
    <row r="24" spans="1:35" x14ac:dyDescent="0.35">
      <c r="A24" s="177"/>
      <c r="B24" s="6"/>
      <c r="C24" s="34"/>
      <c r="E24" s="179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1"/>
    </row>
    <row r="25" spans="1:35" ht="15" thickBot="1" x14ac:dyDescent="0.4">
      <c r="A25" s="178"/>
      <c r="B25" s="6"/>
      <c r="C25" s="51" t="s">
        <v>37</v>
      </c>
      <c r="D25" s="52" t="s">
        <v>38</v>
      </c>
      <c r="E25" s="53" t="s">
        <v>39</v>
      </c>
      <c r="F25" s="2" t="s">
        <v>7</v>
      </c>
      <c r="G25" s="2" t="s">
        <v>7</v>
      </c>
      <c r="H25" s="42" t="s">
        <v>39</v>
      </c>
      <c r="I25" s="42" t="s">
        <v>39</v>
      </c>
      <c r="J25" s="42" t="s">
        <v>39</v>
      </c>
      <c r="K25" s="42" t="s">
        <v>39</v>
      </c>
      <c r="L25" s="42" t="s">
        <v>39</v>
      </c>
      <c r="M25" s="2" t="s">
        <v>7</v>
      </c>
      <c r="N25" s="2" t="s">
        <v>7</v>
      </c>
      <c r="O25" s="42" t="s">
        <v>39</v>
      </c>
      <c r="P25" s="42" t="s">
        <v>39</v>
      </c>
      <c r="Q25" s="59" t="s">
        <v>4</v>
      </c>
      <c r="R25" s="59" t="s">
        <v>4</v>
      </c>
      <c r="S25" s="2" t="s">
        <v>7</v>
      </c>
      <c r="T25" s="2" t="s">
        <v>7</v>
      </c>
      <c r="U25" s="2" t="s">
        <v>7</v>
      </c>
      <c r="V25" s="42" t="s">
        <v>39</v>
      </c>
      <c r="W25" s="42" t="s">
        <v>39</v>
      </c>
      <c r="X25" s="42" t="s">
        <v>39</v>
      </c>
      <c r="Y25" s="42" t="s">
        <v>39</v>
      </c>
      <c r="Z25" s="42" t="s">
        <v>39</v>
      </c>
      <c r="AA25" s="2" t="s">
        <v>7</v>
      </c>
      <c r="AB25" s="2" t="s">
        <v>7</v>
      </c>
      <c r="AC25" s="42" t="s">
        <v>39</v>
      </c>
      <c r="AD25" s="42" t="s">
        <v>39</v>
      </c>
      <c r="AE25" s="42" t="s">
        <v>39</v>
      </c>
      <c r="AF25" s="42" t="s">
        <v>39</v>
      </c>
      <c r="AG25" s="42" t="s">
        <v>39</v>
      </c>
      <c r="AH25" s="2" t="s">
        <v>7</v>
      </c>
      <c r="AI25" s="2" t="s">
        <v>7</v>
      </c>
    </row>
    <row r="26" spans="1:35" x14ac:dyDescent="0.35">
      <c r="A26" s="13"/>
      <c r="B26" s="6"/>
      <c r="C26" s="39"/>
      <c r="D26" s="4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35" ht="15" thickBot="1" x14ac:dyDescent="0.4">
      <c r="A27" s="6"/>
      <c r="B27" s="6"/>
      <c r="C27" s="6"/>
      <c r="D27" s="31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14.9" customHeight="1" x14ac:dyDescent="0.35">
      <c r="A28" s="169" t="s">
        <v>40</v>
      </c>
      <c r="B28" s="6"/>
      <c r="C28" s="41" t="s">
        <v>41</v>
      </c>
      <c r="D28" s="37" t="s">
        <v>42</v>
      </c>
      <c r="E28" s="54" t="s">
        <v>39</v>
      </c>
      <c r="F28" s="55" t="s">
        <v>7</v>
      </c>
      <c r="G28" s="55" t="s">
        <v>7</v>
      </c>
      <c r="H28" s="54" t="s">
        <v>39</v>
      </c>
      <c r="I28" s="54" t="s">
        <v>39</v>
      </c>
      <c r="J28" s="54" t="s">
        <v>39</v>
      </c>
      <c r="K28" s="54" t="s">
        <v>39</v>
      </c>
      <c r="L28" s="54" t="s">
        <v>39</v>
      </c>
      <c r="M28" s="55" t="s">
        <v>7</v>
      </c>
      <c r="N28" s="55" t="s">
        <v>7</v>
      </c>
      <c r="O28" s="54" t="s">
        <v>39</v>
      </c>
      <c r="P28" s="54" t="s">
        <v>39</v>
      </c>
      <c r="Q28" s="54" t="s">
        <v>39</v>
      </c>
      <c r="R28" s="54" t="s">
        <v>39</v>
      </c>
      <c r="S28" s="2" t="s">
        <v>7</v>
      </c>
      <c r="T28" s="55" t="s">
        <v>7</v>
      </c>
      <c r="U28" s="55" t="s">
        <v>7</v>
      </c>
      <c r="V28" s="54" t="s">
        <v>39</v>
      </c>
      <c r="W28" s="54" t="s">
        <v>39</v>
      </c>
      <c r="X28" s="54" t="s">
        <v>39</v>
      </c>
      <c r="Y28" s="54" t="s">
        <v>39</v>
      </c>
      <c r="Z28" s="54" t="s">
        <v>39</v>
      </c>
      <c r="AA28" s="55" t="s">
        <v>7</v>
      </c>
      <c r="AB28" s="55" t="s">
        <v>7</v>
      </c>
      <c r="AC28" s="54" t="s">
        <v>39</v>
      </c>
      <c r="AD28" s="54" t="s">
        <v>39</v>
      </c>
      <c r="AE28" s="54" t="s">
        <v>39</v>
      </c>
      <c r="AF28" s="54" t="s">
        <v>39</v>
      </c>
      <c r="AG28" s="54" t="s">
        <v>39</v>
      </c>
      <c r="AH28" s="55" t="s">
        <v>7</v>
      </c>
      <c r="AI28" s="55" t="s">
        <v>7</v>
      </c>
    </row>
    <row r="29" spans="1:35" ht="14.9" customHeight="1" x14ac:dyDescent="0.35">
      <c r="A29" s="170"/>
      <c r="B29" s="6"/>
      <c r="C29" s="41" t="s">
        <v>28</v>
      </c>
      <c r="D29" s="37" t="s">
        <v>44</v>
      </c>
      <c r="E29" s="56" t="s">
        <v>1</v>
      </c>
      <c r="F29" s="55" t="s">
        <v>7</v>
      </c>
      <c r="G29" s="55" t="s">
        <v>7</v>
      </c>
      <c r="H29" s="57" t="s">
        <v>1</v>
      </c>
      <c r="I29" s="57" t="s">
        <v>1</v>
      </c>
      <c r="J29" s="57" t="s">
        <v>1</v>
      </c>
      <c r="K29" s="57" t="s">
        <v>1</v>
      </c>
      <c r="L29" s="57" t="s">
        <v>1</v>
      </c>
      <c r="M29" s="55" t="s">
        <v>7</v>
      </c>
      <c r="N29" s="55" t="s">
        <v>7</v>
      </c>
      <c r="O29" s="57" t="s">
        <v>1</v>
      </c>
      <c r="P29" s="57" t="s">
        <v>1</v>
      </c>
      <c r="Q29" s="57" t="s">
        <v>1</v>
      </c>
      <c r="R29" s="57" t="s">
        <v>1</v>
      </c>
      <c r="S29" s="2" t="s">
        <v>7</v>
      </c>
      <c r="T29" s="57" t="s">
        <v>1</v>
      </c>
      <c r="U29" s="57" t="s">
        <v>1</v>
      </c>
      <c r="V29" s="55" t="s">
        <v>7</v>
      </c>
      <c r="W29" s="55" t="s">
        <v>7</v>
      </c>
      <c r="X29" s="55" t="s">
        <v>7</v>
      </c>
      <c r="Y29" s="55" t="s">
        <v>7</v>
      </c>
      <c r="Z29" s="55" t="s">
        <v>7</v>
      </c>
      <c r="AA29" s="55" t="s">
        <v>7</v>
      </c>
      <c r="AB29" s="55" t="s">
        <v>7</v>
      </c>
      <c r="AC29" s="57" t="s">
        <v>1</v>
      </c>
      <c r="AD29" s="57" t="s">
        <v>1</v>
      </c>
      <c r="AE29" s="57" t="s">
        <v>1</v>
      </c>
      <c r="AF29" s="57" t="s">
        <v>1</v>
      </c>
      <c r="AG29" s="57" t="s">
        <v>1</v>
      </c>
      <c r="AH29" s="55" t="s">
        <v>7</v>
      </c>
      <c r="AI29" s="55" t="s">
        <v>7</v>
      </c>
    </row>
    <row r="30" spans="1:35" ht="14.9" customHeight="1" x14ac:dyDescent="0.35">
      <c r="A30" s="170"/>
      <c r="B30" s="6"/>
      <c r="C30" s="41" t="s">
        <v>12</v>
      </c>
      <c r="D30" s="37" t="s">
        <v>45</v>
      </c>
      <c r="E30" s="58" t="s">
        <v>4</v>
      </c>
      <c r="F30" s="59" t="s">
        <v>4</v>
      </c>
      <c r="G30" s="59" t="s">
        <v>4</v>
      </c>
      <c r="H30" s="59" t="s">
        <v>4</v>
      </c>
      <c r="I30" s="59" t="s">
        <v>4</v>
      </c>
      <c r="J30" s="59" t="s">
        <v>4</v>
      </c>
      <c r="K30" s="60" t="s">
        <v>16</v>
      </c>
      <c r="L30" s="60" t="s">
        <v>16</v>
      </c>
      <c r="M30" s="55" t="s">
        <v>7</v>
      </c>
      <c r="N30" s="55" t="s">
        <v>7</v>
      </c>
      <c r="O30" s="60" t="s">
        <v>16</v>
      </c>
      <c r="P30" s="60" t="s">
        <v>16</v>
      </c>
      <c r="Q30" s="60" t="s">
        <v>16</v>
      </c>
      <c r="R30" s="60" t="s">
        <v>16</v>
      </c>
      <c r="S30" s="60" t="s">
        <v>16</v>
      </c>
      <c r="T30" s="60" t="s">
        <v>16</v>
      </c>
      <c r="U30" s="60" t="s">
        <v>16</v>
      </c>
      <c r="V30" s="55" t="s">
        <v>7</v>
      </c>
      <c r="W30" s="55" t="s">
        <v>7</v>
      </c>
      <c r="X30" s="55" t="s">
        <v>7</v>
      </c>
      <c r="Y30" s="55" t="s">
        <v>7</v>
      </c>
      <c r="Z30" s="55" t="s">
        <v>7</v>
      </c>
      <c r="AA30" s="55" t="s">
        <v>7</v>
      </c>
      <c r="AB30" s="55" t="s">
        <v>7</v>
      </c>
      <c r="AC30" s="61" t="s">
        <v>6</v>
      </c>
      <c r="AD30" s="61" t="s">
        <v>6</v>
      </c>
      <c r="AE30" s="61" t="s">
        <v>6</v>
      </c>
      <c r="AF30" s="61" t="s">
        <v>6</v>
      </c>
      <c r="AG30" s="61" t="s">
        <v>6</v>
      </c>
      <c r="AH30" s="61" t="s">
        <v>6</v>
      </c>
      <c r="AI30" s="61" t="s">
        <v>6</v>
      </c>
    </row>
    <row r="31" spans="1:35" ht="14.9" customHeight="1" x14ac:dyDescent="0.35">
      <c r="A31" s="170"/>
      <c r="B31" s="6"/>
      <c r="C31" s="41" t="s">
        <v>12</v>
      </c>
      <c r="D31" s="37" t="s">
        <v>46</v>
      </c>
      <c r="E31" s="64" t="s">
        <v>47</v>
      </c>
      <c r="F31" s="64" t="s">
        <v>47</v>
      </c>
      <c r="G31" s="64" t="s">
        <v>47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7"/>
      <c r="W31" s="67"/>
      <c r="X31" s="67"/>
      <c r="Y31" s="67"/>
      <c r="Z31" s="67"/>
      <c r="AA31" s="67"/>
      <c r="AB31" s="67"/>
      <c r="AC31" s="66"/>
      <c r="AD31" s="66"/>
      <c r="AE31" s="66"/>
      <c r="AF31" s="66"/>
      <c r="AG31" s="66"/>
      <c r="AH31" s="66"/>
      <c r="AI31" s="66"/>
    </row>
    <row r="32" spans="1:35" x14ac:dyDescent="0.35">
      <c r="A32" s="170"/>
      <c r="B32" s="6"/>
      <c r="C32" s="41" t="s">
        <v>12</v>
      </c>
      <c r="D32" s="37" t="s">
        <v>48</v>
      </c>
      <c r="E32" s="70" t="s">
        <v>20</v>
      </c>
      <c r="F32" s="69" t="s">
        <v>6</v>
      </c>
      <c r="G32" s="69" t="s">
        <v>6</v>
      </c>
      <c r="H32" s="70" t="s">
        <v>20</v>
      </c>
      <c r="I32" s="70" t="s">
        <v>20</v>
      </c>
      <c r="J32" s="70" t="s">
        <v>20</v>
      </c>
      <c r="K32" s="70" t="s">
        <v>20</v>
      </c>
      <c r="L32" s="71" t="s">
        <v>7</v>
      </c>
      <c r="M32" s="72" t="s">
        <v>1</v>
      </c>
      <c r="N32" s="72" t="s">
        <v>1</v>
      </c>
      <c r="O32" s="71" t="s">
        <v>7</v>
      </c>
      <c r="P32" s="71" t="s">
        <v>7</v>
      </c>
      <c r="Q32" s="71" t="s">
        <v>7</v>
      </c>
      <c r="R32" s="71" t="s">
        <v>7</v>
      </c>
      <c r="S32" s="71" t="s">
        <v>7</v>
      </c>
      <c r="T32" s="71" t="s">
        <v>7</v>
      </c>
      <c r="U32" s="71" t="s">
        <v>7</v>
      </c>
      <c r="V32" s="70" t="s">
        <v>20</v>
      </c>
      <c r="W32" s="70" t="s">
        <v>20</v>
      </c>
      <c r="X32" s="70" t="s">
        <v>20</v>
      </c>
      <c r="Y32" s="70" t="s">
        <v>20</v>
      </c>
      <c r="Z32" s="70" t="s">
        <v>20</v>
      </c>
      <c r="AA32" s="71" t="s">
        <v>7</v>
      </c>
      <c r="AB32" s="71" t="s">
        <v>7</v>
      </c>
      <c r="AC32" s="73" t="s">
        <v>16</v>
      </c>
      <c r="AD32" s="73" t="s">
        <v>16</v>
      </c>
      <c r="AE32" s="73" t="s">
        <v>16</v>
      </c>
      <c r="AF32" s="73" t="s">
        <v>16</v>
      </c>
      <c r="AG32" s="73" t="s">
        <v>16</v>
      </c>
      <c r="AH32" s="73" t="s">
        <v>16</v>
      </c>
      <c r="AI32" s="73" t="s">
        <v>16</v>
      </c>
    </row>
    <row r="33" spans="1:35" ht="15" thickBot="1" x14ac:dyDescent="0.4">
      <c r="A33" s="171"/>
      <c r="B33" s="6"/>
      <c r="C33" s="41" t="s">
        <v>12</v>
      </c>
      <c r="D33" s="33" t="s">
        <v>55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78" t="s">
        <v>20</v>
      </c>
      <c r="P33" s="78" t="s">
        <v>20</v>
      </c>
      <c r="Q33" s="78" t="s">
        <v>20</v>
      </c>
      <c r="R33" s="78" t="s">
        <v>20</v>
      </c>
      <c r="S33" s="78" t="s">
        <v>20</v>
      </c>
      <c r="T33" s="79" t="s">
        <v>7</v>
      </c>
      <c r="U33" s="79" t="s">
        <v>7</v>
      </c>
      <c r="V33" s="78" t="s">
        <v>20</v>
      </c>
      <c r="W33" s="78" t="s">
        <v>20</v>
      </c>
      <c r="X33" s="5" t="s">
        <v>14</v>
      </c>
      <c r="Y33" s="5" t="s">
        <v>14</v>
      </c>
      <c r="Z33" s="5" t="s">
        <v>14</v>
      </c>
      <c r="AA33" s="79" t="s">
        <v>7</v>
      </c>
      <c r="AB33" s="79" t="s">
        <v>7</v>
      </c>
      <c r="AC33" s="80" t="s">
        <v>1</v>
      </c>
      <c r="AD33" s="80" t="s">
        <v>1</v>
      </c>
      <c r="AE33" s="80" t="s">
        <v>1</v>
      </c>
      <c r="AF33" s="80" t="s">
        <v>1</v>
      </c>
      <c r="AG33" s="80" t="s">
        <v>1</v>
      </c>
      <c r="AH33" s="80" t="s">
        <v>56</v>
      </c>
      <c r="AI33" s="80" t="s">
        <v>56</v>
      </c>
    </row>
  </sheetData>
  <mergeCells count="7">
    <mergeCell ref="A28:A33"/>
    <mergeCell ref="D2:D4"/>
    <mergeCell ref="E2:AI2"/>
    <mergeCell ref="A5:A25"/>
    <mergeCell ref="E10:AI10"/>
    <mergeCell ref="E18:AI18"/>
    <mergeCell ref="E24:AI2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1D19-B008-4586-B9C5-65C9282EE088}">
  <dimension ref="A1:AG36"/>
  <sheetViews>
    <sheetView zoomScaleNormal="100" workbookViewId="0">
      <selection activeCell="AD13" sqref="AD13"/>
    </sheetView>
  </sheetViews>
  <sheetFormatPr baseColWidth="10" defaultColWidth="8.54296875" defaultRowHeight="14.5" x14ac:dyDescent="0.35"/>
  <cols>
    <col min="2" max="2" width="25.54296875" customWidth="1"/>
    <col min="3" max="32" width="4.7265625" customWidth="1"/>
    <col min="33" max="33" width="4" style="91" bestFit="1" customWidth="1"/>
  </cols>
  <sheetData>
    <row r="1" spans="1:33" ht="15" customHeight="1" x14ac:dyDescent="0.35">
      <c r="A1" s="6"/>
      <c r="B1" s="175"/>
      <c r="C1" s="172" t="s">
        <v>57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</row>
    <row r="2" spans="1:33" x14ac:dyDescent="0.35">
      <c r="A2" s="6"/>
      <c r="B2" s="175"/>
      <c r="C2" s="11" t="s">
        <v>7</v>
      </c>
      <c r="D2" s="11" t="s">
        <v>1</v>
      </c>
      <c r="E2" s="11" t="s">
        <v>2</v>
      </c>
      <c r="F2" s="11" t="s">
        <v>3</v>
      </c>
      <c r="G2" s="11" t="s">
        <v>4</v>
      </c>
      <c r="H2" s="46" t="s">
        <v>5</v>
      </c>
      <c r="I2" s="46" t="s">
        <v>6</v>
      </c>
      <c r="J2" s="11" t="s">
        <v>7</v>
      </c>
      <c r="K2" s="11" t="s">
        <v>1</v>
      </c>
      <c r="L2" s="11" t="s">
        <v>2</v>
      </c>
      <c r="M2" s="11" t="s">
        <v>3</v>
      </c>
      <c r="N2" s="11" t="s">
        <v>4</v>
      </c>
      <c r="O2" s="46" t="s">
        <v>5</v>
      </c>
      <c r="P2" s="46" t="s">
        <v>6</v>
      </c>
      <c r="Q2" s="11" t="s">
        <v>7</v>
      </c>
      <c r="R2" s="11" t="s">
        <v>1</v>
      </c>
      <c r="S2" s="11" t="s">
        <v>2</v>
      </c>
      <c r="T2" s="11" t="s">
        <v>3</v>
      </c>
      <c r="U2" s="11" t="s">
        <v>4</v>
      </c>
      <c r="V2" s="46" t="s">
        <v>5</v>
      </c>
      <c r="W2" s="46" t="s">
        <v>6</v>
      </c>
      <c r="X2" s="11" t="s">
        <v>7</v>
      </c>
      <c r="Y2" s="11" t="s">
        <v>1</v>
      </c>
      <c r="Z2" s="11" t="s">
        <v>2</v>
      </c>
      <c r="AA2" s="11" t="s">
        <v>3</v>
      </c>
      <c r="AB2" s="11" t="s">
        <v>4</v>
      </c>
      <c r="AC2" s="46" t="s">
        <v>5</v>
      </c>
      <c r="AD2" s="46" t="s">
        <v>6</v>
      </c>
      <c r="AE2" s="11" t="s">
        <v>7</v>
      </c>
      <c r="AF2" s="11" t="s">
        <v>1</v>
      </c>
      <c r="AG2" s="92" t="s">
        <v>8</v>
      </c>
    </row>
    <row r="3" spans="1:33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3" x14ac:dyDescent="0.35">
      <c r="A4" s="63" t="s">
        <v>12</v>
      </c>
      <c r="B4" s="62" t="s">
        <v>13</v>
      </c>
      <c r="C4" s="28" t="s">
        <v>7</v>
      </c>
      <c r="D4" s="28" t="s">
        <v>7</v>
      </c>
      <c r="E4" s="28" t="s">
        <v>7</v>
      </c>
      <c r="F4" s="88" t="s">
        <v>7</v>
      </c>
      <c r="G4" s="88" t="s">
        <v>7</v>
      </c>
      <c r="H4" s="5" t="s">
        <v>15</v>
      </c>
      <c r="I4" s="5" t="s">
        <v>15</v>
      </c>
      <c r="J4" s="7" t="s">
        <v>20</v>
      </c>
      <c r="K4" s="7" t="s">
        <v>20</v>
      </c>
      <c r="L4" s="7" t="s">
        <v>20</v>
      </c>
      <c r="M4" s="7" t="s">
        <v>20</v>
      </c>
      <c r="N4" s="7" t="s">
        <v>20</v>
      </c>
      <c r="O4" s="28" t="s">
        <v>7</v>
      </c>
      <c r="P4" s="28" t="s">
        <v>7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5" t="s">
        <v>15</v>
      </c>
      <c r="W4" s="5" t="s">
        <v>15</v>
      </c>
      <c r="X4" s="2" t="s">
        <v>7</v>
      </c>
      <c r="Y4" s="2" t="s">
        <v>7</v>
      </c>
      <c r="Z4" s="2" t="s">
        <v>7</v>
      </c>
      <c r="AA4" s="87" t="s">
        <v>7</v>
      </c>
      <c r="AB4" s="87" t="s">
        <v>7</v>
      </c>
      <c r="AC4" s="2" t="s">
        <v>7</v>
      </c>
      <c r="AD4" s="2" t="s">
        <v>7</v>
      </c>
      <c r="AE4" s="48" t="s">
        <v>7</v>
      </c>
      <c r="AF4" s="7" t="s">
        <v>20</v>
      </c>
      <c r="AG4" s="91">
        <f>COUNTIFS(C4:AF4,"&lt;&gt;"&amp;"L",C4:AF4,"&lt;&gt;"&amp;"NF",C4:AF4,"&lt;&gt;"&amp;"M/F",C4:AF4,"&lt;&gt;"&amp;"V")*8+COUNTIFS(C4:AF4,"NF")*12+COUNTIFS(C4:AF4,"M/F")*12</f>
        <v>136</v>
      </c>
    </row>
    <row r="5" spans="1:33" ht="12.75" customHeight="1" x14ac:dyDescent="0.35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5" t="s">
        <v>15</v>
      </c>
      <c r="I5" s="5" t="s">
        <v>15</v>
      </c>
      <c r="J5" s="28" t="s">
        <v>7</v>
      </c>
      <c r="K5" s="28" t="s">
        <v>7</v>
      </c>
      <c r="L5" s="28" t="s">
        <v>7</v>
      </c>
      <c r="M5" s="88" t="s">
        <v>7</v>
      </c>
      <c r="N5" s="88" t="s">
        <v>7</v>
      </c>
      <c r="O5" s="28" t="s">
        <v>7</v>
      </c>
      <c r="P5" s="28" t="s">
        <v>7</v>
      </c>
      <c r="Q5" s="7" t="s">
        <v>20</v>
      </c>
      <c r="R5" s="7" t="s">
        <v>20</v>
      </c>
      <c r="S5" s="7" t="s">
        <v>20</v>
      </c>
      <c r="T5" s="7" t="s">
        <v>20</v>
      </c>
      <c r="U5" s="7" t="s">
        <v>20</v>
      </c>
      <c r="V5" s="48" t="s">
        <v>15</v>
      </c>
      <c r="W5" s="48" t="s">
        <v>15</v>
      </c>
      <c r="X5" s="1" t="s">
        <v>14</v>
      </c>
      <c r="Y5" s="1" t="s">
        <v>14</v>
      </c>
      <c r="Z5" s="1" t="s">
        <v>14</v>
      </c>
      <c r="AA5" s="1" t="s">
        <v>14</v>
      </c>
      <c r="AB5" s="1" t="s">
        <v>14</v>
      </c>
      <c r="AC5" s="48" t="s">
        <v>7</v>
      </c>
      <c r="AD5" s="48" t="s">
        <v>7</v>
      </c>
      <c r="AE5" s="48" t="s">
        <v>20</v>
      </c>
      <c r="AF5" s="2" t="s">
        <v>7</v>
      </c>
      <c r="AG5" s="91">
        <f t="shared" ref="AG5:AG14" si="0">COUNTIFS(C5:AF5,"&lt;&gt;"&amp;"L",C5:AF5,"&lt;&gt;"&amp;"NF",C5:AF5,"&lt;&gt;"&amp;"M/F",C5:AF5,"&lt;&gt;"&amp;"V")*8+COUNTIFS(C5:AF5,"NF")*12+COUNTIFS(C5:AF5,"M/F")*12</f>
        <v>176</v>
      </c>
    </row>
    <row r="6" spans="1:33" x14ac:dyDescent="0.35">
      <c r="A6" s="34" t="s">
        <v>12</v>
      </c>
      <c r="B6" s="33" t="s">
        <v>21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88" t="s">
        <v>7</v>
      </c>
      <c r="N6" s="88" t="s">
        <v>7</v>
      </c>
      <c r="O6" s="28" t="s">
        <v>7</v>
      </c>
      <c r="P6" s="28" t="s">
        <v>7</v>
      </c>
      <c r="Q6" s="5" t="s">
        <v>14</v>
      </c>
      <c r="R6" s="5" t="s">
        <v>14</v>
      </c>
      <c r="S6" s="5" t="s">
        <v>14</v>
      </c>
      <c r="T6" s="5" t="s">
        <v>14</v>
      </c>
      <c r="U6" s="5" t="s">
        <v>14</v>
      </c>
      <c r="V6" s="81" t="s">
        <v>7</v>
      </c>
      <c r="W6" s="81" t="s">
        <v>7</v>
      </c>
      <c r="X6" s="2" t="s">
        <v>7</v>
      </c>
      <c r="Y6" s="2" t="s">
        <v>7</v>
      </c>
      <c r="Z6" s="2" t="s">
        <v>7</v>
      </c>
      <c r="AA6" s="87" t="s">
        <v>7</v>
      </c>
      <c r="AB6" s="87" t="s">
        <v>7</v>
      </c>
      <c r="AC6" s="48" t="s">
        <v>15</v>
      </c>
      <c r="AD6" s="48" t="s">
        <v>15</v>
      </c>
      <c r="AE6" s="1" t="s">
        <v>14</v>
      </c>
      <c r="AF6" s="1" t="s">
        <v>14</v>
      </c>
      <c r="AG6" s="91">
        <f t="shared" si="0"/>
        <v>120</v>
      </c>
    </row>
    <row r="7" spans="1:33" x14ac:dyDescent="0.35">
      <c r="A7" s="34" t="s">
        <v>12</v>
      </c>
      <c r="B7" s="33" t="s">
        <v>58</v>
      </c>
      <c r="C7" s="7" t="s">
        <v>20</v>
      </c>
      <c r="D7" s="7" t="s">
        <v>20</v>
      </c>
      <c r="E7" s="7" t="s">
        <v>20</v>
      </c>
      <c r="F7" s="7" t="s">
        <v>20</v>
      </c>
      <c r="G7" s="7" t="s">
        <v>20</v>
      </c>
      <c r="H7" s="28" t="s">
        <v>7</v>
      </c>
      <c r="I7" s="28" t="s">
        <v>7</v>
      </c>
      <c r="J7" s="5" t="s">
        <v>14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15</v>
      </c>
      <c r="P7" s="5" t="s">
        <v>15</v>
      </c>
      <c r="Q7" s="28" t="s">
        <v>7</v>
      </c>
      <c r="R7" s="28" t="s">
        <v>7</v>
      </c>
      <c r="S7" s="28" t="s">
        <v>7</v>
      </c>
      <c r="T7" s="88" t="s">
        <v>7</v>
      </c>
      <c r="U7" s="88" t="s">
        <v>7</v>
      </c>
      <c r="V7" s="28" t="s">
        <v>7</v>
      </c>
      <c r="W7" s="28" t="s">
        <v>7</v>
      </c>
      <c r="X7" s="7" t="s">
        <v>20</v>
      </c>
      <c r="Y7" s="7" t="s">
        <v>20</v>
      </c>
      <c r="Z7" s="7" t="s">
        <v>20</v>
      </c>
      <c r="AA7" s="7" t="s">
        <v>20</v>
      </c>
      <c r="AB7" s="7" t="s">
        <v>20</v>
      </c>
      <c r="AC7" s="5" t="s">
        <v>15</v>
      </c>
      <c r="AD7" s="5" t="s">
        <v>15</v>
      </c>
      <c r="AE7" s="2" t="s">
        <v>7</v>
      </c>
      <c r="AF7" s="2" t="s">
        <v>7</v>
      </c>
      <c r="AG7" s="91">
        <f t="shared" si="0"/>
        <v>168</v>
      </c>
    </row>
    <row r="8" spans="1:33" x14ac:dyDescent="0.35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28"/>
      <c r="I8" s="28"/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  <c r="O8" s="28" t="s">
        <v>7</v>
      </c>
      <c r="P8" s="28" t="s">
        <v>7</v>
      </c>
      <c r="Q8" s="5" t="s">
        <v>14</v>
      </c>
      <c r="R8" s="5" t="s">
        <v>14</v>
      </c>
      <c r="S8" s="5" t="s">
        <v>14</v>
      </c>
      <c r="T8" s="5" t="s">
        <v>14</v>
      </c>
      <c r="U8" s="5" t="s">
        <v>14</v>
      </c>
      <c r="V8" s="28" t="s">
        <v>7</v>
      </c>
      <c r="W8" s="28" t="s">
        <v>7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14</v>
      </c>
      <c r="AC8" s="2" t="s">
        <v>7</v>
      </c>
      <c r="AD8" s="2" t="s">
        <v>7</v>
      </c>
      <c r="AE8" s="5" t="s">
        <v>14</v>
      </c>
      <c r="AF8" s="5" t="s">
        <v>14</v>
      </c>
      <c r="AG8" s="91">
        <f t="shared" si="0"/>
        <v>192</v>
      </c>
    </row>
    <row r="9" spans="1:33" x14ac:dyDescent="0.35">
      <c r="A9" s="34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</row>
    <row r="10" spans="1:33" x14ac:dyDescent="0.35">
      <c r="A10" s="34" t="s">
        <v>12</v>
      </c>
      <c r="B10" s="74" t="s">
        <v>23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17</v>
      </c>
      <c r="I10" s="3" t="s">
        <v>17</v>
      </c>
      <c r="J10" s="28" t="s">
        <v>7</v>
      </c>
      <c r="K10" s="28" t="s">
        <v>7</v>
      </c>
      <c r="L10" s="28" t="s">
        <v>7</v>
      </c>
      <c r="M10" s="88" t="s">
        <v>7</v>
      </c>
      <c r="N10" s="88" t="s">
        <v>7</v>
      </c>
      <c r="O10" s="28" t="s">
        <v>7</v>
      </c>
      <c r="P10" s="28" t="s">
        <v>7</v>
      </c>
      <c r="Q10" s="7" t="s">
        <v>20</v>
      </c>
      <c r="R10" s="7" t="s">
        <v>20</v>
      </c>
      <c r="S10" s="7" t="s">
        <v>20</v>
      </c>
      <c r="T10" s="7" t="s">
        <v>20</v>
      </c>
      <c r="U10" s="7" t="s">
        <v>20</v>
      </c>
      <c r="V10" s="28" t="s">
        <v>7</v>
      </c>
      <c r="W10" s="28" t="s">
        <v>7</v>
      </c>
      <c r="X10" s="3" t="s">
        <v>16</v>
      </c>
      <c r="Y10" s="3" t="s">
        <v>16</v>
      </c>
      <c r="Z10" s="3" t="s">
        <v>16</v>
      </c>
      <c r="AA10" s="3" t="s">
        <v>16</v>
      </c>
      <c r="AB10" s="3" t="s">
        <v>16</v>
      </c>
      <c r="AC10" s="3" t="s">
        <v>17</v>
      </c>
      <c r="AD10" s="3" t="s">
        <v>17</v>
      </c>
      <c r="AE10" s="28" t="s">
        <v>7</v>
      </c>
      <c r="AF10" s="28" t="s">
        <v>7</v>
      </c>
      <c r="AG10" s="91">
        <f t="shared" si="0"/>
        <v>168</v>
      </c>
    </row>
    <row r="11" spans="1:33" x14ac:dyDescent="0.35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17</v>
      </c>
      <c r="I11" s="3" t="s">
        <v>17</v>
      </c>
      <c r="J11" s="28" t="s">
        <v>7</v>
      </c>
      <c r="K11" s="28" t="s">
        <v>7</v>
      </c>
      <c r="L11" s="28" t="s">
        <v>7</v>
      </c>
      <c r="M11" s="88" t="s">
        <v>7</v>
      </c>
      <c r="N11" s="88" t="s">
        <v>7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28" t="s">
        <v>7</v>
      </c>
      <c r="AA11" s="88" t="s">
        <v>7</v>
      </c>
      <c r="AB11" s="88" t="s">
        <v>7</v>
      </c>
      <c r="AC11" s="28" t="s">
        <v>7</v>
      </c>
      <c r="AD11" s="28" t="s">
        <v>7</v>
      </c>
      <c r="AE11" s="3" t="s">
        <v>16</v>
      </c>
      <c r="AF11" s="3" t="s">
        <v>16</v>
      </c>
      <c r="AG11" s="91">
        <f t="shared" si="0"/>
        <v>144</v>
      </c>
    </row>
    <row r="12" spans="1:33" x14ac:dyDescent="0.35">
      <c r="A12" s="34" t="s">
        <v>12</v>
      </c>
      <c r="B12" s="33" t="s">
        <v>24</v>
      </c>
      <c r="C12" s="28" t="s">
        <v>7</v>
      </c>
      <c r="D12" s="28" t="s">
        <v>7</v>
      </c>
      <c r="E12" s="28" t="s">
        <v>7</v>
      </c>
      <c r="F12" s="28" t="s">
        <v>7</v>
      </c>
      <c r="G12" s="28" t="s">
        <v>7</v>
      </c>
      <c r="H12" s="28" t="s">
        <v>7</v>
      </c>
      <c r="I12" s="28" t="s">
        <v>7</v>
      </c>
      <c r="J12" s="7" t="s">
        <v>20</v>
      </c>
      <c r="K12" s="7" t="s">
        <v>20</v>
      </c>
      <c r="L12" s="7" t="s">
        <v>20</v>
      </c>
      <c r="M12" s="7" t="s">
        <v>20</v>
      </c>
      <c r="N12" s="7" t="s">
        <v>20</v>
      </c>
      <c r="O12" s="28" t="s">
        <v>7</v>
      </c>
      <c r="P12" s="28" t="s">
        <v>7</v>
      </c>
      <c r="Q12" s="3" t="s">
        <v>16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17</v>
      </c>
      <c r="W12" s="3" t="s">
        <v>17</v>
      </c>
      <c r="X12" s="28" t="s">
        <v>7</v>
      </c>
      <c r="Y12" s="28" t="s">
        <v>7</v>
      </c>
      <c r="Z12" s="28" t="s">
        <v>7</v>
      </c>
      <c r="AA12" s="28" t="s">
        <v>7</v>
      </c>
      <c r="AB12" s="28" t="s">
        <v>7</v>
      </c>
      <c r="AC12" s="28" t="s">
        <v>7</v>
      </c>
      <c r="AD12" s="28" t="s">
        <v>7</v>
      </c>
      <c r="AE12" s="3" t="s">
        <v>16</v>
      </c>
      <c r="AF12" s="3" t="s">
        <v>16</v>
      </c>
      <c r="AG12" s="91">
        <f t="shared" si="0"/>
        <v>120</v>
      </c>
    </row>
    <row r="13" spans="1:33" x14ac:dyDescent="0.35">
      <c r="A13" s="34" t="s">
        <v>12</v>
      </c>
      <c r="B13" s="75" t="s">
        <v>25</v>
      </c>
      <c r="C13" s="7" t="s">
        <v>20</v>
      </c>
      <c r="D13" s="7" t="s">
        <v>20</v>
      </c>
      <c r="E13" s="7" t="s">
        <v>20</v>
      </c>
      <c r="F13" s="7" t="s">
        <v>20</v>
      </c>
      <c r="G13" s="7" t="s">
        <v>20</v>
      </c>
      <c r="H13" s="28" t="s">
        <v>7</v>
      </c>
      <c r="I13" s="28" t="s">
        <v>7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17</v>
      </c>
      <c r="P13" s="3" t="s">
        <v>17</v>
      </c>
      <c r="Q13" s="28" t="s">
        <v>7</v>
      </c>
      <c r="R13" s="28" t="s">
        <v>7</v>
      </c>
      <c r="S13" s="28" t="s">
        <v>7</v>
      </c>
      <c r="T13" s="88" t="s">
        <v>7</v>
      </c>
      <c r="U13" s="88" t="s">
        <v>7</v>
      </c>
      <c r="V13" s="28" t="s">
        <v>7</v>
      </c>
      <c r="W13" s="28" t="s">
        <v>7</v>
      </c>
      <c r="X13" s="3" t="s">
        <v>16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28" t="s">
        <v>7</v>
      </c>
      <c r="AF13" s="28" t="s">
        <v>7</v>
      </c>
      <c r="AG13" s="91">
        <f t="shared" si="0"/>
        <v>168</v>
      </c>
    </row>
    <row r="14" spans="1:33" x14ac:dyDescent="0.35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7" t="s">
        <v>20</v>
      </c>
      <c r="G14" s="7" t="s">
        <v>20</v>
      </c>
      <c r="H14" s="28" t="s">
        <v>7</v>
      </c>
      <c r="I14" s="28" t="s">
        <v>7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17</v>
      </c>
      <c r="P14" s="3" t="s">
        <v>17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28" t="s">
        <v>7</v>
      </c>
      <c r="W14" s="28" t="s">
        <v>7</v>
      </c>
      <c r="X14" s="7" t="s">
        <v>20</v>
      </c>
      <c r="Y14" s="7" t="s">
        <v>20</v>
      </c>
      <c r="Z14" s="7" t="s">
        <v>20</v>
      </c>
      <c r="AA14" s="7" t="s">
        <v>20</v>
      </c>
      <c r="AB14" s="7" t="s">
        <v>20</v>
      </c>
      <c r="AC14" s="28" t="s">
        <v>7</v>
      </c>
      <c r="AD14" s="28" t="s">
        <v>7</v>
      </c>
      <c r="AE14" s="7" t="s">
        <v>20</v>
      </c>
      <c r="AF14" s="7" t="s">
        <v>20</v>
      </c>
      <c r="AG14" s="91">
        <f t="shared" si="0"/>
        <v>160</v>
      </c>
    </row>
    <row r="15" spans="1:33" x14ac:dyDescent="0.35">
      <c r="A15" s="34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</row>
    <row r="16" spans="1:33" x14ac:dyDescent="0.35">
      <c r="A16" s="34" t="s">
        <v>28</v>
      </c>
      <c r="B16" s="33" t="s">
        <v>29</v>
      </c>
      <c r="C16" s="25" t="s">
        <v>32</v>
      </c>
      <c r="D16" s="25" t="s">
        <v>32</v>
      </c>
      <c r="E16" s="4" t="s">
        <v>33</v>
      </c>
      <c r="F16" s="4" t="s">
        <v>33</v>
      </c>
      <c r="G16" s="4" t="s">
        <v>33</v>
      </c>
      <c r="H16" s="9" t="s">
        <v>30</v>
      </c>
      <c r="I16" s="9" t="s">
        <v>30</v>
      </c>
      <c r="J16" s="25" t="s">
        <v>11</v>
      </c>
      <c r="K16" s="25" t="s">
        <v>11</v>
      </c>
      <c r="L16" s="25" t="s">
        <v>11</v>
      </c>
      <c r="M16" s="25" t="s">
        <v>11</v>
      </c>
      <c r="N16" s="25" t="s">
        <v>11</v>
      </c>
      <c r="O16" s="5" t="s">
        <v>15</v>
      </c>
      <c r="P16" s="5" t="s">
        <v>15</v>
      </c>
      <c r="Q16" s="2" t="s">
        <v>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4" t="s">
        <v>33</v>
      </c>
      <c r="Y16" s="4" t="s">
        <v>33</v>
      </c>
      <c r="Z16" s="4" t="s">
        <v>33</v>
      </c>
      <c r="AA16" s="4" t="s">
        <v>33</v>
      </c>
      <c r="AB16" s="4" t="s">
        <v>33</v>
      </c>
      <c r="AC16" s="9" t="s">
        <v>30</v>
      </c>
      <c r="AD16" s="9" t="s">
        <v>30</v>
      </c>
      <c r="AE16" s="25" t="s">
        <v>14</v>
      </c>
      <c r="AF16" s="25" t="s">
        <v>14</v>
      </c>
    </row>
    <row r="17" spans="1:32" x14ac:dyDescent="0.35">
      <c r="A17" s="34" t="s">
        <v>28</v>
      </c>
      <c r="B17" s="35" t="s">
        <v>60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4" t="s">
        <v>11</v>
      </c>
      <c r="L17" s="4" t="s">
        <v>11</v>
      </c>
      <c r="M17" s="4" t="s">
        <v>11</v>
      </c>
      <c r="N17" s="4" t="s">
        <v>11</v>
      </c>
      <c r="O17" s="2" t="s">
        <v>7</v>
      </c>
      <c r="P17" s="2" t="s">
        <v>7</v>
      </c>
      <c r="Q17" s="25" t="s">
        <v>11</v>
      </c>
      <c r="R17" s="25" t="s">
        <v>11</v>
      </c>
      <c r="S17" s="25" t="s">
        <v>11</v>
      </c>
      <c r="T17" s="25" t="s">
        <v>11</v>
      </c>
      <c r="U17" s="25" t="s">
        <v>11</v>
      </c>
      <c r="V17" s="2" t="s">
        <v>7</v>
      </c>
      <c r="W17" s="2" t="s">
        <v>7</v>
      </c>
      <c r="X17" s="25" t="s">
        <v>11</v>
      </c>
      <c r="Y17" s="4" t="s">
        <v>61</v>
      </c>
      <c r="Z17" s="4" t="s">
        <v>61</v>
      </c>
      <c r="AA17" s="4" t="s">
        <v>61</v>
      </c>
      <c r="AB17" s="4" t="s">
        <v>61</v>
      </c>
      <c r="AC17" s="2" t="s">
        <v>7</v>
      </c>
      <c r="AD17" s="2" t="s">
        <v>7</v>
      </c>
      <c r="AE17" s="4" t="s">
        <v>61</v>
      </c>
      <c r="AF17" s="4" t="s">
        <v>61</v>
      </c>
    </row>
    <row r="18" spans="1:32" x14ac:dyDescent="0.35">
      <c r="A18" s="34" t="s">
        <v>28</v>
      </c>
      <c r="B18" s="35" t="s">
        <v>34</v>
      </c>
      <c r="C18" s="4" t="s">
        <v>11</v>
      </c>
      <c r="D18" s="4" t="s">
        <v>11</v>
      </c>
      <c r="E18" s="25" t="s">
        <v>11</v>
      </c>
      <c r="F18" s="25" t="s">
        <v>11</v>
      </c>
      <c r="G18" s="25" t="s">
        <v>11</v>
      </c>
      <c r="H18" s="2" t="s">
        <v>7</v>
      </c>
      <c r="I18" s="2" t="s">
        <v>7</v>
      </c>
      <c r="J18" s="4" t="s">
        <v>62</v>
      </c>
      <c r="K18" s="4" t="s">
        <v>62</v>
      </c>
      <c r="L18" s="4" t="s">
        <v>62</v>
      </c>
      <c r="M18" s="4" t="s">
        <v>62</v>
      </c>
      <c r="N18" s="4" t="s">
        <v>62</v>
      </c>
      <c r="O18" s="9" t="s">
        <v>30</v>
      </c>
      <c r="P18" s="9" t="s">
        <v>30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9" t="s">
        <v>30</v>
      </c>
      <c r="W18" s="9" t="s">
        <v>30</v>
      </c>
      <c r="X18" s="2" t="s">
        <v>7</v>
      </c>
      <c r="Y18" s="25" t="s">
        <v>11</v>
      </c>
      <c r="Z18" s="25" t="s">
        <v>11</v>
      </c>
      <c r="AA18" s="25" t="s">
        <v>11</v>
      </c>
      <c r="AB18" s="25" t="s">
        <v>11</v>
      </c>
      <c r="AC18" s="2" t="s">
        <v>7</v>
      </c>
      <c r="AD18" s="2" t="s">
        <v>7</v>
      </c>
      <c r="AE18" s="3" t="s">
        <v>63</v>
      </c>
      <c r="AF18" s="3" t="s">
        <v>63</v>
      </c>
    </row>
    <row r="19" spans="1:32" x14ac:dyDescent="0.35">
      <c r="A19" s="34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</row>
    <row r="20" spans="1:32" x14ac:dyDescent="0.35">
      <c r="A20" s="34" t="s">
        <v>35</v>
      </c>
      <c r="B20" s="76" t="s">
        <v>36</v>
      </c>
      <c r="C20" s="25" t="s">
        <v>11</v>
      </c>
      <c r="D20" s="25" t="s">
        <v>11</v>
      </c>
      <c r="E20" s="25" t="s">
        <v>11</v>
      </c>
      <c r="F20" s="25" t="s">
        <v>11</v>
      </c>
      <c r="G20" s="25" t="s">
        <v>11</v>
      </c>
      <c r="H20" s="2" t="s">
        <v>7</v>
      </c>
      <c r="I20" s="2" t="s">
        <v>7</v>
      </c>
      <c r="J20" s="4" t="s">
        <v>11</v>
      </c>
      <c r="K20" s="4" t="s">
        <v>11</v>
      </c>
      <c r="L20" s="4" t="s">
        <v>11</v>
      </c>
      <c r="M20" s="4" t="s">
        <v>11</v>
      </c>
      <c r="N20" s="4" t="s">
        <v>11</v>
      </c>
      <c r="O20" s="2" t="s">
        <v>7</v>
      </c>
      <c r="P20" s="2" t="s">
        <v>7</v>
      </c>
      <c r="Q20" s="25" t="s">
        <v>11</v>
      </c>
      <c r="R20" s="25" t="s">
        <v>11</v>
      </c>
      <c r="S20" s="25" t="s">
        <v>11</v>
      </c>
      <c r="T20" s="25" t="s">
        <v>11</v>
      </c>
      <c r="U20" s="25" t="s">
        <v>11</v>
      </c>
      <c r="V20" s="2" t="s">
        <v>7</v>
      </c>
      <c r="W20" s="2" t="s">
        <v>7</v>
      </c>
      <c r="X20" s="4" t="s">
        <v>11</v>
      </c>
      <c r="Y20" s="4" t="s">
        <v>11</v>
      </c>
      <c r="Z20" s="4" t="s">
        <v>11</v>
      </c>
      <c r="AA20" s="4" t="s">
        <v>11</v>
      </c>
      <c r="AB20" s="4" t="s">
        <v>11</v>
      </c>
      <c r="AC20" s="2" t="s">
        <v>7</v>
      </c>
      <c r="AD20" s="2" t="s">
        <v>7</v>
      </c>
      <c r="AE20" s="25" t="s">
        <v>11</v>
      </c>
      <c r="AF20" s="25" t="s">
        <v>11</v>
      </c>
    </row>
    <row r="21" spans="1:32" x14ac:dyDescent="0.35">
      <c r="A21" s="34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</row>
    <row r="22" spans="1:32" x14ac:dyDescent="0.35">
      <c r="A22" s="77" t="s">
        <v>37</v>
      </c>
      <c r="B22" s="52" t="s">
        <v>64</v>
      </c>
      <c r="C22" s="42" t="s">
        <v>39</v>
      </c>
      <c r="D22" s="42" t="s">
        <v>39</v>
      </c>
      <c r="E22" s="42" t="s">
        <v>39</v>
      </c>
      <c r="F22" s="42" t="s">
        <v>39</v>
      </c>
      <c r="G22" s="42" t="s">
        <v>39</v>
      </c>
      <c r="H22" s="2" t="s">
        <v>7</v>
      </c>
      <c r="I22" s="2" t="s">
        <v>7</v>
      </c>
      <c r="J22" s="42" t="s">
        <v>39</v>
      </c>
      <c r="K22" s="42" t="s">
        <v>39</v>
      </c>
      <c r="L22" s="42" t="s">
        <v>39</v>
      </c>
      <c r="M22" s="42" t="s">
        <v>39</v>
      </c>
      <c r="N22" s="42" t="s">
        <v>39</v>
      </c>
      <c r="O22" s="2" t="s">
        <v>7</v>
      </c>
      <c r="P22" s="2" t="s">
        <v>7</v>
      </c>
      <c r="Q22" s="42" t="s">
        <v>39</v>
      </c>
      <c r="R22" s="42" t="s">
        <v>39</v>
      </c>
      <c r="S22" s="42" t="s">
        <v>39</v>
      </c>
      <c r="T22" s="42" t="s">
        <v>39</v>
      </c>
      <c r="U22" s="42" t="s">
        <v>39</v>
      </c>
      <c r="V22" s="2" t="s">
        <v>7</v>
      </c>
      <c r="W22" s="2" t="s">
        <v>7</v>
      </c>
      <c r="X22" s="42" t="s">
        <v>39</v>
      </c>
      <c r="Y22" s="42" t="s">
        <v>39</v>
      </c>
      <c r="Z22" s="42" t="s">
        <v>39</v>
      </c>
      <c r="AA22" s="42" t="s">
        <v>39</v>
      </c>
      <c r="AB22" s="42" t="s">
        <v>39</v>
      </c>
      <c r="AC22" s="2" t="s">
        <v>7</v>
      </c>
      <c r="AD22" s="2" t="s">
        <v>7</v>
      </c>
      <c r="AE22" s="42" t="s">
        <v>39</v>
      </c>
      <c r="AF22" s="42" t="s">
        <v>39</v>
      </c>
    </row>
    <row r="24" spans="1:32" x14ac:dyDescent="0.35">
      <c r="B24" t="s">
        <v>65</v>
      </c>
    </row>
    <row r="25" spans="1:32" x14ac:dyDescent="0.35">
      <c r="B25" s="5" t="s">
        <v>66</v>
      </c>
    </row>
    <row r="26" spans="1:32" x14ac:dyDescent="0.35">
      <c r="B26" s="5" t="s">
        <v>67</v>
      </c>
    </row>
    <row r="27" spans="1:32" x14ac:dyDescent="0.35">
      <c r="B27" s="1" t="s">
        <v>68</v>
      </c>
    </row>
    <row r="28" spans="1:32" x14ac:dyDescent="0.35">
      <c r="B28" s="7" t="s">
        <v>69</v>
      </c>
    </row>
    <row r="29" spans="1:32" x14ac:dyDescent="0.35">
      <c r="B29" s="3" t="s">
        <v>70</v>
      </c>
    </row>
    <row r="30" spans="1:32" x14ac:dyDescent="0.35">
      <c r="B30" s="5" t="s">
        <v>71</v>
      </c>
    </row>
    <row r="31" spans="1:32" x14ac:dyDescent="0.35">
      <c r="B31" s="3" t="s">
        <v>72</v>
      </c>
    </row>
    <row r="32" spans="1:32" x14ac:dyDescent="0.35">
      <c r="B32" s="4" t="s">
        <v>73</v>
      </c>
    </row>
    <row r="33" spans="2:2" x14ac:dyDescent="0.35">
      <c r="B33" s="25" t="s">
        <v>74</v>
      </c>
    </row>
    <row r="34" spans="2:2" x14ac:dyDescent="0.35">
      <c r="B34" s="4" t="s">
        <v>75</v>
      </c>
    </row>
    <row r="35" spans="2:2" x14ac:dyDescent="0.35">
      <c r="B35" s="28" t="s">
        <v>76</v>
      </c>
    </row>
    <row r="36" spans="2:2" x14ac:dyDescent="0.35">
      <c r="B36" s="17" t="s">
        <v>77</v>
      </c>
    </row>
  </sheetData>
  <mergeCells count="6">
    <mergeCell ref="C21:AF21"/>
    <mergeCell ref="B1:B3"/>
    <mergeCell ref="C1:AF1"/>
    <mergeCell ref="C9:AF9"/>
    <mergeCell ref="C15:AF15"/>
    <mergeCell ref="C19:AF19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3658-D38D-4918-A80C-B11B1AC8E0BE}">
  <dimension ref="A1:AH35"/>
  <sheetViews>
    <sheetView zoomScale="115" zoomScaleNormal="115" workbookViewId="0">
      <selection activeCell="D14" sqref="D14"/>
    </sheetView>
  </sheetViews>
  <sheetFormatPr baseColWidth="10" defaultColWidth="8.5429687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15" customHeight="1" x14ac:dyDescent="0.35">
      <c r="A1" s="6"/>
      <c r="B1" s="175"/>
      <c r="C1" s="185" t="s">
        <v>78</v>
      </c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7"/>
    </row>
    <row r="2" spans="1:34" x14ac:dyDescent="0.35">
      <c r="A2" s="6"/>
      <c r="B2" s="175"/>
      <c r="C2" s="11" t="s">
        <v>2</v>
      </c>
      <c r="D2" s="11" t="s">
        <v>3</v>
      </c>
      <c r="E2" s="11" t="s">
        <v>4</v>
      </c>
      <c r="F2" s="46" t="s">
        <v>5</v>
      </c>
      <c r="G2" s="46" t="s">
        <v>6</v>
      </c>
      <c r="H2" s="11" t="s">
        <v>7</v>
      </c>
      <c r="I2" s="11" t="s">
        <v>1</v>
      </c>
      <c r="J2" s="11" t="s">
        <v>2</v>
      </c>
      <c r="K2" s="11" t="s">
        <v>3</v>
      </c>
      <c r="L2" s="11" t="s">
        <v>4</v>
      </c>
      <c r="M2" s="46" t="s">
        <v>5</v>
      </c>
      <c r="N2" s="46" t="s">
        <v>6</v>
      </c>
      <c r="O2" s="11" t="s">
        <v>7</v>
      </c>
      <c r="P2" s="11" t="s">
        <v>1</v>
      </c>
      <c r="Q2" s="11" t="s">
        <v>2</v>
      </c>
      <c r="R2" s="11" t="s">
        <v>3</v>
      </c>
      <c r="S2" s="11" t="s">
        <v>4</v>
      </c>
      <c r="T2" s="46" t="s">
        <v>5</v>
      </c>
      <c r="U2" s="46" t="s">
        <v>6</v>
      </c>
      <c r="V2" s="11" t="s">
        <v>7</v>
      </c>
      <c r="W2" s="11" t="s">
        <v>1</v>
      </c>
      <c r="X2" s="11" t="s">
        <v>2</v>
      </c>
      <c r="Y2" s="11" t="s">
        <v>3</v>
      </c>
      <c r="Z2" s="11" t="s">
        <v>4</v>
      </c>
      <c r="AA2" s="46" t="s">
        <v>5</v>
      </c>
      <c r="AB2" s="46" t="s">
        <v>6</v>
      </c>
      <c r="AC2" s="11" t="s">
        <v>7</v>
      </c>
      <c r="AD2" s="11" t="s">
        <v>1</v>
      </c>
      <c r="AE2" s="11" t="s">
        <v>2</v>
      </c>
      <c r="AF2" s="11" t="s">
        <v>3</v>
      </c>
      <c r="AG2" s="11" t="s">
        <v>4</v>
      </c>
      <c r="AH2" s="91" t="s">
        <v>8</v>
      </c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 x14ac:dyDescent="0.35">
      <c r="A4" s="63" t="s">
        <v>12</v>
      </c>
      <c r="B4" s="62" t="s">
        <v>13</v>
      </c>
      <c r="C4" s="7" t="s">
        <v>20</v>
      </c>
      <c r="D4" s="7" t="s">
        <v>20</v>
      </c>
      <c r="E4" s="7" t="s">
        <v>20</v>
      </c>
      <c r="F4" s="5" t="s">
        <v>15</v>
      </c>
      <c r="G4" s="5" t="s">
        <v>15</v>
      </c>
      <c r="H4" s="28" t="s">
        <v>7</v>
      </c>
      <c r="I4" s="28" t="s">
        <v>7</v>
      </c>
      <c r="J4" s="28" t="s">
        <v>7</v>
      </c>
      <c r="K4" s="81" t="s">
        <v>20</v>
      </c>
      <c r="L4" s="88" t="s">
        <v>7</v>
      </c>
      <c r="M4" s="5" t="s">
        <v>15</v>
      </c>
      <c r="N4" s="5" t="s">
        <v>15</v>
      </c>
      <c r="O4" s="7" t="s">
        <v>20</v>
      </c>
      <c r="P4" s="7" t="s">
        <v>20</v>
      </c>
      <c r="Q4" s="7" t="s">
        <v>20</v>
      </c>
      <c r="R4" s="7" t="s">
        <v>20</v>
      </c>
      <c r="S4" s="7" t="s">
        <v>20</v>
      </c>
      <c r="T4" s="28" t="s">
        <v>7</v>
      </c>
      <c r="U4" s="28" t="s">
        <v>7</v>
      </c>
      <c r="V4" s="1" t="s">
        <v>14</v>
      </c>
      <c r="W4" s="1" t="s">
        <v>14</v>
      </c>
      <c r="X4" s="1" t="s">
        <v>14</v>
      </c>
      <c r="Y4" s="1" t="s">
        <v>14</v>
      </c>
      <c r="Z4" s="1" t="s">
        <v>14</v>
      </c>
      <c r="AA4" s="3" t="s">
        <v>17</v>
      </c>
      <c r="AB4" s="3" t="s">
        <v>17</v>
      </c>
      <c r="AC4" s="28" t="s">
        <v>7</v>
      </c>
      <c r="AD4" s="28" t="s">
        <v>7</v>
      </c>
      <c r="AE4" s="28" t="s">
        <v>7</v>
      </c>
      <c r="AF4" s="88" t="s">
        <v>7</v>
      </c>
      <c r="AG4" s="88" t="s">
        <v>7</v>
      </c>
      <c r="AH4" s="91">
        <f>COUNTIFS(C4:AG4,"&lt;&gt;"&amp;"L",C4:AG4,"&lt;&gt;"&amp;"NF",C4:AG4,"&lt;&gt;"&amp;"M/F",C4:AG4,"&lt;&gt;"&amp;"V")*8+COUNTIFS(C4:AG4,"NF")*12+COUNTIFS(C4:AG4,"M/F")*12</f>
        <v>184</v>
      </c>
    </row>
    <row r="5" spans="1:34" ht="12.75" customHeight="1" x14ac:dyDescent="0.35">
      <c r="A5" s="34" t="s">
        <v>12</v>
      </c>
      <c r="B5" s="33" t="s">
        <v>19</v>
      </c>
      <c r="C5" s="28" t="s">
        <v>7</v>
      </c>
      <c r="D5" s="88" t="s">
        <v>7</v>
      </c>
      <c r="E5" s="88" t="s">
        <v>7</v>
      </c>
      <c r="F5" s="28" t="s">
        <v>7</v>
      </c>
      <c r="G5" s="28" t="s">
        <v>7</v>
      </c>
      <c r="H5" s="7" t="s">
        <v>20</v>
      </c>
      <c r="I5" s="7" t="s">
        <v>20</v>
      </c>
      <c r="J5" s="7" t="s">
        <v>20</v>
      </c>
      <c r="K5" s="47" t="s">
        <v>7</v>
      </c>
      <c r="L5" s="7" t="s">
        <v>20</v>
      </c>
      <c r="M5" s="5" t="s">
        <v>15</v>
      </c>
      <c r="N5" s="5" t="s">
        <v>15</v>
      </c>
      <c r="O5" s="28" t="s">
        <v>7</v>
      </c>
      <c r="P5" s="28" t="s">
        <v>7</v>
      </c>
      <c r="Q5" s="28" t="s">
        <v>7</v>
      </c>
      <c r="R5" s="88" t="s">
        <v>7</v>
      </c>
      <c r="S5" s="88" t="s">
        <v>7</v>
      </c>
      <c r="T5" s="28" t="s">
        <v>7</v>
      </c>
      <c r="U5" s="28" t="s">
        <v>7</v>
      </c>
      <c r="V5" s="7" t="s">
        <v>20</v>
      </c>
      <c r="W5" s="7" t="s">
        <v>20</v>
      </c>
      <c r="X5" s="7" t="s">
        <v>20</v>
      </c>
      <c r="Y5" s="7" t="s">
        <v>20</v>
      </c>
      <c r="Z5" s="7" t="s">
        <v>20</v>
      </c>
      <c r="AA5" s="28" t="s">
        <v>7</v>
      </c>
      <c r="AB5" s="28" t="s">
        <v>7</v>
      </c>
      <c r="AC5" s="3" t="s">
        <v>16</v>
      </c>
      <c r="AD5" s="3" t="s">
        <v>16</v>
      </c>
      <c r="AE5" s="3" t="s">
        <v>16</v>
      </c>
      <c r="AF5" s="3" t="s">
        <v>16</v>
      </c>
      <c r="AG5" s="3" t="s">
        <v>16</v>
      </c>
      <c r="AH5" s="91">
        <f t="shared" ref="AH5:AH14" si="0">COUNTIFS(C5:AG5,"&lt;&gt;"&amp;"L",C5:AG5,"&lt;&gt;"&amp;"NF",C5:AG5,"&lt;&gt;"&amp;"M/F",C5:AG5,"&lt;&gt;"&amp;"V")*8+COUNTIFS(C5:AG5,"NF")*12+COUNTIFS(C5:AG5,"M/F")*12</f>
        <v>136</v>
      </c>
    </row>
    <row r="6" spans="1:34" x14ac:dyDescent="0.35">
      <c r="A6" s="34" t="s">
        <v>12</v>
      </c>
      <c r="B6" s="33" t="s">
        <v>21</v>
      </c>
      <c r="C6" s="1" t="s">
        <v>14</v>
      </c>
      <c r="D6" s="1" t="s">
        <v>14</v>
      </c>
      <c r="E6" s="1" t="s">
        <v>14</v>
      </c>
      <c r="F6" s="5" t="s">
        <v>15</v>
      </c>
      <c r="G6" s="5" t="s">
        <v>15</v>
      </c>
      <c r="H6" s="28" t="s">
        <v>7</v>
      </c>
      <c r="I6" s="28" t="s">
        <v>7</v>
      </c>
      <c r="J6" s="28" t="s">
        <v>7</v>
      </c>
      <c r="K6" s="88" t="s">
        <v>7</v>
      </c>
      <c r="L6" s="88" t="s">
        <v>7</v>
      </c>
      <c r="M6" s="28" t="s">
        <v>7</v>
      </c>
      <c r="N6" s="28" t="s">
        <v>7</v>
      </c>
      <c r="O6" s="3" t="s">
        <v>16</v>
      </c>
      <c r="P6" s="3" t="s">
        <v>16</v>
      </c>
      <c r="Q6" s="3" t="s">
        <v>16</v>
      </c>
      <c r="R6" s="3" t="s">
        <v>16</v>
      </c>
      <c r="S6" s="3" t="s">
        <v>16</v>
      </c>
      <c r="T6" s="3" t="s">
        <v>17</v>
      </c>
      <c r="U6" s="3" t="s">
        <v>17</v>
      </c>
      <c r="V6" s="28" t="s">
        <v>7</v>
      </c>
      <c r="W6" s="28" t="s">
        <v>7</v>
      </c>
      <c r="X6" s="28" t="s">
        <v>7</v>
      </c>
      <c r="Y6" s="28" t="s">
        <v>7</v>
      </c>
      <c r="Z6" s="28" t="s">
        <v>7</v>
      </c>
      <c r="AA6" s="48" t="s">
        <v>15</v>
      </c>
      <c r="AB6" s="48" t="s">
        <v>15</v>
      </c>
      <c r="AC6" s="7" t="s">
        <v>20</v>
      </c>
      <c r="AD6" s="7" t="s">
        <v>20</v>
      </c>
      <c r="AE6" s="7" t="s">
        <v>20</v>
      </c>
      <c r="AF6" s="7" t="s">
        <v>20</v>
      </c>
      <c r="AG6" s="47" t="s">
        <v>14</v>
      </c>
      <c r="AH6" s="91">
        <f t="shared" si="0"/>
        <v>176</v>
      </c>
    </row>
    <row r="7" spans="1:34" x14ac:dyDescent="0.35">
      <c r="A7" s="34" t="s">
        <v>12</v>
      </c>
      <c r="B7" s="33" t="s">
        <v>22</v>
      </c>
      <c r="C7" s="28" t="s">
        <v>7</v>
      </c>
      <c r="D7" s="88" t="s">
        <v>7</v>
      </c>
      <c r="E7" s="88" t="s">
        <v>7</v>
      </c>
      <c r="F7" s="28" t="s">
        <v>7</v>
      </c>
      <c r="G7" s="28" t="s">
        <v>7</v>
      </c>
      <c r="H7" s="3" t="s">
        <v>16</v>
      </c>
      <c r="I7" s="3" t="s">
        <v>16</v>
      </c>
      <c r="J7" s="3" t="s">
        <v>16</v>
      </c>
      <c r="K7" s="47" t="s">
        <v>7</v>
      </c>
      <c r="L7" s="47" t="s">
        <v>14</v>
      </c>
      <c r="M7" s="28" t="s">
        <v>7</v>
      </c>
      <c r="N7" s="28" t="s">
        <v>7</v>
      </c>
      <c r="O7" s="28" t="s">
        <v>7</v>
      </c>
      <c r="P7" s="28" t="s">
        <v>7</v>
      </c>
      <c r="Q7" s="28" t="s">
        <v>7</v>
      </c>
      <c r="R7" s="88" t="s">
        <v>7</v>
      </c>
      <c r="S7" s="88" t="s">
        <v>7</v>
      </c>
      <c r="T7" s="28" t="s">
        <v>7</v>
      </c>
      <c r="U7" s="28" t="s">
        <v>7</v>
      </c>
      <c r="V7" s="17" t="s">
        <v>4</v>
      </c>
      <c r="W7" s="17" t="s">
        <v>4</v>
      </c>
      <c r="X7" s="17" t="s">
        <v>4</v>
      </c>
      <c r="Y7" s="17" t="s">
        <v>4</v>
      </c>
      <c r="Z7" s="17" t="s">
        <v>4</v>
      </c>
      <c r="AA7" s="82" t="s">
        <v>7</v>
      </c>
      <c r="AB7" s="82" t="s">
        <v>7</v>
      </c>
      <c r="AC7" s="28" t="s">
        <v>7</v>
      </c>
      <c r="AD7" s="28" t="s">
        <v>7</v>
      </c>
      <c r="AE7" s="28" t="s">
        <v>7</v>
      </c>
      <c r="AF7" s="88" t="s">
        <v>7</v>
      </c>
      <c r="AG7" s="88" t="s">
        <v>7</v>
      </c>
      <c r="AH7" s="91">
        <f t="shared" si="0"/>
        <v>32</v>
      </c>
    </row>
    <row r="8" spans="1:34" x14ac:dyDescent="0.35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28" t="s">
        <v>7</v>
      </c>
      <c r="G8" s="28" t="s">
        <v>7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28" t="s">
        <v>7</v>
      </c>
      <c r="N8" s="28" t="s">
        <v>7</v>
      </c>
      <c r="O8" s="1" t="s">
        <v>14</v>
      </c>
      <c r="P8" s="1" t="s">
        <v>14</v>
      </c>
      <c r="Q8" s="1" t="s">
        <v>14</v>
      </c>
      <c r="R8" s="1" t="s">
        <v>14</v>
      </c>
      <c r="S8" s="1" t="s">
        <v>14</v>
      </c>
      <c r="T8" s="5" t="s">
        <v>15</v>
      </c>
      <c r="U8" s="5" t="s">
        <v>15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91">
        <f t="shared" si="0"/>
        <v>168</v>
      </c>
    </row>
    <row r="9" spans="1:34" x14ac:dyDescent="0.35">
      <c r="A9" s="34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4" x14ac:dyDescent="0.35">
      <c r="A10" s="34" t="s">
        <v>12</v>
      </c>
      <c r="B10" s="74" t="s">
        <v>23</v>
      </c>
      <c r="C10" s="28" t="s">
        <v>7</v>
      </c>
      <c r="D10" s="88" t="s">
        <v>7</v>
      </c>
      <c r="E10" s="88" t="s">
        <v>7</v>
      </c>
      <c r="F10" s="28" t="s">
        <v>7</v>
      </c>
      <c r="G10" s="28" t="s">
        <v>7</v>
      </c>
      <c r="H10" s="7" t="s">
        <v>20</v>
      </c>
      <c r="I10" s="7" t="s">
        <v>20</v>
      </c>
      <c r="J10" s="7" t="s">
        <v>20</v>
      </c>
      <c r="K10" s="7" t="s">
        <v>20</v>
      </c>
      <c r="L10" s="7" t="s">
        <v>20</v>
      </c>
      <c r="M10" s="28" t="s">
        <v>7</v>
      </c>
      <c r="N10" s="28" t="s">
        <v>7</v>
      </c>
      <c r="O10" s="5" t="s">
        <v>14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15</v>
      </c>
      <c r="U10" s="5" t="s">
        <v>15</v>
      </c>
      <c r="V10" s="28" t="s">
        <v>7</v>
      </c>
      <c r="W10" s="28" t="s">
        <v>7</v>
      </c>
      <c r="X10" s="28" t="s">
        <v>7</v>
      </c>
      <c r="Y10" s="88" t="s">
        <v>7</v>
      </c>
      <c r="Z10" s="88" t="s">
        <v>7</v>
      </c>
      <c r="AA10" s="28" t="s">
        <v>7</v>
      </c>
      <c r="AB10" s="28" t="s">
        <v>7</v>
      </c>
      <c r="AC10" s="7" t="s">
        <v>20</v>
      </c>
      <c r="AD10" s="7" t="s">
        <v>20</v>
      </c>
      <c r="AE10" s="7" t="s">
        <v>20</v>
      </c>
      <c r="AF10" s="7" t="s">
        <v>20</v>
      </c>
      <c r="AG10" s="7" t="s">
        <v>20</v>
      </c>
      <c r="AH10" s="91">
        <f t="shared" si="0"/>
        <v>144</v>
      </c>
    </row>
    <row r="11" spans="1:34" x14ac:dyDescent="0.35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17</v>
      </c>
      <c r="G11" s="3" t="s">
        <v>17</v>
      </c>
      <c r="H11" s="28" t="s">
        <v>7</v>
      </c>
      <c r="I11" s="28" t="s">
        <v>7</v>
      </c>
      <c r="J11" s="28" t="s">
        <v>7</v>
      </c>
      <c r="K11" s="28" t="s">
        <v>7</v>
      </c>
      <c r="L11" s="28" t="s">
        <v>7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8" t="s">
        <v>7</v>
      </c>
      <c r="U11" s="28" t="s">
        <v>7</v>
      </c>
      <c r="V11" s="5" t="s">
        <v>14</v>
      </c>
      <c r="W11" s="5" t="s">
        <v>14</v>
      </c>
      <c r="X11" s="5" t="s">
        <v>14</v>
      </c>
      <c r="Y11" s="5" t="s">
        <v>14</v>
      </c>
      <c r="Z11" s="5" t="s">
        <v>14</v>
      </c>
      <c r="AA11" s="5" t="s">
        <v>15</v>
      </c>
      <c r="AB11" s="5" t="s">
        <v>15</v>
      </c>
      <c r="AC11" s="28" t="s">
        <v>7</v>
      </c>
      <c r="AD11" s="28" t="s">
        <v>7</v>
      </c>
      <c r="AE11" s="28" t="s">
        <v>7</v>
      </c>
      <c r="AF11" s="28" t="s">
        <v>7</v>
      </c>
      <c r="AG11" s="28" t="s">
        <v>7</v>
      </c>
      <c r="AH11" s="91">
        <f t="shared" si="0"/>
        <v>152</v>
      </c>
    </row>
    <row r="12" spans="1:34" x14ac:dyDescent="0.35">
      <c r="A12" s="34" t="s">
        <v>12</v>
      </c>
      <c r="B12" s="33" t="s">
        <v>24</v>
      </c>
      <c r="C12" s="3" t="s">
        <v>16</v>
      </c>
      <c r="D12" s="3" t="s">
        <v>16</v>
      </c>
      <c r="E12" s="3" t="s">
        <v>16</v>
      </c>
      <c r="F12" s="3" t="s">
        <v>17</v>
      </c>
      <c r="G12" s="3" t="s">
        <v>17</v>
      </c>
      <c r="H12" s="28" t="s">
        <v>7</v>
      </c>
      <c r="I12" s="28" t="s">
        <v>7</v>
      </c>
      <c r="J12" s="28" t="s">
        <v>7</v>
      </c>
      <c r="K12" s="88" t="s">
        <v>7</v>
      </c>
      <c r="L12" s="88" t="s">
        <v>7</v>
      </c>
      <c r="M12" s="28" t="s">
        <v>7</v>
      </c>
      <c r="N12" s="28" t="s">
        <v>7</v>
      </c>
      <c r="O12" s="88" t="s">
        <v>7</v>
      </c>
      <c r="P12" s="88" t="s">
        <v>7</v>
      </c>
      <c r="Q12" s="3" t="s">
        <v>16</v>
      </c>
      <c r="R12" s="3" t="s">
        <v>16</v>
      </c>
      <c r="S12" s="3" t="s">
        <v>16</v>
      </c>
      <c r="T12" s="3" t="s">
        <v>17</v>
      </c>
      <c r="U12" s="3" t="s">
        <v>17</v>
      </c>
      <c r="V12" s="28" t="s">
        <v>7</v>
      </c>
      <c r="W12" s="28" t="s">
        <v>7</v>
      </c>
      <c r="X12" s="28" t="s">
        <v>7</v>
      </c>
      <c r="Y12" s="47" t="s">
        <v>20</v>
      </c>
      <c r="Z12" s="47" t="s">
        <v>20</v>
      </c>
      <c r="AA12" s="28" t="s">
        <v>7</v>
      </c>
      <c r="AB12" s="28" t="s">
        <v>7</v>
      </c>
      <c r="AC12" s="5" t="s">
        <v>14</v>
      </c>
      <c r="AD12" s="5" t="s">
        <v>14</v>
      </c>
      <c r="AE12" s="5" t="s">
        <v>14</v>
      </c>
      <c r="AF12" s="5" t="s">
        <v>14</v>
      </c>
      <c r="AG12" s="81" t="s">
        <v>20</v>
      </c>
      <c r="AH12" s="91">
        <f t="shared" si="0"/>
        <v>152</v>
      </c>
    </row>
    <row r="13" spans="1:34" x14ac:dyDescent="0.35">
      <c r="A13" s="34" t="s">
        <v>12</v>
      </c>
      <c r="B13" s="75" t="s">
        <v>25</v>
      </c>
      <c r="C13" s="28" t="s">
        <v>7</v>
      </c>
      <c r="D13" s="88" t="s">
        <v>7</v>
      </c>
      <c r="E13" s="88" t="s">
        <v>7</v>
      </c>
      <c r="F13" s="28" t="s">
        <v>7</v>
      </c>
      <c r="G13" s="28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8" t="s">
        <v>7</v>
      </c>
      <c r="P13" s="28" t="s">
        <v>7</v>
      </c>
      <c r="Q13" s="28" t="s">
        <v>7</v>
      </c>
      <c r="R13" s="88" t="s">
        <v>7</v>
      </c>
      <c r="S13" s="88" t="s">
        <v>7</v>
      </c>
      <c r="T13" s="28" t="s">
        <v>7</v>
      </c>
      <c r="U13" s="28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8" t="s">
        <v>7</v>
      </c>
      <c r="AD13" s="28" t="s">
        <v>7</v>
      </c>
      <c r="AE13" s="28" t="s">
        <v>7</v>
      </c>
      <c r="AF13" s="88" t="s">
        <v>7</v>
      </c>
      <c r="AG13" s="88" t="s">
        <v>7</v>
      </c>
      <c r="AH13" s="91">
        <f t="shared" si="0"/>
        <v>128</v>
      </c>
    </row>
    <row r="14" spans="1:34" x14ac:dyDescent="0.35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28" t="s">
        <v>7</v>
      </c>
      <c r="G14" s="28" t="s">
        <v>7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17</v>
      </c>
      <c r="N14" s="3" t="s">
        <v>17</v>
      </c>
      <c r="O14" s="47" t="s">
        <v>16</v>
      </c>
      <c r="P14" s="47" t="s">
        <v>16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7" t="s">
        <v>20</v>
      </c>
      <c r="W14" s="7" t="s">
        <v>20</v>
      </c>
      <c r="X14" s="7" t="s">
        <v>20</v>
      </c>
      <c r="Y14" s="81" t="s">
        <v>7</v>
      </c>
      <c r="Z14" s="81" t="s">
        <v>7</v>
      </c>
      <c r="AA14" s="28" t="s">
        <v>7</v>
      </c>
      <c r="AB14" s="28" t="s">
        <v>7</v>
      </c>
      <c r="AC14" s="3" t="s">
        <v>16</v>
      </c>
      <c r="AD14" s="3" t="s">
        <v>16</v>
      </c>
      <c r="AE14" s="3" t="s">
        <v>16</v>
      </c>
      <c r="AF14" s="3" t="s">
        <v>16</v>
      </c>
      <c r="AG14" s="3" t="s">
        <v>16</v>
      </c>
      <c r="AH14" s="91">
        <f t="shared" si="0"/>
        <v>168</v>
      </c>
    </row>
    <row r="15" spans="1:34" x14ac:dyDescent="0.35">
      <c r="A15" s="34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</row>
    <row r="16" spans="1:34" x14ac:dyDescent="0.35">
      <c r="A16" s="34" t="s">
        <v>28</v>
      </c>
      <c r="B16" s="33" t="s">
        <v>29</v>
      </c>
      <c r="C16" s="25" t="s">
        <v>14</v>
      </c>
      <c r="D16" s="25" t="s">
        <v>14</v>
      </c>
      <c r="E16" s="25" t="s">
        <v>14</v>
      </c>
      <c r="F16" s="28" t="s">
        <v>7</v>
      </c>
      <c r="G16" s="28" t="s">
        <v>7</v>
      </c>
      <c r="H16" s="4" t="s">
        <v>32</v>
      </c>
      <c r="I16" s="4" t="s">
        <v>32</v>
      </c>
      <c r="J16" s="4" t="s">
        <v>32</v>
      </c>
      <c r="K16" s="4" t="s">
        <v>32</v>
      </c>
      <c r="L16" s="4" t="s">
        <v>32</v>
      </c>
      <c r="M16" s="9" t="s">
        <v>30</v>
      </c>
      <c r="N16" s="9" t="s">
        <v>30</v>
      </c>
      <c r="O16" s="3" t="s">
        <v>16</v>
      </c>
      <c r="P16" s="3" t="s">
        <v>16</v>
      </c>
      <c r="Q16" s="3" t="s">
        <v>16</v>
      </c>
      <c r="R16" s="3" t="s">
        <v>16</v>
      </c>
      <c r="S16" s="3" t="s">
        <v>16</v>
      </c>
      <c r="T16" s="28" t="s">
        <v>7</v>
      </c>
      <c r="U16" s="28" t="s">
        <v>7</v>
      </c>
      <c r="V16" s="4" t="s">
        <v>61</v>
      </c>
      <c r="W16" s="4" t="s">
        <v>61</v>
      </c>
      <c r="X16" s="4" t="s">
        <v>61</v>
      </c>
      <c r="Y16" s="4" t="s">
        <v>61</v>
      </c>
      <c r="Z16" s="4" t="s">
        <v>61</v>
      </c>
      <c r="AA16" s="28" t="s">
        <v>7</v>
      </c>
      <c r="AB16" s="28" t="s">
        <v>7</v>
      </c>
      <c r="AC16" s="3" t="s">
        <v>63</v>
      </c>
      <c r="AD16" s="3" t="s">
        <v>63</v>
      </c>
      <c r="AE16" s="3" t="s">
        <v>63</v>
      </c>
      <c r="AF16" s="3" t="s">
        <v>63</v>
      </c>
      <c r="AG16" s="3" t="s">
        <v>63</v>
      </c>
    </row>
    <row r="17" spans="1:33" x14ac:dyDescent="0.35">
      <c r="A17" s="34" t="s">
        <v>28</v>
      </c>
      <c r="B17" s="35" t="s">
        <v>60</v>
      </c>
      <c r="C17" s="4" t="s">
        <v>61</v>
      </c>
      <c r="D17" s="4" t="s">
        <v>61</v>
      </c>
      <c r="E17" s="4" t="s">
        <v>61</v>
      </c>
      <c r="F17" s="28" t="s">
        <v>7</v>
      </c>
      <c r="G17" s="28" t="s">
        <v>7</v>
      </c>
      <c r="H17" s="25" t="s">
        <v>54</v>
      </c>
      <c r="I17" s="25" t="s">
        <v>54</v>
      </c>
      <c r="J17" s="25" t="s">
        <v>54</v>
      </c>
      <c r="K17" s="25" t="s">
        <v>54</v>
      </c>
      <c r="L17" s="25" t="s">
        <v>54</v>
      </c>
      <c r="M17" s="28" t="s">
        <v>7</v>
      </c>
      <c r="N17" s="28" t="s">
        <v>7</v>
      </c>
      <c r="O17" s="4" t="s">
        <v>33</v>
      </c>
      <c r="P17" s="4" t="s">
        <v>33</v>
      </c>
      <c r="Q17" s="4" t="s">
        <v>33</v>
      </c>
      <c r="R17" s="4" t="s">
        <v>33</v>
      </c>
      <c r="S17" s="4" t="s">
        <v>33</v>
      </c>
      <c r="T17" s="9" t="s">
        <v>30</v>
      </c>
      <c r="U17" s="9" t="s">
        <v>30</v>
      </c>
      <c r="V17" s="25" t="s">
        <v>14</v>
      </c>
      <c r="W17" s="25" t="s">
        <v>14</v>
      </c>
      <c r="X17" s="25" t="s">
        <v>14</v>
      </c>
      <c r="Y17" s="25" t="s">
        <v>14</v>
      </c>
      <c r="Z17" s="25" t="s">
        <v>14</v>
      </c>
      <c r="AA17" s="28" t="s">
        <v>7</v>
      </c>
      <c r="AB17" s="28" t="s">
        <v>7</v>
      </c>
      <c r="AC17" s="25" t="s">
        <v>14</v>
      </c>
      <c r="AD17" s="25" t="s">
        <v>14</v>
      </c>
      <c r="AE17" s="25" t="s">
        <v>14</v>
      </c>
      <c r="AF17" s="25" t="s">
        <v>14</v>
      </c>
      <c r="AG17" s="25" t="s">
        <v>14</v>
      </c>
    </row>
    <row r="18" spans="1:33" x14ac:dyDescent="0.35">
      <c r="A18" s="34" t="s">
        <v>28</v>
      </c>
      <c r="B18" s="35" t="s">
        <v>34</v>
      </c>
      <c r="C18" s="3" t="s">
        <v>63</v>
      </c>
      <c r="D18" s="3" t="s">
        <v>63</v>
      </c>
      <c r="E18" s="3" t="s">
        <v>63</v>
      </c>
      <c r="F18" s="9" t="s">
        <v>30</v>
      </c>
      <c r="G18" s="9" t="s">
        <v>30</v>
      </c>
      <c r="H18" s="17" t="s">
        <v>4</v>
      </c>
      <c r="I18" s="17" t="s">
        <v>4</v>
      </c>
      <c r="J18" s="17" t="s">
        <v>4</v>
      </c>
      <c r="K18" s="17" t="s">
        <v>4</v>
      </c>
      <c r="L18" s="17" t="s">
        <v>4</v>
      </c>
      <c r="M18" s="28" t="s">
        <v>7</v>
      </c>
      <c r="N18" s="28" t="s">
        <v>7</v>
      </c>
      <c r="O18" s="25" t="s">
        <v>61</v>
      </c>
      <c r="P18" s="25" t="s">
        <v>61</v>
      </c>
      <c r="Q18" s="25" t="s">
        <v>61</v>
      </c>
      <c r="R18" s="25" t="s">
        <v>61</v>
      </c>
      <c r="S18" s="25" t="s">
        <v>61</v>
      </c>
      <c r="T18" s="28" t="s">
        <v>7</v>
      </c>
      <c r="U18" s="28" t="s">
        <v>7</v>
      </c>
      <c r="V18" s="3" t="s">
        <v>63</v>
      </c>
      <c r="W18" s="3" t="s">
        <v>63</v>
      </c>
      <c r="X18" s="3" t="s">
        <v>63</v>
      </c>
      <c r="Y18" s="3" t="s">
        <v>63</v>
      </c>
      <c r="Z18" s="3" t="s">
        <v>63</v>
      </c>
      <c r="AA18" s="9" t="s">
        <v>30</v>
      </c>
      <c r="AB18" s="9" t="s">
        <v>30</v>
      </c>
      <c r="AC18" s="4" t="s">
        <v>61</v>
      </c>
      <c r="AD18" s="4" t="s">
        <v>61</v>
      </c>
      <c r="AE18" s="4" t="s">
        <v>61</v>
      </c>
      <c r="AF18" s="4" t="s">
        <v>61</v>
      </c>
      <c r="AG18" s="4" t="s">
        <v>61</v>
      </c>
    </row>
    <row r="20" spans="1:33" x14ac:dyDescent="0.35">
      <c r="AA20" s="86" t="s">
        <v>79</v>
      </c>
      <c r="AB20" s="86"/>
      <c r="AC20" s="86"/>
      <c r="AD20" s="86"/>
      <c r="AE20" s="86"/>
    </row>
    <row r="23" spans="1:33" x14ac:dyDescent="0.35">
      <c r="B23" t="s">
        <v>65</v>
      </c>
    </row>
    <row r="24" spans="1:33" x14ac:dyDescent="0.35">
      <c r="B24" s="5" t="s">
        <v>66</v>
      </c>
    </row>
    <row r="25" spans="1:33" x14ac:dyDescent="0.35">
      <c r="B25" s="5" t="s">
        <v>67</v>
      </c>
    </row>
    <row r="26" spans="1:33" x14ac:dyDescent="0.35">
      <c r="B26" s="1" t="s">
        <v>68</v>
      </c>
    </row>
    <row r="27" spans="1:33" x14ac:dyDescent="0.35">
      <c r="B27" s="7" t="s">
        <v>69</v>
      </c>
    </row>
    <row r="28" spans="1:33" x14ac:dyDescent="0.35">
      <c r="B28" s="3" t="s">
        <v>70</v>
      </c>
    </row>
    <row r="29" spans="1:33" x14ac:dyDescent="0.35">
      <c r="B29" s="5" t="s">
        <v>71</v>
      </c>
    </row>
    <row r="30" spans="1:33" x14ac:dyDescent="0.35">
      <c r="B30" s="3" t="s">
        <v>72</v>
      </c>
    </row>
    <row r="31" spans="1:33" x14ac:dyDescent="0.35">
      <c r="B31" s="4" t="s">
        <v>73</v>
      </c>
    </row>
    <row r="32" spans="1:33" x14ac:dyDescent="0.35">
      <c r="B32" s="25" t="s">
        <v>74</v>
      </c>
    </row>
    <row r="33" spans="2:2" x14ac:dyDescent="0.35">
      <c r="B33" s="4" t="s">
        <v>80</v>
      </c>
    </row>
    <row r="34" spans="2:2" x14ac:dyDescent="0.35">
      <c r="B34" s="28" t="s">
        <v>76</v>
      </c>
    </row>
    <row r="35" spans="2:2" x14ac:dyDescent="0.35">
      <c r="B35" s="17" t="s">
        <v>77</v>
      </c>
    </row>
  </sheetData>
  <mergeCells count="3">
    <mergeCell ref="B1:B3"/>
    <mergeCell ref="C1:AG1"/>
    <mergeCell ref="C15:AF15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F222-4706-42BD-A750-D32AB65D3F17}">
  <dimension ref="A1:AH38"/>
  <sheetViews>
    <sheetView topLeftCell="A7" zoomScaleNormal="100" workbookViewId="0">
      <selection activeCell="M18" sqref="M18:R18"/>
    </sheetView>
  </sheetViews>
  <sheetFormatPr baseColWidth="10" defaultColWidth="8.81640625" defaultRowHeight="14.5" x14ac:dyDescent="0.35"/>
  <cols>
    <col min="2" max="2" width="25.81640625" customWidth="1"/>
    <col min="3" max="32" width="4.7265625" customWidth="1"/>
    <col min="33" max="33" width="4" style="91" bestFit="1" customWidth="1"/>
  </cols>
  <sheetData>
    <row r="1" spans="1:34" x14ac:dyDescent="0.35">
      <c r="A1" s="6"/>
      <c r="B1" s="175"/>
      <c r="C1" s="188" t="s">
        <v>81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</row>
    <row r="2" spans="1:34" x14ac:dyDescent="0.35">
      <c r="A2" s="6"/>
      <c r="B2" s="175"/>
      <c r="C2" s="46" t="s">
        <v>5</v>
      </c>
      <c r="D2" s="46" t="s">
        <v>6</v>
      </c>
      <c r="E2" s="84" t="s">
        <v>7</v>
      </c>
      <c r="F2" s="84" t="s">
        <v>1</v>
      </c>
      <c r="G2" s="85" t="s">
        <v>2</v>
      </c>
      <c r="H2" s="85" t="s">
        <v>3</v>
      </c>
      <c r="I2" s="85" t="s">
        <v>4</v>
      </c>
      <c r="J2" s="83" t="s">
        <v>5</v>
      </c>
      <c r="K2" s="83" t="s">
        <v>6</v>
      </c>
      <c r="L2" s="83" t="s">
        <v>7</v>
      </c>
      <c r="M2" s="84" t="s">
        <v>1</v>
      </c>
      <c r="N2" s="85" t="s">
        <v>2</v>
      </c>
      <c r="O2" s="85" t="s">
        <v>3</v>
      </c>
      <c r="P2" s="85" t="s">
        <v>4</v>
      </c>
      <c r="Q2" s="83" t="s">
        <v>5</v>
      </c>
      <c r="R2" s="83" t="s">
        <v>6</v>
      </c>
      <c r="S2" s="84" t="s">
        <v>7</v>
      </c>
      <c r="T2" s="84" t="s">
        <v>1</v>
      </c>
      <c r="U2" s="85" t="s">
        <v>2</v>
      </c>
      <c r="V2" s="85" t="s">
        <v>3</v>
      </c>
      <c r="W2" s="85" t="s">
        <v>4</v>
      </c>
      <c r="X2" s="83" t="s">
        <v>5</v>
      </c>
      <c r="Y2" s="83" t="s">
        <v>6</v>
      </c>
      <c r="Z2" s="84" t="s">
        <v>7</v>
      </c>
      <c r="AA2" s="84" t="s">
        <v>1</v>
      </c>
      <c r="AB2" s="85" t="s">
        <v>2</v>
      </c>
      <c r="AC2" s="85" t="s">
        <v>3</v>
      </c>
      <c r="AD2" s="85" t="s">
        <v>4</v>
      </c>
      <c r="AE2" s="83" t="s">
        <v>5</v>
      </c>
      <c r="AF2" s="83" t="s">
        <v>6</v>
      </c>
      <c r="AG2" s="92" t="s">
        <v>8</v>
      </c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4" x14ac:dyDescent="0.35">
      <c r="A4" s="63" t="s">
        <v>12</v>
      </c>
      <c r="B4" s="62" t="s">
        <v>13</v>
      </c>
      <c r="C4" s="28" t="s">
        <v>7</v>
      </c>
      <c r="D4" s="28" t="s">
        <v>7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17</v>
      </c>
      <c r="L4" s="109" t="s">
        <v>4</v>
      </c>
      <c r="M4" s="28" t="s">
        <v>7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7" t="s">
        <v>20</v>
      </c>
      <c r="T4" s="7" t="s">
        <v>20</v>
      </c>
      <c r="U4" s="7" t="s">
        <v>20</v>
      </c>
      <c r="V4" s="7" t="s">
        <v>20</v>
      </c>
      <c r="W4" s="7" t="s">
        <v>20</v>
      </c>
      <c r="X4" s="28" t="s">
        <v>7</v>
      </c>
      <c r="Y4" s="28" t="s">
        <v>7</v>
      </c>
      <c r="Z4" s="1" t="s">
        <v>54</v>
      </c>
      <c r="AA4" s="1" t="s">
        <v>54</v>
      </c>
      <c r="AB4" s="1" t="s">
        <v>54</v>
      </c>
      <c r="AC4" s="1" t="s">
        <v>54</v>
      </c>
      <c r="AD4" s="1" t="s">
        <v>54</v>
      </c>
      <c r="AE4" s="5" t="s">
        <v>15</v>
      </c>
      <c r="AF4" s="5" t="s">
        <v>15</v>
      </c>
      <c r="AG4" s="91">
        <f t="shared" ref="AG4:AG15" si="0">COUNTIFS(C4:AF4,"&lt;&gt;"&amp;"L",C4:AF4,"&lt;&gt;"&amp;"NF",C4:AF4,"&lt;&gt;"&amp;"M/F",C4:AF4,"&lt;&gt;"&amp;"V",C4:AF4,"&lt;&gt;"&amp;"A")*8+COUNTIFS(C4:AF4,"NF")*12+COUNTIFS(C4:AF4,"M/F")*12</f>
        <v>168</v>
      </c>
    </row>
    <row r="5" spans="1:34" x14ac:dyDescent="0.35">
      <c r="A5" s="34" t="s">
        <v>12</v>
      </c>
      <c r="B5" s="33" t="s">
        <v>19</v>
      </c>
      <c r="C5" s="3" t="s">
        <v>17</v>
      </c>
      <c r="D5" s="3" t="s">
        <v>17</v>
      </c>
      <c r="E5" s="109" t="s">
        <v>4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28" t="s">
        <v>7</v>
      </c>
      <c r="L5" s="3" t="s">
        <v>16</v>
      </c>
      <c r="M5" s="3" t="s">
        <v>16</v>
      </c>
      <c r="N5" s="3" t="s">
        <v>16</v>
      </c>
      <c r="O5" s="3" t="s">
        <v>16</v>
      </c>
      <c r="P5" s="3" t="s">
        <v>16</v>
      </c>
      <c r="Q5" s="3" t="s">
        <v>17</v>
      </c>
      <c r="R5" s="3" t="s">
        <v>17</v>
      </c>
      <c r="S5" s="109" t="s">
        <v>4</v>
      </c>
      <c r="T5" s="28" t="s">
        <v>7</v>
      </c>
      <c r="U5" s="28" t="s">
        <v>7</v>
      </c>
      <c r="V5" s="28" t="s">
        <v>4</v>
      </c>
      <c r="W5" s="28" t="s">
        <v>4</v>
      </c>
      <c r="X5" s="28" t="s">
        <v>7</v>
      </c>
      <c r="Y5" s="28" t="s">
        <v>7</v>
      </c>
      <c r="Z5" s="7" t="s">
        <v>20</v>
      </c>
      <c r="AA5" s="7" t="s">
        <v>20</v>
      </c>
      <c r="AB5" s="7" t="s">
        <v>20</v>
      </c>
      <c r="AC5" s="7" t="s">
        <v>20</v>
      </c>
      <c r="AD5" s="7" t="s">
        <v>20</v>
      </c>
      <c r="AE5" s="28" t="s">
        <v>7</v>
      </c>
      <c r="AF5" s="28" t="s">
        <v>7</v>
      </c>
      <c r="AG5" s="91">
        <f t="shared" si="0"/>
        <v>128</v>
      </c>
    </row>
    <row r="6" spans="1:34" x14ac:dyDescent="0.35">
      <c r="A6" s="34" t="s">
        <v>12</v>
      </c>
      <c r="B6" s="33" t="s">
        <v>21</v>
      </c>
      <c r="C6" s="28" t="s">
        <v>7</v>
      </c>
      <c r="D6" s="28" t="s">
        <v>7</v>
      </c>
      <c r="E6" s="1" t="s">
        <v>54</v>
      </c>
      <c r="F6" s="1" t="s">
        <v>54</v>
      </c>
      <c r="G6" s="1" t="s">
        <v>54</v>
      </c>
      <c r="H6" s="1" t="s">
        <v>54</v>
      </c>
      <c r="I6" s="1" t="s">
        <v>54</v>
      </c>
      <c r="J6" s="5" t="s">
        <v>15</v>
      </c>
      <c r="K6" s="5" t="s">
        <v>15</v>
      </c>
      <c r="L6" s="28" t="s">
        <v>7</v>
      </c>
      <c r="M6" s="109" t="s">
        <v>4</v>
      </c>
      <c r="N6" s="28" t="s">
        <v>7</v>
      </c>
      <c r="O6" s="28" t="s">
        <v>7</v>
      </c>
      <c r="P6" s="28" t="s">
        <v>7</v>
      </c>
      <c r="Q6" s="28" t="s">
        <v>7</v>
      </c>
      <c r="R6" s="28" t="s">
        <v>7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16</v>
      </c>
      <c r="X6" s="3" t="s">
        <v>17</v>
      </c>
      <c r="Y6" s="3" t="s">
        <v>17</v>
      </c>
      <c r="Z6" s="109" t="s">
        <v>4</v>
      </c>
      <c r="AA6" s="28" t="s">
        <v>7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91">
        <f t="shared" si="0"/>
        <v>128</v>
      </c>
    </row>
    <row r="7" spans="1:34" x14ac:dyDescent="0.35">
      <c r="A7" s="34" t="s">
        <v>12</v>
      </c>
      <c r="B7" s="33" t="s">
        <v>22</v>
      </c>
      <c r="C7" s="28" t="s">
        <v>7</v>
      </c>
      <c r="D7" s="28" t="s">
        <v>7</v>
      </c>
      <c r="E7" s="7" t="s">
        <v>20</v>
      </c>
      <c r="F7" s="7" t="s">
        <v>20</v>
      </c>
      <c r="G7" s="7" t="s">
        <v>20</v>
      </c>
      <c r="H7" s="7" t="s">
        <v>20</v>
      </c>
      <c r="I7" s="7" t="s">
        <v>20</v>
      </c>
      <c r="J7" s="28" t="s">
        <v>7</v>
      </c>
      <c r="K7" s="28" t="s">
        <v>7</v>
      </c>
      <c r="L7" s="5" t="s">
        <v>54</v>
      </c>
      <c r="M7" s="1" t="s">
        <v>54</v>
      </c>
      <c r="N7" s="1" t="s">
        <v>54</v>
      </c>
      <c r="O7" s="1" t="s">
        <v>54</v>
      </c>
      <c r="P7" s="1" t="s">
        <v>54</v>
      </c>
      <c r="Q7" s="5" t="s">
        <v>15</v>
      </c>
      <c r="R7" s="5" t="s">
        <v>15</v>
      </c>
      <c r="S7" s="28" t="s">
        <v>7</v>
      </c>
      <c r="T7" s="109" t="s">
        <v>4</v>
      </c>
      <c r="U7" s="28" t="s">
        <v>7</v>
      </c>
      <c r="V7" s="28" t="s">
        <v>7</v>
      </c>
      <c r="W7" s="28" t="s">
        <v>7</v>
      </c>
      <c r="X7" s="28" t="s">
        <v>7</v>
      </c>
      <c r="Y7" s="28" t="s">
        <v>7</v>
      </c>
      <c r="Z7" s="3" t="s">
        <v>82</v>
      </c>
      <c r="AA7" s="3" t="s">
        <v>16</v>
      </c>
      <c r="AB7" s="3" t="s">
        <v>16</v>
      </c>
      <c r="AC7" s="3" t="s">
        <v>16</v>
      </c>
      <c r="AD7" s="3" t="s">
        <v>16</v>
      </c>
      <c r="AE7" s="3" t="s">
        <v>17</v>
      </c>
      <c r="AF7" s="3" t="s">
        <v>17</v>
      </c>
      <c r="AG7" s="91">
        <f t="shared" si="0"/>
        <v>168</v>
      </c>
    </row>
    <row r="8" spans="1:34" x14ac:dyDescent="0.35">
      <c r="A8" s="34" t="s">
        <v>12</v>
      </c>
      <c r="B8" s="33" t="s">
        <v>59</v>
      </c>
      <c r="C8" s="5" t="s">
        <v>15</v>
      </c>
      <c r="D8" s="5" t="s">
        <v>15</v>
      </c>
      <c r="E8" s="28" t="s">
        <v>7</v>
      </c>
      <c r="F8" s="109" t="s">
        <v>4</v>
      </c>
      <c r="G8" s="28" t="s">
        <v>7</v>
      </c>
      <c r="H8" s="28" t="s">
        <v>7</v>
      </c>
      <c r="I8" s="28" t="s">
        <v>7</v>
      </c>
      <c r="J8" s="28" t="s">
        <v>7</v>
      </c>
      <c r="K8" s="28" t="s">
        <v>7</v>
      </c>
      <c r="L8" s="7" t="s">
        <v>20</v>
      </c>
      <c r="M8" s="7" t="s">
        <v>20</v>
      </c>
      <c r="N8" s="7" t="s">
        <v>20</v>
      </c>
      <c r="O8" s="7" t="s">
        <v>20</v>
      </c>
      <c r="P8" s="7" t="s">
        <v>20</v>
      </c>
      <c r="Q8" s="28" t="s">
        <v>7</v>
      </c>
      <c r="R8" s="28" t="s">
        <v>7</v>
      </c>
      <c r="S8" s="1" t="s">
        <v>54</v>
      </c>
      <c r="T8" s="1" t="s">
        <v>54</v>
      </c>
      <c r="U8" s="1" t="s">
        <v>54</v>
      </c>
      <c r="V8" s="81" t="s">
        <v>83</v>
      </c>
      <c r="W8" s="81" t="s">
        <v>83</v>
      </c>
      <c r="X8" s="81" t="s">
        <v>83</v>
      </c>
      <c r="Y8" s="81" t="s">
        <v>83</v>
      </c>
      <c r="Z8" s="28" t="s">
        <v>7</v>
      </c>
      <c r="AA8" s="109" t="s">
        <v>4</v>
      </c>
      <c r="AB8" s="28" t="s">
        <v>7</v>
      </c>
      <c r="AC8" s="28" t="s">
        <v>7</v>
      </c>
      <c r="AD8" s="28" t="s">
        <v>7</v>
      </c>
      <c r="AE8" s="28" t="s">
        <v>7</v>
      </c>
      <c r="AF8" s="28" t="s">
        <v>7</v>
      </c>
      <c r="AG8" s="91">
        <f>COUNTIFS(C8:AF8,"&lt;&gt;"&amp;"L",C8:AF8,"&lt;&gt;"&amp;"NF",C8:AF8,"&lt;&gt;"&amp;"M/F",C8:AF8,"&lt;&gt;"&amp;"V",C8:AF8,"&lt;&gt;"&amp;"A")*8+COUNTIFS(C8:AF8,"NF")*12+COUNTIFS(C8:AF8,"M/F")*12</f>
        <v>88</v>
      </c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4" x14ac:dyDescent="0.35">
      <c r="A10" s="34" t="s">
        <v>12</v>
      </c>
      <c r="B10" s="74" t="s">
        <v>23</v>
      </c>
      <c r="C10" s="28" t="s">
        <v>7</v>
      </c>
      <c r="D10" s="28" t="s">
        <v>7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17</v>
      </c>
      <c r="L10" s="28" t="s">
        <v>7</v>
      </c>
      <c r="M10" s="28" t="s">
        <v>7</v>
      </c>
      <c r="N10" s="109" t="s">
        <v>4</v>
      </c>
      <c r="O10" s="28" t="s">
        <v>7</v>
      </c>
      <c r="P10" s="28" t="s">
        <v>7</v>
      </c>
      <c r="Q10" s="28" t="s">
        <v>7</v>
      </c>
      <c r="R10" s="28" t="s">
        <v>7</v>
      </c>
      <c r="S10" s="5" t="s">
        <v>54</v>
      </c>
      <c r="T10" s="5" t="s">
        <v>54</v>
      </c>
      <c r="U10" s="5" t="s">
        <v>54</v>
      </c>
      <c r="V10" s="5" t="s">
        <v>54</v>
      </c>
      <c r="W10" s="5" t="s">
        <v>54</v>
      </c>
      <c r="X10" s="5" t="s">
        <v>15</v>
      </c>
      <c r="Y10" s="5" t="s">
        <v>15</v>
      </c>
      <c r="Z10" s="28" t="s">
        <v>7</v>
      </c>
      <c r="AA10" s="28" t="s">
        <v>7</v>
      </c>
      <c r="AB10" s="109" t="s">
        <v>4</v>
      </c>
      <c r="AC10" s="28" t="s">
        <v>7</v>
      </c>
      <c r="AD10" s="28" t="s">
        <v>7</v>
      </c>
      <c r="AE10" s="28" t="s">
        <v>7</v>
      </c>
      <c r="AF10" s="28" t="s">
        <v>7</v>
      </c>
      <c r="AG10" s="91">
        <f t="shared" si="0"/>
        <v>128</v>
      </c>
    </row>
    <row r="11" spans="1:34" x14ac:dyDescent="0.35">
      <c r="A11" s="34" t="s">
        <v>12</v>
      </c>
      <c r="B11" s="33" t="s">
        <v>52</v>
      </c>
      <c r="C11" s="28" t="s">
        <v>7</v>
      </c>
      <c r="D11" s="28" t="s">
        <v>7</v>
      </c>
      <c r="E11" s="7" t="s">
        <v>20</v>
      </c>
      <c r="F11" s="7" t="s">
        <v>20</v>
      </c>
      <c r="G11" s="7" t="s">
        <v>20</v>
      </c>
      <c r="H11" s="7" t="s">
        <v>20</v>
      </c>
      <c r="I11" s="7" t="s">
        <v>20</v>
      </c>
      <c r="J11" s="28" t="s">
        <v>7</v>
      </c>
      <c r="K11" s="28" t="s">
        <v>7</v>
      </c>
      <c r="L11" s="3" t="s">
        <v>16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17</v>
      </c>
      <c r="R11" s="3" t="s">
        <v>17</v>
      </c>
      <c r="S11" s="28" t="s">
        <v>7</v>
      </c>
      <c r="T11" s="28" t="s">
        <v>7</v>
      </c>
      <c r="U11" s="109" t="s">
        <v>4</v>
      </c>
      <c r="V11" s="28" t="s">
        <v>7</v>
      </c>
      <c r="W11" s="28" t="s">
        <v>7</v>
      </c>
      <c r="X11" s="28" t="s">
        <v>7</v>
      </c>
      <c r="Y11" s="28" t="s">
        <v>7</v>
      </c>
      <c r="Z11" s="5" t="s">
        <v>54</v>
      </c>
      <c r="AA11" s="5" t="s">
        <v>54</v>
      </c>
      <c r="AB11" s="5" t="s">
        <v>54</v>
      </c>
      <c r="AC11" s="5" t="s">
        <v>54</v>
      </c>
      <c r="AD11" s="5" t="s">
        <v>54</v>
      </c>
      <c r="AE11" s="5" t="s">
        <v>15</v>
      </c>
      <c r="AF11" s="5" t="s">
        <v>15</v>
      </c>
      <c r="AG11" s="91">
        <f t="shared" si="0"/>
        <v>168</v>
      </c>
    </row>
    <row r="12" spans="1:34" x14ac:dyDescent="0.35">
      <c r="A12" s="34" t="s">
        <v>12</v>
      </c>
      <c r="B12" s="33" t="s">
        <v>24</v>
      </c>
      <c r="C12" s="5" t="s">
        <v>15</v>
      </c>
      <c r="D12" s="5" t="s">
        <v>15</v>
      </c>
      <c r="E12" s="28" t="s">
        <v>7</v>
      </c>
      <c r="F12" s="28" t="s">
        <v>7</v>
      </c>
      <c r="G12" s="109" t="s">
        <v>4</v>
      </c>
      <c r="H12" s="28" t="s">
        <v>7</v>
      </c>
      <c r="I12" s="28" t="s">
        <v>7</v>
      </c>
      <c r="J12" s="28" t="s">
        <v>7</v>
      </c>
      <c r="K12" s="28" t="s">
        <v>7</v>
      </c>
      <c r="L12" s="7" t="s">
        <v>20</v>
      </c>
      <c r="M12" s="7" t="s">
        <v>20</v>
      </c>
      <c r="N12" s="7" t="s">
        <v>20</v>
      </c>
      <c r="O12" s="7" t="s">
        <v>20</v>
      </c>
      <c r="P12" s="7" t="s">
        <v>20</v>
      </c>
      <c r="Q12" s="28" t="s">
        <v>7</v>
      </c>
      <c r="R12" s="28" t="s">
        <v>7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16</v>
      </c>
      <c r="X12" s="3" t="s">
        <v>17</v>
      </c>
      <c r="Y12" s="3" t="s">
        <v>17</v>
      </c>
      <c r="Z12" s="28" t="s">
        <v>7</v>
      </c>
      <c r="AA12" s="28" t="s">
        <v>7</v>
      </c>
      <c r="AB12" s="28" t="s">
        <v>7</v>
      </c>
      <c r="AC12" s="109" t="s">
        <v>4</v>
      </c>
      <c r="AD12" s="28" t="s">
        <v>7</v>
      </c>
      <c r="AE12" s="28" t="s">
        <v>7</v>
      </c>
      <c r="AF12" s="28" t="s">
        <v>7</v>
      </c>
      <c r="AG12" s="91">
        <f t="shared" si="0"/>
        <v>128</v>
      </c>
    </row>
    <row r="13" spans="1:34" x14ac:dyDescent="0.35">
      <c r="A13" s="34" t="s">
        <v>12</v>
      </c>
      <c r="B13" s="75" t="s">
        <v>25</v>
      </c>
      <c r="C13" s="28" t="s">
        <v>7</v>
      </c>
      <c r="D13" s="28" t="s">
        <v>7</v>
      </c>
      <c r="E13" s="5" t="s">
        <v>54</v>
      </c>
      <c r="F13" s="5" t="s">
        <v>54</v>
      </c>
      <c r="G13" s="5" t="s">
        <v>54</v>
      </c>
      <c r="H13" s="5" t="s">
        <v>54</v>
      </c>
      <c r="I13" s="5" t="s">
        <v>54</v>
      </c>
      <c r="J13" s="5" t="s">
        <v>15</v>
      </c>
      <c r="K13" s="5" t="s">
        <v>15</v>
      </c>
      <c r="L13" s="28" t="s">
        <v>7</v>
      </c>
      <c r="M13" s="28" t="s">
        <v>7</v>
      </c>
      <c r="N13" s="28" t="s">
        <v>7</v>
      </c>
      <c r="O13" s="109" t="s">
        <v>4</v>
      </c>
      <c r="P13" s="17" t="s">
        <v>4</v>
      </c>
      <c r="Q13" s="28" t="s">
        <v>7</v>
      </c>
      <c r="R13" s="28" t="s">
        <v>7</v>
      </c>
      <c r="S13" s="17" t="s">
        <v>4</v>
      </c>
      <c r="T13" s="7" t="s">
        <v>20</v>
      </c>
      <c r="U13" s="7" t="s">
        <v>20</v>
      </c>
      <c r="V13" s="7" t="s">
        <v>20</v>
      </c>
      <c r="W13" s="7" t="s">
        <v>20</v>
      </c>
      <c r="X13" s="28" t="s">
        <v>7</v>
      </c>
      <c r="Y13" s="28" t="s">
        <v>7</v>
      </c>
      <c r="Z13" s="3" t="s">
        <v>16</v>
      </c>
      <c r="AA13" s="3" t="s">
        <v>16</v>
      </c>
      <c r="AB13" s="3" t="s">
        <v>16</v>
      </c>
      <c r="AC13" s="3" t="s">
        <v>16</v>
      </c>
      <c r="AD13" s="3" t="s">
        <v>16</v>
      </c>
      <c r="AE13" s="3" t="s">
        <v>17</v>
      </c>
      <c r="AF13" s="3" t="s">
        <v>17</v>
      </c>
      <c r="AG13" s="91">
        <f t="shared" si="0"/>
        <v>160</v>
      </c>
    </row>
    <row r="14" spans="1:34" x14ac:dyDescent="0.35">
      <c r="A14" s="34" t="s">
        <v>12</v>
      </c>
      <c r="B14" s="33" t="s">
        <v>53</v>
      </c>
      <c r="C14" s="3" t="s">
        <v>17</v>
      </c>
      <c r="D14" s="3" t="s">
        <v>17</v>
      </c>
      <c r="E14" s="28" t="s">
        <v>7</v>
      </c>
      <c r="F14" s="28" t="s">
        <v>7</v>
      </c>
      <c r="G14" s="28" t="s">
        <v>7</v>
      </c>
      <c r="H14" s="109" t="s">
        <v>4</v>
      </c>
      <c r="I14" s="28" t="s">
        <v>7</v>
      </c>
      <c r="J14" s="28" t="s">
        <v>7</v>
      </c>
      <c r="K14" s="28" t="s">
        <v>7</v>
      </c>
      <c r="L14" s="5" t="s">
        <v>54</v>
      </c>
      <c r="M14" s="5" t="s">
        <v>54</v>
      </c>
      <c r="N14" s="5" t="s">
        <v>54</v>
      </c>
      <c r="O14" s="5" t="s">
        <v>54</v>
      </c>
      <c r="P14" s="5" t="s">
        <v>54</v>
      </c>
      <c r="Q14" s="5" t="s">
        <v>15</v>
      </c>
      <c r="R14" s="5" t="s">
        <v>15</v>
      </c>
      <c r="S14" s="28" t="s">
        <v>7</v>
      </c>
      <c r="T14" s="28" t="s">
        <v>7</v>
      </c>
      <c r="U14" s="28" t="s">
        <v>7</v>
      </c>
      <c r="V14" s="109" t="s">
        <v>4</v>
      </c>
      <c r="W14" s="28" t="s">
        <v>7</v>
      </c>
      <c r="X14" s="28" t="s">
        <v>7</v>
      </c>
      <c r="Y14" s="28" t="s">
        <v>7</v>
      </c>
      <c r="Z14" s="7" t="s">
        <v>20</v>
      </c>
      <c r="AA14" s="7" t="s">
        <v>20</v>
      </c>
      <c r="AB14" s="7" t="s">
        <v>20</v>
      </c>
      <c r="AC14" s="7" t="s">
        <v>20</v>
      </c>
      <c r="AD14" s="7" t="s">
        <v>20</v>
      </c>
      <c r="AE14" s="28" t="s">
        <v>7</v>
      </c>
      <c r="AF14" s="28" t="s">
        <v>7</v>
      </c>
      <c r="AG14" s="91">
        <f t="shared" si="0"/>
        <v>128</v>
      </c>
    </row>
    <row r="15" spans="1:34" x14ac:dyDescent="0.35">
      <c r="A15" s="34" t="s">
        <v>12</v>
      </c>
      <c r="B15" s="33" t="s">
        <v>84</v>
      </c>
      <c r="C15" s="28" t="s">
        <v>7</v>
      </c>
      <c r="D15" s="28" t="s">
        <v>7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28" t="s">
        <v>7</v>
      </c>
      <c r="K15" s="28" t="s">
        <v>7</v>
      </c>
      <c r="L15" s="5" t="s">
        <v>14</v>
      </c>
      <c r="M15" s="5" t="s">
        <v>14</v>
      </c>
      <c r="N15" s="5" t="s">
        <v>14</v>
      </c>
      <c r="O15" s="5" t="s">
        <v>14</v>
      </c>
      <c r="P15" s="5" t="s">
        <v>14</v>
      </c>
      <c r="Q15" s="28" t="s">
        <v>7</v>
      </c>
      <c r="R15" s="28" t="s">
        <v>7</v>
      </c>
      <c r="S15" s="5" t="s">
        <v>14</v>
      </c>
      <c r="T15" s="5" t="s">
        <v>14</v>
      </c>
      <c r="U15" s="5" t="s">
        <v>14</v>
      </c>
      <c r="V15" s="5" t="s">
        <v>14</v>
      </c>
      <c r="W15" s="5" t="s">
        <v>14</v>
      </c>
      <c r="X15" s="28" t="s">
        <v>7</v>
      </c>
      <c r="Y15" s="28" t="s">
        <v>7</v>
      </c>
      <c r="Z15" s="5" t="s">
        <v>14</v>
      </c>
      <c r="AA15" s="5" t="s">
        <v>14</v>
      </c>
      <c r="AB15" s="5" t="s">
        <v>14</v>
      </c>
      <c r="AC15" s="5" t="s">
        <v>14</v>
      </c>
      <c r="AD15" s="5" t="s">
        <v>14</v>
      </c>
      <c r="AE15" s="28" t="s">
        <v>7</v>
      </c>
      <c r="AF15" s="28" t="s">
        <v>7</v>
      </c>
      <c r="AG15" s="91">
        <f t="shared" si="0"/>
        <v>160</v>
      </c>
      <c r="AH15" s="91"/>
    </row>
    <row r="16" spans="1:34" x14ac:dyDescent="0.35">
      <c r="A16" s="34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</row>
    <row r="17" spans="1:32" x14ac:dyDescent="0.35">
      <c r="A17" s="34" t="s">
        <v>28</v>
      </c>
      <c r="B17" s="33" t="s">
        <v>29</v>
      </c>
      <c r="C17" s="9" t="s">
        <v>30</v>
      </c>
      <c r="D17" s="9" t="s">
        <v>30</v>
      </c>
      <c r="E17" s="4" t="s">
        <v>61</v>
      </c>
      <c r="F17" s="4" t="s">
        <v>61</v>
      </c>
      <c r="G17" s="4" t="s">
        <v>61</v>
      </c>
      <c r="H17" s="4" t="s">
        <v>61</v>
      </c>
      <c r="I17" s="4" t="s">
        <v>61</v>
      </c>
      <c r="J17" s="28" t="s">
        <v>7</v>
      </c>
      <c r="K17" s="28" t="s">
        <v>7</v>
      </c>
      <c r="L17" s="28" t="s">
        <v>7</v>
      </c>
      <c r="M17" s="25" t="s">
        <v>11</v>
      </c>
      <c r="N17" s="25" t="s">
        <v>54</v>
      </c>
      <c r="O17" s="25" t="s">
        <v>54</v>
      </c>
      <c r="P17" s="25" t="s">
        <v>54</v>
      </c>
      <c r="Q17" s="28" t="s">
        <v>7</v>
      </c>
      <c r="R17" s="28" t="s">
        <v>7</v>
      </c>
      <c r="S17" s="4" t="s">
        <v>54</v>
      </c>
      <c r="T17" s="4" t="s">
        <v>54</v>
      </c>
      <c r="U17" s="4" t="s">
        <v>54</v>
      </c>
      <c r="V17" s="4" t="s">
        <v>54</v>
      </c>
      <c r="W17" s="4" t="s">
        <v>54</v>
      </c>
      <c r="X17" s="28" t="s">
        <v>7</v>
      </c>
      <c r="Y17" s="28" t="s">
        <v>7</v>
      </c>
      <c r="Z17" s="25" t="s">
        <v>32</v>
      </c>
      <c r="AA17" s="4" t="s">
        <v>85</v>
      </c>
      <c r="AB17" s="4" t="s">
        <v>33</v>
      </c>
      <c r="AC17" s="4" t="s">
        <v>33</v>
      </c>
      <c r="AD17" s="4" t="s">
        <v>33</v>
      </c>
      <c r="AE17" s="9" t="s">
        <v>30</v>
      </c>
      <c r="AF17" s="9" t="s">
        <v>30</v>
      </c>
    </row>
    <row r="18" spans="1:32" x14ac:dyDescent="0.35">
      <c r="A18" s="34" t="s">
        <v>28</v>
      </c>
      <c r="B18" s="35" t="s">
        <v>60</v>
      </c>
      <c r="C18" s="28" t="s">
        <v>7</v>
      </c>
      <c r="D18" s="28" t="s">
        <v>7</v>
      </c>
      <c r="E18" s="25" t="s">
        <v>54</v>
      </c>
      <c r="F18" s="25" t="s">
        <v>54</v>
      </c>
      <c r="G18" s="25" t="s">
        <v>54</v>
      </c>
      <c r="H18" s="25" t="s">
        <v>54</v>
      </c>
      <c r="I18" s="25" t="s">
        <v>54</v>
      </c>
      <c r="J18" s="28" t="s">
        <v>7</v>
      </c>
      <c r="K18" s="28" t="s">
        <v>7</v>
      </c>
      <c r="L18" s="28" t="s">
        <v>86</v>
      </c>
      <c r="M18" s="4" t="s">
        <v>85</v>
      </c>
      <c r="N18" s="4" t="s">
        <v>85</v>
      </c>
      <c r="O18" s="4" t="s">
        <v>85</v>
      </c>
      <c r="P18" s="4" t="s">
        <v>85</v>
      </c>
      <c r="Q18" s="9" t="s">
        <v>30</v>
      </c>
      <c r="R18" s="9" t="s">
        <v>30</v>
      </c>
      <c r="S18" s="25" t="s">
        <v>11</v>
      </c>
      <c r="T18" s="25" t="s">
        <v>11</v>
      </c>
      <c r="U18" s="25" t="s">
        <v>11</v>
      </c>
      <c r="V18" s="25" t="s">
        <v>11</v>
      </c>
      <c r="W18" s="25" t="s">
        <v>11</v>
      </c>
      <c r="X18" s="28" t="s">
        <v>7</v>
      </c>
      <c r="Y18" s="28" t="s">
        <v>7</v>
      </c>
      <c r="Z18" s="4" t="s">
        <v>54</v>
      </c>
      <c r="AA18" s="4" t="s">
        <v>54</v>
      </c>
      <c r="AB18" s="17" t="s">
        <v>4</v>
      </c>
      <c r="AC18" s="17" t="s">
        <v>4</v>
      </c>
      <c r="AD18" s="17" t="s">
        <v>4</v>
      </c>
      <c r="AE18" s="28" t="s">
        <v>7</v>
      </c>
      <c r="AF18" s="28" t="s">
        <v>7</v>
      </c>
    </row>
    <row r="19" spans="1:32" x14ac:dyDescent="0.35">
      <c r="A19" s="34" t="s">
        <v>28</v>
      </c>
      <c r="B19" s="35" t="s">
        <v>34</v>
      </c>
      <c r="C19" s="28" t="s">
        <v>7</v>
      </c>
      <c r="D19" s="28" t="s">
        <v>7</v>
      </c>
      <c r="E19" s="3" t="s">
        <v>63</v>
      </c>
      <c r="F19" s="3" t="s">
        <v>63</v>
      </c>
      <c r="G19" s="3" t="s">
        <v>63</v>
      </c>
      <c r="H19" s="3" t="s">
        <v>63</v>
      </c>
      <c r="I19" s="3" t="s">
        <v>63</v>
      </c>
      <c r="J19" s="9" t="s">
        <v>30</v>
      </c>
      <c r="K19" s="9" t="s">
        <v>30</v>
      </c>
      <c r="L19" s="28" t="s">
        <v>7</v>
      </c>
      <c r="M19" s="4" t="s">
        <v>54</v>
      </c>
      <c r="N19" s="17" t="s">
        <v>4</v>
      </c>
      <c r="O19" s="17" t="s">
        <v>4</v>
      </c>
      <c r="P19" s="17" t="s">
        <v>4</v>
      </c>
      <c r="Q19" s="28" t="s">
        <v>7</v>
      </c>
      <c r="R19" s="28" t="s">
        <v>7</v>
      </c>
      <c r="S19" s="47" t="s">
        <v>87</v>
      </c>
      <c r="T19" s="4" t="s">
        <v>85</v>
      </c>
      <c r="U19" s="4" t="s">
        <v>85</v>
      </c>
      <c r="V19" s="4" t="s">
        <v>85</v>
      </c>
      <c r="W19" s="4" t="s">
        <v>85</v>
      </c>
      <c r="X19" s="48" t="s">
        <v>88</v>
      </c>
      <c r="Y19" s="48" t="s">
        <v>88</v>
      </c>
      <c r="Z19" s="118" t="s">
        <v>7</v>
      </c>
      <c r="AA19" s="25" t="s">
        <v>11</v>
      </c>
      <c r="AB19" s="25" t="s">
        <v>11</v>
      </c>
      <c r="AC19" s="25" t="s">
        <v>11</v>
      </c>
      <c r="AD19" s="25" t="s">
        <v>11</v>
      </c>
      <c r="AE19" s="28" t="s">
        <v>7</v>
      </c>
      <c r="AF19" s="28" t="s">
        <v>7</v>
      </c>
    </row>
    <row r="20" spans="1:32" ht="12" customHeight="1" x14ac:dyDescent="0.35">
      <c r="A20" s="39"/>
      <c r="B20" s="40"/>
      <c r="C20" s="113"/>
      <c r="D20" s="113"/>
      <c r="E20" s="114"/>
      <c r="F20" s="114"/>
      <c r="G20" s="114"/>
      <c r="H20" s="114"/>
      <c r="I20" s="114"/>
      <c r="J20" s="29"/>
      <c r="K20" s="29"/>
      <c r="L20" s="29"/>
      <c r="M20" s="29"/>
      <c r="N20" s="115"/>
      <c r="O20" s="29"/>
      <c r="P20" s="29"/>
      <c r="Q20" s="113"/>
      <c r="R20" s="113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113"/>
      <c r="AF20" s="113"/>
    </row>
    <row r="21" spans="1:32" x14ac:dyDescent="0.35">
      <c r="B21" s="111" t="s">
        <v>89</v>
      </c>
      <c r="C21" s="110">
        <f>SUM(C22:C24)</f>
        <v>4</v>
      </c>
      <c r="D21" s="110">
        <f t="shared" ref="D21:AF21" si="1">SUM(D22:D24)</f>
        <v>4</v>
      </c>
      <c r="E21" s="110">
        <f t="shared" si="1"/>
        <v>8</v>
      </c>
      <c r="F21" s="110">
        <f t="shared" si="1"/>
        <v>8</v>
      </c>
      <c r="G21" s="110">
        <f t="shared" si="1"/>
        <v>8</v>
      </c>
      <c r="H21" s="110">
        <f t="shared" si="1"/>
        <v>8</v>
      </c>
      <c r="I21" s="110">
        <f t="shared" si="1"/>
        <v>8</v>
      </c>
      <c r="J21" s="110">
        <f t="shared" si="1"/>
        <v>4</v>
      </c>
      <c r="K21" s="110">
        <f t="shared" si="1"/>
        <v>4</v>
      </c>
      <c r="L21" s="110">
        <f t="shared" si="1"/>
        <v>6</v>
      </c>
      <c r="M21" s="110">
        <f t="shared" si="1"/>
        <v>9</v>
      </c>
      <c r="N21" s="110">
        <f t="shared" si="1"/>
        <v>8</v>
      </c>
      <c r="O21" s="110">
        <f t="shared" si="1"/>
        <v>8</v>
      </c>
      <c r="P21" s="110">
        <f t="shared" si="1"/>
        <v>8</v>
      </c>
      <c r="Q21" s="110">
        <f t="shared" si="1"/>
        <v>4</v>
      </c>
      <c r="R21" s="110">
        <f t="shared" si="1"/>
        <v>4</v>
      </c>
      <c r="S21" s="110">
        <f t="shared" si="1"/>
        <v>8</v>
      </c>
      <c r="T21" s="110">
        <f t="shared" si="1"/>
        <v>9</v>
      </c>
      <c r="U21" s="110">
        <f t="shared" si="1"/>
        <v>9</v>
      </c>
      <c r="V21" s="110">
        <f t="shared" si="1"/>
        <v>8</v>
      </c>
      <c r="W21" s="110">
        <f t="shared" si="1"/>
        <v>8</v>
      </c>
      <c r="X21" s="110">
        <f t="shared" si="1"/>
        <v>4</v>
      </c>
      <c r="Y21" s="110">
        <f t="shared" si="1"/>
        <v>4</v>
      </c>
      <c r="Z21" s="110">
        <f t="shared" si="1"/>
        <v>6</v>
      </c>
      <c r="AA21" s="110">
        <f t="shared" si="1"/>
        <v>9</v>
      </c>
      <c r="AB21" s="110">
        <f t="shared" si="1"/>
        <v>7</v>
      </c>
      <c r="AC21" s="110">
        <f t="shared" si="1"/>
        <v>7</v>
      </c>
      <c r="AD21" s="110">
        <f t="shared" si="1"/>
        <v>7</v>
      </c>
      <c r="AE21" s="110">
        <f t="shared" si="1"/>
        <v>4</v>
      </c>
      <c r="AF21" s="110">
        <f t="shared" si="1"/>
        <v>4</v>
      </c>
    </row>
    <row r="22" spans="1:32" x14ac:dyDescent="0.35">
      <c r="B22" s="111" t="s">
        <v>90</v>
      </c>
      <c r="C22" s="112">
        <f t="shared" ref="C22:AF22" si="2">COUNTIF(C4:C19,"T")+COUNTIF(C4:C19,"T/G")</f>
        <v>0</v>
      </c>
      <c r="D22" s="112">
        <f t="shared" si="2"/>
        <v>0</v>
      </c>
      <c r="E22" s="112">
        <f t="shared" si="2"/>
        <v>2</v>
      </c>
      <c r="F22" s="112">
        <f t="shared" si="2"/>
        <v>2</v>
      </c>
      <c r="G22" s="112">
        <f t="shared" si="2"/>
        <v>2</v>
      </c>
      <c r="H22" s="112">
        <f t="shared" si="2"/>
        <v>2</v>
      </c>
      <c r="I22" s="112">
        <f t="shared" si="2"/>
        <v>2</v>
      </c>
      <c r="J22" s="112">
        <f t="shared" si="2"/>
        <v>0</v>
      </c>
      <c r="K22" s="112">
        <f t="shared" si="2"/>
        <v>0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2</v>
      </c>
      <c r="P22" s="112">
        <f t="shared" si="2"/>
        <v>2</v>
      </c>
      <c r="Q22" s="112">
        <f t="shared" si="2"/>
        <v>0</v>
      </c>
      <c r="R22" s="112">
        <f t="shared" si="2"/>
        <v>0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2</v>
      </c>
      <c r="W22" s="112">
        <f t="shared" si="2"/>
        <v>2</v>
      </c>
      <c r="X22" s="112">
        <f t="shared" si="2"/>
        <v>0</v>
      </c>
      <c r="Y22" s="112">
        <f t="shared" si="2"/>
        <v>0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2</v>
      </c>
      <c r="AD22" s="112">
        <f t="shared" si="2"/>
        <v>2</v>
      </c>
      <c r="AE22" s="112">
        <f t="shared" si="2"/>
        <v>0</v>
      </c>
      <c r="AF22" s="112">
        <f t="shared" si="2"/>
        <v>0</v>
      </c>
    </row>
    <row r="23" spans="1:32" x14ac:dyDescent="0.35">
      <c r="B23" s="111" t="s">
        <v>91</v>
      </c>
      <c r="C23" s="112">
        <f t="shared" ref="C23:AF23" si="3">COUNTIF(C4:C19,"N")+COUNTIF(C4:C19,"NF")</f>
        <v>2</v>
      </c>
      <c r="D23" s="112">
        <f t="shared" si="3"/>
        <v>2</v>
      </c>
      <c r="E23" s="112">
        <f t="shared" si="3"/>
        <v>2</v>
      </c>
      <c r="F23" s="112">
        <f t="shared" si="3"/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1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4" spans="1:32" x14ac:dyDescent="0.35">
      <c r="B24" s="111" t="s">
        <v>92</v>
      </c>
      <c r="C24" s="112">
        <f t="shared" ref="C24:AF24" si="4">COUNTIF(C4:C19,"M/F")+COUNTIF(C4:C19,"M1")+COUNTIF(C4:C19,"M3")+COUNTIF(C4:C19,"M3/G")+COUNTIF(C4:C19,"M2")+COUNTIF(C4:C19,"M/F/G")</f>
        <v>2</v>
      </c>
      <c r="D24" s="112">
        <f t="shared" si="4"/>
        <v>2</v>
      </c>
      <c r="E24" s="112">
        <f t="shared" si="4"/>
        <v>4</v>
      </c>
      <c r="F24" s="112">
        <f t="shared" si="4"/>
        <v>4</v>
      </c>
      <c r="G24" s="112">
        <f t="shared" si="4"/>
        <v>4</v>
      </c>
      <c r="H24" s="112">
        <f t="shared" si="4"/>
        <v>4</v>
      </c>
      <c r="I24" s="112">
        <f t="shared" si="4"/>
        <v>4</v>
      </c>
      <c r="J24" s="112">
        <f t="shared" si="4"/>
        <v>2</v>
      </c>
      <c r="K24" s="112">
        <f t="shared" si="4"/>
        <v>2</v>
      </c>
      <c r="L24" s="112">
        <f t="shared" si="4"/>
        <v>2</v>
      </c>
      <c r="M24" s="112">
        <f t="shared" si="4"/>
        <v>5</v>
      </c>
      <c r="N24" s="112">
        <f t="shared" si="4"/>
        <v>4</v>
      </c>
      <c r="O24" s="112">
        <f t="shared" si="4"/>
        <v>4</v>
      </c>
      <c r="P24" s="112">
        <f t="shared" si="4"/>
        <v>4</v>
      </c>
      <c r="Q24" s="112">
        <f t="shared" si="4"/>
        <v>2</v>
      </c>
      <c r="R24" s="112">
        <f t="shared" si="4"/>
        <v>2</v>
      </c>
      <c r="S24" s="112">
        <f t="shared" si="4"/>
        <v>4</v>
      </c>
      <c r="T24" s="112">
        <f t="shared" si="4"/>
        <v>5</v>
      </c>
      <c r="U24" s="112">
        <f t="shared" si="4"/>
        <v>5</v>
      </c>
      <c r="V24" s="112">
        <f t="shared" si="4"/>
        <v>4</v>
      </c>
      <c r="W24" s="112">
        <f t="shared" si="4"/>
        <v>4</v>
      </c>
      <c r="X24" s="112">
        <f t="shared" si="4"/>
        <v>2</v>
      </c>
      <c r="Y24" s="112">
        <f t="shared" si="4"/>
        <v>2</v>
      </c>
      <c r="Z24" s="112">
        <f t="shared" si="4"/>
        <v>3</v>
      </c>
      <c r="AA24" s="112">
        <f t="shared" si="4"/>
        <v>5</v>
      </c>
      <c r="AB24" s="112">
        <f t="shared" si="4"/>
        <v>3</v>
      </c>
      <c r="AC24" s="112">
        <f t="shared" si="4"/>
        <v>3</v>
      </c>
      <c r="AD24" s="112">
        <f t="shared" si="4"/>
        <v>3</v>
      </c>
      <c r="AE24" s="112">
        <f t="shared" si="4"/>
        <v>2</v>
      </c>
      <c r="AF24" s="112">
        <f t="shared" si="4"/>
        <v>2</v>
      </c>
    </row>
    <row r="25" spans="1:32" x14ac:dyDescent="0.35">
      <c r="B25" t="s">
        <v>65</v>
      </c>
    </row>
    <row r="26" spans="1:32" x14ac:dyDescent="0.35">
      <c r="B26" s="5" t="s">
        <v>66</v>
      </c>
    </row>
    <row r="27" spans="1:32" x14ac:dyDescent="0.35">
      <c r="B27" s="5" t="s">
        <v>67</v>
      </c>
    </row>
    <row r="28" spans="1:32" x14ac:dyDescent="0.35">
      <c r="B28" s="1" t="s">
        <v>68</v>
      </c>
    </row>
    <row r="29" spans="1:32" x14ac:dyDescent="0.35">
      <c r="B29" s="7" t="s">
        <v>69</v>
      </c>
    </row>
    <row r="30" spans="1:32" x14ac:dyDescent="0.35">
      <c r="B30" s="3" t="s">
        <v>70</v>
      </c>
    </row>
    <row r="31" spans="1:32" x14ac:dyDescent="0.35">
      <c r="B31" s="5" t="s">
        <v>71</v>
      </c>
    </row>
    <row r="32" spans="1:32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  <row r="38" spans="2:2" x14ac:dyDescent="0.35">
      <c r="B38" s="48" t="s">
        <v>94</v>
      </c>
    </row>
  </sheetData>
  <mergeCells count="2">
    <mergeCell ref="B1:B3"/>
    <mergeCell ref="C1:AF1"/>
  </mergeCells>
  <conditionalFormatting sqref="C22:AF24">
    <cfRule type="cellIs" dxfId="13" priority="1" operator="equal">
      <formula>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43A2-5D8E-4407-B8AC-E18D13290AA0}">
  <dimension ref="A1:AK38"/>
  <sheetViews>
    <sheetView workbookViewId="0">
      <selection activeCell="AG11" sqref="AG11"/>
    </sheetView>
  </sheetViews>
  <sheetFormatPr baseColWidth="10" defaultColWidth="8.81640625" defaultRowHeight="14.5" x14ac:dyDescent="0.35"/>
  <cols>
    <col min="2" max="2" width="31.1796875" customWidth="1"/>
    <col min="3" max="33" width="4.7265625" customWidth="1"/>
    <col min="34" max="34" width="8.81640625" style="91" customWidth="1"/>
  </cols>
  <sheetData>
    <row r="1" spans="1:37" ht="15" customHeight="1" x14ac:dyDescent="0.35">
      <c r="A1" s="6"/>
      <c r="B1" s="175"/>
      <c r="C1" s="188" t="s">
        <v>95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</row>
    <row r="2" spans="1:37" x14ac:dyDescent="0.35">
      <c r="A2" s="6"/>
      <c r="B2" s="175"/>
      <c r="C2" s="84" t="s">
        <v>7</v>
      </c>
      <c r="D2" s="84" t="s">
        <v>1</v>
      </c>
      <c r="E2" s="85" t="s">
        <v>2</v>
      </c>
      <c r="F2" s="85" t="s">
        <v>3</v>
      </c>
      <c r="G2" s="85" t="s">
        <v>4</v>
      </c>
      <c r="H2" s="83" t="s">
        <v>5</v>
      </c>
      <c r="I2" s="83" t="s">
        <v>6</v>
      </c>
      <c r="J2" s="83" t="s">
        <v>7</v>
      </c>
      <c r="K2" s="84" t="s">
        <v>1</v>
      </c>
      <c r="L2" s="85" t="s">
        <v>2</v>
      </c>
      <c r="M2" s="85" t="s">
        <v>3</v>
      </c>
      <c r="N2" s="85" t="s">
        <v>4</v>
      </c>
      <c r="O2" s="83" t="s">
        <v>5</v>
      </c>
      <c r="P2" s="83" t="s">
        <v>6</v>
      </c>
      <c r="Q2" s="84" t="s">
        <v>7</v>
      </c>
      <c r="R2" s="84" t="s">
        <v>1</v>
      </c>
      <c r="S2" s="85" t="s">
        <v>2</v>
      </c>
      <c r="T2" s="85" t="s">
        <v>3</v>
      </c>
      <c r="U2" s="85" t="s">
        <v>4</v>
      </c>
      <c r="V2" s="83" t="s">
        <v>5</v>
      </c>
      <c r="W2" s="83" t="s">
        <v>6</v>
      </c>
      <c r="X2" s="84" t="s">
        <v>7</v>
      </c>
      <c r="Y2" s="84" t="s">
        <v>1</v>
      </c>
      <c r="Z2" s="85" t="s">
        <v>2</v>
      </c>
      <c r="AA2" s="83" t="s">
        <v>3</v>
      </c>
      <c r="AB2" s="85" t="s">
        <v>4</v>
      </c>
      <c r="AC2" s="83" t="s">
        <v>5</v>
      </c>
      <c r="AD2" s="83" t="s">
        <v>6</v>
      </c>
      <c r="AE2" s="84" t="s">
        <v>7</v>
      </c>
      <c r="AF2" s="84" t="s">
        <v>1</v>
      </c>
      <c r="AG2" s="85" t="s">
        <v>2</v>
      </c>
      <c r="AH2" s="91" t="s">
        <v>8</v>
      </c>
    </row>
    <row r="3" spans="1:37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7" x14ac:dyDescent="0.35">
      <c r="A4" s="63" t="s">
        <v>12</v>
      </c>
      <c r="B4" s="62" t="s">
        <v>13</v>
      </c>
      <c r="C4" s="109" t="s">
        <v>4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3" t="s">
        <v>16</v>
      </c>
      <c r="K4" s="47" t="s">
        <v>4</v>
      </c>
      <c r="L4" s="47" t="s">
        <v>4</v>
      </c>
      <c r="M4" s="47" t="s">
        <v>4</v>
      </c>
      <c r="N4" s="47" t="s">
        <v>54</v>
      </c>
      <c r="O4" s="3" t="s">
        <v>17</v>
      </c>
      <c r="P4" s="3" t="s">
        <v>17</v>
      </c>
      <c r="Q4" s="109" t="s">
        <v>4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7" t="s">
        <v>20</v>
      </c>
      <c r="Y4" s="7" t="s">
        <v>20</v>
      </c>
      <c r="Z4" s="109" t="s">
        <v>4</v>
      </c>
      <c r="AA4" s="7" t="s">
        <v>20</v>
      </c>
      <c r="AB4" s="7" t="s">
        <v>20</v>
      </c>
      <c r="AC4" s="28" t="s">
        <v>7</v>
      </c>
      <c r="AD4" s="28" t="s">
        <v>7</v>
      </c>
      <c r="AE4" s="1" t="s">
        <v>54</v>
      </c>
      <c r="AF4" s="1" t="s">
        <v>54</v>
      </c>
      <c r="AG4" s="1" t="s">
        <v>54</v>
      </c>
      <c r="AH4" s="91">
        <f>COUNTIFS(C4:AG4,"&lt;&gt;"&amp;"L",C4:AG4,"&lt;&gt;"&amp;"NF",C4:AG4,"&lt;&gt;"&amp;"M/F",C4:AG4,"&lt;&gt;"&amp;"V",C4:AG4,"&lt;&gt;"&amp;"A")*8+COUNTIFS(C4:AG4,"NF")*12+COUNTIFS(C4:AG4,"M/F")*12</f>
        <v>96</v>
      </c>
    </row>
    <row r="5" spans="1:37" x14ac:dyDescent="0.35">
      <c r="A5" s="34" t="s">
        <v>12</v>
      </c>
      <c r="B5" s="33" t="s">
        <v>19</v>
      </c>
      <c r="C5" s="1" t="s">
        <v>54</v>
      </c>
      <c r="D5" s="1" t="s">
        <v>54</v>
      </c>
      <c r="E5" s="1" t="s">
        <v>54</v>
      </c>
      <c r="F5" s="1" t="s">
        <v>54</v>
      </c>
      <c r="G5" s="1" t="s">
        <v>54</v>
      </c>
      <c r="H5" s="5" t="s">
        <v>15</v>
      </c>
      <c r="I5" s="5" t="s">
        <v>15</v>
      </c>
      <c r="J5" s="109" t="s">
        <v>4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3" t="s">
        <v>16</v>
      </c>
      <c r="R5" s="3" t="s">
        <v>16</v>
      </c>
      <c r="S5" s="3" t="s">
        <v>16</v>
      </c>
      <c r="T5" s="3" t="s">
        <v>16</v>
      </c>
      <c r="U5" s="3" t="s">
        <v>16</v>
      </c>
      <c r="V5" s="3" t="s">
        <v>17</v>
      </c>
      <c r="W5" s="3" t="s">
        <v>17</v>
      </c>
      <c r="X5" s="109" t="s">
        <v>4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7" t="s">
        <v>20</v>
      </c>
      <c r="AF5" s="7" t="s">
        <v>20</v>
      </c>
      <c r="AG5" s="7" t="s">
        <v>20</v>
      </c>
      <c r="AH5" s="91">
        <f t="shared" ref="AH5:AH15" si="0">COUNTIFS(C5:AG5,"&lt;&gt;"&amp;"L",C5:AG5,"&lt;&gt;"&amp;"NF",C5:AG5,"&lt;&gt;"&amp;"M/F",C5:AG5,"&lt;&gt;"&amp;"V",C5:AG5,"&lt;&gt;"&amp;"A")*8+COUNTIFS(C5:AG5,"NF")*12+COUNTIFS(C5:AG5,"M/F")*12</f>
        <v>152</v>
      </c>
    </row>
    <row r="6" spans="1:37" x14ac:dyDescent="0.35">
      <c r="A6" s="34" t="s">
        <v>12</v>
      </c>
      <c r="B6" s="33" t="s">
        <v>21</v>
      </c>
      <c r="C6" s="7" t="s">
        <v>20</v>
      </c>
      <c r="D6" s="7" t="s">
        <v>20</v>
      </c>
      <c r="E6" s="7" t="s">
        <v>20</v>
      </c>
      <c r="F6" s="7" t="s">
        <v>20</v>
      </c>
      <c r="G6" s="7" t="s">
        <v>20</v>
      </c>
      <c r="H6" s="28" t="s">
        <v>7</v>
      </c>
      <c r="I6" s="28" t="s">
        <v>7</v>
      </c>
      <c r="J6" s="5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5" t="s">
        <v>15</v>
      </c>
      <c r="P6" s="5" t="s">
        <v>15</v>
      </c>
      <c r="Q6" s="28" t="s">
        <v>7</v>
      </c>
      <c r="R6" s="109" t="s">
        <v>4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3" t="s">
        <v>16</v>
      </c>
      <c r="Y6" s="3" t="s">
        <v>16</v>
      </c>
      <c r="Z6" s="3" t="s">
        <v>16</v>
      </c>
      <c r="AA6" s="3" t="s">
        <v>16</v>
      </c>
      <c r="AB6" s="3" t="s">
        <v>16</v>
      </c>
      <c r="AC6" s="3" t="s">
        <v>17</v>
      </c>
      <c r="AD6" s="3" t="s">
        <v>17</v>
      </c>
      <c r="AE6" s="109" t="s">
        <v>4</v>
      </c>
      <c r="AF6" s="28" t="s">
        <v>7</v>
      </c>
      <c r="AG6" s="28" t="s">
        <v>7</v>
      </c>
      <c r="AH6" s="91">
        <f t="shared" si="0"/>
        <v>168</v>
      </c>
    </row>
    <row r="7" spans="1:37" x14ac:dyDescent="0.35">
      <c r="A7" s="34" t="s">
        <v>12</v>
      </c>
      <c r="B7" s="33" t="s">
        <v>22</v>
      </c>
      <c r="C7" s="28" t="s">
        <v>7</v>
      </c>
      <c r="D7" s="109" t="s">
        <v>4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7" t="s">
        <v>20</v>
      </c>
      <c r="K7" s="7" t="s">
        <v>20</v>
      </c>
      <c r="L7" s="7" t="s">
        <v>20</v>
      </c>
      <c r="M7" s="7" t="s">
        <v>20</v>
      </c>
      <c r="N7" s="7" t="s">
        <v>20</v>
      </c>
      <c r="O7" s="28" t="s">
        <v>7</v>
      </c>
      <c r="P7" s="28" t="s">
        <v>7</v>
      </c>
      <c r="Q7" s="1" t="s">
        <v>54</v>
      </c>
      <c r="R7" s="1" t="s">
        <v>54</v>
      </c>
      <c r="S7" s="1" t="s">
        <v>54</v>
      </c>
      <c r="T7" s="1" t="s">
        <v>54</v>
      </c>
      <c r="U7" s="1" t="s">
        <v>54</v>
      </c>
      <c r="V7" s="5" t="s">
        <v>15</v>
      </c>
      <c r="W7" s="5" t="s">
        <v>15</v>
      </c>
      <c r="X7" s="28" t="s">
        <v>7</v>
      </c>
      <c r="Y7" s="109" t="s">
        <v>4</v>
      </c>
      <c r="Z7" s="28" t="s">
        <v>7</v>
      </c>
      <c r="AA7" s="28" t="s">
        <v>7</v>
      </c>
      <c r="AB7" s="28" t="s">
        <v>7</v>
      </c>
      <c r="AC7" s="28" t="s">
        <v>7</v>
      </c>
      <c r="AD7" s="28" t="s">
        <v>7</v>
      </c>
      <c r="AE7" s="3" t="s">
        <v>16</v>
      </c>
      <c r="AF7" s="3" t="s">
        <v>16</v>
      </c>
      <c r="AG7" s="3" t="s">
        <v>16</v>
      </c>
      <c r="AH7" s="91">
        <f t="shared" si="0"/>
        <v>128</v>
      </c>
    </row>
    <row r="8" spans="1:37" x14ac:dyDescent="0.35">
      <c r="A8" s="34" t="s">
        <v>12</v>
      </c>
      <c r="B8" s="33" t="s">
        <v>59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17</v>
      </c>
      <c r="I8" s="3" t="s">
        <v>17</v>
      </c>
      <c r="J8" s="28" t="s">
        <v>7</v>
      </c>
      <c r="K8" s="109" t="s">
        <v>4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7" t="s">
        <v>20</v>
      </c>
      <c r="R8" s="7" t="s">
        <v>20</v>
      </c>
      <c r="S8" s="7" t="s">
        <v>20</v>
      </c>
      <c r="T8" s="7" t="s">
        <v>20</v>
      </c>
      <c r="U8" s="7" t="s">
        <v>20</v>
      </c>
      <c r="V8" s="28" t="s">
        <v>7</v>
      </c>
      <c r="W8" s="28" t="s">
        <v>7</v>
      </c>
      <c r="X8" s="1" t="s">
        <v>54</v>
      </c>
      <c r="Y8" s="1" t="s">
        <v>54</v>
      </c>
      <c r="Z8" s="1" t="s">
        <v>54</v>
      </c>
      <c r="AA8" s="5" t="s">
        <v>54</v>
      </c>
      <c r="AB8" s="1" t="s">
        <v>54</v>
      </c>
      <c r="AC8" s="5" t="s">
        <v>15</v>
      </c>
      <c r="AD8" s="5" t="s">
        <v>15</v>
      </c>
      <c r="AE8" s="28" t="s">
        <v>7</v>
      </c>
      <c r="AF8" s="109" t="s">
        <v>4</v>
      </c>
      <c r="AG8" s="28" t="s">
        <v>7</v>
      </c>
      <c r="AH8" s="91">
        <f t="shared" si="0"/>
        <v>168</v>
      </c>
    </row>
    <row r="9" spans="1:37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7" x14ac:dyDescent="0.35">
      <c r="A10" s="34" t="s">
        <v>12</v>
      </c>
      <c r="B10" s="74" t="s">
        <v>23</v>
      </c>
      <c r="C10" s="7" t="s">
        <v>20</v>
      </c>
      <c r="D10" s="7" t="s">
        <v>20</v>
      </c>
      <c r="E10" s="7" t="s">
        <v>20</v>
      </c>
      <c r="F10" s="7" t="s">
        <v>20</v>
      </c>
      <c r="G10" s="7" t="s">
        <v>20</v>
      </c>
      <c r="H10" s="28" t="s">
        <v>7</v>
      </c>
      <c r="I10" s="28" t="s">
        <v>7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17</v>
      </c>
      <c r="P10" s="3" t="s">
        <v>17</v>
      </c>
      <c r="Q10" s="28" t="s">
        <v>7</v>
      </c>
      <c r="R10" s="28" t="s">
        <v>7</v>
      </c>
      <c r="S10" s="109" t="s">
        <v>4</v>
      </c>
      <c r="T10" s="28" t="s">
        <v>7</v>
      </c>
      <c r="U10" s="28" t="s">
        <v>7</v>
      </c>
      <c r="V10" s="28" t="s">
        <v>7</v>
      </c>
      <c r="W10" s="28" t="s">
        <v>7</v>
      </c>
      <c r="X10" s="5" t="s">
        <v>54</v>
      </c>
      <c r="Y10" s="5" t="s">
        <v>54</v>
      </c>
      <c r="Z10" s="5" t="s">
        <v>54</v>
      </c>
      <c r="AA10" s="5" t="s">
        <v>54</v>
      </c>
      <c r="AB10" s="5" t="s">
        <v>54</v>
      </c>
      <c r="AC10" s="5" t="s">
        <v>15</v>
      </c>
      <c r="AD10" s="5" t="s">
        <v>15</v>
      </c>
      <c r="AE10" s="28" t="s">
        <v>7</v>
      </c>
      <c r="AF10" s="28" t="s">
        <v>7</v>
      </c>
      <c r="AG10" s="109" t="s">
        <v>4</v>
      </c>
      <c r="AH10" s="91">
        <f t="shared" si="0"/>
        <v>168</v>
      </c>
    </row>
    <row r="11" spans="1:37" x14ac:dyDescent="0.35">
      <c r="A11" s="34" t="s">
        <v>12</v>
      </c>
      <c r="B11" s="33" t="s">
        <v>52</v>
      </c>
      <c r="C11" s="28" t="s">
        <v>7</v>
      </c>
      <c r="D11" s="28" t="s">
        <v>7</v>
      </c>
      <c r="E11" s="109" t="s">
        <v>4</v>
      </c>
      <c r="F11" s="28" t="s">
        <v>7</v>
      </c>
      <c r="G11" s="28" t="s">
        <v>7</v>
      </c>
      <c r="H11" s="28" t="s">
        <v>7</v>
      </c>
      <c r="I11" s="28" t="s">
        <v>7</v>
      </c>
      <c r="J11" s="7" t="s">
        <v>20</v>
      </c>
      <c r="K11" s="7" t="s">
        <v>20</v>
      </c>
      <c r="L11" s="7" t="s">
        <v>20</v>
      </c>
      <c r="M11" s="7" t="s">
        <v>20</v>
      </c>
      <c r="N11" s="7" t="s">
        <v>20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109" t="s">
        <v>4</v>
      </c>
      <c r="AA11" s="28" t="s">
        <v>7</v>
      </c>
      <c r="AB11" s="28" t="s">
        <v>7</v>
      </c>
      <c r="AC11" s="28" t="s">
        <v>7</v>
      </c>
      <c r="AD11" s="28" t="s">
        <v>7</v>
      </c>
      <c r="AE11" s="5" t="s">
        <v>54</v>
      </c>
      <c r="AF11" s="5" t="s">
        <v>54</v>
      </c>
      <c r="AG11" s="5" t="s">
        <v>54</v>
      </c>
      <c r="AH11" s="91">
        <f t="shared" si="0"/>
        <v>128</v>
      </c>
    </row>
    <row r="12" spans="1:37" x14ac:dyDescent="0.35">
      <c r="A12" s="34" t="s">
        <v>12</v>
      </c>
      <c r="B12" s="33" t="s">
        <v>24</v>
      </c>
      <c r="C12" s="5" t="s">
        <v>54</v>
      </c>
      <c r="D12" s="5" t="s">
        <v>54</v>
      </c>
      <c r="E12" s="5" t="s">
        <v>54</v>
      </c>
      <c r="F12" s="5" t="s">
        <v>54</v>
      </c>
      <c r="G12" s="5" t="s">
        <v>54</v>
      </c>
      <c r="H12" s="5" t="s">
        <v>15</v>
      </c>
      <c r="I12" s="5" t="s">
        <v>15</v>
      </c>
      <c r="J12" s="28" t="s">
        <v>7</v>
      </c>
      <c r="K12" s="28" t="s">
        <v>7</v>
      </c>
      <c r="L12" s="109" t="s">
        <v>4</v>
      </c>
      <c r="M12" s="28" t="s">
        <v>7</v>
      </c>
      <c r="N12" s="28" t="s">
        <v>7</v>
      </c>
      <c r="O12" s="28" t="s">
        <v>7</v>
      </c>
      <c r="P12" s="28" t="s">
        <v>7</v>
      </c>
      <c r="Q12" s="7" t="s">
        <v>20</v>
      </c>
      <c r="R12" s="7" t="s">
        <v>20</v>
      </c>
      <c r="S12" s="7" t="s">
        <v>20</v>
      </c>
      <c r="T12" s="7" t="s">
        <v>20</v>
      </c>
      <c r="U12" s="7" t="s">
        <v>20</v>
      </c>
      <c r="V12" s="28" t="s">
        <v>7</v>
      </c>
      <c r="W12" s="28" t="s">
        <v>7</v>
      </c>
      <c r="X12" s="3" t="s">
        <v>16</v>
      </c>
      <c r="Y12" s="3" t="s">
        <v>16</v>
      </c>
      <c r="Z12" s="3" t="s">
        <v>16</v>
      </c>
      <c r="AA12" s="3" t="s">
        <v>16</v>
      </c>
      <c r="AB12" s="3" t="s">
        <v>16</v>
      </c>
      <c r="AC12" s="3" t="s">
        <v>17</v>
      </c>
      <c r="AD12" s="3" t="s">
        <v>17</v>
      </c>
      <c r="AE12" s="28" t="s">
        <v>7</v>
      </c>
      <c r="AF12" s="28" t="s">
        <v>7</v>
      </c>
      <c r="AG12" s="28" t="s">
        <v>7</v>
      </c>
      <c r="AH12" s="91">
        <f t="shared" si="0"/>
        <v>168</v>
      </c>
    </row>
    <row r="13" spans="1:37" x14ac:dyDescent="0.35">
      <c r="A13" s="34" t="s">
        <v>12</v>
      </c>
      <c r="B13" s="33" t="s">
        <v>84</v>
      </c>
      <c r="C13" s="28" t="s">
        <v>7</v>
      </c>
      <c r="D13" s="28" t="s">
        <v>7</v>
      </c>
      <c r="E13" s="28" t="s">
        <v>7</v>
      </c>
      <c r="F13" s="109" t="s">
        <v>4</v>
      </c>
      <c r="G13" s="28" t="s">
        <v>7</v>
      </c>
      <c r="H13" s="28" t="s">
        <v>7</v>
      </c>
      <c r="I13" s="28" t="s">
        <v>7</v>
      </c>
      <c r="J13" s="5" t="s">
        <v>54</v>
      </c>
      <c r="K13" s="5" t="s">
        <v>54</v>
      </c>
      <c r="L13" s="5" t="s">
        <v>54</v>
      </c>
      <c r="M13" s="5" t="s">
        <v>54</v>
      </c>
      <c r="N13" s="5" t="s">
        <v>54</v>
      </c>
      <c r="O13" s="5" t="s">
        <v>15</v>
      </c>
      <c r="P13" s="5" t="s">
        <v>15</v>
      </c>
      <c r="Q13" s="28" t="s">
        <v>7</v>
      </c>
      <c r="R13" s="28" t="s">
        <v>7</v>
      </c>
      <c r="S13" s="28" t="s">
        <v>7</v>
      </c>
      <c r="T13" s="109" t="s">
        <v>4</v>
      </c>
      <c r="U13" s="28" t="s">
        <v>7</v>
      </c>
      <c r="V13" s="28" t="s">
        <v>7</v>
      </c>
      <c r="W13" s="28" t="s">
        <v>7</v>
      </c>
      <c r="X13" s="7" t="s">
        <v>20</v>
      </c>
      <c r="Y13" s="7" t="s">
        <v>20</v>
      </c>
      <c r="Z13" s="7" t="s">
        <v>20</v>
      </c>
      <c r="AA13" s="7" t="s">
        <v>20</v>
      </c>
      <c r="AB13" s="7" t="s">
        <v>20</v>
      </c>
      <c r="AC13" s="28" t="s">
        <v>7</v>
      </c>
      <c r="AD13" s="28" t="s">
        <v>7</v>
      </c>
      <c r="AE13" s="3" t="s">
        <v>16</v>
      </c>
      <c r="AF13" s="3" t="s">
        <v>16</v>
      </c>
      <c r="AG13" s="3" t="s">
        <v>16</v>
      </c>
      <c r="AH13" s="91">
        <f t="shared" si="0"/>
        <v>128</v>
      </c>
      <c r="AK13" s="75" t="s">
        <v>25</v>
      </c>
    </row>
    <row r="14" spans="1:37" x14ac:dyDescent="0.35">
      <c r="A14" s="34" t="s">
        <v>12</v>
      </c>
      <c r="B14" s="33" t="s">
        <v>53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17</v>
      </c>
      <c r="I14" s="3" t="s">
        <v>17</v>
      </c>
      <c r="J14" s="28" t="s">
        <v>7</v>
      </c>
      <c r="K14" s="28" t="s">
        <v>7</v>
      </c>
      <c r="L14" s="28" t="s">
        <v>7</v>
      </c>
      <c r="M14" s="109" t="s">
        <v>4</v>
      </c>
      <c r="N14" s="28" t="s">
        <v>7</v>
      </c>
      <c r="O14" s="28" t="s">
        <v>7</v>
      </c>
      <c r="P14" s="28" t="s">
        <v>7</v>
      </c>
      <c r="Q14" s="5" t="s">
        <v>54</v>
      </c>
      <c r="R14" s="5" t="s">
        <v>54</v>
      </c>
      <c r="S14" s="5" t="s">
        <v>54</v>
      </c>
      <c r="T14" s="5" t="s">
        <v>54</v>
      </c>
      <c r="U14" s="5" t="s">
        <v>54</v>
      </c>
      <c r="V14" s="5" t="s">
        <v>15</v>
      </c>
      <c r="W14" s="5" t="s">
        <v>15</v>
      </c>
      <c r="X14" s="28" t="s">
        <v>7</v>
      </c>
      <c r="Y14" s="28" t="s">
        <v>7</v>
      </c>
      <c r="Z14" s="47" t="s">
        <v>20</v>
      </c>
      <c r="AA14" s="109" t="s">
        <v>4</v>
      </c>
      <c r="AB14" s="28" t="s">
        <v>7</v>
      </c>
      <c r="AC14" s="28" t="s">
        <v>7</v>
      </c>
      <c r="AD14" s="28" t="s">
        <v>7</v>
      </c>
      <c r="AE14" s="7" t="s">
        <v>20</v>
      </c>
      <c r="AF14" s="7" t="s">
        <v>20</v>
      </c>
      <c r="AG14" s="7" t="s">
        <v>20</v>
      </c>
      <c r="AH14" s="91">
        <f t="shared" si="0"/>
        <v>160</v>
      </c>
    </row>
    <row r="15" spans="1:37" x14ac:dyDescent="0.35">
      <c r="A15" s="34" t="s">
        <v>12</v>
      </c>
      <c r="B15" s="33" t="s">
        <v>96</v>
      </c>
      <c r="C15" s="7" t="s">
        <v>20</v>
      </c>
      <c r="D15" s="7" t="s">
        <v>20</v>
      </c>
      <c r="E15" s="7" t="s">
        <v>20</v>
      </c>
      <c r="F15" s="7" t="s">
        <v>20</v>
      </c>
      <c r="G15" s="7" t="s">
        <v>20</v>
      </c>
      <c r="H15" s="28" t="s">
        <v>7</v>
      </c>
      <c r="I15" s="28" t="s">
        <v>7</v>
      </c>
      <c r="J15" s="5" t="s">
        <v>14</v>
      </c>
      <c r="K15" s="5" t="s">
        <v>14</v>
      </c>
      <c r="L15" s="5" t="s">
        <v>14</v>
      </c>
      <c r="M15" s="5" t="s">
        <v>14</v>
      </c>
      <c r="N15" s="5" t="s">
        <v>14</v>
      </c>
      <c r="O15" s="28" t="s">
        <v>7</v>
      </c>
      <c r="P15" s="28" t="s">
        <v>7</v>
      </c>
      <c r="Q15" s="5" t="s">
        <v>14</v>
      </c>
      <c r="R15" s="5" t="s">
        <v>14</v>
      </c>
      <c r="S15" s="5" t="s">
        <v>14</v>
      </c>
      <c r="T15" s="5" t="s">
        <v>14</v>
      </c>
      <c r="U15" s="5" t="s">
        <v>14</v>
      </c>
      <c r="V15" s="28" t="s">
        <v>7</v>
      </c>
      <c r="W15" s="28" t="s">
        <v>7</v>
      </c>
      <c r="X15" s="5" t="s">
        <v>14</v>
      </c>
      <c r="Y15" s="5" t="s">
        <v>14</v>
      </c>
      <c r="Z15" s="5" t="s">
        <v>14</v>
      </c>
      <c r="AA15" s="28" t="s">
        <v>7</v>
      </c>
      <c r="AB15" s="5" t="s">
        <v>14</v>
      </c>
      <c r="AC15" s="28" t="s">
        <v>7</v>
      </c>
      <c r="AD15" s="28" t="s">
        <v>7</v>
      </c>
      <c r="AE15" s="5" t="s">
        <v>14</v>
      </c>
      <c r="AF15" s="5" t="s">
        <v>14</v>
      </c>
      <c r="AG15" s="5" t="s">
        <v>14</v>
      </c>
      <c r="AH15" s="91">
        <f t="shared" si="0"/>
        <v>176</v>
      </c>
    </row>
    <row r="16" spans="1:37" x14ac:dyDescent="0.35">
      <c r="A16" s="34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</row>
    <row r="17" spans="1:33" x14ac:dyDescent="0.35">
      <c r="A17" s="34" t="s">
        <v>28</v>
      </c>
      <c r="B17" s="33" t="s">
        <v>29</v>
      </c>
      <c r="C17" s="121" t="s">
        <v>54</v>
      </c>
      <c r="D17" s="121" t="s">
        <v>54</v>
      </c>
      <c r="E17" s="119" t="s">
        <v>11</v>
      </c>
      <c r="F17" s="25" t="s">
        <v>11</v>
      </c>
      <c r="G17" s="25" t="s">
        <v>11</v>
      </c>
      <c r="H17" s="28" t="s">
        <v>7</v>
      </c>
      <c r="I17" s="28" t="s">
        <v>7</v>
      </c>
      <c r="J17" s="28" t="s">
        <v>7</v>
      </c>
      <c r="K17" s="4" t="s">
        <v>54</v>
      </c>
      <c r="L17" s="4" t="s">
        <v>54</v>
      </c>
      <c r="M17" s="4" t="s">
        <v>54</v>
      </c>
      <c r="N17" s="4" t="s">
        <v>54</v>
      </c>
      <c r="O17" s="28" t="s">
        <v>7</v>
      </c>
      <c r="P17" s="28" t="s">
        <v>7</v>
      </c>
      <c r="Q17" s="4" t="s">
        <v>85</v>
      </c>
      <c r="R17" s="4" t="s">
        <v>85</v>
      </c>
      <c r="S17" s="4" t="s">
        <v>85</v>
      </c>
      <c r="T17" s="4" t="s">
        <v>85</v>
      </c>
      <c r="U17" s="4" t="s">
        <v>85</v>
      </c>
      <c r="V17" s="28" t="s">
        <v>30</v>
      </c>
      <c r="W17" s="28" t="s">
        <v>30</v>
      </c>
      <c r="X17" s="17" t="s">
        <v>4</v>
      </c>
      <c r="Y17" s="17" t="s">
        <v>4</v>
      </c>
      <c r="Z17" s="17" t="s">
        <v>4</v>
      </c>
      <c r="AA17" s="28" t="s">
        <v>7</v>
      </c>
      <c r="AB17" s="17" t="s">
        <v>4</v>
      </c>
      <c r="AC17" s="28" t="s">
        <v>7</v>
      </c>
      <c r="AD17" s="28" t="s">
        <v>7</v>
      </c>
      <c r="AE17" s="1" t="s">
        <v>33</v>
      </c>
      <c r="AF17" s="1" t="s">
        <v>33</v>
      </c>
      <c r="AG17" s="1" t="s">
        <v>33</v>
      </c>
    </row>
    <row r="18" spans="1:33" x14ac:dyDescent="0.35">
      <c r="A18" s="34" t="s">
        <v>28</v>
      </c>
      <c r="B18" s="35" t="s">
        <v>60</v>
      </c>
      <c r="C18" s="120" t="s">
        <v>85</v>
      </c>
      <c r="D18" s="120" t="s">
        <v>85</v>
      </c>
      <c r="E18" s="4" t="s">
        <v>85</v>
      </c>
      <c r="F18" s="4" t="s">
        <v>85</v>
      </c>
      <c r="G18" s="4" t="s">
        <v>85</v>
      </c>
      <c r="H18" s="28" t="s">
        <v>30</v>
      </c>
      <c r="I18" s="28" t="s">
        <v>30</v>
      </c>
      <c r="J18" s="28" t="s">
        <v>7</v>
      </c>
      <c r="K18" s="25" t="s">
        <v>11</v>
      </c>
      <c r="L18" s="25" t="s">
        <v>11</v>
      </c>
      <c r="M18" s="25" t="s">
        <v>11</v>
      </c>
      <c r="N18" s="25" t="s">
        <v>11</v>
      </c>
      <c r="O18" s="28" t="s">
        <v>7</v>
      </c>
      <c r="P18" s="28" t="s">
        <v>7</v>
      </c>
      <c r="Q18" s="4" t="s">
        <v>54</v>
      </c>
      <c r="R18" s="4" t="s">
        <v>54</v>
      </c>
      <c r="S18" s="4" t="s">
        <v>54</v>
      </c>
      <c r="T18" s="4" t="s">
        <v>54</v>
      </c>
      <c r="U18" s="4" t="s">
        <v>54</v>
      </c>
      <c r="V18" s="28" t="s">
        <v>7</v>
      </c>
      <c r="W18" s="28" t="s">
        <v>7</v>
      </c>
      <c r="X18" s="1" t="s">
        <v>33</v>
      </c>
      <c r="Y18" s="1" t="s">
        <v>33</v>
      </c>
      <c r="Z18" s="1" t="s">
        <v>33</v>
      </c>
      <c r="AA18" s="28" t="s">
        <v>86</v>
      </c>
      <c r="AB18" s="1" t="s">
        <v>33</v>
      </c>
      <c r="AC18" s="28" t="s">
        <v>30</v>
      </c>
      <c r="AD18" s="28" t="s">
        <v>30</v>
      </c>
      <c r="AE18" s="17" t="s">
        <v>4</v>
      </c>
      <c r="AF18" s="17" t="s">
        <v>4</v>
      </c>
      <c r="AG18" s="17" t="s">
        <v>4</v>
      </c>
    </row>
    <row r="19" spans="1:33" x14ac:dyDescent="0.35">
      <c r="A19" s="34" t="s">
        <v>28</v>
      </c>
      <c r="B19" s="35" t="s">
        <v>34</v>
      </c>
      <c r="C19" s="17" t="s">
        <v>4</v>
      </c>
      <c r="D19" s="4" t="s">
        <v>11</v>
      </c>
      <c r="E19" s="4" t="s">
        <v>54</v>
      </c>
      <c r="F19" s="4" t="s">
        <v>54</v>
      </c>
      <c r="G19" s="4" t="s">
        <v>54</v>
      </c>
      <c r="H19" s="28" t="s">
        <v>7</v>
      </c>
      <c r="I19" s="28" t="s">
        <v>7</v>
      </c>
      <c r="J19" s="28" t="s">
        <v>86</v>
      </c>
      <c r="K19" s="47" t="s">
        <v>63</v>
      </c>
      <c r="L19" s="47" t="s">
        <v>63</v>
      </c>
      <c r="M19" s="47" t="s">
        <v>63</v>
      </c>
      <c r="N19" s="47" t="s">
        <v>63</v>
      </c>
      <c r="O19" s="28" t="s">
        <v>30</v>
      </c>
      <c r="P19" s="28" t="s">
        <v>30</v>
      </c>
      <c r="Q19" s="118" t="s">
        <v>83</v>
      </c>
      <c r="R19" s="118" t="s">
        <v>83</v>
      </c>
      <c r="S19" s="118" t="s">
        <v>83</v>
      </c>
      <c r="T19" s="118" t="s">
        <v>83</v>
      </c>
      <c r="U19" s="118" t="s">
        <v>83</v>
      </c>
      <c r="V19" s="28" t="s">
        <v>7</v>
      </c>
      <c r="W19" s="28" t="s">
        <v>7</v>
      </c>
      <c r="X19" s="118" t="s">
        <v>83</v>
      </c>
      <c r="Y19" s="118" t="s">
        <v>83</v>
      </c>
      <c r="Z19" s="118" t="s">
        <v>83</v>
      </c>
      <c r="AA19" s="28" t="s">
        <v>7</v>
      </c>
      <c r="AB19" s="118" t="s">
        <v>83</v>
      </c>
      <c r="AC19" s="28" t="s">
        <v>7</v>
      </c>
      <c r="AD19" s="28" t="s">
        <v>7</v>
      </c>
      <c r="AE19" s="118" t="s">
        <v>83</v>
      </c>
      <c r="AF19" s="5" t="s">
        <v>11</v>
      </c>
      <c r="AG19" s="5" t="s">
        <v>11</v>
      </c>
    </row>
    <row r="21" spans="1:33" x14ac:dyDescent="0.35">
      <c r="B21" s="111" t="s">
        <v>89</v>
      </c>
      <c r="C21" s="110">
        <f>SUM(C22:C24)</f>
        <v>9</v>
      </c>
      <c r="D21" s="110">
        <f t="shared" ref="D21:AG21" si="1">SUM(D22:D24)</f>
        <v>10</v>
      </c>
      <c r="E21" s="110">
        <f t="shared" si="1"/>
        <v>10</v>
      </c>
      <c r="F21" s="110">
        <f t="shared" si="1"/>
        <v>10</v>
      </c>
      <c r="G21" s="110">
        <f t="shared" si="1"/>
        <v>10</v>
      </c>
      <c r="H21" s="110">
        <f t="shared" si="1"/>
        <v>4</v>
      </c>
      <c r="I21" s="110">
        <f t="shared" si="1"/>
        <v>4</v>
      </c>
      <c r="J21" s="110">
        <f t="shared" si="1"/>
        <v>6</v>
      </c>
      <c r="K21" s="110">
        <f t="shared" si="1"/>
        <v>8</v>
      </c>
      <c r="L21" s="110">
        <f t="shared" si="1"/>
        <v>8</v>
      </c>
      <c r="M21" s="110">
        <f t="shared" si="1"/>
        <v>8</v>
      </c>
      <c r="N21" s="110">
        <f t="shared" si="1"/>
        <v>9</v>
      </c>
      <c r="O21" s="110">
        <f t="shared" si="1"/>
        <v>4</v>
      </c>
      <c r="P21" s="110">
        <f t="shared" si="1"/>
        <v>4</v>
      </c>
      <c r="Q21" s="110">
        <f t="shared" si="1"/>
        <v>8</v>
      </c>
      <c r="R21" s="110">
        <f t="shared" si="1"/>
        <v>8</v>
      </c>
      <c r="S21" s="110">
        <f t="shared" si="1"/>
        <v>8</v>
      </c>
      <c r="T21" s="110">
        <f t="shared" si="1"/>
        <v>8</v>
      </c>
      <c r="U21" s="110">
        <f t="shared" si="1"/>
        <v>8</v>
      </c>
      <c r="V21" s="110">
        <f t="shared" si="1"/>
        <v>4</v>
      </c>
      <c r="W21" s="110">
        <f t="shared" si="1"/>
        <v>4</v>
      </c>
      <c r="X21" s="110">
        <f t="shared" si="1"/>
        <v>6</v>
      </c>
      <c r="Y21" s="110">
        <f t="shared" si="1"/>
        <v>6</v>
      </c>
      <c r="Z21" s="110">
        <f t="shared" si="1"/>
        <v>6</v>
      </c>
      <c r="AA21" s="110">
        <f t="shared" si="1"/>
        <v>6</v>
      </c>
      <c r="AB21" s="110">
        <f t="shared" si="1"/>
        <v>6</v>
      </c>
      <c r="AC21" s="110">
        <f t="shared" si="1"/>
        <v>4</v>
      </c>
      <c r="AD21" s="110">
        <f t="shared" si="1"/>
        <v>4</v>
      </c>
      <c r="AE21" s="110">
        <f t="shared" si="1"/>
        <v>6</v>
      </c>
      <c r="AF21" s="110">
        <f t="shared" si="1"/>
        <v>7</v>
      </c>
      <c r="AG21" s="110">
        <f t="shared" si="1"/>
        <v>7</v>
      </c>
    </row>
    <row r="22" spans="1:33" x14ac:dyDescent="0.35">
      <c r="B22" s="111" t="s">
        <v>90</v>
      </c>
      <c r="C22" s="112">
        <f t="shared" ref="C22:AG22" si="2">COUNTIF(C4:C19,"T")</f>
        <v>3</v>
      </c>
      <c r="D22" s="112">
        <f t="shared" si="2"/>
        <v>3</v>
      </c>
      <c r="E22" s="112">
        <f t="shared" si="2"/>
        <v>3</v>
      </c>
      <c r="F22" s="112">
        <f t="shared" si="2"/>
        <v>3</v>
      </c>
      <c r="G22" s="112">
        <f t="shared" si="2"/>
        <v>3</v>
      </c>
      <c r="H22" s="112">
        <f t="shared" si="2"/>
        <v>0</v>
      </c>
      <c r="I22" s="112">
        <f t="shared" si="2"/>
        <v>0</v>
      </c>
      <c r="J22" s="112">
        <f t="shared" si="2"/>
        <v>2</v>
      </c>
      <c r="K22" s="112">
        <f t="shared" si="2"/>
        <v>2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0</v>
      </c>
      <c r="P22" s="112">
        <f t="shared" si="2"/>
        <v>0</v>
      </c>
      <c r="Q22" s="112">
        <f t="shared" si="2"/>
        <v>2</v>
      </c>
      <c r="R22" s="112">
        <f t="shared" si="2"/>
        <v>2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0</v>
      </c>
      <c r="W22" s="112">
        <f t="shared" si="2"/>
        <v>0</v>
      </c>
      <c r="X22" s="112">
        <f t="shared" si="2"/>
        <v>2</v>
      </c>
      <c r="Y22" s="112">
        <f t="shared" si="2"/>
        <v>2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0</v>
      </c>
      <c r="AD22" s="112">
        <f t="shared" si="2"/>
        <v>0</v>
      </c>
      <c r="AE22" s="112">
        <f t="shared" si="2"/>
        <v>2</v>
      </c>
      <c r="AF22" s="112">
        <f t="shared" si="2"/>
        <v>2</v>
      </c>
      <c r="AG22" s="112">
        <f t="shared" si="2"/>
        <v>2</v>
      </c>
    </row>
    <row r="23" spans="1:33" x14ac:dyDescent="0.35">
      <c r="B23" s="111" t="s">
        <v>91</v>
      </c>
      <c r="C23" s="112">
        <f t="shared" ref="C23:J23" si="3">COUNTIF(C4:C19,"N")+COUNTIF(C4:C19,"NF")</f>
        <v>2</v>
      </c>
      <c r="D23" s="112">
        <f t="shared" si="3"/>
        <v>2</v>
      </c>
      <c r="E23" s="112">
        <f t="shared" si="3"/>
        <v>2</v>
      </c>
      <c r="F23" s="112">
        <f t="shared" si="3"/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>COUNTIF(K4:K19,"N")+COUNTIF(K4:K19,"NF")+COUNTIF(K4:K19,"N/G")</f>
        <v>2</v>
      </c>
      <c r="L23" s="112">
        <f>COUNTIF(L4:L19,"N")+COUNTIF(L4:L19,"NF")+COUNTIF(L4:L19,"N/G")</f>
        <v>2</v>
      </c>
      <c r="M23" s="112">
        <f>COUNTIF(M4:M19,"N")+COUNTIF(M4:M19,"NF")+COUNTIF(M4:M19,"N/G")</f>
        <v>2</v>
      </c>
      <c r="N23" s="112">
        <f>COUNTIF(N4:N19,"N")+COUNTIF(N4:N19,"NF")+COUNTIF(N4:N19,"N/G")</f>
        <v>2</v>
      </c>
      <c r="O23" s="112">
        <f t="shared" ref="O23:AG23" si="4">COUNTIF(O4:O19,"N")+COUNTIF(O4:O19,"NF")</f>
        <v>2</v>
      </c>
      <c r="P23" s="112">
        <f t="shared" si="4"/>
        <v>2</v>
      </c>
      <c r="Q23" s="112">
        <f t="shared" si="4"/>
        <v>2</v>
      </c>
      <c r="R23" s="112">
        <f t="shared" si="4"/>
        <v>2</v>
      </c>
      <c r="S23" s="112">
        <f t="shared" si="4"/>
        <v>2</v>
      </c>
      <c r="T23" s="112">
        <f t="shared" si="4"/>
        <v>2</v>
      </c>
      <c r="U23" s="112">
        <f t="shared" si="4"/>
        <v>2</v>
      </c>
      <c r="V23" s="112">
        <f t="shared" si="4"/>
        <v>2</v>
      </c>
      <c r="W23" s="112">
        <f t="shared" si="4"/>
        <v>2</v>
      </c>
      <c r="X23" s="112">
        <f t="shared" si="4"/>
        <v>2</v>
      </c>
      <c r="Y23" s="112">
        <f t="shared" si="4"/>
        <v>2</v>
      </c>
      <c r="Z23" s="112">
        <f t="shared" si="4"/>
        <v>2</v>
      </c>
      <c r="AA23" s="112">
        <f t="shared" si="4"/>
        <v>2</v>
      </c>
      <c r="AB23" s="112">
        <f t="shared" si="4"/>
        <v>2</v>
      </c>
      <c r="AC23" s="112">
        <f t="shared" si="4"/>
        <v>2</v>
      </c>
      <c r="AD23" s="112">
        <f t="shared" si="4"/>
        <v>2</v>
      </c>
      <c r="AE23" s="112">
        <f t="shared" si="4"/>
        <v>2</v>
      </c>
      <c r="AF23" s="112">
        <f t="shared" si="4"/>
        <v>2</v>
      </c>
      <c r="AG23" s="112">
        <f t="shared" si="4"/>
        <v>2</v>
      </c>
    </row>
    <row r="24" spans="1:33" x14ac:dyDescent="0.35">
      <c r="B24" s="111" t="s">
        <v>92</v>
      </c>
      <c r="C24" s="112">
        <f t="shared" ref="C24:AG24" si="5">COUNTIF(C4:C19,"M/F")+COUNTIF(C4:C19,"M1")+COUNTIF(C4:C19,"M3")+COUNTIF(C4:C19,"M3/G")+COUNTIF(C4:C19,"M2")</f>
        <v>4</v>
      </c>
      <c r="D24" s="112">
        <f t="shared" si="5"/>
        <v>5</v>
      </c>
      <c r="E24" s="112">
        <f t="shared" si="5"/>
        <v>5</v>
      </c>
      <c r="F24" s="112">
        <f t="shared" si="5"/>
        <v>5</v>
      </c>
      <c r="G24" s="112">
        <f t="shared" si="5"/>
        <v>5</v>
      </c>
      <c r="H24" s="112">
        <f t="shared" si="5"/>
        <v>2</v>
      </c>
      <c r="I24" s="112">
        <f t="shared" si="5"/>
        <v>2</v>
      </c>
      <c r="J24" s="112">
        <f t="shared" si="5"/>
        <v>2</v>
      </c>
      <c r="K24" s="112">
        <f t="shared" si="5"/>
        <v>4</v>
      </c>
      <c r="L24" s="112">
        <f t="shared" si="5"/>
        <v>4</v>
      </c>
      <c r="M24" s="112">
        <f t="shared" si="5"/>
        <v>4</v>
      </c>
      <c r="N24" s="112">
        <f t="shared" si="5"/>
        <v>5</v>
      </c>
      <c r="O24" s="112">
        <f t="shared" si="5"/>
        <v>2</v>
      </c>
      <c r="P24" s="112">
        <f t="shared" si="5"/>
        <v>2</v>
      </c>
      <c r="Q24" s="112">
        <f t="shared" si="5"/>
        <v>4</v>
      </c>
      <c r="R24" s="112">
        <f t="shared" si="5"/>
        <v>4</v>
      </c>
      <c r="S24" s="112">
        <f t="shared" si="5"/>
        <v>4</v>
      </c>
      <c r="T24" s="112">
        <f t="shared" si="5"/>
        <v>4</v>
      </c>
      <c r="U24" s="112">
        <f t="shared" si="5"/>
        <v>4</v>
      </c>
      <c r="V24" s="112">
        <f t="shared" si="5"/>
        <v>2</v>
      </c>
      <c r="W24" s="112">
        <f t="shared" si="5"/>
        <v>2</v>
      </c>
      <c r="X24" s="112">
        <f t="shared" si="5"/>
        <v>2</v>
      </c>
      <c r="Y24" s="112">
        <f t="shared" si="5"/>
        <v>2</v>
      </c>
      <c r="Z24" s="112">
        <f t="shared" si="5"/>
        <v>2</v>
      </c>
      <c r="AA24" s="112">
        <f t="shared" si="5"/>
        <v>2</v>
      </c>
      <c r="AB24" s="112">
        <f t="shared" si="5"/>
        <v>2</v>
      </c>
      <c r="AC24" s="112">
        <f t="shared" si="5"/>
        <v>2</v>
      </c>
      <c r="AD24" s="112">
        <f t="shared" si="5"/>
        <v>2</v>
      </c>
      <c r="AE24" s="112">
        <f t="shared" si="5"/>
        <v>2</v>
      </c>
      <c r="AF24" s="112">
        <f t="shared" si="5"/>
        <v>3</v>
      </c>
      <c r="AG24" s="112">
        <f t="shared" si="5"/>
        <v>3</v>
      </c>
    </row>
    <row r="26" spans="1:33" x14ac:dyDescent="0.35">
      <c r="B26" t="s">
        <v>65</v>
      </c>
    </row>
    <row r="27" spans="1:33" x14ac:dyDescent="0.35">
      <c r="B27" s="5" t="s">
        <v>66</v>
      </c>
    </row>
    <row r="28" spans="1:33" x14ac:dyDescent="0.35">
      <c r="B28" s="5" t="s">
        <v>67</v>
      </c>
    </row>
    <row r="29" spans="1:33" x14ac:dyDescent="0.35">
      <c r="B29" s="1" t="s">
        <v>68</v>
      </c>
    </row>
    <row r="30" spans="1:33" x14ac:dyDescent="0.35">
      <c r="B30" s="7" t="s">
        <v>69</v>
      </c>
    </row>
    <row r="31" spans="1:33" x14ac:dyDescent="0.35">
      <c r="B31" s="3" t="s">
        <v>70</v>
      </c>
    </row>
    <row r="32" spans="1:33" x14ac:dyDescent="0.35">
      <c r="B32" s="5" t="s">
        <v>71</v>
      </c>
    </row>
    <row r="33" spans="2:2" x14ac:dyDescent="0.35">
      <c r="B33" s="3" t="s">
        <v>72</v>
      </c>
    </row>
    <row r="34" spans="2:2" x14ac:dyDescent="0.35">
      <c r="B34" s="4" t="s">
        <v>73</v>
      </c>
    </row>
    <row r="35" spans="2:2" x14ac:dyDescent="0.35">
      <c r="B35" s="25" t="s">
        <v>74</v>
      </c>
    </row>
    <row r="36" spans="2:2" x14ac:dyDescent="0.35">
      <c r="B36" s="4" t="s">
        <v>93</v>
      </c>
    </row>
    <row r="37" spans="2:2" x14ac:dyDescent="0.35">
      <c r="B37" s="28" t="s">
        <v>76</v>
      </c>
    </row>
    <row r="38" spans="2:2" x14ac:dyDescent="0.35">
      <c r="B38" s="17" t="s">
        <v>77</v>
      </c>
    </row>
  </sheetData>
  <mergeCells count="2">
    <mergeCell ref="B1:B3"/>
    <mergeCell ref="C1:AG1"/>
  </mergeCells>
  <conditionalFormatting sqref="C22:AG24">
    <cfRule type="cellIs" dxfId="12" priority="1" operator="equal">
      <formula>1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B3F7-3F08-4267-9E1E-232746C02B4D}">
  <dimension ref="A1:AH39"/>
  <sheetViews>
    <sheetView zoomScaleNormal="100" workbookViewId="0">
      <selection activeCell="AG12" sqref="AG12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x14ac:dyDescent="0.35">
      <c r="A1" s="6"/>
      <c r="B1" s="175"/>
      <c r="C1" s="188" t="s">
        <v>97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</row>
    <row r="2" spans="1:34" x14ac:dyDescent="0.35">
      <c r="A2" s="6"/>
      <c r="B2" s="175"/>
      <c r="C2" s="83" t="s">
        <v>3</v>
      </c>
      <c r="D2" s="85" t="s">
        <v>4</v>
      </c>
      <c r="E2" s="83" t="s">
        <v>5</v>
      </c>
      <c r="F2" s="83" t="s">
        <v>6</v>
      </c>
      <c r="G2" s="84" t="s">
        <v>7</v>
      </c>
      <c r="H2" s="83" t="s">
        <v>1</v>
      </c>
      <c r="I2" s="85" t="s">
        <v>2</v>
      </c>
      <c r="J2" s="85" t="s">
        <v>3</v>
      </c>
      <c r="K2" s="85" t="s">
        <v>4</v>
      </c>
      <c r="L2" s="83" t="s">
        <v>5</v>
      </c>
      <c r="M2" s="83" t="s">
        <v>6</v>
      </c>
      <c r="N2" s="84" t="s">
        <v>7</v>
      </c>
      <c r="O2" s="84" t="s">
        <v>1</v>
      </c>
      <c r="P2" s="85" t="s">
        <v>2</v>
      </c>
      <c r="Q2" s="85" t="s">
        <v>3</v>
      </c>
      <c r="R2" s="85" t="s">
        <v>4</v>
      </c>
      <c r="S2" s="83" t="s">
        <v>5</v>
      </c>
      <c r="T2" s="83" t="s">
        <v>6</v>
      </c>
      <c r="U2" s="84" t="s">
        <v>7</v>
      </c>
      <c r="V2" s="84" t="s">
        <v>1</v>
      </c>
      <c r="W2" s="85" t="s">
        <v>2</v>
      </c>
      <c r="X2" s="85" t="s">
        <v>3</v>
      </c>
      <c r="Y2" s="85" t="s">
        <v>4</v>
      </c>
      <c r="Z2" s="83" t="s">
        <v>5</v>
      </c>
      <c r="AA2" s="83" t="s">
        <v>6</v>
      </c>
      <c r="AB2" s="84" t="s">
        <v>7</v>
      </c>
      <c r="AC2" s="84" t="s">
        <v>1</v>
      </c>
      <c r="AD2" s="85" t="s">
        <v>2</v>
      </c>
      <c r="AE2" s="85" t="s">
        <v>3</v>
      </c>
      <c r="AF2" s="85" t="s">
        <v>4</v>
      </c>
      <c r="AG2" s="83" t="s">
        <v>5</v>
      </c>
      <c r="AH2" s="92" t="s">
        <v>8</v>
      </c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 x14ac:dyDescent="0.35">
      <c r="A4" s="63" t="s">
        <v>12</v>
      </c>
      <c r="B4" s="62" t="s">
        <v>13</v>
      </c>
      <c r="C4" s="5" t="s">
        <v>54</v>
      </c>
      <c r="D4" s="1" t="s">
        <v>54</v>
      </c>
      <c r="E4" s="5" t="s">
        <v>15</v>
      </c>
      <c r="F4" s="5" t="s">
        <v>15</v>
      </c>
      <c r="G4" s="28" t="s">
        <v>7</v>
      </c>
      <c r="H4" s="28" t="s">
        <v>7</v>
      </c>
      <c r="I4" s="28" t="s">
        <v>7</v>
      </c>
      <c r="J4" s="28" t="s">
        <v>7</v>
      </c>
      <c r="K4" s="109" t="s">
        <v>4</v>
      </c>
      <c r="L4" s="28" t="s">
        <v>7</v>
      </c>
      <c r="M4" s="28" t="s">
        <v>7</v>
      </c>
      <c r="N4" s="5" t="s">
        <v>54</v>
      </c>
      <c r="O4" s="5" t="s">
        <v>14</v>
      </c>
      <c r="P4" s="5" t="s">
        <v>14</v>
      </c>
      <c r="Q4" s="5" t="s">
        <v>14</v>
      </c>
      <c r="R4" s="5" t="s">
        <v>14</v>
      </c>
      <c r="S4" s="5" t="s">
        <v>15</v>
      </c>
      <c r="T4" s="5" t="s">
        <v>15</v>
      </c>
      <c r="U4" s="109" t="s">
        <v>4</v>
      </c>
      <c r="V4" s="28" t="s">
        <v>7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7" t="s">
        <v>20</v>
      </c>
      <c r="AC4" s="7" t="s">
        <v>20</v>
      </c>
      <c r="AD4" s="7" t="s">
        <v>20</v>
      </c>
      <c r="AE4" s="7" t="s">
        <v>20</v>
      </c>
      <c r="AF4" s="7" t="s">
        <v>20</v>
      </c>
      <c r="AG4" s="28" t="s">
        <v>7</v>
      </c>
      <c r="AH4" s="91">
        <f>COUNTIFS(C4:AG4,"&lt;&gt;"&amp;"L",C4:AG4,"&lt;&gt;"&amp;"NF",C4:AG4,"&lt;&gt;"&amp;"M/F",C4:AG4,"&lt;&gt;"&amp;"V",C4:AG4,"&lt;&gt;"&amp;"A")*8+COUNTIFS(C4:AG4,"NF")*12+COUNTIFS(C4:AG4,"M/F")*12</f>
        <v>144</v>
      </c>
    </row>
    <row r="5" spans="1:34" x14ac:dyDescent="0.35">
      <c r="A5" s="34" t="s">
        <v>12</v>
      </c>
      <c r="B5" s="33" t="s">
        <v>19</v>
      </c>
      <c r="C5" s="7" t="s">
        <v>20</v>
      </c>
      <c r="D5" s="7" t="s">
        <v>20</v>
      </c>
      <c r="E5" s="28" t="s">
        <v>7</v>
      </c>
      <c r="F5" s="28" t="s">
        <v>7</v>
      </c>
      <c r="G5" s="1" t="s">
        <v>54</v>
      </c>
      <c r="H5" s="5" t="s">
        <v>54</v>
      </c>
      <c r="I5" s="1" t="s">
        <v>54</v>
      </c>
      <c r="J5" s="1" t="s">
        <v>54</v>
      </c>
      <c r="K5" s="1" t="s">
        <v>54</v>
      </c>
      <c r="L5" s="5" t="s">
        <v>15</v>
      </c>
      <c r="M5" s="5" t="s">
        <v>15</v>
      </c>
      <c r="N5" s="109" t="s">
        <v>4</v>
      </c>
      <c r="O5" s="28" t="s">
        <v>7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5" t="s">
        <v>14</v>
      </c>
      <c r="V5" s="5" t="s">
        <v>14</v>
      </c>
      <c r="W5" s="5" t="s">
        <v>14</v>
      </c>
      <c r="X5" s="1" t="s">
        <v>14</v>
      </c>
      <c r="Y5" s="1" t="s">
        <v>14</v>
      </c>
      <c r="Z5" s="5" t="s">
        <v>15</v>
      </c>
      <c r="AA5" s="5" t="s">
        <v>15</v>
      </c>
      <c r="AB5" s="109" t="s">
        <v>4</v>
      </c>
      <c r="AC5" s="28" t="s">
        <v>7</v>
      </c>
      <c r="AD5" s="28" t="s">
        <v>7</v>
      </c>
      <c r="AE5" s="28" t="s">
        <v>7</v>
      </c>
      <c r="AF5" s="28" t="s">
        <v>7</v>
      </c>
      <c r="AG5" s="28" t="s">
        <v>7</v>
      </c>
      <c r="AH5" s="91">
        <f t="shared" ref="AH5:AH14" si="0">COUNTIFS(C5:AG5,"&lt;&gt;"&amp;"L",C5:AG5,"&lt;&gt;"&amp;"NF",C5:AG5,"&lt;&gt;"&amp;"M/F",C5:AG5,"&lt;&gt;"&amp;"V",C5:AG5,"&lt;&gt;"&amp;"A")*8+COUNTIFS(C5:AG5,"NF")*12+COUNTIFS(C5:AG5,"M/F")*12</f>
        <v>144</v>
      </c>
    </row>
    <row r="6" spans="1:34" x14ac:dyDescent="0.35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7" t="s">
        <v>20</v>
      </c>
      <c r="H6" s="7" t="s">
        <v>20</v>
      </c>
      <c r="I6" s="7" t="s">
        <v>20</v>
      </c>
      <c r="J6" s="7" t="s">
        <v>20</v>
      </c>
      <c r="K6" s="7" t="s">
        <v>20</v>
      </c>
      <c r="L6" s="28" t="s">
        <v>7</v>
      </c>
      <c r="M6" s="28" t="s">
        <v>7</v>
      </c>
      <c r="N6" s="1" t="s">
        <v>54</v>
      </c>
      <c r="O6" s="1" t="s">
        <v>54</v>
      </c>
      <c r="P6" s="1" t="s">
        <v>54</v>
      </c>
      <c r="Q6" s="1" t="s">
        <v>54</v>
      </c>
      <c r="R6" s="1" t="s">
        <v>54</v>
      </c>
      <c r="S6" s="5" t="s">
        <v>15</v>
      </c>
      <c r="T6" s="5" t="s">
        <v>15</v>
      </c>
      <c r="U6" s="28" t="s">
        <v>7</v>
      </c>
      <c r="V6" s="109" t="s">
        <v>4</v>
      </c>
      <c r="W6" s="28" t="s">
        <v>7</v>
      </c>
      <c r="X6" s="28" t="s">
        <v>7</v>
      </c>
      <c r="Y6" s="28" t="s">
        <v>7</v>
      </c>
      <c r="Z6" s="28" t="s">
        <v>7</v>
      </c>
      <c r="AA6" s="28" t="s">
        <v>7</v>
      </c>
      <c r="AB6" s="5" t="s">
        <v>14</v>
      </c>
      <c r="AC6" s="5" t="s">
        <v>14</v>
      </c>
      <c r="AD6" s="5" t="s">
        <v>14</v>
      </c>
      <c r="AE6" s="5" t="s">
        <v>14</v>
      </c>
      <c r="AF6" s="5" t="s">
        <v>14</v>
      </c>
      <c r="AG6" s="5" t="s">
        <v>15</v>
      </c>
      <c r="AH6" s="91">
        <f t="shared" si="0"/>
        <v>156</v>
      </c>
    </row>
    <row r="7" spans="1:34" x14ac:dyDescent="0.35">
      <c r="A7" s="34" t="s">
        <v>12</v>
      </c>
      <c r="B7" s="33" t="s">
        <v>22</v>
      </c>
      <c r="C7" s="3" t="s">
        <v>16</v>
      </c>
      <c r="D7" s="3" t="s">
        <v>16</v>
      </c>
      <c r="E7" s="3" t="s">
        <v>17</v>
      </c>
      <c r="F7" s="3" t="s">
        <v>17</v>
      </c>
      <c r="G7" s="28" t="s">
        <v>7</v>
      </c>
      <c r="H7" s="28" t="s">
        <v>7</v>
      </c>
      <c r="I7" s="28" t="s">
        <v>7</v>
      </c>
      <c r="J7" s="28" t="s">
        <v>7</v>
      </c>
      <c r="K7" s="109" t="s">
        <v>4</v>
      </c>
      <c r="L7" s="28" t="s">
        <v>7</v>
      </c>
      <c r="M7" s="28" t="s">
        <v>7</v>
      </c>
      <c r="N7" s="7" t="s">
        <v>20</v>
      </c>
      <c r="O7" s="7" t="s">
        <v>20</v>
      </c>
      <c r="P7" s="7" t="s">
        <v>20</v>
      </c>
      <c r="Q7" s="7" t="s">
        <v>20</v>
      </c>
      <c r="R7" s="7" t="s">
        <v>20</v>
      </c>
      <c r="S7" s="28" t="s">
        <v>7</v>
      </c>
      <c r="T7" s="28" t="s">
        <v>7</v>
      </c>
      <c r="U7" s="1" t="s">
        <v>14</v>
      </c>
      <c r="V7" s="1" t="s">
        <v>14</v>
      </c>
      <c r="W7" s="1" t="s">
        <v>14</v>
      </c>
      <c r="X7" s="5" t="s">
        <v>14</v>
      </c>
      <c r="Y7" s="5" t="s">
        <v>14</v>
      </c>
      <c r="Z7" s="5" t="s">
        <v>15</v>
      </c>
      <c r="AA7" s="5" t="s">
        <v>15</v>
      </c>
      <c r="AB7" s="28" t="s">
        <v>7</v>
      </c>
      <c r="AC7" s="109" t="s">
        <v>4</v>
      </c>
      <c r="AD7" s="28" t="s">
        <v>7</v>
      </c>
      <c r="AE7" s="28" t="s">
        <v>7</v>
      </c>
      <c r="AF7" s="28" t="s">
        <v>7</v>
      </c>
      <c r="AG7" s="28" t="s">
        <v>7</v>
      </c>
      <c r="AH7" s="91">
        <f t="shared" si="0"/>
        <v>144</v>
      </c>
    </row>
    <row r="8" spans="1:34" x14ac:dyDescent="0.35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17</v>
      </c>
      <c r="M8" s="3" t="s">
        <v>17</v>
      </c>
      <c r="N8" s="28" t="s">
        <v>7</v>
      </c>
      <c r="O8" s="109" t="s">
        <v>4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7" t="s">
        <v>20</v>
      </c>
      <c r="V8" s="7" t="s">
        <v>20</v>
      </c>
      <c r="W8" s="7" t="s">
        <v>20</v>
      </c>
      <c r="X8" s="7" t="s">
        <v>20</v>
      </c>
      <c r="Y8" s="7" t="s">
        <v>20</v>
      </c>
      <c r="Z8" s="28" t="s">
        <v>7</v>
      </c>
      <c r="AA8" s="28" t="s">
        <v>7</v>
      </c>
      <c r="AB8" s="1" t="s">
        <v>14</v>
      </c>
      <c r="AC8" s="1" t="s">
        <v>14</v>
      </c>
      <c r="AD8" s="1" t="s">
        <v>14</v>
      </c>
      <c r="AE8" s="1" t="s">
        <v>14</v>
      </c>
      <c r="AF8" s="1" t="s">
        <v>14</v>
      </c>
      <c r="AG8" s="5" t="s">
        <v>15</v>
      </c>
      <c r="AH8" s="91">
        <f t="shared" si="0"/>
        <v>156</v>
      </c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4" x14ac:dyDescent="0.35">
      <c r="A10" s="34" t="s">
        <v>12</v>
      </c>
      <c r="B10" s="33" t="s">
        <v>23</v>
      </c>
      <c r="C10" s="123" t="s">
        <v>7</v>
      </c>
      <c r="D10" s="124" t="s">
        <v>7</v>
      </c>
      <c r="E10" s="124" t="s">
        <v>7</v>
      </c>
      <c r="F10" s="124" t="s">
        <v>7</v>
      </c>
      <c r="G10" s="125" t="s">
        <v>20</v>
      </c>
      <c r="H10" s="125" t="s">
        <v>20</v>
      </c>
      <c r="I10" s="125" t="s">
        <v>20</v>
      </c>
      <c r="J10" s="125" t="s">
        <v>20</v>
      </c>
      <c r="K10" s="125" t="s">
        <v>20</v>
      </c>
      <c r="L10" s="124" t="s">
        <v>7</v>
      </c>
      <c r="M10" s="124" t="s">
        <v>7</v>
      </c>
      <c r="N10" s="130" t="s">
        <v>16</v>
      </c>
      <c r="O10" s="130" t="s">
        <v>16</v>
      </c>
      <c r="P10" s="130" t="s">
        <v>16</v>
      </c>
      <c r="Q10" s="130" t="s">
        <v>16</v>
      </c>
      <c r="R10" s="130" t="s">
        <v>16</v>
      </c>
      <c r="S10" s="130" t="s">
        <v>17</v>
      </c>
      <c r="T10" s="130" t="s">
        <v>17</v>
      </c>
      <c r="U10" s="128" t="s">
        <v>7</v>
      </c>
      <c r="V10" s="128" t="s">
        <v>7</v>
      </c>
      <c r="W10" s="128" t="s">
        <v>7</v>
      </c>
      <c r="X10" s="128" t="s">
        <v>7</v>
      </c>
      <c r="Y10" s="128" t="s">
        <v>7</v>
      </c>
      <c r="Z10" s="128" t="s">
        <v>7</v>
      </c>
      <c r="AA10" s="128" t="s">
        <v>7</v>
      </c>
      <c r="AB10" s="130" t="s">
        <v>16</v>
      </c>
      <c r="AC10" s="130" t="s">
        <v>16</v>
      </c>
      <c r="AD10" s="130" t="s">
        <v>16</v>
      </c>
      <c r="AE10" s="130" t="s">
        <v>16</v>
      </c>
      <c r="AF10" s="130" t="s">
        <v>16</v>
      </c>
      <c r="AG10" s="130" t="s">
        <v>17</v>
      </c>
      <c r="AH10" s="91">
        <f>COUNTIFS(C10:AG10,"&lt;&gt;"&amp;"L",C10:AG10,"&lt;&gt;"&amp;"NF",C10:AG10,"&lt;&gt;"&amp;"M/F",C10:AG10,"&lt;&gt;"&amp;"V",C10:AG10,"&lt;&gt;"&amp;"A")*8+COUNTIFS(C10:AG10,"NF")*12+COUNTIFS(C10:AG10,"M/F")*12</f>
        <v>156</v>
      </c>
    </row>
    <row r="11" spans="1:34" x14ac:dyDescent="0.35">
      <c r="A11" s="34" t="s">
        <v>12</v>
      </c>
      <c r="B11" s="33" t="s">
        <v>52</v>
      </c>
      <c r="C11" s="126" t="s">
        <v>54</v>
      </c>
      <c r="D11" s="127" t="s">
        <v>14</v>
      </c>
      <c r="E11" s="127" t="s">
        <v>15</v>
      </c>
      <c r="F11" s="127" t="s">
        <v>15</v>
      </c>
      <c r="G11" s="128" t="s">
        <v>7</v>
      </c>
      <c r="H11" s="128" t="s">
        <v>7</v>
      </c>
      <c r="I11" s="129" t="s">
        <v>4</v>
      </c>
      <c r="J11" s="128" t="s">
        <v>7</v>
      </c>
      <c r="K11" s="128" t="s">
        <v>7</v>
      </c>
      <c r="L11" s="128" t="s">
        <v>7</v>
      </c>
      <c r="M11" s="128" t="s">
        <v>7</v>
      </c>
      <c r="N11" s="125" t="s">
        <v>20</v>
      </c>
      <c r="O11" s="125" t="s">
        <v>20</v>
      </c>
      <c r="P11" s="125" t="s">
        <v>20</v>
      </c>
      <c r="Q11" s="125" t="s">
        <v>20</v>
      </c>
      <c r="R11" s="125" t="s">
        <v>20</v>
      </c>
      <c r="S11" s="128" t="s">
        <v>7</v>
      </c>
      <c r="T11" s="128" t="s">
        <v>7</v>
      </c>
      <c r="U11" s="130" t="s">
        <v>16</v>
      </c>
      <c r="V11" s="130" t="s">
        <v>16</v>
      </c>
      <c r="W11" s="130" t="s">
        <v>16</v>
      </c>
      <c r="X11" s="130" t="s">
        <v>16</v>
      </c>
      <c r="Y11" s="130" t="s">
        <v>16</v>
      </c>
      <c r="Z11" s="130" t="s">
        <v>17</v>
      </c>
      <c r="AA11" s="130" t="s">
        <v>17</v>
      </c>
      <c r="AB11" s="128" t="s">
        <v>7</v>
      </c>
      <c r="AC11" s="128" t="s">
        <v>7</v>
      </c>
      <c r="AD11" s="128" t="s">
        <v>7</v>
      </c>
      <c r="AE11" s="128" t="s">
        <v>7</v>
      </c>
      <c r="AF11" s="128" t="s">
        <v>7</v>
      </c>
      <c r="AG11" s="128" t="s">
        <v>7</v>
      </c>
      <c r="AH11" s="91">
        <f t="shared" si="0"/>
        <v>144</v>
      </c>
    </row>
    <row r="12" spans="1:34" x14ac:dyDescent="0.35">
      <c r="A12" s="34" t="s">
        <v>12</v>
      </c>
      <c r="B12" s="33" t="s">
        <v>24</v>
      </c>
      <c r="C12" s="131" t="s">
        <v>4</v>
      </c>
      <c r="D12" s="128" t="s">
        <v>7</v>
      </c>
      <c r="E12" s="128" t="s">
        <v>7</v>
      </c>
      <c r="F12" s="128" t="s">
        <v>7</v>
      </c>
      <c r="G12" s="127" t="s">
        <v>14</v>
      </c>
      <c r="H12" s="127" t="s">
        <v>54</v>
      </c>
      <c r="I12" s="127" t="s">
        <v>14</v>
      </c>
      <c r="J12" s="127" t="s">
        <v>14</v>
      </c>
      <c r="K12" s="127" t="s">
        <v>14</v>
      </c>
      <c r="L12" s="127" t="s">
        <v>15</v>
      </c>
      <c r="M12" s="127" t="s">
        <v>15</v>
      </c>
      <c r="N12" s="128" t="s">
        <v>7</v>
      </c>
      <c r="O12" s="128" t="s">
        <v>7</v>
      </c>
      <c r="P12" s="128" t="s">
        <v>7</v>
      </c>
      <c r="Q12" s="128" t="s">
        <v>7</v>
      </c>
      <c r="R12" s="128" t="s">
        <v>7</v>
      </c>
      <c r="S12" s="128" t="s">
        <v>7</v>
      </c>
      <c r="T12" s="128" t="s">
        <v>7</v>
      </c>
      <c r="U12" s="125" t="s">
        <v>20</v>
      </c>
      <c r="V12" s="125" t="s">
        <v>20</v>
      </c>
      <c r="W12" s="125" t="s">
        <v>20</v>
      </c>
      <c r="X12" s="125" t="s">
        <v>20</v>
      </c>
      <c r="Y12" s="125" t="s">
        <v>20</v>
      </c>
      <c r="Z12" s="128" t="s">
        <v>7</v>
      </c>
      <c r="AA12" s="128" t="s">
        <v>7</v>
      </c>
      <c r="AB12" s="130" t="s">
        <v>16</v>
      </c>
      <c r="AC12" s="130" t="s">
        <v>16</v>
      </c>
      <c r="AD12" s="130" t="s">
        <v>16</v>
      </c>
      <c r="AE12" s="130" t="s">
        <v>16</v>
      </c>
      <c r="AF12" s="130" t="s">
        <v>16</v>
      </c>
      <c r="AG12" s="130" t="s">
        <v>17</v>
      </c>
      <c r="AH12" s="91">
        <f t="shared" si="0"/>
        <v>156</v>
      </c>
    </row>
    <row r="13" spans="1:34" x14ac:dyDescent="0.35">
      <c r="A13" s="34" t="s">
        <v>12</v>
      </c>
      <c r="B13" s="33" t="s">
        <v>84</v>
      </c>
      <c r="C13" s="130" t="s">
        <v>16</v>
      </c>
      <c r="D13" s="130" t="s">
        <v>16</v>
      </c>
      <c r="E13" s="130" t="s">
        <v>17</v>
      </c>
      <c r="F13" s="130" t="s">
        <v>17</v>
      </c>
      <c r="G13" s="128" t="s">
        <v>7</v>
      </c>
      <c r="H13" s="128" t="s">
        <v>7</v>
      </c>
      <c r="I13" s="128" t="s">
        <v>7</v>
      </c>
      <c r="J13" s="129" t="s">
        <v>4</v>
      </c>
      <c r="K13" s="128" t="s">
        <v>7</v>
      </c>
      <c r="L13" s="128" t="s">
        <v>7</v>
      </c>
      <c r="M13" s="128" t="s">
        <v>7</v>
      </c>
      <c r="N13" s="130" t="s">
        <v>16</v>
      </c>
      <c r="O13" s="130" t="s">
        <v>16</v>
      </c>
      <c r="P13" s="130" t="s">
        <v>16</v>
      </c>
      <c r="Q13" s="130" t="s">
        <v>16</v>
      </c>
      <c r="R13" s="130" t="s">
        <v>16</v>
      </c>
      <c r="S13" s="130" t="s">
        <v>17</v>
      </c>
      <c r="T13" s="130" t="s">
        <v>17</v>
      </c>
      <c r="U13" s="128" t="s">
        <v>7</v>
      </c>
      <c r="V13" s="128" t="s">
        <v>7</v>
      </c>
      <c r="W13" s="128" t="s">
        <v>7</v>
      </c>
      <c r="X13" s="128" t="s">
        <v>7</v>
      </c>
      <c r="Y13" s="128" t="s">
        <v>7</v>
      </c>
      <c r="Z13" s="128" t="s">
        <v>7</v>
      </c>
      <c r="AA13" s="128" t="s">
        <v>7</v>
      </c>
      <c r="AB13" s="125" t="s">
        <v>20</v>
      </c>
      <c r="AC13" s="125" t="s">
        <v>20</v>
      </c>
      <c r="AD13" s="125" t="s">
        <v>20</v>
      </c>
      <c r="AE13" s="125" t="s">
        <v>20</v>
      </c>
      <c r="AF13" s="125" t="s">
        <v>20</v>
      </c>
      <c r="AG13" s="128" t="s">
        <v>7</v>
      </c>
      <c r="AH13" s="91">
        <f t="shared" si="0"/>
        <v>144</v>
      </c>
    </row>
    <row r="14" spans="1:34" x14ac:dyDescent="0.35">
      <c r="A14" s="34" t="s">
        <v>12</v>
      </c>
      <c r="B14" s="33" t="s">
        <v>53</v>
      </c>
      <c r="C14" s="133" t="s">
        <v>20</v>
      </c>
      <c r="D14" s="132" t="s">
        <v>20</v>
      </c>
      <c r="E14" s="128" t="s">
        <v>7</v>
      </c>
      <c r="F14" s="128" t="s">
        <v>7</v>
      </c>
      <c r="G14" s="130" t="s">
        <v>16</v>
      </c>
      <c r="H14" s="130" t="s">
        <v>16</v>
      </c>
      <c r="I14" s="130" t="s">
        <v>16</v>
      </c>
      <c r="J14" s="130" t="s">
        <v>16</v>
      </c>
      <c r="K14" s="130" t="s">
        <v>16</v>
      </c>
      <c r="L14" s="130" t="s">
        <v>17</v>
      </c>
      <c r="M14" s="130" t="s">
        <v>17</v>
      </c>
      <c r="N14" s="128" t="s">
        <v>7</v>
      </c>
      <c r="O14" s="128" t="s">
        <v>7</v>
      </c>
      <c r="P14" s="128" t="s">
        <v>7</v>
      </c>
      <c r="Q14" s="128" t="s">
        <v>7</v>
      </c>
      <c r="R14" s="128" t="s">
        <v>7</v>
      </c>
      <c r="S14" s="128" t="s">
        <v>7</v>
      </c>
      <c r="T14" s="128" t="s">
        <v>7</v>
      </c>
      <c r="U14" s="130" t="s">
        <v>16</v>
      </c>
      <c r="V14" s="130" t="s">
        <v>16</v>
      </c>
      <c r="W14" s="130" t="s">
        <v>16</v>
      </c>
      <c r="X14" s="130" t="s">
        <v>16</v>
      </c>
      <c r="Y14" s="130" t="s">
        <v>16</v>
      </c>
      <c r="Z14" s="130" t="s">
        <v>17</v>
      </c>
      <c r="AA14" s="130" t="s">
        <v>17</v>
      </c>
      <c r="AB14" s="128" t="s">
        <v>7</v>
      </c>
      <c r="AC14" s="128" t="s">
        <v>7</v>
      </c>
      <c r="AD14" s="128" t="s">
        <v>7</v>
      </c>
      <c r="AE14" s="128" t="s">
        <v>7</v>
      </c>
      <c r="AF14" s="128" t="s">
        <v>7</v>
      </c>
      <c r="AG14" s="128" t="s">
        <v>7</v>
      </c>
      <c r="AH14" s="91">
        <f t="shared" si="0"/>
        <v>144</v>
      </c>
    </row>
    <row r="15" spans="1:34" x14ac:dyDescent="0.35">
      <c r="A15" s="34"/>
    </row>
    <row r="16" spans="1:34" x14ac:dyDescent="0.35">
      <c r="A16" s="34" t="s">
        <v>12</v>
      </c>
      <c r="B16" s="52" t="s">
        <v>96</v>
      </c>
      <c r="C16" s="135" t="s">
        <v>7</v>
      </c>
      <c r="D16" s="135" t="s">
        <v>7</v>
      </c>
      <c r="E16" s="136" t="s">
        <v>7</v>
      </c>
      <c r="F16" s="136" t="s">
        <v>7</v>
      </c>
      <c r="G16" s="137" t="s">
        <v>54</v>
      </c>
      <c r="H16" s="137" t="s">
        <v>54</v>
      </c>
      <c r="I16" s="137" t="s">
        <v>54</v>
      </c>
      <c r="J16" s="137" t="s">
        <v>54</v>
      </c>
      <c r="K16" s="137" t="s">
        <v>54</v>
      </c>
      <c r="L16" s="136" t="s">
        <v>7</v>
      </c>
      <c r="M16" s="136" t="s">
        <v>7</v>
      </c>
      <c r="N16" s="137" t="s">
        <v>54</v>
      </c>
      <c r="O16" s="137" t="s">
        <v>54</v>
      </c>
      <c r="P16" s="137" t="s">
        <v>54</v>
      </c>
      <c r="Q16" s="137" t="s">
        <v>54</v>
      </c>
      <c r="R16" s="137" t="s">
        <v>54</v>
      </c>
      <c r="S16" s="136" t="s">
        <v>7</v>
      </c>
      <c r="T16" s="136" t="s">
        <v>7</v>
      </c>
      <c r="U16" s="137" t="s">
        <v>54</v>
      </c>
      <c r="V16" s="137" t="s">
        <v>54</v>
      </c>
      <c r="W16" s="137" t="s">
        <v>54</v>
      </c>
      <c r="X16" s="137" t="s">
        <v>54</v>
      </c>
      <c r="Y16" s="137" t="s">
        <v>54</v>
      </c>
      <c r="Z16" s="136" t="s">
        <v>7</v>
      </c>
      <c r="AA16" s="136" t="s">
        <v>7</v>
      </c>
      <c r="AB16" s="137" t="s">
        <v>54</v>
      </c>
      <c r="AC16" s="137" t="s">
        <v>54</v>
      </c>
      <c r="AD16" s="137" t="s">
        <v>54</v>
      </c>
      <c r="AE16" s="137" t="s">
        <v>54</v>
      </c>
      <c r="AF16" s="137" t="s">
        <v>54</v>
      </c>
      <c r="AG16" s="136" t="s">
        <v>7</v>
      </c>
      <c r="AH16" s="91">
        <f t="shared" ref="AH16" si="1">COUNTIFS(C16:AG16,"&lt;&gt;"&amp;"L",C16:AG16,"&lt;&gt;"&amp;"NF",C16:AG16,"&lt;&gt;"&amp;"M/F",C16:AG16,"&lt;&gt;"&amp;"V",C16:AG16,"&lt;&gt;"&amp;"A")*8+COUNTIFS(C16:AG16,"NF")*12+COUNTIFS(C16:AG16,"M/F")*12</f>
        <v>160</v>
      </c>
    </row>
    <row r="17" spans="1:34" x14ac:dyDescent="0.35">
      <c r="A17" s="34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</row>
    <row r="18" spans="1:34" x14ac:dyDescent="0.35">
      <c r="A18" s="34" t="s">
        <v>28</v>
      </c>
      <c r="B18" s="33" t="s">
        <v>29</v>
      </c>
      <c r="C18" s="28" t="s">
        <v>86</v>
      </c>
      <c r="D18" s="25" t="s">
        <v>33</v>
      </c>
      <c r="E18" s="28" t="s">
        <v>30</v>
      </c>
      <c r="F18" s="28" t="s">
        <v>30</v>
      </c>
      <c r="G18" s="17" t="s">
        <v>4</v>
      </c>
      <c r="H18" s="28" t="s">
        <v>7</v>
      </c>
      <c r="I18" s="17" t="s">
        <v>4</v>
      </c>
      <c r="J18" s="17" t="s">
        <v>4</v>
      </c>
      <c r="K18" s="17" t="s">
        <v>4</v>
      </c>
      <c r="L18" s="28" t="s">
        <v>7</v>
      </c>
      <c r="M18" s="28" t="s">
        <v>7</v>
      </c>
      <c r="N18" s="4" t="s">
        <v>14</v>
      </c>
      <c r="O18" s="17" t="s">
        <v>4</v>
      </c>
      <c r="P18" s="17" t="s">
        <v>4</v>
      </c>
      <c r="Q18" s="17" t="s">
        <v>4</v>
      </c>
      <c r="R18" s="17" t="s">
        <v>4</v>
      </c>
      <c r="S18" s="28" t="s">
        <v>7</v>
      </c>
      <c r="T18" s="28" t="s">
        <v>7</v>
      </c>
      <c r="U18" s="118" t="s">
        <v>14</v>
      </c>
      <c r="V18" s="25" t="s">
        <v>14</v>
      </c>
      <c r="W18" s="25" t="s">
        <v>11</v>
      </c>
      <c r="X18" s="25" t="s">
        <v>11</v>
      </c>
      <c r="Y18" s="25" t="s">
        <v>11</v>
      </c>
      <c r="Z18" s="28" t="s">
        <v>7</v>
      </c>
      <c r="AA18" s="28" t="s">
        <v>7</v>
      </c>
      <c r="AB18" s="4" t="s">
        <v>62</v>
      </c>
      <c r="AC18" s="4" t="s">
        <v>62</v>
      </c>
      <c r="AD18" s="4" t="s">
        <v>62</v>
      </c>
      <c r="AE18" s="4" t="s">
        <v>62</v>
      </c>
      <c r="AF18" s="4" t="s">
        <v>62</v>
      </c>
      <c r="AG18" s="28" t="s">
        <v>30</v>
      </c>
      <c r="AH18"/>
    </row>
    <row r="19" spans="1:34" x14ac:dyDescent="0.35">
      <c r="A19" s="34" t="s">
        <v>28</v>
      </c>
      <c r="B19" s="35" t="s">
        <v>60</v>
      </c>
      <c r="C19" s="28" t="s">
        <v>7</v>
      </c>
      <c r="D19" s="17" t="s">
        <v>4</v>
      </c>
      <c r="E19" s="28" t="s">
        <v>7</v>
      </c>
      <c r="F19" s="28" t="s">
        <v>7</v>
      </c>
      <c r="G19" s="4" t="s">
        <v>54</v>
      </c>
      <c r="H19" s="28" t="s">
        <v>7</v>
      </c>
      <c r="I19" s="4" t="s">
        <v>54</v>
      </c>
      <c r="J19" s="4" t="s">
        <v>54</v>
      </c>
      <c r="K19" s="4" t="s">
        <v>54</v>
      </c>
      <c r="L19" s="28" t="s">
        <v>7</v>
      </c>
      <c r="M19" s="28" t="s">
        <v>7</v>
      </c>
      <c r="N19" s="25" t="s">
        <v>32</v>
      </c>
      <c r="O19" s="25" t="s">
        <v>32</v>
      </c>
      <c r="P19" s="25" t="s">
        <v>32</v>
      </c>
      <c r="Q19" s="25" t="s">
        <v>32</v>
      </c>
      <c r="R19" s="4" t="s">
        <v>33</v>
      </c>
      <c r="S19" s="28" t="s">
        <v>30</v>
      </c>
      <c r="T19" s="28" t="s">
        <v>30</v>
      </c>
      <c r="U19" s="4" t="s">
        <v>62</v>
      </c>
      <c r="V19" s="4" t="s">
        <v>32</v>
      </c>
      <c r="W19" s="4" t="s">
        <v>62</v>
      </c>
      <c r="X19" s="4" t="s">
        <v>62</v>
      </c>
      <c r="Y19" s="4" t="s">
        <v>62</v>
      </c>
      <c r="Z19" s="28" t="s">
        <v>30</v>
      </c>
      <c r="AA19" s="28" t="s">
        <v>30</v>
      </c>
      <c r="AB19" s="25" t="s">
        <v>11</v>
      </c>
      <c r="AC19" s="25" t="s">
        <v>11</v>
      </c>
      <c r="AD19" s="25" t="s">
        <v>11</v>
      </c>
      <c r="AE19" s="25" t="s">
        <v>11</v>
      </c>
      <c r="AF19" s="25" t="s">
        <v>11</v>
      </c>
      <c r="AG19" s="28" t="s">
        <v>7</v>
      </c>
    </row>
    <row r="20" spans="1:34" x14ac:dyDescent="0.35">
      <c r="A20" s="34" t="s">
        <v>28</v>
      </c>
      <c r="B20" s="35" t="s">
        <v>34</v>
      </c>
      <c r="C20" s="28" t="s">
        <v>7</v>
      </c>
      <c r="D20" s="4" t="s">
        <v>11</v>
      </c>
      <c r="E20" s="28" t="s">
        <v>7</v>
      </c>
      <c r="F20" s="28" t="s">
        <v>7</v>
      </c>
      <c r="G20" s="25" t="s">
        <v>32</v>
      </c>
      <c r="H20" s="28" t="s">
        <v>30</v>
      </c>
      <c r="I20" s="25" t="s">
        <v>32</v>
      </c>
      <c r="J20" s="25" t="s">
        <v>32</v>
      </c>
      <c r="K20" s="25" t="s">
        <v>32</v>
      </c>
      <c r="L20" s="28" t="s">
        <v>30</v>
      </c>
      <c r="M20" s="28" t="s">
        <v>30</v>
      </c>
      <c r="N20" s="17" t="s">
        <v>4</v>
      </c>
      <c r="O20" s="4" t="s">
        <v>54</v>
      </c>
      <c r="P20" s="4" t="s">
        <v>54</v>
      </c>
      <c r="Q20" s="4" t="s">
        <v>54</v>
      </c>
      <c r="R20" s="4" t="s">
        <v>54</v>
      </c>
      <c r="S20" s="28" t="s">
        <v>7</v>
      </c>
      <c r="T20" s="28" t="s">
        <v>7</v>
      </c>
      <c r="U20" s="138"/>
      <c r="V20" s="138"/>
      <c r="W20" s="138"/>
      <c r="X20" s="138"/>
      <c r="Y20" s="138"/>
      <c r="Z20" s="139"/>
      <c r="AA20" s="139"/>
      <c r="AB20" s="140"/>
      <c r="AC20" s="140"/>
      <c r="AD20" s="140"/>
      <c r="AE20" s="140"/>
      <c r="AF20" s="140"/>
      <c r="AG20" s="139"/>
    </row>
    <row r="22" spans="1:34" x14ac:dyDescent="0.35">
      <c r="B22" s="111" t="s">
        <v>89</v>
      </c>
      <c r="C22" s="110">
        <f>SUM(C23:C25)</f>
        <v>6</v>
      </c>
      <c r="D22" s="110">
        <f t="shared" ref="D22:AG22" si="2">SUM(D23:D25)</f>
        <v>6</v>
      </c>
      <c r="E22" s="110">
        <f t="shared" si="2"/>
        <v>4</v>
      </c>
      <c r="F22" s="110">
        <f t="shared" si="2"/>
        <v>4</v>
      </c>
      <c r="G22" s="110">
        <f t="shared" si="2"/>
        <v>7</v>
      </c>
      <c r="H22" s="110">
        <f t="shared" si="2"/>
        <v>7</v>
      </c>
      <c r="I22" s="110">
        <f t="shared" si="2"/>
        <v>7</v>
      </c>
      <c r="J22" s="110">
        <f t="shared" si="2"/>
        <v>7</v>
      </c>
      <c r="K22" s="110">
        <f t="shared" si="2"/>
        <v>7</v>
      </c>
      <c r="L22" s="110">
        <f t="shared" si="2"/>
        <v>4</v>
      </c>
      <c r="M22" s="110">
        <f t="shared" si="2"/>
        <v>4</v>
      </c>
      <c r="N22" s="110">
        <f t="shared" si="2"/>
        <v>7</v>
      </c>
      <c r="O22" s="110">
        <f t="shared" si="2"/>
        <v>7</v>
      </c>
      <c r="P22" s="110">
        <f t="shared" si="2"/>
        <v>7</v>
      </c>
      <c r="Q22" s="110">
        <f t="shared" si="2"/>
        <v>7</v>
      </c>
      <c r="R22" s="110">
        <f t="shared" si="2"/>
        <v>7</v>
      </c>
      <c r="S22" s="110">
        <f t="shared" si="2"/>
        <v>4</v>
      </c>
      <c r="T22" s="110">
        <f t="shared" si="2"/>
        <v>4</v>
      </c>
      <c r="U22" s="110">
        <f t="shared" si="2"/>
        <v>5</v>
      </c>
      <c r="V22" s="110">
        <f t="shared" si="2"/>
        <v>5</v>
      </c>
      <c r="W22" s="110">
        <f t="shared" si="2"/>
        <v>6</v>
      </c>
      <c r="X22" s="110">
        <f t="shared" si="2"/>
        <v>6</v>
      </c>
      <c r="Y22" s="110">
        <f t="shared" si="2"/>
        <v>6</v>
      </c>
      <c r="Z22" s="110">
        <f t="shared" si="2"/>
        <v>4</v>
      </c>
      <c r="AA22" s="110">
        <f t="shared" si="2"/>
        <v>4</v>
      </c>
      <c r="AB22" s="110">
        <f t="shared" si="2"/>
        <v>6</v>
      </c>
      <c r="AC22" s="110">
        <f t="shared" si="2"/>
        <v>6</v>
      </c>
      <c r="AD22" s="110">
        <f t="shared" si="2"/>
        <v>6</v>
      </c>
      <c r="AE22" s="110">
        <f t="shared" si="2"/>
        <v>6</v>
      </c>
      <c r="AF22" s="110">
        <f t="shared" si="2"/>
        <v>6</v>
      </c>
      <c r="AG22" s="110">
        <f t="shared" si="2"/>
        <v>4</v>
      </c>
    </row>
    <row r="23" spans="1:34" x14ac:dyDescent="0.35">
      <c r="B23" s="111" t="s">
        <v>90</v>
      </c>
      <c r="C23" s="112">
        <f>COUNTIF(C4:C20,"T")</f>
        <v>2</v>
      </c>
      <c r="D23" s="112">
        <f t="shared" ref="D23:AG23" si="3">COUNTIF(D4:D20,"T")</f>
        <v>2</v>
      </c>
      <c r="E23" s="112">
        <f t="shared" si="3"/>
        <v>0</v>
      </c>
      <c r="F23" s="112">
        <f t="shared" si="3"/>
        <v>0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0</v>
      </c>
      <c r="M23" s="112">
        <f t="shared" si="3"/>
        <v>0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0</v>
      </c>
      <c r="T23" s="112">
        <f t="shared" si="3"/>
        <v>0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0</v>
      </c>
      <c r="AA23" s="112">
        <f t="shared" si="3"/>
        <v>0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0</v>
      </c>
    </row>
    <row r="24" spans="1:34" x14ac:dyDescent="0.35">
      <c r="B24" s="111" t="s">
        <v>91</v>
      </c>
      <c r="C24" s="112">
        <f t="shared" ref="C24:AG24" si="4">COUNTIF(C4:C20,"N")+COUNTIF(C4:C20,"NF")</f>
        <v>2</v>
      </c>
      <c r="D24" s="112">
        <f t="shared" si="4"/>
        <v>2</v>
      </c>
      <c r="E24" s="112">
        <f t="shared" si="4"/>
        <v>2</v>
      </c>
      <c r="F24" s="112">
        <f t="shared" si="4"/>
        <v>2</v>
      </c>
      <c r="G24" s="112">
        <f t="shared" si="4"/>
        <v>2</v>
      </c>
      <c r="H24" s="112">
        <f t="shared" si="4"/>
        <v>2</v>
      </c>
      <c r="I24" s="112">
        <f t="shared" si="4"/>
        <v>2</v>
      </c>
      <c r="J24" s="112">
        <f t="shared" si="4"/>
        <v>2</v>
      </c>
      <c r="K24" s="112">
        <f t="shared" si="4"/>
        <v>2</v>
      </c>
      <c r="L24" s="112">
        <f t="shared" si="4"/>
        <v>2</v>
      </c>
      <c r="M24" s="112">
        <f t="shared" si="4"/>
        <v>2</v>
      </c>
      <c r="N24" s="112">
        <f t="shared" si="4"/>
        <v>2</v>
      </c>
      <c r="O24" s="112">
        <f t="shared" si="4"/>
        <v>2</v>
      </c>
      <c r="P24" s="112">
        <f t="shared" si="4"/>
        <v>2</v>
      </c>
      <c r="Q24" s="112">
        <f t="shared" si="4"/>
        <v>2</v>
      </c>
      <c r="R24" s="112">
        <f t="shared" si="4"/>
        <v>2</v>
      </c>
      <c r="S24" s="112">
        <f t="shared" si="4"/>
        <v>2</v>
      </c>
      <c r="T24" s="112">
        <f t="shared" si="4"/>
        <v>2</v>
      </c>
      <c r="U24" s="112">
        <f t="shared" si="4"/>
        <v>2</v>
      </c>
      <c r="V24" s="112">
        <f t="shared" si="4"/>
        <v>2</v>
      </c>
      <c r="W24" s="112">
        <f t="shared" si="4"/>
        <v>2</v>
      </c>
      <c r="X24" s="112">
        <f t="shared" si="4"/>
        <v>2</v>
      </c>
      <c r="Y24" s="112">
        <f t="shared" si="4"/>
        <v>2</v>
      </c>
      <c r="Z24" s="112">
        <f t="shared" si="4"/>
        <v>2</v>
      </c>
      <c r="AA24" s="112">
        <f t="shared" si="4"/>
        <v>2</v>
      </c>
      <c r="AB24" s="112">
        <f t="shared" si="4"/>
        <v>2</v>
      </c>
      <c r="AC24" s="112">
        <f t="shared" si="4"/>
        <v>2</v>
      </c>
      <c r="AD24" s="112">
        <f t="shared" si="4"/>
        <v>2</v>
      </c>
      <c r="AE24" s="112">
        <f t="shared" si="4"/>
        <v>2</v>
      </c>
      <c r="AF24" s="112">
        <f t="shared" si="4"/>
        <v>2</v>
      </c>
      <c r="AG24" s="112">
        <f t="shared" si="4"/>
        <v>2</v>
      </c>
    </row>
    <row r="25" spans="1:34" x14ac:dyDescent="0.35">
      <c r="B25" s="111" t="s">
        <v>92</v>
      </c>
      <c r="C25" s="112">
        <f>COUNTIF(C4:C20,"M/F")+COUNTIF(C4:C20,"M1")+COUNTIF(C4:C20,"M3")+COUNTIF(C4:C20,"M3/G")+COUNTIF(C4:C20,"M2")</f>
        <v>2</v>
      </c>
      <c r="D25" s="112">
        <f>COUNTIF(D4:D20,"M/F")+COUNTIF(D4:D20,"M1")+COUNTIF(D4:D20,"M3")+COUNTIF(D4:D20,"M3/G")+COUNTIF(D4:D20,"M2")</f>
        <v>2</v>
      </c>
      <c r="E25" s="112">
        <f>COUNTIF(E4:E20,"M1")+COUNTIF(E4:E20,"NF")</f>
        <v>2</v>
      </c>
      <c r="F25" s="112">
        <f t="shared" ref="F25:AG25" si="5">COUNTIF(F4:F20,"M/F")+COUNTIF(F4:F20,"M1")+COUNTIF(F4:F20,"M3")+COUNTIF(F4:F20,"M3/G")+COUNTIF(F4:F20,"M2")</f>
        <v>2</v>
      </c>
      <c r="G25" s="112">
        <f t="shared" si="5"/>
        <v>3</v>
      </c>
      <c r="H25" s="112">
        <f t="shared" si="5"/>
        <v>3</v>
      </c>
      <c r="I25" s="112">
        <f t="shared" si="5"/>
        <v>3</v>
      </c>
      <c r="J25" s="112">
        <f t="shared" si="5"/>
        <v>3</v>
      </c>
      <c r="K25" s="112">
        <f t="shared" si="5"/>
        <v>3</v>
      </c>
      <c r="L25" s="112">
        <f t="shared" si="5"/>
        <v>2</v>
      </c>
      <c r="M25" s="112">
        <f t="shared" si="5"/>
        <v>2</v>
      </c>
      <c r="N25" s="112">
        <f t="shared" si="5"/>
        <v>3</v>
      </c>
      <c r="O25" s="112">
        <f>COUNTIF(O4:O20,"M/F")+COUNTIF(O4:O20,"M1")+COUNTIF(O4:O20,"M3")+COUNTIF(O4:O20,"M3/G")+COUNTIF(O4:O20,"M2")</f>
        <v>3</v>
      </c>
      <c r="P25" s="112">
        <f t="shared" si="5"/>
        <v>3</v>
      </c>
      <c r="Q25" s="112">
        <f t="shared" si="5"/>
        <v>3</v>
      </c>
      <c r="R25" s="112">
        <f t="shared" si="5"/>
        <v>3</v>
      </c>
      <c r="S25" s="112">
        <f t="shared" si="5"/>
        <v>2</v>
      </c>
      <c r="T25" s="112">
        <f t="shared" si="5"/>
        <v>2</v>
      </c>
      <c r="U25" s="112">
        <f t="shared" si="5"/>
        <v>1</v>
      </c>
      <c r="V25" s="112">
        <f t="shared" si="5"/>
        <v>1</v>
      </c>
      <c r="W25" s="112">
        <f t="shared" si="5"/>
        <v>2</v>
      </c>
      <c r="X25" s="112">
        <f t="shared" si="5"/>
        <v>2</v>
      </c>
      <c r="Y25" s="112">
        <f t="shared" si="5"/>
        <v>2</v>
      </c>
      <c r="Z25" s="112">
        <f t="shared" si="5"/>
        <v>2</v>
      </c>
      <c r="AA25" s="112">
        <f t="shared" si="5"/>
        <v>2</v>
      </c>
      <c r="AB25" s="112">
        <f t="shared" si="5"/>
        <v>2</v>
      </c>
      <c r="AC25" s="112">
        <f t="shared" si="5"/>
        <v>2</v>
      </c>
      <c r="AD25" s="112">
        <f t="shared" si="5"/>
        <v>2</v>
      </c>
      <c r="AE25" s="112">
        <f t="shared" si="5"/>
        <v>2</v>
      </c>
      <c r="AF25" s="112">
        <f t="shared" si="5"/>
        <v>2</v>
      </c>
      <c r="AG25" s="112">
        <f t="shared" si="5"/>
        <v>2</v>
      </c>
    </row>
    <row r="27" spans="1:34" x14ac:dyDescent="0.35">
      <c r="B27" t="s">
        <v>65</v>
      </c>
    </row>
    <row r="28" spans="1:34" x14ac:dyDescent="0.35">
      <c r="B28" s="5" t="s">
        <v>66</v>
      </c>
    </row>
    <row r="29" spans="1:34" x14ac:dyDescent="0.35">
      <c r="B29" s="5" t="s">
        <v>67</v>
      </c>
    </row>
    <row r="30" spans="1:34" x14ac:dyDescent="0.35">
      <c r="B30" s="1" t="s">
        <v>68</v>
      </c>
    </row>
    <row r="31" spans="1:34" x14ac:dyDescent="0.35">
      <c r="B31" s="7" t="s">
        <v>69</v>
      </c>
    </row>
    <row r="32" spans="1:34" x14ac:dyDescent="0.35">
      <c r="B32" s="3" t="s">
        <v>70</v>
      </c>
    </row>
    <row r="33" spans="2:2" x14ac:dyDescent="0.35">
      <c r="B33" s="5" t="s">
        <v>71</v>
      </c>
    </row>
    <row r="34" spans="2:2" x14ac:dyDescent="0.35">
      <c r="B34" s="3" t="s">
        <v>72</v>
      </c>
    </row>
    <row r="35" spans="2:2" x14ac:dyDescent="0.35">
      <c r="B35" s="4" t="s">
        <v>73</v>
      </c>
    </row>
    <row r="36" spans="2:2" x14ac:dyDescent="0.35">
      <c r="B36" s="25" t="s">
        <v>74</v>
      </c>
    </row>
    <row r="37" spans="2:2" x14ac:dyDescent="0.35">
      <c r="B37" s="4" t="s">
        <v>93</v>
      </c>
    </row>
    <row r="38" spans="2:2" x14ac:dyDescent="0.35">
      <c r="B38" s="28" t="s">
        <v>76</v>
      </c>
    </row>
    <row r="39" spans="2:2" x14ac:dyDescent="0.35">
      <c r="B39" s="17" t="s">
        <v>77</v>
      </c>
    </row>
  </sheetData>
  <mergeCells count="2">
    <mergeCell ref="B1:B3"/>
    <mergeCell ref="C1:AG1"/>
  </mergeCells>
  <phoneticPr fontId="1" type="noConversion"/>
  <conditionalFormatting sqref="C23:AG25">
    <cfRule type="cellIs" dxfId="11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A10D-8797-4950-85B9-1118D6A687D4}">
  <dimension ref="A1:AH41"/>
  <sheetViews>
    <sheetView topLeftCell="B1" workbookViewId="0">
      <selection activeCell="V5" sqref="V5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75"/>
      <c r="C1" s="189" t="s">
        <v>98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</row>
    <row r="2" spans="1:34" x14ac:dyDescent="0.35">
      <c r="A2" s="6"/>
      <c r="B2" s="175"/>
      <c r="C2" s="83" t="s">
        <v>6</v>
      </c>
      <c r="D2" s="84" t="s">
        <v>7</v>
      </c>
      <c r="E2" s="84" t="s">
        <v>1</v>
      </c>
      <c r="F2" s="85" t="s">
        <v>2</v>
      </c>
      <c r="G2" s="85" t="s">
        <v>3</v>
      </c>
      <c r="H2" s="85" t="s">
        <v>4</v>
      </c>
      <c r="I2" s="83" t="s">
        <v>5</v>
      </c>
      <c r="J2" s="83" t="s">
        <v>6</v>
      </c>
      <c r="K2" s="84" t="s">
        <v>7</v>
      </c>
      <c r="L2" s="84" t="s">
        <v>1</v>
      </c>
      <c r="M2" s="85" t="s">
        <v>2</v>
      </c>
      <c r="N2" s="85" t="s">
        <v>3</v>
      </c>
      <c r="O2" s="85" t="s">
        <v>4</v>
      </c>
      <c r="P2" s="83" t="s">
        <v>5</v>
      </c>
      <c r="Q2" s="83" t="s">
        <v>6</v>
      </c>
      <c r="R2" s="84" t="s">
        <v>7</v>
      </c>
      <c r="S2" s="84" t="s">
        <v>1</v>
      </c>
      <c r="T2" s="85" t="s">
        <v>2</v>
      </c>
      <c r="U2" s="85" t="s">
        <v>3</v>
      </c>
      <c r="V2" s="85" t="s">
        <v>4</v>
      </c>
      <c r="W2" s="83" t="s">
        <v>5</v>
      </c>
      <c r="X2" s="83" t="s">
        <v>6</v>
      </c>
      <c r="Y2" s="84" t="s">
        <v>7</v>
      </c>
      <c r="Z2" s="84" t="s">
        <v>1</v>
      </c>
      <c r="AA2" s="85" t="s">
        <v>2</v>
      </c>
      <c r="AB2" s="85" t="s">
        <v>3</v>
      </c>
      <c r="AC2" s="85" t="s">
        <v>4</v>
      </c>
      <c r="AD2" s="83" t="s">
        <v>5</v>
      </c>
      <c r="AH2"/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H3"/>
    </row>
    <row r="4" spans="1:34" x14ac:dyDescent="0.35">
      <c r="A4" s="63" t="s">
        <v>12</v>
      </c>
      <c r="B4" s="62" t="s">
        <v>13</v>
      </c>
      <c r="C4" s="28" t="s">
        <v>7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5" t="s">
        <v>15</v>
      </c>
      <c r="J4" s="5" t="s">
        <v>15</v>
      </c>
      <c r="K4" s="28" t="s">
        <v>7</v>
      </c>
      <c r="L4" s="28" t="s">
        <v>7</v>
      </c>
      <c r="M4" s="28" t="s">
        <v>7</v>
      </c>
      <c r="N4" s="28" t="s">
        <v>7</v>
      </c>
      <c r="O4" s="109" t="s">
        <v>4</v>
      </c>
      <c r="P4" s="28" t="s">
        <v>7</v>
      </c>
      <c r="Q4" s="28" t="s">
        <v>7</v>
      </c>
      <c r="R4" s="5" t="s">
        <v>14</v>
      </c>
      <c r="S4" s="5" t="s">
        <v>14</v>
      </c>
      <c r="T4" s="5" t="s">
        <v>14</v>
      </c>
      <c r="U4" s="5" t="s">
        <v>14</v>
      </c>
      <c r="V4" s="5" t="s">
        <v>14</v>
      </c>
      <c r="W4" s="5" t="s">
        <v>15</v>
      </c>
      <c r="X4" s="5" t="s">
        <v>15</v>
      </c>
      <c r="Y4" s="28" t="s">
        <v>7</v>
      </c>
      <c r="Z4" s="28" t="s">
        <v>7</v>
      </c>
      <c r="AA4" s="28" t="s">
        <v>7</v>
      </c>
      <c r="AB4" s="28" t="s">
        <v>7</v>
      </c>
      <c r="AC4" s="109" t="s">
        <v>4</v>
      </c>
      <c r="AD4" s="28" t="s">
        <v>7</v>
      </c>
      <c r="AH4"/>
    </row>
    <row r="5" spans="1:34" x14ac:dyDescent="0.35">
      <c r="A5" s="34" t="s">
        <v>12</v>
      </c>
      <c r="B5" s="33" t="s">
        <v>19</v>
      </c>
      <c r="C5" s="28" t="s">
        <v>7</v>
      </c>
      <c r="D5" s="7" t="s">
        <v>20</v>
      </c>
      <c r="E5" s="7" t="s">
        <v>20</v>
      </c>
      <c r="F5" s="7" t="s">
        <v>20</v>
      </c>
      <c r="G5" s="7" t="s">
        <v>20</v>
      </c>
      <c r="H5" s="7" t="s">
        <v>20</v>
      </c>
      <c r="I5" s="28" t="s">
        <v>7</v>
      </c>
      <c r="J5" s="28" t="s">
        <v>7</v>
      </c>
      <c r="K5" s="1" t="s">
        <v>14</v>
      </c>
      <c r="L5" s="1" t="s">
        <v>14</v>
      </c>
      <c r="M5" s="1" t="s">
        <v>14</v>
      </c>
      <c r="N5" s="1" t="s">
        <v>14</v>
      </c>
      <c r="O5" s="1" t="s">
        <v>14</v>
      </c>
      <c r="P5" s="5" t="s">
        <v>15</v>
      </c>
      <c r="Q5" s="5" t="s">
        <v>15</v>
      </c>
      <c r="R5" s="28" t="s">
        <v>7</v>
      </c>
      <c r="S5" s="28" t="s">
        <v>7</v>
      </c>
      <c r="T5" s="28" t="s">
        <v>7</v>
      </c>
      <c r="U5" s="28" t="s">
        <v>7</v>
      </c>
      <c r="V5" s="109" t="s">
        <v>4</v>
      </c>
      <c r="W5" s="28" t="s">
        <v>7</v>
      </c>
      <c r="X5" s="28" t="s">
        <v>7</v>
      </c>
      <c r="Y5" s="5" t="s">
        <v>14</v>
      </c>
      <c r="Z5" s="5" t="s">
        <v>14</v>
      </c>
      <c r="AA5" s="5" t="s">
        <v>14</v>
      </c>
      <c r="AB5" s="5" t="s">
        <v>14</v>
      </c>
      <c r="AC5" s="5" t="s">
        <v>14</v>
      </c>
      <c r="AD5" s="5" t="s">
        <v>15</v>
      </c>
      <c r="AH5"/>
    </row>
    <row r="6" spans="1:34" x14ac:dyDescent="0.35">
      <c r="A6" s="34" t="s">
        <v>12</v>
      </c>
      <c r="B6" s="33" t="s">
        <v>21</v>
      </c>
      <c r="C6" s="5" t="s">
        <v>15</v>
      </c>
      <c r="D6" s="28" t="s">
        <v>7</v>
      </c>
      <c r="E6" s="28" t="s">
        <v>7</v>
      </c>
      <c r="F6" s="28" t="s">
        <v>7</v>
      </c>
      <c r="G6" s="28" t="s">
        <v>7</v>
      </c>
      <c r="H6" s="109" t="s">
        <v>4</v>
      </c>
      <c r="I6" s="28" t="s">
        <v>7</v>
      </c>
      <c r="J6" s="28" t="s">
        <v>7</v>
      </c>
      <c r="K6" s="7" t="s">
        <v>20</v>
      </c>
      <c r="L6" s="7" t="s">
        <v>20</v>
      </c>
      <c r="M6" s="7" t="s">
        <v>20</v>
      </c>
      <c r="N6" s="7" t="s">
        <v>20</v>
      </c>
      <c r="O6" s="7" t="s">
        <v>20</v>
      </c>
      <c r="P6" s="28" t="s">
        <v>7</v>
      </c>
      <c r="Q6" s="28" t="s">
        <v>7</v>
      </c>
      <c r="R6" s="1" t="s">
        <v>14</v>
      </c>
      <c r="S6" s="1" t="s">
        <v>14</v>
      </c>
      <c r="T6" s="1" t="s">
        <v>14</v>
      </c>
      <c r="U6" s="1" t="s">
        <v>14</v>
      </c>
      <c r="V6" s="1" t="s">
        <v>14</v>
      </c>
      <c r="W6" s="5" t="s">
        <v>15</v>
      </c>
      <c r="X6" s="5" t="s">
        <v>15</v>
      </c>
      <c r="Y6" s="28" t="s">
        <v>7</v>
      </c>
      <c r="Z6" s="28" t="s">
        <v>7</v>
      </c>
      <c r="AA6" s="28" t="s">
        <v>7</v>
      </c>
      <c r="AB6" s="109" t="s">
        <v>4</v>
      </c>
      <c r="AC6" s="28" t="s">
        <v>7</v>
      </c>
      <c r="AD6" s="28" t="s">
        <v>7</v>
      </c>
      <c r="AH6"/>
    </row>
    <row r="7" spans="1:34" x14ac:dyDescent="0.35">
      <c r="A7" s="34" t="s">
        <v>12</v>
      </c>
      <c r="B7" s="33" t="s">
        <v>22</v>
      </c>
      <c r="C7" s="28" t="s">
        <v>7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28" t="s">
        <v>7</v>
      </c>
      <c r="L7" s="28" t="s">
        <v>7</v>
      </c>
      <c r="M7" s="28" t="s">
        <v>7</v>
      </c>
      <c r="N7" s="109" t="s">
        <v>4</v>
      </c>
      <c r="O7" s="28" t="s">
        <v>7</v>
      </c>
      <c r="P7" s="28" t="s">
        <v>7</v>
      </c>
      <c r="Q7" s="28" t="s">
        <v>7</v>
      </c>
      <c r="R7" s="7" t="s">
        <v>20</v>
      </c>
      <c r="S7" s="7" t="s">
        <v>20</v>
      </c>
      <c r="T7" s="7" t="s">
        <v>20</v>
      </c>
      <c r="U7" s="7" t="s">
        <v>20</v>
      </c>
      <c r="V7" s="7" t="s">
        <v>20</v>
      </c>
      <c r="W7" s="28" t="s">
        <v>7</v>
      </c>
      <c r="X7" s="28" t="s">
        <v>7</v>
      </c>
      <c r="Y7" s="1" t="s">
        <v>14</v>
      </c>
      <c r="Z7" s="1" t="s">
        <v>14</v>
      </c>
      <c r="AA7" s="1" t="s">
        <v>14</v>
      </c>
      <c r="AB7" s="1" t="s">
        <v>14</v>
      </c>
      <c r="AC7" s="1" t="s">
        <v>14</v>
      </c>
      <c r="AD7" s="5" t="s">
        <v>15</v>
      </c>
      <c r="AH7"/>
    </row>
    <row r="8" spans="1:34" x14ac:dyDescent="0.35">
      <c r="A8" s="34" t="s">
        <v>12</v>
      </c>
      <c r="B8" s="33" t="s">
        <v>59</v>
      </c>
      <c r="C8" s="5" t="s">
        <v>15</v>
      </c>
      <c r="D8" s="28" t="s">
        <v>7</v>
      </c>
      <c r="E8" s="28" t="s">
        <v>7</v>
      </c>
      <c r="F8" s="28" t="s">
        <v>7</v>
      </c>
      <c r="G8" s="109" t="s">
        <v>4</v>
      </c>
      <c r="H8" s="28" t="s">
        <v>7</v>
      </c>
      <c r="I8" s="28" t="s">
        <v>7</v>
      </c>
      <c r="J8" s="28" t="s">
        <v>7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15</v>
      </c>
      <c r="Q8" s="5" t="s">
        <v>15</v>
      </c>
      <c r="R8" s="28" t="s">
        <v>7</v>
      </c>
      <c r="S8" s="28" t="s">
        <v>7</v>
      </c>
      <c r="T8" s="28" t="s">
        <v>7</v>
      </c>
      <c r="U8" s="109" t="s">
        <v>4</v>
      </c>
      <c r="V8" s="28" t="s">
        <v>7</v>
      </c>
      <c r="W8" s="28" t="s">
        <v>7</v>
      </c>
      <c r="X8" s="28" t="s">
        <v>7</v>
      </c>
      <c r="Y8" s="7" t="s">
        <v>20</v>
      </c>
      <c r="Z8" s="7" t="s">
        <v>20</v>
      </c>
      <c r="AA8" s="7" t="s">
        <v>20</v>
      </c>
      <c r="AB8" s="7" t="s">
        <v>20</v>
      </c>
      <c r="AC8" s="7" t="s">
        <v>20</v>
      </c>
      <c r="AD8" s="28" t="s">
        <v>7</v>
      </c>
      <c r="AH8"/>
    </row>
    <row r="9" spans="1:34" x14ac:dyDescent="0.35">
      <c r="A9" s="34" t="s">
        <v>12</v>
      </c>
      <c r="B9" s="33" t="s">
        <v>99</v>
      </c>
      <c r="C9" s="28" t="s">
        <v>7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28" t="s">
        <v>7</v>
      </c>
      <c r="J9" s="28" t="s">
        <v>7</v>
      </c>
      <c r="K9" s="25" t="s">
        <v>11</v>
      </c>
      <c r="L9" s="25" t="s">
        <v>11</v>
      </c>
      <c r="M9" s="25" t="s">
        <v>11</v>
      </c>
      <c r="N9" s="25" t="s">
        <v>11</v>
      </c>
      <c r="O9" s="25" t="s">
        <v>11</v>
      </c>
      <c r="P9" s="28" t="s">
        <v>7</v>
      </c>
      <c r="Q9" s="28" t="s">
        <v>7</v>
      </c>
      <c r="R9" s="5" t="s">
        <v>14</v>
      </c>
      <c r="S9" s="5" t="s">
        <v>14</v>
      </c>
      <c r="T9" s="5" t="s">
        <v>14</v>
      </c>
      <c r="U9" s="5" t="s">
        <v>14</v>
      </c>
      <c r="V9" s="5" t="s">
        <v>14</v>
      </c>
      <c r="W9" s="28" t="s">
        <v>7</v>
      </c>
      <c r="X9" s="28" t="s">
        <v>7</v>
      </c>
      <c r="Y9" s="5" t="s">
        <v>14</v>
      </c>
      <c r="Z9" s="5" t="s">
        <v>14</v>
      </c>
      <c r="AA9" s="5" t="s">
        <v>14</v>
      </c>
      <c r="AB9" s="5" t="s">
        <v>14</v>
      </c>
      <c r="AC9" s="5" t="s">
        <v>14</v>
      </c>
      <c r="AD9" s="28" t="s">
        <v>7</v>
      </c>
      <c r="AH9"/>
    </row>
    <row r="10" spans="1:34" x14ac:dyDescent="0.35">
      <c r="A10" s="34" t="s">
        <v>12</v>
      </c>
      <c r="B10" s="33" t="s">
        <v>48</v>
      </c>
      <c r="C10" s="28" t="s">
        <v>7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28" t="s">
        <v>7</v>
      </c>
      <c r="J10" s="28" t="s">
        <v>7</v>
      </c>
      <c r="K10" s="5" t="s">
        <v>14</v>
      </c>
      <c r="L10" s="5" t="s">
        <v>14</v>
      </c>
      <c r="M10" s="5" t="s">
        <v>14</v>
      </c>
      <c r="N10" s="5" t="s">
        <v>14</v>
      </c>
      <c r="O10" s="5" t="s">
        <v>14</v>
      </c>
      <c r="P10" s="28" t="s">
        <v>7</v>
      </c>
      <c r="Q10" s="28" t="s">
        <v>7</v>
      </c>
      <c r="R10" s="5" t="s">
        <v>14</v>
      </c>
      <c r="S10" s="5" t="s">
        <v>14</v>
      </c>
      <c r="T10" s="5" t="s">
        <v>14</v>
      </c>
      <c r="U10" s="5" t="s">
        <v>14</v>
      </c>
      <c r="V10" s="5" t="s">
        <v>14</v>
      </c>
      <c r="W10" s="28" t="s">
        <v>7</v>
      </c>
      <c r="X10" s="28" t="s">
        <v>7</v>
      </c>
      <c r="Y10" s="5" t="s">
        <v>14</v>
      </c>
      <c r="Z10" s="5" t="s">
        <v>14</v>
      </c>
      <c r="AA10" s="5" t="s">
        <v>14</v>
      </c>
      <c r="AB10" s="5" t="s">
        <v>14</v>
      </c>
      <c r="AC10" s="5" t="s">
        <v>14</v>
      </c>
      <c r="AD10" s="28" t="s">
        <v>7</v>
      </c>
      <c r="AH10"/>
    </row>
    <row r="11" spans="1:34" x14ac:dyDescent="0.35">
      <c r="A11" s="34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H11"/>
    </row>
    <row r="12" spans="1:34" x14ac:dyDescent="0.35">
      <c r="A12" s="34" t="s">
        <v>12</v>
      </c>
      <c r="B12" s="33" t="s">
        <v>100</v>
      </c>
      <c r="C12" s="130" t="s">
        <v>17</v>
      </c>
      <c r="D12" s="124" t="s">
        <v>7</v>
      </c>
      <c r="E12" s="124" t="s">
        <v>7</v>
      </c>
      <c r="F12" s="124" t="s">
        <v>7</v>
      </c>
      <c r="G12" s="109" t="s">
        <v>4</v>
      </c>
      <c r="H12" s="124" t="s">
        <v>7</v>
      </c>
      <c r="I12" s="124" t="s">
        <v>7</v>
      </c>
      <c r="J12" s="124" t="s">
        <v>7</v>
      </c>
      <c r="K12" s="125" t="s">
        <v>20</v>
      </c>
      <c r="L12" s="141" t="s">
        <v>16</v>
      </c>
      <c r="M12" s="125" t="s">
        <v>20</v>
      </c>
      <c r="N12" s="125" t="s">
        <v>20</v>
      </c>
      <c r="O12" s="125" t="s">
        <v>20</v>
      </c>
      <c r="P12" s="124" t="s">
        <v>7</v>
      </c>
      <c r="Q12" s="124" t="s">
        <v>7</v>
      </c>
      <c r="R12" s="143" t="s">
        <v>20</v>
      </c>
      <c r="S12" s="143" t="s">
        <v>20</v>
      </c>
      <c r="T12" s="143" t="s">
        <v>20</v>
      </c>
      <c r="U12" s="143" t="s">
        <v>20</v>
      </c>
      <c r="V12" s="143" t="s">
        <v>20</v>
      </c>
      <c r="W12" s="130" t="s">
        <v>17</v>
      </c>
      <c r="X12" s="130" t="s">
        <v>17</v>
      </c>
      <c r="Y12" s="124" t="s">
        <v>7</v>
      </c>
      <c r="Z12" s="124" t="s">
        <v>7</v>
      </c>
      <c r="AA12" s="124" t="s">
        <v>7</v>
      </c>
      <c r="AB12" s="109" t="s">
        <v>4</v>
      </c>
      <c r="AC12" s="124" t="s">
        <v>7</v>
      </c>
      <c r="AD12" s="124" t="s">
        <v>7</v>
      </c>
      <c r="AH12"/>
    </row>
    <row r="13" spans="1:34" x14ac:dyDescent="0.35">
      <c r="A13" s="34" t="s">
        <v>12</v>
      </c>
      <c r="B13" s="33" t="s">
        <v>52</v>
      </c>
      <c r="C13" s="124" t="s">
        <v>7</v>
      </c>
      <c r="D13" s="130" t="s">
        <v>16</v>
      </c>
      <c r="E13" s="130" t="s">
        <v>16</v>
      </c>
      <c r="F13" s="130" t="s">
        <v>16</v>
      </c>
      <c r="G13" s="130" t="s">
        <v>16</v>
      </c>
      <c r="H13" s="130" t="s">
        <v>16</v>
      </c>
      <c r="I13" s="130" t="s">
        <v>17</v>
      </c>
      <c r="J13" s="130" t="s">
        <v>17</v>
      </c>
      <c r="K13" s="124" t="s">
        <v>7</v>
      </c>
      <c r="L13" s="124" t="s">
        <v>7</v>
      </c>
      <c r="M13" s="124" t="s">
        <v>7</v>
      </c>
      <c r="N13" s="109" t="s">
        <v>4</v>
      </c>
      <c r="O13" s="124" t="s">
        <v>7</v>
      </c>
      <c r="P13" s="124" t="s">
        <v>7</v>
      </c>
      <c r="Q13" s="124" t="s">
        <v>7</v>
      </c>
      <c r="R13" s="142" t="s">
        <v>16</v>
      </c>
      <c r="S13" s="142" t="s">
        <v>16</v>
      </c>
      <c r="T13" s="142" t="s">
        <v>16</v>
      </c>
      <c r="U13" s="142" t="s">
        <v>16</v>
      </c>
      <c r="V13" s="142" t="s">
        <v>16</v>
      </c>
      <c r="W13" s="124" t="s">
        <v>7</v>
      </c>
      <c r="X13" s="124" t="s">
        <v>7</v>
      </c>
      <c r="Y13" s="130" t="s">
        <v>16</v>
      </c>
      <c r="Z13" s="130" t="s">
        <v>16</v>
      </c>
      <c r="AA13" s="130" t="s">
        <v>16</v>
      </c>
      <c r="AB13" s="130" t="s">
        <v>16</v>
      </c>
      <c r="AC13" s="130" t="s">
        <v>16</v>
      </c>
      <c r="AD13" s="130" t="s">
        <v>17</v>
      </c>
      <c r="AH13"/>
    </row>
    <row r="14" spans="1:34" x14ac:dyDescent="0.35">
      <c r="A14" s="34" t="s">
        <v>12</v>
      </c>
      <c r="B14" s="33" t="s">
        <v>24</v>
      </c>
      <c r="C14" s="130" t="s">
        <v>17</v>
      </c>
      <c r="D14" s="124" t="s">
        <v>7</v>
      </c>
      <c r="E14" s="124" t="s">
        <v>7</v>
      </c>
      <c r="F14" s="124" t="s">
        <v>7</v>
      </c>
      <c r="G14" s="124" t="s">
        <v>7</v>
      </c>
      <c r="H14" s="109" t="s">
        <v>4</v>
      </c>
      <c r="I14" s="124" t="s">
        <v>7</v>
      </c>
      <c r="J14" s="124" t="s">
        <v>7</v>
      </c>
      <c r="K14" s="130" t="s">
        <v>16</v>
      </c>
      <c r="L14" s="142" t="s">
        <v>20</v>
      </c>
      <c r="M14" s="130" t="s">
        <v>16</v>
      </c>
      <c r="N14" s="130" t="s">
        <v>16</v>
      </c>
      <c r="O14" s="130" t="s">
        <v>16</v>
      </c>
      <c r="P14" s="130" t="s">
        <v>17</v>
      </c>
      <c r="Q14" s="130" t="s">
        <v>17</v>
      </c>
      <c r="R14" s="124" t="s">
        <v>7</v>
      </c>
      <c r="S14" s="124" t="s">
        <v>7</v>
      </c>
      <c r="T14" s="124" t="s">
        <v>7</v>
      </c>
      <c r="U14" s="109" t="s">
        <v>4</v>
      </c>
      <c r="V14" s="124" t="s">
        <v>7</v>
      </c>
      <c r="W14" s="124" t="s">
        <v>7</v>
      </c>
      <c r="X14" s="124" t="s">
        <v>7</v>
      </c>
      <c r="Y14" s="125" t="s">
        <v>20</v>
      </c>
      <c r="Z14" s="125" t="s">
        <v>20</v>
      </c>
      <c r="AA14" s="125" t="s">
        <v>20</v>
      </c>
      <c r="AB14" s="125" t="s">
        <v>20</v>
      </c>
      <c r="AC14" s="125" t="s">
        <v>20</v>
      </c>
      <c r="AD14" s="124" t="s">
        <v>7</v>
      </c>
      <c r="AH14"/>
    </row>
    <row r="15" spans="1:34" x14ac:dyDescent="0.35">
      <c r="A15" s="34" t="s">
        <v>12</v>
      </c>
      <c r="B15" s="33" t="s">
        <v>84</v>
      </c>
      <c r="C15" s="124" t="s">
        <v>7</v>
      </c>
      <c r="D15" s="130" t="s">
        <v>16</v>
      </c>
      <c r="E15" s="130" t="s">
        <v>16</v>
      </c>
      <c r="F15" s="130" t="s">
        <v>16</v>
      </c>
      <c r="G15" s="130" t="s">
        <v>16</v>
      </c>
      <c r="H15" s="130" t="s">
        <v>16</v>
      </c>
      <c r="I15" s="130" t="s">
        <v>17</v>
      </c>
      <c r="J15" s="130" t="s">
        <v>17</v>
      </c>
      <c r="K15" s="124" t="s">
        <v>7</v>
      </c>
      <c r="L15" s="124" t="s">
        <v>7</v>
      </c>
      <c r="M15" s="124" t="s">
        <v>7</v>
      </c>
      <c r="N15" s="124" t="s">
        <v>7</v>
      </c>
      <c r="O15" s="109" t="s">
        <v>4</v>
      </c>
      <c r="P15" s="124" t="s">
        <v>7</v>
      </c>
      <c r="Q15" s="124" t="s">
        <v>7</v>
      </c>
      <c r="R15" s="130" t="s">
        <v>16</v>
      </c>
      <c r="S15" s="130" t="s">
        <v>16</v>
      </c>
      <c r="T15" s="130" t="s">
        <v>16</v>
      </c>
      <c r="U15" s="130" t="s">
        <v>16</v>
      </c>
      <c r="V15" s="130" t="s">
        <v>16</v>
      </c>
      <c r="W15" s="130" t="s">
        <v>17</v>
      </c>
      <c r="X15" s="130" t="s">
        <v>17</v>
      </c>
      <c r="Y15" s="124" t="s">
        <v>7</v>
      </c>
      <c r="Z15" s="124" t="s">
        <v>7</v>
      </c>
      <c r="AA15" s="124" t="s">
        <v>7</v>
      </c>
      <c r="AB15" s="124" t="s">
        <v>7</v>
      </c>
      <c r="AC15" s="109" t="s">
        <v>4</v>
      </c>
      <c r="AD15" s="124" t="s">
        <v>7</v>
      </c>
      <c r="AH15"/>
    </row>
    <row r="16" spans="1:34" x14ac:dyDescent="0.35">
      <c r="A16" s="34" t="s">
        <v>12</v>
      </c>
      <c r="B16" s="33" t="s">
        <v>53</v>
      </c>
      <c r="C16" s="124" t="s">
        <v>7</v>
      </c>
      <c r="D16" s="125" t="s">
        <v>20</v>
      </c>
      <c r="E16" s="125" t="s">
        <v>20</v>
      </c>
      <c r="F16" s="125" t="s">
        <v>20</v>
      </c>
      <c r="G16" s="125" t="s">
        <v>20</v>
      </c>
      <c r="H16" s="125" t="s">
        <v>20</v>
      </c>
      <c r="I16" s="124" t="s">
        <v>7</v>
      </c>
      <c r="J16" s="124" t="s">
        <v>7</v>
      </c>
      <c r="K16" s="130" t="s">
        <v>16</v>
      </c>
      <c r="L16" s="130" t="s">
        <v>16</v>
      </c>
      <c r="M16" s="130" t="s">
        <v>16</v>
      </c>
      <c r="N16" s="130" t="s">
        <v>16</v>
      </c>
      <c r="O16" s="130" t="s">
        <v>16</v>
      </c>
      <c r="P16" s="130" t="s">
        <v>17</v>
      </c>
      <c r="Q16" s="130" t="s">
        <v>17</v>
      </c>
      <c r="R16" s="124" t="s">
        <v>7</v>
      </c>
      <c r="S16" s="124" t="s">
        <v>7</v>
      </c>
      <c r="T16" s="124" t="s">
        <v>7</v>
      </c>
      <c r="U16" s="124" t="s">
        <v>7</v>
      </c>
      <c r="V16" s="109" t="s">
        <v>4</v>
      </c>
      <c r="W16" s="124" t="s">
        <v>7</v>
      </c>
      <c r="X16" s="124" t="s">
        <v>7</v>
      </c>
      <c r="Y16" s="130" t="s">
        <v>16</v>
      </c>
      <c r="Z16" s="130" t="s">
        <v>16</v>
      </c>
      <c r="AA16" s="130" t="s">
        <v>16</v>
      </c>
      <c r="AB16" s="130" t="s">
        <v>16</v>
      </c>
      <c r="AC16" s="130" t="s">
        <v>16</v>
      </c>
      <c r="AD16" s="130" t="s">
        <v>17</v>
      </c>
      <c r="AH16"/>
    </row>
    <row r="17" spans="1:34" x14ac:dyDescent="0.35">
      <c r="A17" s="34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H17"/>
    </row>
    <row r="18" spans="1:34" x14ac:dyDescent="0.35">
      <c r="A18" s="34"/>
      <c r="B18" s="52" t="s">
        <v>96</v>
      </c>
      <c r="C18" s="136" t="s">
        <v>7</v>
      </c>
      <c r="D18" s="125" t="s">
        <v>20</v>
      </c>
      <c r="E18" s="125" t="s">
        <v>20</v>
      </c>
      <c r="F18" s="125" t="s">
        <v>20</v>
      </c>
      <c r="G18" s="125" t="s">
        <v>20</v>
      </c>
      <c r="H18" s="125" t="s">
        <v>20</v>
      </c>
      <c r="I18" s="136" t="s">
        <v>7</v>
      </c>
      <c r="J18" s="136" t="s">
        <v>7</v>
      </c>
      <c r="K18" s="130" t="s">
        <v>16</v>
      </c>
      <c r="L18" s="130" t="s">
        <v>16</v>
      </c>
      <c r="M18" s="130" t="s">
        <v>16</v>
      </c>
      <c r="N18" s="130" t="s">
        <v>16</v>
      </c>
      <c r="O18" s="130" t="s">
        <v>16</v>
      </c>
      <c r="P18" s="136" t="s">
        <v>7</v>
      </c>
      <c r="Q18" s="136" t="s">
        <v>7</v>
      </c>
      <c r="R18" s="125" t="s">
        <v>20</v>
      </c>
      <c r="S18" s="125" t="s">
        <v>20</v>
      </c>
      <c r="T18" s="125" t="s">
        <v>20</v>
      </c>
      <c r="U18" s="125" t="s">
        <v>20</v>
      </c>
      <c r="V18" s="125" t="s">
        <v>20</v>
      </c>
      <c r="W18" s="136" t="s">
        <v>7</v>
      </c>
      <c r="X18" s="136" t="s">
        <v>7</v>
      </c>
      <c r="Y18" s="130" t="s">
        <v>16</v>
      </c>
      <c r="Z18" s="130" t="s">
        <v>16</v>
      </c>
      <c r="AA18" s="130" t="s">
        <v>16</v>
      </c>
      <c r="AB18" s="130" t="s">
        <v>16</v>
      </c>
      <c r="AC18" s="130" t="s">
        <v>16</v>
      </c>
      <c r="AD18" s="136" t="s">
        <v>7</v>
      </c>
      <c r="AH18"/>
    </row>
    <row r="19" spans="1:34" x14ac:dyDescent="0.35">
      <c r="A19" s="34"/>
      <c r="E19" s="122"/>
      <c r="F19" s="122"/>
      <c r="G19" s="122"/>
      <c r="H19" s="122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122"/>
      <c r="Z19" s="122"/>
      <c r="AA19" s="122"/>
      <c r="AB19" s="122"/>
      <c r="AC19" s="122"/>
      <c r="AD19" s="50"/>
      <c r="AH19"/>
    </row>
    <row r="20" spans="1:34" x14ac:dyDescent="0.35">
      <c r="A20" s="34" t="s">
        <v>28</v>
      </c>
      <c r="B20" s="33" t="s">
        <v>29</v>
      </c>
      <c r="C20" s="28" t="s">
        <v>30</v>
      </c>
      <c r="D20" s="118" t="s">
        <v>11</v>
      </c>
      <c r="E20" s="118" t="s">
        <v>11</v>
      </c>
      <c r="F20" s="25" t="s">
        <v>11</v>
      </c>
      <c r="G20" s="25" t="s">
        <v>11</v>
      </c>
      <c r="H20" s="25" t="s">
        <v>54</v>
      </c>
      <c r="I20" s="28" t="s">
        <v>7</v>
      </c>
      <c r="J20" s="28" t="s">
        <v>7</v>
      </c>
      <c r="K20" s="4" t="s">
        <v>33</v>
      </c>
      <c r="L20" s="4" t="s">
        <v>33</v>
      </c>
      <c r="M20" s="4" t="s">
        <v>33</v>
      </c>
      <c r="N20" s="4" t="s">
        <v>33</v>
      </c>
      <c r="O20" s="4" t="s">
        <v>33</v>
      </c>
      <c r="P20" s="28" t="s">
        <v>30</v>
      </c>
      <c r="Q20" s="28" t="s">
        <v>30</v>
      </c>
      <c r="R20" s="25" t="s">
        <v>11</v>
      </c>
      <c r="S20" s="25" t="s">
        <v>11</v>
      </c>
      <c r="T20" s="25" t="s">
        <v>11</v>
      </c>
      <c r="U20" s="25" t="s">
        <v>11</v>
      </c>
      <c r="V20" s="25" t="s">
        <v>11</v>
      </c>
      <c r="W20" s="28" t="s">
        <v>7</v>
      </c>
      <c r="X20" s="28" t="s">
        <v>7</v>
      </c>
      <c r="Y20" s="4" t="s">
        <v>33</v>
      </c>
      <c r="Z20" s="4" t="s">
        <v>33</v>
      </c>
      <c r="AA20" s="4" t="s">
        <v>33</v>
      </c>
      <c r="AB20" s="4" t="s">
        <v>33</v>
      </c>
      <c r="AC20" s="4" t="s">
        <v>33</v>
      </c>
      <c r="AD20" s="28" t="s">
        <v>30</v>
      </c>
      <c r="AH20"/>
    </row>
    <row r="21" spans="1:34" x14ac:dyDescent="0.35">
      <c r="A21" s="34" t="s">
        <v>28</v>
      </c>
      <c r="B21" s="35" t="s">
        <v>60</v>
      </c>
      <c r="C21" s="28" t="s">
        <v>7</v>
      </c>
      <c r="D21" s="4" t="s">
        <v>33</v>
      </c>
      <c r="E21" s="4" t="s">
        <v>33</v>
      </c>
      <c r="F21" s="4" t="s">
        <v>33</v>
      </c>
      <c r="G21" s="4" t="s">
        <v>33</v>
      </c>
      <c r="H21" s="17" t="s">
        <v>101</v>
      </c>
      <c r="I21" s="28" t="s">
        <v>30</v>
      </c>
      <c r="J21" s="28" t="s">
        <v>30</v>
      </c>
      <c r="K21" s="25" t="s">
        <v>11</v>
      </c>
      <c r="L21" s="25" t="s">
        <v>11</v>
      </c>
      <c r="M21" s="25" t="s">
        <v>11</v>
      </c>
      <c r="N21" s="25" t="s">
        <v>11</v>
      </c>
      <c r="O21" s="25" t="s">
        <v>11</v>
      </c>
      <c r="P21" s="28" t="s">
        <v>7</v>
      </c>
      <c r="Q21" s="28" t="s">
        <v>7</v>
      </c>
      <c r="R21" s="4" t="s">
        <v>33</v>
      </c>
      <c r="S21" s="4" t="s">
        <v>33</v>
      </c>
      <c r="T21" s="4" t="s">
        <v>33</v>
      </c>
      <c r="U21" s="4" t="s">
        <v>33</v>
      </c>
      <c r="V21" s="4" t="s">
        <v>33</v>
      </c>
      <c r="W21" s="28" t="s">
        <v>30</v>
      </c>
      <c r="X21" s="28" t="s">
        <v>30</v>
      </c>
      <c r="Y21" s="25" t="s">
        <v>11</v>
      </c>
      <c r="Z21" s="25" t="s">
        <v>11</v>
      </c>
      <c r="AA21" s="25" t="s">
        <v>11</v>
      </c>
      <c r="AB21" s="25" t="s">
        <v>11</v>
      </c>
      <c r="AC21" s="25" t="s">
        <v>11</v>
      </c>
      <c r="AD21" s="28" t="s">
        <v>7</v>
      </c>
      <c r="AH21"/>
    </row>
    <row r="22" spans="1:34" x14ac:dyDescent="0.35">
      <c r="A22" s="34" t="s">
        <v>28</v>
      </c>
      <c r="B22" s="35" t="s">
        <v>102</v>
      </c>
      <c r="C22" s="136" t="s">
        <v>7</v>
      </c>
      <c r="D22" s="136" t="s">
        <v>7</v>
      </c>
      <c r="E22" s="136" t="s">
        <v>7</v>
      </c>
      <c r="F22" s="136" t="s">
        <v>7</v>
      </c>
      <c r="G22" s="136" t="s">
        <v>7</v>
      </c>
      <c r="H22" s="136" t="s">
        <v>7</v>
      </c>
      <c r="I22" s="136" t="s">
        <v>7</v>
      </c>
      <c r="J22" s="136" t="s">
        <v>7</v>
      </c>
      <c r="K22" s="136" t="s">
        <v>7</v>
      </c>
      <c r="L22" s="136" t="s">
        <v>7</v>
      </c>
      <c r="M22" s="136" t="s">
        <v>7</v>
      </c>
      <c r="N22" s="136" t="s">
        <v>7</v>
      </c>
      <c r="O22" s="136" t="s">
        <v>7</v>
      </c>
      <c r="P22" s="136" t="s">
        <v>7</v>
      </c>
      <c r="Q22" s="136" t="s">
        <v>7</v>
      </c>
      <c r="R22" s="136" t="s">
        <v>7</v>
      </c>
      <c r="S22" s="136" t="s">
        <v>7</v>
      </c>
      <c r="T22" s="136" t="s">
        <v>7</v>
      </c>
      <c r="U22" s="136" t="s">
        <v>7</v>
      </c>
      <c r="V22" s="136" t="s">
        <v>7</v>
      </c>
      <c r="W22" s="136" t="s">
        <v>7</v>
      </c>
      <c r="X22" s="136" t="s">
        <v>7</v>
      </c>
      <c r="Y22" s="136" t="s">
        <v>7</v>
      </c>
      <c r="Z22" s="136" t="s">
        <v>7</v>
      </c>
      <c r="AA22" s="136" t="s">
        <v>7</v>
      </c>
      <c r="AB22" s="136" t="s">
        <v>7</v>
      </c>
      <c r="AC22" s="136" t="s">
        <v>7</v>
      </c>
      <c r="AD22" s="136" t="s">
        <v>7</v>
      </c>
      <c r="AH22"/>
    </row>
    <row r="24" spans="1:34" x14ac:dyDescent="0.35">
      <c r="B24" s="111" t="s">
        <v>89</v>
      </c>
      <c r="C24" s="110">
        <f t="shared" ref="C24:AD24" si="0">SUM(C25:C27)</f>
        <v>4</v>
      </c>
      <c r="D24" s="110">
        <f t="shared" si="0"/>
        <v>6</v>
      </c>
      <c r="E24" s="110">
        <f t="shared" si="0"/>
        <v>5</v>
      </c>
      <c r="F24" s="110">
        <f t="shared" si="0"/>
        <v>6</v>
      </c>
      <c r="G24" s="110">
        <f t="shared" si="0"/>
        <v>6</v>
      </c>
      <c r="H24" s="110">
        <f t="shared" si="0"/>
        <v>6</v>
      </c>
      <c r="I24" s="110">
        <f t="shared" si="0"/>
        <v>4</v>
      </c>
      <c r="J24" s="110">
        <f t="shared" si="0"/>
        <v>4</v>
      </c>
      <c r="K24" s="110">
        <f t="shared" si="0"/>
        <v>7</v>
      </c>
      <c r="L24" s="110">
        <f t="shared" si="0"/>
        <v>7</v>
      </c>
      <c r="M24" s="110">
        <f t="shared" si="0"/>
        <v>7</v>
      </c>
      <c r="N24" s="110">
        <f t="shared" si="0"/>
        <v>7</v>
      </c>
      <c r="O24" s="110">
        <f t="shared" si="0"/>
        <v>7</v>
      </c>
      <c r="P24" s="110">
        <f t="shared" si="0"/>
        <v>4</v>
      </c>
      <c r="Q24" s="110">
        <f t="shared" si="0"/>
        <v>4</v>
      </c>
      <c r="R24" s="110">
        <f t="shared" si="0"/>
        <v>6</v>
      </c>
      <c r="S24" s="110">
        <f t="shared" si="0"/>
        <v>6</v>
      </c>
      <c r="T24" s="110">
        <f t="shared" si="0"/>
        <v>6</v>
      </c>
      <c r="U24" s="110">
        <f t="shared" si="0"/>
        <v>6</v>
      </c>
      <c r="V24" s="110">
        <f t="shared" si="0"/>
        <v>6</v>
      </c>
      <c r="W24" s="110">
        <f t="shared" si="0"/>
        <v>4</v>
      </c>
      <c r="X24" s="110">
        <f t="shared" si="0"/>
        <v>4</v>
      </c>
      <c r="Y24" s="110">
        <f t="shared" si="0"/>
        <v>6</v>
      </c>
      <c r="Z24" s="110">
        <f t="shared" si="0"/>
        <v>6</v>
      </c>
      <c r="AA24" s="110">
        <f t="shared" si="0"/>
        <v>6</v>
      </c>
      <c r="AB24" s="110">
        <f t="shared" si="0"/>
        <v>6</v>
      </c>
      <c r="AC24" s="110">
        <f t="shared" si="0"/>
        <v>6</v>
      </c>
      <c r="AD24" s="110">
        <f t="shared" si="0"/>
        <v>4</v>
      </c>
    </row>
    <row r="25" spans="1:34" x14ac:dyDescent="0.35">
      <c r="B25" s="111" t="s">
        <v>90</v>
      </c>
      <c r="C25" s="112">
        <f t="shared" ref="C25:AD25" si="1">COUNTIF(C4:C22,"T")</f>
        <v>0</v>
      </c>
      <c r="D25" s="112">
        <f t="shared" si="1"/>
        <v>3</v>
      </c>
      <c r="E25" s="112">
        <f t="shared" si="1"/>
        <v>3</v>
      </c>
      <c r="F25" s="112">
        <f t="shared" si="1"/>
        <v>3</v>
      </c>
      <c r="G25" s="112">
        <f t="shared" si="1"/>
        <v>3</v>
      </c>
      <c r="H25" s="112">
        <f t="shared" si="1"/>
        <v>3</v>
      </c>
      <c r="I25" s="112">
        <f t="shared" si="1"/>
        <v>0</v>
      </c>
      <c r="J25" s="112">
        <f t="shared" si="1"/>
        <v>0</v>
      </c>
      <c r="K25" s="112">
        <f t="shared" si="1"/>
        <v>2</v>
      </c>
      <c r="L25" s="112">
        <f t="shared" si="1"/>
        <v>2</v>
      </c>
      <c r="M25" s="112">
        <f t="shared" si="1"/>
        <v>2</v>
      </c>
      <c r="N25" s="112">
        <f t="shared" si="1"/>
        <v>2</v>
      </c>
      <c r="O25" s="112">
        <f t="shared" si="1"/>
        <v>2</v>
      </c>
      <c r="P25" s="112">
        <f t="shared" si="1"/>
        <v>0</v>
      </c>
      <c r="Q25" s="112">
        <f t="shared" si="1"/>
        <v>0</v>
      </c>
      <c r="R25" s="112">
        <f t="shared" si="1"/>
        <v>3</v>
      </c>
      <c r="S25" s="112">
        <f t="shared" si="1"/>
        <v>3</v>
      </c>
      <c r="T25" s="112">
        <f t="shared" si="1"/>
        <v>3</v>
      </c>
      <c r="U25" s="112">
        <f t="shared" si="1"/>
        <v>3</v>
      </c>
      <c r="V25" s="112">
        <f t="shared" si="1"/>
        <v>3</v>
      </c>
      <c r="W25" s="112">
        <f t="shared" si="1"/>
        <v>0</v>
      </c>
      <c r="X25" s="112">
        <f t="shared" si="1"/>
        <v>0</v>
      </c>
      <c r="Y25" s="112">
        <f t="shared" si="1"/>
        <v>2</v>
      </c>
      <c r="Z25" s="112">
        <f t="shared" si="1"/>
        <v>2</v>
      </c>
      <c r="AA25" s="112">
        <f t="shared" si="1"/>
        <v>2</v>
      </c>
      <c r="AB25" s="112">
        <f t="shared" si="1"/>
        <v>2</v>
      </c>
      <c r="AC25" s="112">
        <f t="shared" si="1"/>
        <v>2</v>
      </c>
      <c r="AD25" s="112">
        <f t="shared" si="1"/>
        <v>0</v>
      </c>
    </row>
    <row r="26" spans="1:34" x14ac:dyDescent="0.35">
      <c r="B26" s="111" t="s">
        <v>91</v>
      </c>
      <c r="C26" s="112">
        <f t="shared" ref="C26:AD26" si="2">COUNTIF(C4:C22,"N")+COUNTIF(C4:C22,"NF")</f>
        <v>2</v>
      </c>
      <c r="D26" s="112">
        <f t="shared" si="2"/>
        <v>2</v>
      </c>
      <c r="E26" s="112">
        <f t="shared" si="2"/>
        <v>2</v>
      </c>
      <c r="F26" s="112">
        <f t="shared" si="2"/>
        <v>2</v>
      </c>
      <c r="G26" s="112">
        <f t="shared" si="2"/>
        <v>2</v>
      </c>
      <c r="H26" s="112">
        <f t="shared" si="2"/>
        <v>2</v>
      </c>
      <c r="I26" s="112">
        <f t="shared" si="2"/>
        <v>2</v>
      </c>
      <c r="J26" s="112">
        <f t="shared" si="2"/>
        <v>2</v>
      </c>
      <c r="K26" s="112">
        <f t="shared" si="2"/>
        <v>3</v>
      </c>
      <c r="L26" s="112">
        <f t="shared" si="2"/>
        <v>3</v>
      </c>
      <c r="M26" s="112">
        <f t="shared" si="2"/>
        <v>3</v>
      </c>
      <c r="N26" s="112">
        <f t="shared" si="2"/>
        <v>3</v>
      </c>
      <c r="O26" s="112">
        <f t="shared" si="2"/>
        <v>3</v>
      </c>
      <c r="P26" s="112">
        <f t="shared" si="2"/>
        <v>2</v>
      </c>
      <c r="Q26" s="112">
        <f t="shared" si="2"/>
        <v>2</v>
      </c>
      <c r="R26" s="112">
        <f t="shared" si="2"/>
        <v>2</v>
      </c>
      <c r="S26" s="112">
        <f t="shared" si="2"/>
        <v>2</v>
      </c>
      <c r="T26" s="112">
        <f t="shared" si="2"/>
        <v>2</v>
      </c>
      <c r="U26" s="112">
        <f t="shared" si="2"/>
        <v>2</v>
      </c>
      <c r="V26" s="112">
        <f t="shared" si="2"/>
        <v>2</v>
      </c>
      <c r="W26" s="112">
        <f t="shared" si="2"/>
        <v>2</v>
      </c>
      <c r="X26" s="112">
        <f t="shared" si="2"/>
        <v>2</v>
      </c>
      <c r="Y26" s="112">
        <f t="shared" si="2"/>
        <v>3</v>
      </c>
      <c r="Z26" s="112">
        <f t="shared" si="2"/>
        <v>3</v>
      </c>
      <c r="AA26" s="112">
        <f t="shared" si="2"/>
        <v>3</v>
      </c>
      <c r="AB26" s="112">
        <f t="shared" si="2"/>
        <v>3</v>
      </c>
      <c r="AC26" s="112">
        <f t="shared" si="2"/>
        <v>3</v>
      </c>
      <c r="AD26" s="112">
        <f t="shared" si="2"/>
        <v>2</v>
      </c>
    </row>
    <row r="27" spans="1:34" x14ac:dyDescent="0.35">
      <c r="B27" s="111" t="s">
        <v>92</v>
      </c>
      <c r="C27" s="112">
        <f>COUNTIF(C4:C22,"M/F")+COUNTIF(C4:C22,"M1")+COUNTIF(C4:C22,"M3")+COUNTIF(C4:C22,"M3/G")+COUNTIF(C4:C22,"M2")</f>
        <v>2</v>
      </c>
      <c r="D27" s="112">
        <f>COUNTIF(D4:D22,"M/F")+COUNTIF(D4:D22,"M1")+COUNTIF(D4:D22,"M3")+COUNTIF(D4:D22,"M3/G")+COUNTIF(D4:D22,"M2")</f>
        <v>1</v>
      </c>
      <c r="E27" s="112">
        <f>COUNTIF(E4:E22,"M1")+COUNTIF(E4:E22,"NF")</f>
        <v>0</v>
      </c>
      <c r="F27" s="112">
        <f t="shared" ref="F27:AD27" si="3">COUNTIF(F4:F22,"M/F")+COUNTIF(F4:F22,"M1")+COUNTIF(F4:F22,"M3")+COUNTIF(F4:F22,"M3/G")+COUNTIF(F4:F22,"M2")</f>
        <v>1</v>
      </c>
      <c r="G27" s="112">
        <f t="shared" si="3"/>
        <v>1</v>
      </c>
      <c r="H27" s="112">
        <f t="shared" si="3"/>
        <v>1</v>
      </c>
      <c r="I27" s="112">
        <f t="shared" si="3"/>
        <v>2</v>
      </c>
      <c r="J27" s="112">
        <f t="shared" si="3"/>
        <v>2</v>
      </c>
      <c r="K27" s="112">
        <f t="shared" si="3"/>
        <v>2</v>
      </c>
      <c r="L27" s="112">
        <f t="shared" si="3"/>
        <v>2</v>
      </c>
      <c r="M27" s="112">
        <f t="shared" si="3"/>
        <v>2</v>
      </c>
      <c r="N27" s="112">
        <f t="shared" si="3"/>
        <v>2</v>
      </c>
      <c r="O27" s="112">
        <f t="shared" si="3"/>
        <v>2</v>
      </c>
      <c r="P27" s="112">
        <f t="shared" si="3"/>
        <v>2</v>
      </c>
      <c r="Q27" s="112">
        <f t="shared" si="3"/>
        <v>2</v>
      </c>
      <c r="R27" s="112">
        <f t="shared" si="3"/>
        <v>1</v>
      </c>
      <c r="S27" s="112">
        <f t="shared" si="3"/>
        <v>1</v>
      </c>
      <c r="T27" s="112">
        <f t="shared" si="3"/>
        <v>1</v>
      </c>
      <c r="U27" s="112">
        <f t="shared" si="3"/>
        <v>1</v>
      </c>
      <c r="V27" s="112">
        <f t="shared" si="3"/>
        <v>1</v>
      </c>
      <c r="W27" s="112">
        <f t="shared" si="3"/>
        <v>2</v>
      </c>
      <c r="X27" s="112">
        <f t="shared" si="3"/>
        <v>2</v>
      </c>
      <c r="Y27" s="112">
        <f t="shared" si="3"/>
        <v>1</v>
      </c>
      <c r="Z27" s="112">
        <f t="shared" si="3"/>
        <v>1</v>
      </c>
      <c r="AA27" s="112">
        <f t="shared" si="3"/>
        <v>1</v>
      </c>
      <c r="AB27" s="112">
        <f t="shared" si="3"/>
        <v>1</v>
      </c>
      <c r="AC27" s="112">
        <f t="shared" si="3"/>
        <v>1</v>
      </c>
      <c r="AD27" s="112">
        <f t="shared" si="3"/>
        <v>2</v>
      </c>
    </row>
    <row r="29" spans="1:34" x14ac:dyDescent="0.35">
      <c r="B29" t="s">
        <v>65</v>
      </c>
    </row>
    <row r="30" spans="1:34" x14ac:dyDescent="0.35">
      <c r="B30" s="5" t="s">
        <v>66</v>
      </c>
    </row>
    <row r="31" spans="1:34" x14ac:dyDescent="0.35">
      <c r="B31" s="5" t="s">
        <v>67</v>
      </c>
    </row>
    <row r="32" spans="1:34" x14ac:dyDescent="0.35">
      <c r="B32" s="1" t="s">
        <v>68</v>
      </c>
    </row>
    <row r="33" spans="2:2" x14ac:dyDescent="0.35">
      <c r="B33" s="7" t="s">
        <v>69</v>
      </c>
    </row>
    <row r="34" spans="2:2" x14ac:dyDescent="0.35">
      <c r="B34" s="3" t="s">
        <v>70</v>
      </c>
    </row>
    <row r="35" spans="2:2" x14ac:dyDescent="0.35">
      <c r="B35" s="5" t="s">
        <v>71</v>
      </c>
    </row>
    <row r="36" spans="2:2" x14ac:dyDescent="0.35">
      <c r="B36" s="3" t="s">
        <v>72</v>
      </c>
    </row>
    <row r="37" spans="2:2" x14ac:dyDescent="0.35">
      <c r="B37" s="4" t="s">
        <v>73</v>
      </c>
    </row>
    <row r="38" spans="2:2" x14ac:dyDescent="0.35">
      <c r="B38" s="25" t="s">
        <v>74</v>
      </c>
    </row>
    <row r="39" spans="2:2" x14ac:dyDescent="0.35">
      <c r="B39" s="4" t="s">
        <v>93</v>
      </c>
    </row>
    <row r="40" spans="2:2" x14ac:dyDescent="0.35">
      <c r="B40" s="28" t="s">
        <v>76</v>
      </c>
    </row>
    <row r="41" spans="2:2" x14ac:dyDescent="0.35">
      <c r="B41" s="17" t="s">
        <v>77</v>
      </c>
    </row>
  </sheetData>
  <mergeCells count="2">
    <mergeCell ref="B1:B3"/>
    <mergeCell ref="C1:AD1"/>
  </mergeCells>
  <conditionalFormatting sqref="C25:AD27">
    <cfRule type="cellIs" dxfId="10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067E-4450-44BC-90D1-81811354F583}">
  <dimension ref="A1:AH38"/>
  <sheetViews>
    <sheetView topLeftCell="B1" workbookViewId="0">
      <selection activeCell="R5" sqref="R5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75"/>
      <c r="C1" s="190" t="s">
        <v>103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</row>
    <row r="2" spans="1:34" x14ac:dyDescent="0.35">
      <c r="A2" s="6"/>
      <c r="B2" s="175"/>
      <c r="C2" s="147" t="s">
        <v>6</v>
      </c>
      <c r="D2" s="148" t="s">
        <v>7</v>
      </c>
      <c r="E2" s="148" t="s">
        <v>1</v>
      </c>
      <c r="F2" s="149" t="s">
        <v>2</v>
      </c>
      <c r="G2" s="149" t="s">
        <v>3</v>
      </c>
      <c r="H2" s="149" t="s">
        <v>4</v>
      </c>
      <c r="I2" s="147" t="s">
        <v>5</v>
      </c>
      <c r="J2" s="147" t="s">
        <v>6</v>
      </c>
      <c r="K2" s="148" t="s">
        <v>7</v>
      </c>
      <c r="L2" s="148" t="s">
        <v>1</v>
      </c>
      <c r="M2" s="149" t="s">
        <v>2</v>
      </c>
      <c r="N2" s="149" t="s">
        <v>3</v>
      </c>
      <c r="O2" s="149" t="s">
        <v>4</v>
      </c>
      <c r="P2" s="147" t="s">
        <v>5</v>
      </c>
      <c r="Q2" s="147" t="s">
        <v>6</v>
      </c>
      <c r="R2" s="148" t="s">
        <v>7</v>
      </c>
      <c r="S2" s="148" t="s">
        <v>1</v>
      </c>
      <c r="T2" s="149" t="s">
        <v>2</v>
      </c>
      <c r="U2" s="149" t="s">
        <v>3</v>
      </c>
      <c r="V2" s="149" t="s">
        <v>4</v>
      </c>
      <c r="W2" s="147" t="s">
        <v>5</v>
      </c>
      <c r="X2" s="147" t="s">
        <v>6</v>
      </c>
      <c r="Y2" s="148" t="s">
        <v>7</v>
      </c>
      <c r="Z2" s="148" t="s">
        <v>1</v>
      </c>
      <c r="AA2" s="149" t="s">
        <v>2</v>
      </c>
      <c r="AB2" s="149" t="s">
        <v>3</v>
      </c>
      <c r="AC2" s="149" t="s">
        <v>4</v>
      </c>
      <c r="AD2" s="147" t="s">
        <v>5</v>
      </c>
      <c r="AE2" s="147" t="s">
        <v>6</v>
      </c>
      <c r="AF2" s="148" t="s">
        <v>7</v>
      </c>
      <c r="AG2" s="148" t="s">
        <v>1</v>
      </c>
      <c r="AH2"/>
    </row>
    <row r="3" spans="1:34" x14ac:dyDescent="0.35">
      <c r="A3" s="6"/>
      <c r="B3" s="175"/>
      <c r="C3" s="150">
        <v>1</v>
      </c>
      <c r="D3" s="150">
        <v>2</v>
      </c>
      <c r="E3" s="150">
        <v>3</v>
      </c>
      <c r="F3" s="150">
        <v>4</v>
      </c>
      <c r="G3" s="150">
        <v>5</v>
      </c>
      <c r="H3" s="150">
        <v>6</v>
      </c>
      <c r="I3" s="150">
        <v>7</v>
      </c>
      <c r="J3" s="150">
        <v>8</v>
      </c>
      <c r="K3" s="150">
        <v>9</v>
      </c>
      <c r="L3" s="150">
        <v>10</v>
      </c>
      <c r="M3" s="150">
        <v>11</v>
      </c>
      <c r="N3" s="150">
        <v>12</v>
      </c>
      <c r="O3" s="150">
        <v>13</v>
      </c>
      <c r="P3" s="150">
        <v>14</v>
      </c>
      <c r="Q3" s="150">
        <v>15</v>
      </c>
      <c r="R3" s="150">
        <v>16</v>
      </c>
      <c r="S3" s="150">
        <v>17</v>
      </c>
      <c r="T3" s="150">
        <v>18</v>
      </c>
      <c r="U3" s="150">
        <v>19</v>
      </c>
      <c r="V3" s="150">
        <v>20</v>
      </c>
      <c r="W3" s="150">
        <v>21</v>
      </c>
      <c r="X3" s="150">
        <v>22</v>
      </c>
      <c r="Y3" s="150">
        <v>23</v>
      </c>
      <c r="Z3" s="150">
        <v>24</v>
      </c>
      <c r="AA3" s="150">
        <v>25</v>
      </c>
      <c r="AB3" s="150">
        <v>26</v>
      </c>
      <c r="AC3" s="150">
        <v>27</v>
      </c>
      <c r="AD3" s="150">
        <v>28</v>
      </c>
      <c r="AE3" s="150">
        <v>29</v>
      </c>
      <c r="AF3" s="150">
        <v>30</v>
      </c>
      <c r="AG3" s="150">
        <v>31</v>
      </c>
      <c r="AH3"/>
    </row>
    <row r="4" spans="1:34" x14ac:dyDescent="0.35">
      <c r="A4" s="63" t="s">
        <v>12</v>
      </c>
      <c r="B4" s="62" t="s">
        <v>104</v>
      </c>
      <c r="C4" s="144" t="s">
        <v>7</v>
      </c>
      <c r="D4" s="137" t="s">
        <v>14</v>
      </c>
      <c r="E4" s="137" t="s">
        <v>14</v>
      </c>
      <c r="F4" s="137" t="s">
        <v>14</v>
      </c>
      <c r="G4" s="137" t="s">
        <v>14</v>
      </c>
      <c r="H4" s="137" t="s">
        <v>14</v>
      </c>
      <c r="I4" s="144" t="s">
        <v>7</v>
      </c>
      <c r="J4" s="144" t="s">
        <v>7</v>
      </c>
      <c r="K4" s="121" t="s">
        <v>14</v>
      </c>
      <c r="L4" s="121" t="s">
        <v>14</v>
      </c>
      <c r="M4" s="121" t="s">
        <v>14</v>
      </c>
      <c r="N4" s="121" t="s">
        <v>14</v>
      </c>
      <c r="O4" s="121" t="s">
        <v>14</v>
      </c>
      <c r="P4" s="137" t="s">
        <v>15</v>
      </c>
      <c r="Q4" s="137" t="s">
        <v>15</v>
      </c>
      <c r="R4" s="144" t="s">
        <v>7</v>
      </c>
      <c r="S4" s="144" t="s">
        <v>7</v>
      </c>
      <c r="T4" s="144" t="s">
        <v>7</v>
      </c>
      <c r="U4" s="144" t="s">
        <v>7</v>
      </c>
      <c r="V4" s="109" t="s">
        <v>4</v>
      </c>
      <c r="W4" s="144" t="s">
        <v>7</v>
      </c>
      <c r="X4" s="144" t="s">
        <v>7</v>
      </c>
      <c r="Y4" s="137" t="s">
        <v>14</v>
      </c>
      <c r="Z4" s="137" t="s">
        <v>14</v>
      </c>
      <c r="AA4" s="137" t="s">
        <v>14</v>
      </c>
      <c r="AB4" s="137" t="s">
        <v>14</v>
      </c>
      <c r="AC4" s="137" t="s">
        <v>14</v>
      </c>
      <c r="AD4" s="137" t="s">
        <v>15</v>
      </c>
      <c r="AE4" s="137" t="s">
        <v>15</v>
      </c>
      <c r="AF4" s="144" t="s">
        <v>7</v>
      </c>
      <c r="AG4" s="144" t="s">
        <v>7</v>
      </c>
      <c r="AH4"/>
    </row>
    <row r="5" spans="1:34" x14ac:dyDescent="0.35">
      <c r="A5" s="34" t="s">
        <v>12</v>
      </c>
      <c r="B5" s="33" t="s">
        <v>19</v>
      </c>
      <c r="C5" s="137" t="s">
        <v>15</v>
      </c>
      <c r="D5" s="144" t="s">
        <v>7</v>
      </c>
      <c r="E5" s="144" t="s">
        <v>7</v>
      </c>
      <c r="F5" s="144" t="s">
        <v>7</v>
      </c>
      <c r="G5" s="109" t="s">
        <v>4</v>
      </c>
      <c r="H5" s="144" t="s">
        <v>7</v>
      </c>
      <c r="I5" s="144" t="s">
        <v>7</v>
      </c>
      <c r="J5" s="144" t="s">
        <v>7</v>
      </c>
      <c r="K5" s="151" t="s">
        <v>20</v>
      </c>
      <c r="L5" s="151" t="s">
        <v>20</v>
      </c>
      <c r="M5" s="151" t="s">
        <v>20</v>
      </c>
      <c r="N5" s="151" t="s">
        <v>20</v>
      </c>
      <c r="O5" s="151" t="s">
        <v>20</v>
      </c>
      <c r="P5" s="144" t="s">
        <v>7</v>
      </c>
      <c r="Q5" s="144" t="s">
        <v>7</v>
      </c>
      <c r="R5" s="121" t="s">
        <v>14</v>
      </c>
      <c r="S5" s="121" t="s">
        <v>14</v>
      </c>
      <c r="T5" s="121" t="s">
        <v>14</v>
      </c>
      <c r="U5" s="121" t="s">
        <v>14</v>
      </c>
      <c r="V5" s="121" t="s">
        <v>14</v>
      </c>
      <c r="W5" s="137" t="s">
        <v>15</v>
      </c>
      <c r="X5" s="137" t="s">
        <v>15</v>
      </c>
      <c r="Y5" s="144" t="s">
        <v>7</v>
      </c>
      <c r="Z5" s="144" t="s">
        <v>7</v>
      </c>
      <c r="AA5" s="144" t="s">
        <v>7</v>
      </c>
      <c r="AB5" s="144" t="s">
        <v>7</v>
      </c>
      <c r="AC5" s="109" t="s">
        <v>4</v>
      </c>
      <c r="AD5" s="144" t="s">
        <v>7</v>
      </c>
      <c r="AE5" s="144" t="s">
        <v>7</v>
      </c>
      <c r="AF5" s="137" t="s">
        <v>14</v>
      </c>
      <c r="AG5" s="137" t="s">
        <v>14</v>
      </c>
      <c r="AH5"/>
    </row>
    <row r="6" spans="1:34" x14ac:dyDescent="0.35">
      <c r="A6" s="34" t="s">
        <v>12</v>
      </c>
      <c r="B6" s="33" t="s">
        <v>21</v>
      </c>
      <c r="C6" s="144" t="s">
        <v>7</v>
      </c>
      <c r="D6" s="151" t="s">
        <v>20</v>
      </c>
      <c r="E6" s="151" t="s">
        <v>20</v>
      </c>
      <c r="F6" s="151" t="s">
        <v>20</v>
      </c>
      <c r="G6" s="151" t="s">
        <v>20</v>
      </c>
      <c r="H6" s="151" t="s">
        <v>20</v>
      </c>
      <c r="I6" s="137" t="s">
        <v>15</v>
      </c>
      <c r="J6" s="137" t="s">
        <v>15</v>
      </c>
      <c r="K6" s="144" t="s">
        <v>7</v>
      </c>
      <c r="L6" s="144" t="s">
        <v>7</v>
      </c>
      <c r="M6" s="144" t="s">
        <v>7</v>
      </c>
      <c r="N6" s="144" t="s">
        <v>7</v>
      </c>
      <c r="O6" s="109" t="s">
        <v>4</v>
      </c>
      <c r="P6" s="144" t="s">
        <v>7</v>
      </c>
      <c r="Q6" s="144" t="s">
        <v>7</v>
      </c>
      <c r="R6" s="151" t="s">
        <v>20</v>
      </c>
      <c r="S6" s="151" t="s">
        <v>20</v>
      </c>
      <c r="T6" s="151" t="s">
        <v>20</v>
      </c>
      <c r="U6" s="151" t="s">
        <v>20</v>
      </c>
      <c r="V6" s="151" t="s">
        <v>20</v>
      </c>
      <c r="W6" s="144" t="s">
        <v>7</v>
      </c>
      <c r="X6" s="144" t="s">
        <v>7</v>
      </c>
      <c r="Y6" s="121" t="s">
        <v>14</v>
      </c>
      <c r="Z6" s="121" t="s">
        <v>14</v>
      </c>
      <c r="AA6" s="121" t="s">
        <v>14</v>
      </c>
      <c r="AB6" s="121" t="s">
        <v>14</v>
      </c>
      <c r="AC6" s="121" t="s">
        <v>14</v>
      </c>
      <c r="AD6" s="137" t="s">
        <v>15</v>
      </c>
      <c r="AE6" s="137" t="s">
        <v>15</v>
      </c>
      <c r="AF6" s="144" t="s">
        <v>7</v>
      </c>
      <c r="AG6" s="144" t="s">
        <v>7</v>
      </c>
      <c r="AH6"/>
    </row>
    <row r="7" spans="1:34" x14ac:dyDescent="0.35">
      <c r="A7" s="34" t="s">
        <v>12</v>
      </c>
      <c r="B7" s="33" t="s">
        <v>22</v>
      </c>
      <c r="C7" s="137" t="s">
        <v>15</v>
      </c>
      <c r="D7" s="144" t="s">
        <v>7</v>
      </c>
      <c r="E7" s="144" t="s">
        <v>7</v>
      </c>
      <c r="F7" s="144" t="s">
        <v>7</v>
      </c>
      <c r="G7" s="144" t="s">
        <v>7</v>
      </c>
      <c r="H7" s="109" t="s">
        <v>4</v>
      </c>
      <c r="I7" s="144" t="s">
        <v>7</v>
      </c>
      <c r="J7" s="144" t="s">
        <v>7</v>
      </c>
      <c r="K7" s="137" t="s">
        <v>14</v>
      </c>
      <c r="L7" s="137" t="s">
        <v>14</v>
      </c>
      <c r="M7" s="137" t="s">
        <v>14</v>
      </c>
      <c r="N7" s="137" t="s">
        <v>14</v>
      </c>
      <c r="O7" s="137" t="s">
        <v>14</v>
      </c>
      <c r="P7" s="137" t="s">
        <v>15</v>
      </c>
      <c r="Q7" s="137" t="s">
        <v>15</v>
      </c>
      <c r="R7" s="144" t="s">
        <v>7</v>
      </c>
      <c r="S7" s="144" t="s">
        <v>7</v>
      </c>
      <c r="T7" s="144" t="s">
        <v>7</v>
      </c>
      <c r="U7" s="109" t="s">
        <v>4</v>
      </c>
      <c r="V7" s="144" t="s">
        <v>7</v>
      </c>
      <c r="W7" s="144" t="s">
        <v>7</v>
      </c>
      <c r="X7" s="144" t="s">
        <v>7</v>
      </c>
      <c r="Y7" s="151" t="s">
        <v>20</v>
      </c>
      <c r="Z7" s="151" t="s">
        <v>20</v>
      </c>
      <c r="AA7" s="151" t="s">
        <v>20</v>
      </c>
      <c r="AB7" s="151" t="s">
        <v>20</v>
      </c>
      <c r="AC7" s="151" t="s">
        <v>20</v>
      </c>
      <c r="AD7" s="144" t="s">
        <v>7</v>
      </c>
      <c r="AE7" s="144" t="s">
        <v>7</v>
      </c>
      <c r="AF7" s="121" t="s">
        <v>14</v>
      </c>
      <c r="AG7" s="121" t="s">
        <v>14</v>
      </c>
      <c r="AH7"/>
    </row>
    <row r="8" spans="1:34" x14ac:dyDescent="0.35">
      <c r="A8" s="34" t="s">
        <v>12</v>
      </c>
      <c r="B8" s="33" t="s">
        <v>59</v>
      </c>
      <c r="C8" s="144" t="s">
        <v>7</v>
      </c>
      <c r="D8" s="121" t="s">
        <v>14</v>
      </c>
      <c r="E8" s="121" t="s">
        <v>14</v>
      </c>
      <c r="F8" s="121" t="s">
        <v>14</v>
      </c>
      <c r="G8" s="121" t="s">
        <v>14</v>
      </c>
      <c r="H8" s="121" t="s">
        <v>14</v>
      </c>
      <c r="I8" s="137" t="s">
        <v>15</v>
      </c>
      <c r="J8" s="137" t="s">
        <v>15</v>
      </c>
      <c r="K8" s="144" t="s">
        <v>7</v>
      </c>
      <c r="L8" s="144" t="s">
        <v>7</v>
      </c>
      <c r="M8" s="144" t="s">
        <v>7</v>
      </c>
      <c r="N8" s="109" t="s">
        <v>4</v>
      </c>
      <c r="O8" s="144" t="s">
        <v>7</v>
      </c>
      <c r="P8" s="144" t="s">
        <v>7</v>
      </c>
      <c r="Q8" s="144" t="s">
        <v>7</v>
      </c>
      <c r="R8" s="137" t="s">
        <v>14</v>
      </c>
      <c r="S8" s="137" t="s">
        <v>14</v>
      </c>
      <c r="T8" s="137" t="s">
        <v>14</v>
      </c>
      <c r="U8" s="137" t="s">
        <v>14</v>
      </c>
      <c r="V8" s="137" t="s">
        <v>14</v>
      </c>
      <c r="W8" s="137" t="s">
        <v>15</v>
      </c>
      <c r="X8" s="137" t="s">
        <v>15</v>
      </c>
      <c r="Y8" s="144" t="s">
        <v>7</v>
      </c>
      <c r="Z8" s="144" t="s">
        <v>7</v>
      </c>
      <c r="AA8" s="144" t="s">
        <v>7</v>
      </c>
      <c r="AB8" s="109" t="s">
        <v>4</v>
      </c>
      <c r="AC8" s="144" t="s">
        <v>7</v>
      </c>
      <c r="AD8" s="144" t="s">
        <v>7</v>
      </c>
      <c r="AE8" s="144" t="s">
        <v>7</v>
      </c>
      <c r="AF8" s="151" t="s">
        <v>20</v>
      </c>
      <c r="AG8" s="151" t="s">
        <v>20</v>
      </c>
      <c r="AH8"/>
    </row>
    <row r="9" spans="1:34" x14ac:dyDescent="0.35">
      <c r="A9" s="34"/>
      <c r="C9" s="152"/>
      <c r="D9" s="152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2"/>
      <c r="AF9" s="152"/>
      <c r="AG9" s="152"/>
      <c r="AH9"/>
    </row>
    <row r="10" spans="1:34" x14ac:dyDescent="0.35">
      <c r="A10" s="34" t="s">
        <v>12</v>
      </c>
      <c r="B10" s="33" t="s">
        <v>105</v>
      </c>
      <c r="C10" s="136" t="s">
        <v>7</v>
      </c>
      <c r="D10" s="154" t="s">
        <v>16</v>
      </c>
      <c r="E10" s="154" t="s">
        <v>16</v>
      </c>
      <c r="F10" s="154" t="s">
        <v>16</v>
      </c>
      <c r="G10" s="154" t="s">
        <v>16</v>
      </c>
      <c r="H10" s="154" t="s">
        <v>16</v>
      </c>
      <c r="I10" s="154" t="s">
        <v>17</v>
      </c>
      <c r="J10" s="154" t="s">
        <v>17</v>
      </c>
      <c r="K10" s="136" t="s">
        <v>7</v>
      </c>
      <c r="L10" s="136" t="s">
        <v>7</v>
      </c>
      <c r="M10" s="136" t="s">
        <v>7</v>
      </c>
      <c r="N10" s="136" t="s">
        <v>7</v>
      </c>
      <c r="O10" s="136" t="s">
        <v>7</v>
      </c>
      <c r="P10" s="167" t="s">
        <v>17</v>
      </c>
      <c r="Q10" s="167" t="s">
        <v>17</v>
      </c>
      <c r="R10" s="155" t="s">
        <v>20</v>
      </c>
      <c r="S10" s="155" t="s">
        <v>20</v>
      </c>
      <c r="T10" s="155" t="s">
        <v>20</v>
      </c>
      <c r="U10" s="155" t="s">
        <v>20</v>
      </c>
      <c r="V10" s="167" t="s">
        <v>16</v>
      </c>
      <c r="W10" s="163" t="s">
        <v>7</v>
      </c>
      <c r="X10" s="163" t="s">
        <v>7</v>
      </c>
      <c r="Y10" s="167" t="s">
        <v>20</v>
      </c>
      <c r="Z10" s="167" t="s">
        <v>20</v>
      </c>
      <c r="AA10" s="167" t="s">
        <v>20</v>
      </c>
      <c r="AB10" s="167" t="s">
        <v>20</v>
      </c>
      <c r="AC10" s="167" t="s">
        <v>20</v>
      </c>
      <c r="AD10" s="168" t="s">
        <v>7</v>
      </c>
      <c r="AE10" s="168" t="s">
        <v>7</v>
      </c>
      <c r="AF10" s="136" t="s">
        <v>7</v>
      </c>
      <c r="AG10" s="136" t="s">
        <v>7</v>
      </c>
      <c r="AH10"/>
    </row>
    <row r="11" spans="1:34" x14ac:dyDescent="0.35">
      <c r="A11" s="34" t="s">
        <v>12</v>
      </c>
      <c r="B11" s="33" t="s">
        <v>53</v>
      </c>
      <c r="C11" s="154" t="s">
        <v>17</v>
      </c>
      <c r="D11" s="136" t="s">
        <v>7</v>
      </c>
      <c r="E11" s="136" t="s">
        <v>7</v>
      </c>
      <c r="F11" s="136" t="s">
        <v>7</v>
      </c>
      <c r="G11" s="136" t="s">
        <v>7</v>
      </c>
      <c r="H11" s="136" t="s">
        <v>7</v>
      </c>
      <c r="I11" s="136" t="s">
        <v>7</v>
      </c>
      <c r="J11" s="136" t="s">
        <v>7</v>
      </c>
      <c r="K11" s="154" t="s">
        <v>16</v>
      </c>
      <c r="L11" s="154" t="s">
        <v>16</v>
      </c>
      <c r="M11" s="154" t="s">
        <v>16</v>
      </c>
      <c r="N11" s="154" t="s">
        <v>16</v>
      </c>
      <c r="O11" s="154" t="s">
        <v>16</v>
      </c>
      <c r="P11" s="136" t="s">
        <v>7</v>
      </c>
      <c r="Q11" s="136" t="s">
        <v>7</v>
      </c>
      <c r="R11" s="136" t="s">
        <v>7</v>
      </c>
      <c r="S11" s="136" t="s">
        <v>7</v>
      </c>
      <c r="T11" s="136" t="s">
        <v>7</v>
      </c>
      <c r="U11" s="136" t="s">
        <v>7</v>
      </c>
      <c r="V11" s="136" t="s">
        <v>7</v>
      </c>
      <c r="W11" s="136" t="s">
        <v>7</v>
      </c>
      <c r="X11" s="136" t="s">
        <v>7</v>
      </c>
      <c r="Y11" s="167" t="s">
        <v>16</v>
      </c>
      <c r="Z11" s="167" t="s">
        <v>16</v>
      </c>
      <c r="AA11" s="167" t="s">
        <v>16</v>
      </c>
      <c r="AB11" s="167" t="s">
        <v>16</v>
      </c>
      <c r="AC11" s="167" t="s">
        <v>16</v>
      </c>
      <c r="AD11" s="167" t="s">
        <v>17</v>
      </c>
      <c r="AE11" s="167" t="s">
        <v>17</v>
      </c>
      <c r="AF11" s="154" t="s">
        <v>16</v>
      </c>
      <c r="AG11" s="154" t="s">
        <v>16</v>
      </c>
      <c r="AH11"/>
    </row>
    <row r="12" spans="1:34" x14ac:dyDescent="0.35">
      <c r="A12" s="34" t="s">
        <v>12</v>
      </c>
      <c r="B12" s="33" t="s">
        <v>24</v>
      </c>
      <c r="C12" s="154" t="s">
        <v>17</v>
      </c>
      <c r="D12" s="154" t="s">
        <v>16</v>
      </c>
      <c r="E12" s="154" t="s">
        <v>16</v>
      </c>
      <c r="F12" s="154" t="s">
        <v>16</v>
      </c>
      <c r="G12" s="154" t="s">
        <v>16</v>
      </c>
      <c r="H12" s="154" t="s">
        <v>16</v>
      </c>
      <c r="I12" s="154" t="s">
        <v>17</v>
      </c>
      <c r="J12" s="154" t="s">
        <v>17</v>
      </c>
      <c r="K12" s="136" t="s">
        <v>7</v>
      </c>
      <c r="L12" s="136" t="s">
        <v>7</v>
      </c>
      <c r="M12" s="136" t="s">
        <v>7</v>
      </c>
      <c r="N12" s="136" t="s">
        <v>7</v>
      </c>
      <c r="O12" s="136" t="s">
        <v>7</v>
      </c>
      <c r="P12" s="136" t="s">
        <v>7</v>
      </c>
      <c r="Q12" s="136" t="s">
        <v>7</v>
      </c>
      <c r="R12" s="154" t="s">
        <v>16</v>
      </c>
      <c r="S12" s="154" t="s">
        <v>16</v>
      </c>
      <c r="T12" s="154" t="s">
        <v>16</v>
      </c>
      <c r="U12" s="154" t="s">
        <v>16</v>
      </c>
      <c r="V12" s="167" t="s">
        <v>20</v>
      </c>
      <c r="W12" s="154" t="s">
        <v>17</v>
      </c>
      <c r="X12" s="154" t="s">
        <v>17</v>
      </c>
      <c r="Y12" s="136" t="s">
        <v>7</v>
      </c>
      <c r="Z12" s="136" t="s">
        <v>7</v>
      </c>
      <c r="AA12" s="136" t="s">
        <v>7</v>
      </c>
      <c r="AB12" s="136" t="s">
        <v>7</v>
      </c>
      <c r="AC12" s="136" t="s">
        <v>7</v>
      </c>
      <c r="AD12" s="136" t="s">
        <v>7</v>
      </c>
      <c r="AE12" s="136" t="s">
        <v>7</v>
      </c>
      <c r="AF12" s="155" t="s">
        <v>20</v>
      </c>
      <c r="AG12" s="155" t="s">
        <v>20</v>
      </c>
      <c r="AH12"/>
    </row>
    <row r="13" spans="1:34" x14ac:dyDescent="0.35">
      <c r="A13" s="34" t="s">
        <v>12</v>
      </c>
      <c r="B13" s="33" t="s">
        <v>84</v>
      </c>
      <c r="C13" s="136" t="s">
        <v>7</v>
      </c>
      <c r="D13" s="155" t="s">
        <v>20</v>
      </c>
      <c r="E13" s="155" t="s">
        <v>20</v>
      </c>
      <c r="F13" s="155" t="s">
        <v>20</v>
      </c>
      <c r="G13" s="155" t="s">
        <v>20</v>
      </c>
      <c r="H13" s="155" t="s">
        <v>20</v>
      </c>
      <c r="I13" s="136" t="s">
        <v>7</v>
      </c>
      <c r="J13" s="136" t="s">
        <v>7</v>
      </c>
      <c r="K13" s="154" t="s">
        <v>16</v>
      </c>
      <c r="L13" s="154" t="s">
        <v>16</v>
      </c>
      <c r="M13" s="154" t="s">
        <v>16</v>
      </c>
      <c r="N13" s="154" t="s">
        <v>16</v>
      </c>
      <c r="O13" s="154" t="s">
        <v>16</v>
      </c>
      <c r="P13" s="154" t="s">
        <v>17</v>
      </c>
      <c r="Q13" s="154" t="s">
        <v>17</v>
      </c>
      <c r="R13" s="136" t="s">
        <v>7</v>
      </c>
      <c r="S13" s="136" t="s">
        <v>7</v>
      </c>
      <c r="T13" s="136" t="s">
        <v>7</v>
      </c>
      <c r="U13" s="136" t="s">
        <v>7</v>
      </c>
      <c r="V13" s="136" t="s">
        <v>7</v>
      </c>
      <c r="W13" s="136" t="s">
        <v>7</v>
      </c>
      <c r="X13" s="136" t="s">
        <v>7</v>
      </c>
      <c r="Y13" s="154" t="s">
        <v>16</v>
      </c>
      <c r="Z13" s="154" t="s">
        <v>16</v>
      </c>
      <c r="AA13" s="154" t="s">
        <v>16</v>
      </c>
      <c r="AB13" s="154" t="s">
        <v>16</v>
      </c>
      <c r="AC13" s="154" t="s">
        <v>16</v>
      </c>
      <c r="AD13" s="154" t="s">
        <v>17</v>
      </c>
      <c r="AE13" s="154" t="s">
        <v>17</v>
      </c>
      <c r="AF13" s="136" t="s">
        <v>7</v>
      </c>
      <c r="AG13" s="136" t="s">
        <v>7</v>
      </c>
      <c r="AH13"/>
    </row>
    <row r="14" spans="1:34" x14ac:dyDescent="0.35">
      <c r="A14" s="34" t="s">
        <v>12</v>
      </c>
      <c r="B14" s="33" t="s">
        <v>106</v>
      </c>
      <c r="C14" s="163" t="s">
        <v>7</v>
      </c>
      <c r="D14" s="164" t="s">
        <v>20</v>
      </c>
      <c r="E14" s="164" t="s">
        <v>20</v>
      </c>
      <c r="F14" s="164" t="s">
        <v>20</v>
      </c>
      <c r="G14" s="164" t="s">
        <v>20</v>
      </c>
      <c r="H14" s="164" t="s">
        <v>20</v>
      </c>
      <c r="I14" s="157" t="s">
        <v>7</v>
      </c>
      <c r="J14" s="157" t="s">
        <v>7</v>
      </c>
      <c r="K14" s="158" t="s">
        <v>20</v>
      </c>
      <c r="L14" s="158" t="s">
        <v>20</v>
      </c>
      <c r="M14" s="158" t="s">
        <v>20</v>
      </c>
      <c r="N14" s="158" t="s">
        <v>20</v>
      </c>
      <c r="O14" s="158" t="s">
        <v>20</v>
      </c>
      <c r="P14" s="157" t="s">
        <v>7</v>
      </c>
      <c r="Q14" s="157" t="s">
        <v>7</v>
      </c>
      <c r="R14" s="156" t="s">
        <v>16</v>
      </c>
      <c r="S14" s="156" t="s">
        <v>16</v>
      </c>
      <c r="T14" s="156" t="s">
        <v>16</v>
      </c>
      <c r="U14" s="156" t="s">
        <v>16</v>
      </c>
      <c r="V14" s="156" t="s">
        <v>16</v>
      </c>
      <c r="W14" s="165" t="s">
        <v>17</v>
      </c>
      <c r="X14" s="165" t="s">
        <v>17</v>
      </c>
      <c r="Y14" s="157" t="s">
        <v>7</v>
      </c>
      <c r="Z14" s="157" t="s">
        <v>7</v>
      </c>
      <c r="AA14" s="157" t="s">
        <v>7</v>
      </c>
      <c r="AB14" s="157" t="s">
        <v>7</v>
      </c>
      <c r="AC14" s="157" t="s">
        <v>7</v>
      </c>
      <c r="AD14" s="166" t="s">
        <v>7</v>
      </c>
      <c r="AE14" s="166" t="s">
        <v>7</v>
      </c>
      <c r="AF14" s="156" t="s">
        <v>16</v>
      </c>
      <c r="AG14" s="156" t="s">
        <v>16</v>
      </c>
      <c r="AH14"/>
    </row>
    <row r="15" spans="1:34" x14ac:dyDescent="0.35">
      <c r="AH15"/>
    </row>
    <row r="16" spans="1:34" x14ac:dyDescent="0.35">
      <c r="AH16"/>
    </row>
    <row r="17" spans="1:34" x14ac:dyDescent="0.35">
      <c r="A17" s="34" t="s">
        <v>28</v>
      </c>
      <c r="B17" s="33" t="s">
        <v>29</v>
      </c>
      <c r="C17" s="159" t="s">
        <v>30</v>
      </c>
      <c r="D17" s="160" t="s">
        <v>85</v>
      </c>
      <c r="E17" s="160" t="s">
        <v>85</v>
      </c>
      <c r="F17" s="160" t="s">
        <v>85</v>
      </c>
      <c r="G17" s="160" t="s">
        <v>85</v>
      </c>
      <c r="H17" s="160" t="s">
        <v>85</v>
      </c>
      <c r="I17" s="161" t="s">
        <v>30</v>
      </c>
      <c r="J17" s="161" t="s">
        <v>30</v>
      </c>
      <c r="K17" s="145" t="s">
        <v>61</v>
      </c>
      <c r="L17" s="121" t="s">
        <v>11</v>
      </c>
      <c r="M17" s="121" t="s">
        <v>11</v>
      </c>
      <c r="N17" s="121" t="s">
        <v>11</v>
      </c>
      <c r="O17" s="121" t="s">
        <v>11</v>
      </c>
      <c r="P17" s="159" t="s">
        <v>7</v>
      </c>
      <c r="Q17" s="159" t="s">
        <v>7</v>
      </c>
      <c r="R17" s="121" t="s">
        <v>54</v>
      </c>
      <c r="S17" s="160" t="s">
        <v>54</v>
      </c>
      <c r="T17" s="160" t="s">
        <v>54</v>
      </c>
      <c r="U17" s="160" t="s">
        <v>54</v>
      </c>
      <c r="V17" s="160" t="s">
        <v>54</v>
      </c>
      <c r="W17" s="159" t="s">
        <v>7</v>
      </c>
      <c r="X17" s="159" t="s">
        <v>7</v>
      </c>
      <c r="Y17" s="160" t="s">
        <v>85</v>
      </c>
      <c r="Z17" s="160" t="s">
        <v>85</v>
      </c>
      <c r="AA17" s="160" t="s">
        <v>85</v>
      </c>
      <c r="AB17" s="160" t="s">
        <v>85</v>
      </c>
      <c r="AC17" s="160" t="s">
        <v>85</v>
      </c>
      <c r="AD17" s="161" t="s">
        <v>30</v>
      </c>
      <c r="AE17" s="161" t="s">
        <v>30</v>
      </c>
      <c r="AF17" s="162" t="s">
        <v>11</v>
      </c>
      <c r="AG17" s="162" t="s">
        <v>11</v>
      </c>
      <c r="AH17"/>
    </row>
    <row r="18" spans="1:34" x14ac:dyDescent="0.35">
      <c r="A18" s="34" t="s">
        <v>28</v>
      </c>
      <c r="B18" s="35" t="s">
        <v>60</v>
      </c>
      <c r="C18" s="144" t="s">
        <v>7</v>
      </c>
      <c r="D18" s="145" t="s">
        <v>54</v>
      </c>
      <c r="E18" s="145" t="s">
        <v>54</v>
      </c>
      <c r="F18" s="145" t="s">
        <v>54</v>
      </c>
      <c r="G18" s="145" t="s">
        <v>54</v>
      </c>
      <c r="H18" s="145" t="s">
        <v>54</v>
      </c>
      <c r="I18" s="144" t="s">
        <v>7</v>
      </c>
      <c r="J18" s="144" t="s">
        <v>7</v>
      </c>
      <c r="K18" s="162" t="s">
        <v>32</v>
      </c>
      <c r="L18" s="160" t="s">
        <v>85</v>
      </c>
      <c r="M18" s="160" t="s">
        <v>85</v>
      </c>
      <c r="N18" s="160" t="s">
        <v>85</v>
      </c>
      <c r="O18" s="160" t="s">
        <v>85</v>
      </c>
      <c r="P18" s="146" t="s">
        <v>30</v>
      </c>
      <c r="Q18" s="146" t="s">
        <v>30</v>
      </c>
      <c r="R18" s="160" t="s">
        <v>11</v>
      </c>
      <c r="S18" s="121" t="s">
        <v>11</v>
      </c>
      <c r="T18" s="121" t="s">
        <v>11</v>
      </c>
      <c r="U18" s="121" t="s">
        <v>11</v>
      </c>
      <c r="V18" s="121" t="s">
        <v>11</v>
      </c>
      <c r="W18" s="144" t="s">
        <v>7</v>
      </c>
      <c r="X18" s="144" t="s">
        <v>7</v>
      </c>
      <c r="Y18" s="145" t="s">
        <v>54</v>
      </c>
      <c r="Z18" s="145" t="s">
        <v>54</v>
      </c>
      <c r="AA18" s="145" t="s">
        <v>54</v>
      </c>
      <c r="AB18" s="145" t="s">
        <v>54</v>
      </c>
      <c r="AC18" s="145" t="s">
        <v>54</v>
      </c>
      <c r="AD18" s="144" t="s">
        <v>7</v>
      </c>
      <c r="AE18" s="144" t="s">
        <v>7</v>
      </c>
      <c r="AF18" s="145" t="s">
        <v>85</v>
      </c>
      <c r="AG18" s="145" t="s">
        <v>85</v>
      </c>
      <c r="AH18"/>
    </row>
    <row r="19" spans="1:34" x14ac:dyDescent="0.35">
      <c r="A19" s="34" t="s">
        <v>28</v>
      </c>
      <c r="B19" s="62" t="s">
        <v>13</v>
      </c>
      <c r="C19" s="144" t="s">
        <v>7</v>
      </c>
      <c r="D19" s="121" t="s">
        <v>11</v>
      </c>
      <c r="E19" s="121" t="s">
        <v>11</v>
      </c>
      <c r="F19" s="121" t="s">
        <v>11</v>
      </c>
      <c r="G19" s="121" t="s">
        <v>11</v>
      </c>
      <c r="H19" s="121" t="s">
        <v>11</v>
      </c>
      <c r="I19" s="144" t="s">
        <v>7</v>
      </c>
      <c r="J19" s="144" t="s">
        <v>7</v>
      </c>
      <c r="K19" s="145" t="s">
        <v>54</v>
      </c>
      <c r="L19" s="145" t="s">
        <v>54</v>
      </c>
      <c r="M19" s="145" t="s">
        <v>54</v>
      </c>
      <c r="N19" s="145" t="s">
        <v>54</v>
      </c>
      <c r="O19" s="145" t="s">
        <v>54</v>
      </c>
      <c r="P19" s="144" t="s">
        <v>7</v>
      </c>
      <c r="Q19" s="144" t="s">
        <v>7</v>
      </c>
      <c r="R19" s="145" t="s">
        <v>85</v>
      </c>
      <c r="S19" s="145" t="s">
        <v>85</v>
      </c>
      <c r="T19" s="145" t="s">
        <v>85</v>
      </c>
      <c r="U19" s="145" t="s">
        <v>85</v>
      </c>
      <c r="V19" s="145" t="s">
        <v>85</v>
      </c>
      <c r="W19" s="146" t="s">
        <v>30</v>
      </c>
      <c r="X19" s="146" t="s">
        <v>30</v>
      </c>
      <c r="Y19" s="121" t="s">
        <v>11</v>
      </c>
      <c r="Z19" s="121" t="s">
        <v>11</v>
      </c>
      <c r="AA19" s="121" t="s">
        <v>11</v>
      </c>
      <c r="AB19" s="121" t="s">
        <v>11</v>
      </c>
      <c r="AC19" s="121" t="s">
        <v>11</v>
      </c>
      <c r="AD19" s="144" t="s">
        <v>7</v>
      </c>
      <c r="AE19" s="144" t="s">
        <v>7</v>
      </c>
      <c r="AF19" s="145" t="s">
        <v>54</v>
      </c>
      <c r="AG19" s="145" t="s">
        <v>54</v>
      </c>
      <c r="AH19"/>
    </row>
    <row r="21" spans="1:34" x14ac:dyDescent="0.35">
      <c r="B21" s="111" t="s">
        <v>89</v>
      </c>
      <c r="C21" s="110">
        <f t="shared" ref="C21:AG21" si="0">SUM(C22:C24)</f>
        <v>4</v>
      </c>
      <c r="D21" s="110">
        <f t="shared" si="0"/>
        <v>8</v>
      </c>
      <c r="E21" s="110">
        <f t="shared" si="0"/>
        <v>6</v>
      </c>
      <c r="F21" s="110">
        <f t="shared" si="0"/>
        <v>8</v>
      </c>
      <c r="G21" s="110">
        <f t="shared" si="0"/>
        <v>8</v>
      </c>
      <c r="H21" s="110">
        <f t="shared" si="0"/>
        <v>8</v>
      </c>
      <c r="I21" s="110">
        <f t="shared" si="0"/>
        <v>4</v>
      </c>
      <c r="J21" s="110">
        <f t="shared" si="0"/>
        <v>4</v>
      </c>
      <c r="K21" s="110">
        <f t="shared" si="0"/>
        <v>6</v>
      </c>
      <c r="L21" s="110">
        <f t="shared" si="0"/>
        <v>7</v>
      </c>
      <c r="M21" s="110">
        <f t="shared" si="0"/>
        <v>7</v>
      </c>
      <c r="N21" s="110">
        <f t="shared" si="0"/>
        <v>7</v>
      </c>
      <c r="O21" s="110">
        <f t="shared" si="0"/>
        <v>7</v>
      </c>
      <c r="P21" s="110">
        <f t="shared" si="0"/>
        <v>4</v>
      </c>
      <c r="Q21" s="110">
        <f t="shared" si="0"/>
        <v>4</v>
      </c>
      <c r="R21" s="110">
        <f t="shared" si="0"/>
        <v>7</v>
      </c>
      <c r="S21" s="110">
        <f t="shared" si="0"/>
        <v>7</v>
      </c>
      <c r="T21" s="110">
        <f t="shared" si="0"/>
        <v>7</v>
      </c>
      <c r="U21" s="110">
        <f t="shared" si="0"/>
        <v>7</v>
      </c>
      <c r="V21" s="110">
        <f t="shared" si="0"/>
        <v>7</v>
      </c>
      <c r="W21" s="110">
        <f t="shared" si="0"/>
        <v>4</v>
      </c>
      <c r="X21" s="110">
        <f t="shared" si="0"/>
        <v>4</v>
      </c>
      <c r="Y21" s="110">
        <f t="shared" si="0"/>
        <v>7</v>
      </c>
      <c r="Z21" s="110">
        <f t="shared" si="0"/>
        <v>7</v>
      </c>
      <c r="AA21" s="110">
        <f t="shared" si="0"/>
        <v>7</v>
      </c>
      <c r="AB21" s="110">
        <f t="shared" si="0"/>
        <v>7</v>
      </c>
      <c r="AC21" s="110">
        <f t="shared" si="0"/>
        <v>7</v>
      </c>
      <c r="AD21" s="110">
        <f t="shared" si="0"/>
        <v>4</v>
      </c>
      <c r="AE21" s="110">
        <f t="shared" si="0"/>
        <v>4</v>
      </c>
      <c r="AF21" s="110">
        <f t="shared" si="0"/>
        <v>7</v>
      </c>
      <c r="AG21" s="110">
        <f t="shared" si="0"/>
        <v>7</v>
      </c>
    </row>
    <row r="22" spans="1:34" x14ac:dyDescent="0.35">
      <c r="B22" s="111" t="s">
        <v>90</v>
      </c>
      <c r="C22" s="112">
        <f t="shared" ref="C22:AG22" si="1">COUNTIF(C4:C19,"T")</f>
        <v>0</v>
      </c>
      <c r="D22" s="112">
        <f t="shared" si="1"/>
        <v>3</v>
      </c>
      <c r="E22" s="112">
        <f t="shared" si="1"/>
        <v>3</v>
      </c>
      <c r="F22" s="112">
        <f t="shared" si="1"/>
        <v>3</v>
      </c>
      <c r="G22" s="112">
        <f t="shared" si="1"/>
        <v>3</v>
      </c>
      <c r="H22" s="112">
        <f t="shared" si="1"/>
        <v>3</v>
      </c>
      <c r="I22" s="112">
        <f t="shared" si="1"/>
        <v>0</v>
      </c>
      <c r="J22" s="112">
        <f t="shared" si="1"/>
        <v>0</v>
      </c>
      <c r="K22" s="112">
        <f t="shared" si="1"/>
        <v>2</v>
      </c>
      <c r="L22" s="112">
        <f t="shared" si="1"/>
        <v>2</v>
      </c>
      <c r="M22" s="112">
        <f t="shared" si="1"/>
        <v>2</v>
      </c>
      <c r="N22" s="112">
        <f t="shared" si="1"/>
        <v>2</v>
      </c>
      <c r="O22" s="112">
        <f t="shared" si="1"/>
        <v>2</v>
      </c>
      <c r="P22" s="112">
        <f t="shared" si="1"/>
        <v>0</v>
      </c>
      <c r="Q22" s="112">
        <f t="shared" si="1"/>
        <v>0</v>
      </c>
      <c r="R22" s="112">
        <f t="shared" si="1"/>
        <v>2</v>
      </c>
      <c r="S22" s="112">
        <f t="shared" si="1"/>
        <v>2</v>
      </c>
      <c r="T22" s="112">
        <f t="shared" si="1"/>
        <v>2</v>
      </c>
      <c r="U22" s="112">
        <f t="shared" si="1"/>
        <v>2</v>
      </c>
      <c r="V22" s="112">
        <f t="shared" si="1"/>
        <v>2</v>
      </c>
      <c r="W22" s="112">
        <f t="shared" si="1"/>
        <v>0</v>
      </c>
      <c r="X22" s="112">
        <f t="shared" si="1"/>
        <v>0</v>
      </c>
      <c r="Y22" s="112">
        <f t="shared" si="1"/>
        <v>2</v>
      </c>
      <c r="Z22" s="112">
        <f t="shared" si="1"/>
        <v>2</v>
      </c>
      <c r="AA22" s="112">
        <f t="shared" si="1"/>
        <v>2</v>
      </c>
      <c r="AB22" s="112">
        <f t="shared" si="1"/>
        <v>2</v>
      </c>
      <c r="AC22" s="112">
        <f t="shared" si="1"/>
        <v>2</v>
      </c>
      <c r="AD22" s="112">
        <f t="shared" si="1"/>
        <v>0</v>
      </c>
      <c r="AE22" s="112">
        <f t="shared" si="1"/>
        <v>0</v>
      </c>
      <c r="AF22" s="112">
        <f t="shared" si="1"/>
        <v>2</v>
      </c>
      <c r="AG22" s="112">
        <f t="shared" si="1"/>
        <v>2</v>
      </c>
    </row>
    <row r="23" spans="1:34" x14ac:dyDescent="0.35">
      <c r="B23" s="111" t="s">
        <v>91</v>
      </c>
      <c r="C23" s="112">
        <f t="shared" ref="C23:AG23" si="2">COUNTIF(C4:C19,"N")+COUNTIF(C4:C19,"NF")</f>
        <v>2</v>
      </c>
      <c r="D23" s="112">
        <f t="shared" si="2"/>
        <v>2</v>
      </c>
      <c r="E23" s="112">
        <f t="shared" si="2"/>
        <v>2</v>
      </c>
      <c r="F23" s="112">
        <f t="shared" si="2"/>
        <v>2</v>
      </c>
      <c r="G23" s="112">
        <f t="shared" si="2"/>
        <v>2</v>
      </c>
      <c r="H23" s="112">
        <f t="shared" si="2"/>
        <v>2</v>
      </c>
      <c r="I23" s="112">
        <f t="shared" si="2"/>
        <v>2</v>
      </c>
      <c r="J23" s="112">
        <f t="shared" si="2"/>
        <v>2</v>
      </c>
      <c r="K23" s="112">
        <f t="shared" si="2"/>
        <v>2</v>
      </c>
      <c r="L23" s="112">
        <f t="shared" si="2"/>
        <v>2</v>
      </c>
      <c r="M23" s="112">
        <f t="shared" si="2"/>
        <v>2</v>
      </c>
      <c r="N23" s="112">
        <f t="shared" si="2"/>
        <v>2</v>
      </c>
      <c r="O23" s="112">
        <f t="shared" si="2"/>
        <v>2</v>
      </c>
      <c r="P23" s="112">
        <f t="shared" si="2"/>
        <v>2</v>
      </c>
      <c r="Q23" s="112">
        <f t="shared" si="2"/>
        <v>2</v>
      </c>
      <c r="R23" s="112">
        <f t="shared" si="2"/>
        <v>2</v>
      </c>
      <c r="S23" s="112">
        <f t="shared" si="2"/>
        <v>2</v>
      </c>
      <c r="T23" s="112">
        <f t="shared" si="2"/>
        <v>2</v>
      </c>
      <c r="U23" s="112">
        <f t="shared" si="2"/>
        <v>2</v>
      </c>
      <c r="V23" s="112">
        <f t="shared" si="2"/>
        <v>2</v>
      </c>
      <c r="W23" s="112">
        <f t="shared" si="2"/>
        <v>2</v>
      </c>
      <c r="X23" s="112">
        <f t="shared" si="2"/>
        <v>2</v>
      </c>
      <c r="Y23" s="112">
        <f t="shared" si="2"/>
        <v>2</v>
      </c>
      <c r="Z23" s="112">
        <f t="shared" si="2"/>
        <v>2</v>
      </c>
      <c r="AA23" s="112">
        <f t="shared" si="2"/>
        <v>2</v>
      </c>
      <c r="AB23" s="112">
        <f t="shared" si="2"/>
        <v>2</v>
      </c>
      <c r="AC23" s="112">
        <f t="shared" si="2"/>
        <v>2</v>
      </c>
      <c r="AD23" s="112">
        <f t="shared" si="2"/>
        <v>2</v>
      </c>
      <c r="AE23" s="112">
        <f t="shared" si="2"/>
        <v>2</v>
      </c>
      <c r="AF23" s="112">
        <f t="shared" si="2"/>
        <v>2</v>
      </c>
      <c r="AG23" s="112">
        <f t="shared" si="2"/>
        <v>2</v>
      </c>
    </row>
    <row r="24" spans="1:34" x14ac:dyDescent="0.35">
      <c r="B24" s="111" t="s">
        <v>92</v>
      </c>
      <c r="C24" s="112">
        <f>COUNTIF(C4:C19,"M/F")+COUNTIF(C4:C19,"M1")+COUNTIF(C4:C19,"M3")+COUNTIF(C4:C19,"M3/G")+COUNTIF(C4:C19,"M2")</f>
        <v>2</v>
      </c>
      <c r="D24" s="112">
        <f>COUNTIF(D4:D19,"M/F")+COUNTIF(D4:D19,"M1")+COUNTIF(D4:D19,"M3")+COUNTIF(D4:D19,"M3/G")+COUNTIF(D4:D19,"M2")</f>
        <v>3</v>
      </c>
      <c r="E24" s="112">
        <f>COUNTIF(E4:E19,"M1")+COUNTIF(E4:E19,"NF")</f>
        <v>1</v>
      </c>
      <c r="F24" s="112">
        <f t="shared" ref="F24:AG24" si="3">COUNTIF(F4:F19,"M/F")+COUNTIF(F4:F19,"M1")+COUNTIF(F4:F19,"M3")+COUNTIF(F4:F19,"M3/G")+COUNTIF(F4:F19,"M2")</f>
        <v>3</v>
      </c>
      <c r="G24" s="112">
        <f t="shared" si="3"/>
        <v>3</v>
      </c>
      <c r="H24" s="112">
        <f t="shared" si="3"/>
        <v>3</v>
      </c>
      <c r="I24" s="112">
        <f t="shared" si="3"/>
        <v>2</v>
      </c>
      <c r="J24" s="112">
        <f t="shared" si="3"/>
        <v>2</v>
      </c>
      <c r="K24" s="112">
        <f t="shared" si="3"/>
        <v>2</v>
      </c>
      <c r="L24" s="112">
        <f t="shared" si="3"/>
        <v>3</v>
      </c>
      <c r="M24" s="112">
        <f t="shared" si="3"/>
        <v>3</v>
      </c>
      <c r="N24" s="112">
        <f t="shared" si="3"/>
        <v>3</v>
      </c>
      <c r="O24" s="112">
        <f t="shared" si="3"/>
        <v>3</v>
      </c>
      <c r="P24" s="112">
        <f t="shared" si="3"/>
        <v>2</v>
      </c>
      <c r="Q24" s="112">
        <f t="shared" si="3"/>
        <v>2</v>
      </c>
      <c r="R24" s="112">
        <f t="shared" si="3"/>
        <v>3</v>
      </c>
      <c r="S24" s="112">
        <f t="shared" si="3"/>
        <v>3</v>
      </c>
      <c r="T24" s="112">
        <f t="shared" si="3"/>
        <v>3</v>
      </c>
      <c r="U24" s="112">
        <f t="shared" si="3"/>
        <v>3</v>
      </c>
      <c r="V24" s="112">
        <f t="shared" si="3"/>
        <v>3</v>
      </c>
      <c r="W24" s="112">
        <f t="shared" si="3"/>
        <v>2</v>
      </c>
      <c r="X24" s="112">
        <f t="shared" si="3"/>
        <v>2</v>
      </c>
      <c r="Y24" s="112">
        <f t="shared" si="3"/>
        <v>3</v>
      </c>
      <c r="Z24" s="112">
        <f t="shared" si="3"/>
        <v>3</v>
      </c>
      <c r="AA24" s="112">
        <f t="shared" si="3"/>
        <v>3</v>
      </c>
      <c r="AB24" s="112">
        <f t="shared" si="3"/>
        <v>3</v>
      </c>
      <c r="AC24" s="112">
        <f t="shared" si="3"/>
        <v>3</v>
      </c>
      <c r="AD24" s="112">
        <f t="shared" si="3"/>
        <v>2</v>
      </c>
      <c r="AE24" s="112">
        <f t="shared" si="3"/>
        <v>2</v>
      </c>
      <c r="AF24" s="112">
        <f t="shared" si="3"/>
        <v>3</v>
      </c>
      <c r="AG24" s="112">
        <f t="shared" si="3"/>
        <v>3</v>
      </c>
    </row>
    <row r="26" spans="1:34" x14ac:dyDescent="0.35">
      <c r="B26" t="s">
        <v>65</v>
      </c>
    </row>
    <row r="27" spans="1:34" x14ac:dyDescent="0.35">
      <c r="B27" s="5" t="s">
        <v>66</v>
      </c>
    </row>
    <row r="28" spans="1:34" x14ac:dyDescent="0.35">
      <c r="B28" s="5" t="s">
        <v>67</v>
      </c>
    </row>
    <row r="29" spans="1:34" x14ac:dyDescent="0.35">
      <c r="B29" s="1" t="s">
        <v>68</v>
      </c>
    </row>
    <row r="30" spans="1:34" x14ac:dyDescent="0.35">
      <c r="B30" s="7" t="s">
        <v>69</v>
      </c>
    </row>
    <row r="31" spans="1:34" x14ac:dyDescent="0.35">
      <c r="B31" s="3" t="s">
        <v>70</v>
      </c>
    </row>
    <row r="32" spans="1:34" x14ac:dyDescent="0.35">
      <c r="B32" s="5" t="s">
        <v>71</v>
      </c>
    </row>
    <row r="33" spans="2:2" x14ac:dyDescent="0.35">
      <c r="B33" s="3" t="s">
        <v>72</v>
      </c>
    </row>
    <row r="34" spans="2:2" x14ac:dyDescent="0.35">
      <c r="B34" s="4" t="s">
        <v>73</v>
      </c>
    </row>
    <row r="35" spans="2:2" x14ac:dyDescent="0.35">
      <c r="B35" s="25" t="s">
        <v>74</v>
      </c>
    </row>
    <row r="36" spans="2:2" x14ac:dyDescent="0.35">
      <c r="B36" s="4" t="s">
        <v>93</v>
      </c>
    </row>
    <row r="37" spans="2:2" x14ac:dyDescent="0.35">
      <c r="B37" s="28" t="s">
        <v>76</v>
      </c>
    </row>
    <row r="38" spans="2:2" x14ac:dyDescent="0.35">
      <c r="B38" s="17" t="s">
        <v>77</v>
      </c>
    </row>
  </sheetData>
  <mergeCells count="2">
    <mergeCell ref="B1:B3"/>
    <mergeCell ref="C1:AG1"/>
  </mergeCells>
  <conditionalFormatting sqref="C22:AG24">
    <cfRule type="cellIs" dxfId="9" priority="1" operator="equal">
      <formula>1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D4F9-6F97-4633-8059-4244F5A9F3BA}">
  <dimension ref="A1:AG40"/>
  <sheetViews>
    <sheetView tabSelected="1" workbookViewId="0">
      <selection activeCell="C13" sqref="C13"/>
    </sheetView>
  </sheetViews>
  <sheetFormatPr baseColWidth="10" defaultColWidth="8.81640625" defaultRowHeight="14.5" x14ac:dyDescent="0.35"/>
  <cols>
    <col min="2" max="2" width="25.54296875" customWidth="1"/>
    <col min="3" max="32" width="4.7265625" customWidth="1"/>
    <col min="33" max="33" width="4" style="91" bestFit="1" customWidth="1"/>
  </cols>
  <sheetData>
    <row r="1" spans="1:33" ht="24" customHeight="1" x14ac:dyDescent="0.35">
      <c r="A1" s="6"/>
      <c r="B1" s="175"/>
      <c r="C1" s="190" t="s">
        <v>107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</row>
    <row r="2" spans="1:33" x14ac:dyDescent="0.35">
      <c r="A2" s="6"/>
      <c r="B2" s="175"/>
      <c r="C2" s="85" t="s">
        <v>2</v>
      </c>
      <c r="D2" s="83" t="s">
        <v>3</v>
      </c>
      <c r="E2" s="83" t="s">
        <v>4</v>
      </c>
      <c r="F2" s="83" t="s">
        <v>5</v>
      </c>
      <c r="G2" s="83" t="s">
        <v>6</v>
      </c>
      <c r="H2" s="84" t="s">
        <v>7</v>
      </c>
      <c r="I2" s="84" t="s">
        <v>1</v>
      </c>
      <c r="J2" s="85" t="s">
        <v>2</v>
      </c>
      <c r="K2" s="85" t="s">
        <v>3</v>
      </c>
      <c r="L2" s="85" t="s">
        <v>4</v>
      </c>
      <c r="M2" s="83" t="s">
        <v>5</v>
      </c>
      <c r="N2" s="83" t="s">
        <v>6</v>
      </c>
      <c r="O2" s="84" t="s">
        <v>7</v>
      </c>
      <c r="P2" s="84" t="s">
        <v>1</v>
      </c>
      <c r="Q2" s="85" t="s">
        <v>2</v>
      </c>
      <c r="R2" s="85" t="s">
        <v>3</v>
      </c>
      <c r="S2" s="85" t="s">
        <v>4</v>
      </c>
      <c r="T2" s="83" t="s">
        <v>5</v>
      </c>
      <c r="U2" s="83" t="s">
        <v>6</v>
      </c>
      <c r="V2" s="84" t="s">
        <v>7</v>
      </c>
      <c r="W2" s="84" t="s">
        <v>1</v>
      </c>
      <c r="X2" s="85" t="s">
        <v>2</v>
      </c>
      <c r="Y2" s="85" t="s">
        <v>3</v>
      </c>
      <c r="Z2" s="85" t="s">
        <v>4</v>
      </c>
      <c r="AA2" s="83" t="s">
        <v>5</v>
      </c>
      <c r="AB2" s="83" t="s">
        <v>6</v>
      </c>
      <c r="AC2" s="84" t="s">
        <v>7</v>
      </c>
      <c r="AD2" s="84" t="s">
        <v>1</v>
      </c>
      <c r="AE2" s="85" t="s">
        <v>2</v>
      </c>
      <c r="AF2" s="85" t="s">
        <v>3</v>
      </c>
      <c r="AG2"/>
    </row>
    <row r="3" spans="1:33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 x14ac:dyDescent="0.35">
      <c r="A4" s="63" t="s">
        <v>12</v>
      </c>
      <c r="B4" s="62" t="s">
        <v>99</v>
      </c>
      <c r="C4" s="28" t="s">
        <v>7</v>
      </c>
      <c r="D4" s="28" t="s">
        <v>7</v>
      </c>
      <c r="E4" s="109" t="s">
        <v>4</v>
      </c>
      <c r="F4" s="28" t="s">
        <v>7</v>
      </c>
      <c r="G4" s="28" t="s">
        <v>7</v>
      </c>
      <c r="H4" s="7" t="s">
        <v>20</v>
      </c>
      <c r="I4" s="7" t="s">
        <v>20</v>
      </c>
      <c r="J4" s="7" t="s">
        <v>20</v>
      </c>
      <c r="K4" s="7" t="s">
        <v>20</v>
      </c>
      <c r="L4" s="7" t="s">
        <v>20</v>
      </c>
      <c r="M4" s="28" t="s">
        <v>7</v>
      </c>
      <c r="N4" s="28" t="s">
        <v>7</v>
      </c>
      <c r="O4" s="1" t="s">
        <v>14</v>
      </c>
      <c r="P4" s="1" t="s">
        <v>14</v>
      </c>
      <c r="Q4" s="1" t="s">
        <v>14</v>
      </c>
      <c r="R4" s="1" t="s">
        <v>14</v>
      </c>
      <c r="S4" s="1" t="s">
        <v>14</v>
      </c>
      <c r="T4" s="5" t="s">
        <v>15</v>
      </c>
      <c r="U4" s="5" t="s">
        <v>15</v>
      </c>
      <c r="V4" s="28" t="s">
        <v>7</v>
      </c>
      <c r="W4" s="28" t="s">
        <v>7</v>
      </c>
      <c r="X4" s="28" t="s">
        <v>7</v>
      </c>
      <c r="Y4" s="109" t="s">
        <v>4</v>
      </c>
      <c r="Z4" s="28" t="s">
        <v>7</v>
      </c>
      <c r="AA4" s="28" t="s">
        <v>7</v>
      </c>
      <c r="AB4" s="28" t="s">
        <v>7</v>
      </c>
      <c r="AC4" s="5" t="s">
        <v>14</v>
      </c>
      <c r="AD4" s="5" t="s">
        <v>14</v>
      </c>
      <c r="AE4" s="5" t="s">
        <v>14</v>
      </c>
      <c r="AF4" s="5" t="s">
        <v>14</v>
      </c>
      <c r="AG4"/>
    </row>
    <row r="5" spans="1:33" x14ac:dyDescent="0.35">
      <c r="A5" s="34" t="s">
        <v>12</v>
      </c>
      <c r="B5" s="33" t="s">
        <v>19</v>
      </c>
      <c r="C5" s="5" t="s">
        <v>14</v>
      </c>
      <c r="D5" s="5" t="s">
        <v>14</v>
      </c>
      <c r="E5" s="5" t="s">
        <v>14</v>
      </c>
      <c r="F5" s="5" t="s">
        <v>15</v>
      </c>
      <c r="G5" s="5" t="s">
        <v>15</v>
      </c>
      <c r="H5" s="28" t="s">
        <v>7</v>
      </c>
      <c r="I5" s="28" t="s">
        <v>7</v>
      </c>
      <c r="J5" s="28" t="s">
        <v>7</v>
      </c>
      <c r="K5" s="109" t="s">
        <v>4</v>
      </c>
      <c r="L5" s="28" t="s">
        <v>7</v>
      </c>
      <c r="M5" s="28" t="s">
        <v>7</v>
      </c>
      <c r="N5" s="28" t="s">
        <v>7</v>
      </c>
      <c r="O5" s="7" t="s">
        <v>20</v>
      </c>
      <c r="P5" s="7" t="s">
        <v>20</v>
      </c>
      <c r="Q5" s="7" t="s">
        <v>20</v>
      </c>
      <c r="R5" s="7" t="s">
        <v>20</v>
      </c>
      <c r="S5" s="7" t="s">
        <v>20</v>
      </c>
      <c r="T5" s="28" t="s">
        <v>7</v>
      </c>
      <c r="U5" s="28" t="s">
        <v>7</v>
      </c>
      <c r="V5" s="1" t="s">
        <v>14</v>
      </c>
      <c r="W5" s="1" t="s">
        <v>14</v>
      </c>
      <c r="X5" s="1" t="s">
        <v>14</v>
      </c>
      <c r="Y5" s="1" t="s">
        <v>14</v>
      </c>
      <c r="Z5" s="1" t="s">
        <v>14</v>
      </c>
      <c r="AA5" s="5" t="s">
        <v>15</v>
      </c>
      <c r="AB5" s="5" t="s">
        <v>15</v>
      </c>
      <c r="AC5" s="28" t="s">
        <v>7</v>
      </c>
      <c r="AD5" s="28" t="s">
        <v>7</v>
      </c>
      <c r="AE5" s="28" t="s">
        <v>7</v>
      </c>
      <c r="AF5" s="28" t="s">
        <v>7</v>
      </c>
      <c r="AG5"/>
    </row>
    <row r="6" spans="1:33" x14ac:dyDescent="0.35">
      <c r="A6" s="34" t="s">
        <v>12</v>
      </c>
      <c r="B6" s="33" t="s">
        <v>190</v>
      </c>
      <c r="C6" s="28" t="s">
        <v>7</v>
      </c>
      <c r="D6" s="109" t="s">
        <v>4</v>
      </c>
      <c r="E6" s="28" t="s">
        <v>7</v>
      </c>
      <c r="F6" s="28" t="s">
        <v>7</v>
      </c>
      <c r="G6" s="28" t="s">
        <v>7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28" t="s">
        <v>7</v>
      </c>
      <c r="N6" s="28" t="s">
        <v>7</v>
      </c>
      <c r="O6" s="5" t="s">
        <v>14</v>
      </c>
      <c r="P6" s="5" t="s">
        <v>14</v>
      </c>
      <c r="Q6" s="5" t="s">
        <v>14</v>
      </c>
      <c r="R6" s="5" t="s">
        <v>14</v>
      </c>
      <c r="S6" s="5" t="s">
        <v>14</v>
      </c>
      <c r="T6" s="28" t="s">
        <v>7</v>
      </c>
      <c r="U6" s="28" t="s">
        <v>7</v>
      </c>
      <c r="V6" s="5" t="s">
        <v>14</v>
      </c>
      <c r="W6" s="5" t="s">
        <v>14</v>
      </c>
      <c r="X6" s="5" t="s">
        <v>14</v>
      </c>
      <c r="Y6" s="5" t="s">
        <v>14</v>
      </c>
      <c r="Z6" s="5" t="s">
        <v>14</v>
      </c>
      <c r="AA6" s="28" t="s">
        <v>7</v>
      </c>
      <c r="AB6" s="28" t="s">
        <v>7</v>
      </c>
      <c r="AC6" s="1" t="s">
        <v>14</v>
      </c>
      <c r="AD6" s="1" t="s">
        <v>14</v>
      </c>
      <c r="AE6" s="1" t="s">
        <v>14</v>
      </c>
      <c r="AF6" s="1" t="s">
        <v>14</v>
      </c>
      <c r="AG6"/>
    </row>
    <row r="7" spans="1:33" x14ac:dyDescent="0.35">
      <c r="A7" s="34" t="s">
        <v>12</v>
      </c>
      <c r="B7" s="33" t="s">
        <v>59</v>
      </c>
      <c r="C7" s="7" t="s">
        <v>20</v>
      </c>
      <c r="D7" s="7" t="s">
        <v>20</v>
      </c>
      <c r="E7" s="7" t="s">
        <v>20</v>
      </c>
      <c r="F7" s="28" t="s">
        <v>7</v>
      </c>
      <c r="G7" s="28" t="s">
        <v>7</v>
      </c>
      <c r="H7" s="1" t="s">
        <v>14</v>
      </c>
      <c r="I7" s="1" t="s">
        <v>14</v>
      </c>
      <c r="J7" s="1" t="s">
        <v>14</v>
      </c>
      <c r="K7" s="1" t="s">
        <v>14</v>
      </c>
      <c r="L7" s="1" t="s">
        <v>14</v>
      </c>
      <c r="M7" s="5" t="s">
        <v>15</v>
      </c>
      <c r="N7" s="5" t="s">
        <v>15</v>
      </c>
      <c r="O7" s="28" t="s">
        <v>7</v>
      </c>
      <c r="P7" s="28" t="s">
        <v>7</v>
      </c>
      <c r="Q7" s="28" t="s">
        <v>7</v>
      </c>
      <c r="R7" s="28" t="s">
        <v>7</v>
      </c>
      <c r="S7" s="109" t="s">
        <v>4</v>
      </c>
      <c r="T7" s="28" t="s">
        <v>7</v>
      </c>
      <c r="U7" s="28" t="s">
        <v>7</v>
      </c>
      <c r="V7" s="7" t="s">
        <v>20</v>
      </c>
      <c r="W7" s="7" t="s">
        <v>20</v>
      </c>
      <c r="X7" s="7" t="s">
        <v>20</v>
      </c>
      <c r="Y7" s="7" t="s">
        <v>20</v>
      </c>
      <c r="Z7" s="7" t="s">
        <v>20</v>
      </c>
      <c r="AA7" s="28" t="s">
        <v>7</v>
      </c>
      <c r="AB7" s="28" t="s">
        <v>7</v>
      </c>
      <c r="AC7" s="7" t="s">
        <v>20</v>
      </c>
      <c r="AD7" s="7" t="s">
        <v>20</v>
      </c>
      <c r="AE7" s="7" t="s">
        <v>20</v>
      </c>
      <c r="AF7" s="7" t="s">
        <v>20</v>
      </c>
      <c r="AG7"/>
    </row>
    <row r="8" spans="1:33" x14ac:dyDescent="0.35">
      <c r="A8" s="34"/>
      <c r="AG8"/>
    </row>
    <row r="9" spans="1:33" x14ac:dyDescent="0.35">
      <c r="A9" s="34" t="s">
        <v>12</v>
      </c>
      <c r="B9" s="33" t="s">
        <v>105</v>
      </c>
      <c r="C9" s="124" t="s">
        <v>7</v>
      </c>
      <c r="D9" s="124" t="s">
        <v>7</v>
      </c>
      <c r="E9" s="124" t="s">
        <v>7</v>
      </c>
      <c r="F9" s="124" t="s">
        <v>7</v>
      </c>
      <c r="G9" s="124" t="s">
        <v>7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15</v>
      </c>
      <c r="N9" s="5" t="s">
        <v>15</v>
      </c>
      <c r="O9" s="124" t="s">
        <v>7</v>
      </c>
      <c r="P9" s="124" t="s">
        <v>7</v>
      </c>
      <c r="Q9" s="124" t="s">
        <v>7</v>
      </c>
      <c r="R9" s="124" t="s">
        <v>7</v>
      </c>
      <c r="S9" s="124" t="s">
        <v>7</v>
      </c>
      <c r="T9" s="124" t="s">
        <v>7</v>
      </c>
      <c r="U9" s="124" t="s">
        <v>7</v>
      </c>
      <c r="V9" s="125" t="s">
        <v>20</v>
      </c>
      <c r="W9" s="125" t="s">
        <v>20</v>
      </c>
      <c r="X9" s="125" t="s">
        <v>20</v>
      </c>
      <c r="Y9" s="125" t="s">
        <v>20</v>
      </c>
      <c r="Z9" s="125" t="s">
        <v>20</v>
      </c>
      <c r="AA9" s="124" t="s">
        <v>7</v>
      </c>
      <c r="AB9" s="124" t="s">
        <v>7</v>
      </c>
      <c r="AC9" s="130" t="s">
        <v>16</v>
      </c>
      <c r="AD9" s="130" t="s">
        <v>16</v>
      </c>
      <c r="AE9" s="130" t="s">
        <v>16</v>
      </c>
      <c r="AF9" s="130" t="s">
        <v>16</v>
      </c>
      <c r="AG9"/>
    </row>
    <row r="10" spans="1:33" x14ac:dyDescent="0.35">
      <c r="A10" s="34" t="s">
        <v>12</v>
      </c>
      <c r="B10" s="33" t="s">
        <v>53</v>
      </c>
      <c r="C10" s="130" t="s">
        <v>16</v>
      </c>
      <c r="D10" s="130" t="s">
        <v>16</v>
      </c>
      <c r="E10" s="130" t="s">
        <v>16</v>
      </c>
      <c r="F10" s="130" t="s">
        <v>17</v>
      </c>
      <c r="G10" s="130" t="s">
        <v>17</v>
      </c>
      <c r="H10" s="124" t="s">
        <v>7</v>
      </c>
      <c r="I10" s="124" t="s">
        <v>7</v>
      </c>
      <c r="J10" s="124" t="s">
        <v>7</v>
      </c>
      <c r="K10" s="124" t="s">
        <v>7</v>
      </c>
      <c r="L10" s="124" t="s">
        <v>7</v>
      </c>
      <c r="M10" s="124" t="s">
        <v>7</v>
      </c>
      <c r="N10" s="124" t="s">
        <v>7</v>
      </c>
      <c r="O10" s="5" t="s">
        <v>14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15</v>
      </c>
      <c r="U10" s="5" t="s">
        <v>15</v>
      </c>
      <c r="V10" s="124" t="s">
        <v>7</v>
      </c>
      <c r="W10" s="124" t="s">
        <v>7</v>
      </c>
      <c r="X10" s="124" t="s">
        <v>7</v>
      </c>
      <c r="Y10" s="124" t="s">
        <v>7</v>
      </c>
      <c r="Z10" s="124" t="s">
        <v>7</v>
      </c>
      <c r="AA10" s="124" t="s">
        <v>7</v>
      </c>
      <c r="AB10" s="124" t="s">
        <v>7</v>
      </c>
      <c r="AC10" s="125" t="s">
        <v>20</v>
      </c>
      <c r="AD10" s="125" t="s">
        <v>20</v>
      </c>
      <c r="AE10" s="125" t="s">
        <v>20</v>
      </c>
      <c r="AF10" s="125" t="s">
        <v>20</v>
      </c>
      <c r="AG10"/>
    </row>
    <row r="11" spans="1:33" x14ac:dyDescent="0.35">
      <c r="A11" s="34" t="s">
        <v>12</v>
      </c>
      <c r="B11" s="33" t="s">
        <v>24</v>
      </c>
      <c r="C11" s="125" t="s">
        <v>20</v>
      </c>
      <c r="D11" s="125" t="s">
        <v>20</v>
      </c>
      <c r="E11" s="125" t="s">
        <v>20</v>
      </c>
      <c r="F11" s="124" t="s">
        <v>7</v>
      </c>
      <c r="G11" s="124" t="s">
        <v>7</v>
      </c>
      <c r="H11" s="130" t="s">
        <v>16</v>
      </c>
      <c r="I11" s="130" t="s">
        <v>16</v>
      </c>
      <c r="J11" s="130" t="s">
        <v>16</v>
      </c>
      <c r="K11" s="130" t="s">
        <v>16</v>
      </c>
      <c r="L11" s="130" t="s">
        <v>16</v>
      </c>
      <c r="M11" s="130" t="s">
        <v>17</v>
      </c>
      <c r="N11" s="130" t="s">
        <v>17</v>
      </c>
      <c r="O11" s="124" t="s">
        <v>7</v>
      </c>
      <c r="P11" s="124" t="s">
        <v>7</v>
      </c>
      <c r="Q11" s="124" t="s">
        <v>7</v>
      </c>
      <c r="R11" s="124" t="s">
        <v>7</v>
      </c>
      <c r="S11" s="124" t="s">
        <v>7</v>
      </c>
      <c r="T11" s="124" t="s">
        <v>7</v>
      </c>
      <c r="U11" s="124" t="s">
        <v>7</v>
      </c>
      <c r="V11" s="5" t="s">
        <v>14</v>
      </c>
      <c r="W11" s="5" t="s">
        <v>14</v>
      </c>
      <c r="X11" s="5" t="s">
        <v>14</v>
      </c>
      <c r="Y11" s="5" t="s">
        <v>14</v>
      </c>
      <c r="Z11" s="5" t="s">
        <v>14</v>
      </c>
      <c r="AA11" s="5" t="s">
        <v>15</v>
      </c>
      <c r="AB11" s="5" t="s">
        <v>15</v>
      </c>
      <c r="AC11" s="124" t="s">
        <v>7</v>
      </c>
      <c r="AD11" s="124" t="s">
        <v>7</v>
      </c>
      <c r="AE11" s="124" t="s">
        <v>7</v>
      </c>
      <c r="AF11" s="124" t="s">
        <v>7</v>
      </c>
      <c r="AG11"/>
    </row>
    <row r="12" spans="1:33" x14ac:dyDescent="0.35">
      <c r="A12" s="34" t="s">
        <v>12</v>
      </c>
      <c r="B12" s="33" t="s">
        <v>84</v>
      </c>
      <c r="C12" s="124" t="s">
        <v>7</v>
      </c>
      <c r="D12" s="124" t="s">
        <v>7</v>
      </c>
      <c r="E12" s="124" t="s">
        <v>7</v>
      </c>
      <c r="F12" s="124" t="s">
        <v>7</v>
      </c>
      <c r="G12" s="124" t="s">
        <v>7</v>
      </c>
      <c r="H12" s="125" t="s">
        <v>20</v>
      </c>
      <c r="I12" s="125" t="s">
        <v>20</v>
      </c>
      <c r="J12" s="125" t="s">
        <v>20</v>
      </c>
      <c r="K12" s="125" t="s">
        <v>20</v>
      </c>
      <c r="L12" s="125" t="s">
        <v>20</v>
      </c>
      <c r="M12" s="124" t="s">
        <v>7</v>
      </c>
      <c r="N12" s="124" t="s">
        <v>7</v>
      </c>
      <c r="O12" s="130" t="s">
        <v>16</v>
      </c>
      <c r="P12" s="130" t="s">
        <v>16</v>
      </c>
      <c r="Q12" s="130" t="s">
        <v>16</v>
      </c>
      <c r="R12" s="130" t="s">
        <v>16</v>
      </c>
      <c r="S12" s="130" t="s">
        <v>16</v>
      </c>
      <c r="T12" s="130" t="s">
        <v>17</v>
      </c>
      <c r="U12" s="130" t="s">
        <v>17</v>
      </c>
      <c r="V12" s="124" t="s">
        <v>7</v>
      </c>
      <c r="W12" s="124" t="s">
        <v>7</v>
      </c>
      <c r="X12" s="124" t="s">
        <v>7</v>
      </c>
      <c r="Y12" s="124" t="s">
        <v>7</v>
      </c>
      <c r="Z12" s="124" t="s">
        <v>7</v>
      </c>
      <c r="AA12" s="124" t="s">
        <v>7</v>
      </c>
      <c r="AB12" s="124" t="s">
        <v>7</v>
      </c>
      <c r="AC12" s="5" t="s">
        <v>14</v>
      </c>
      <c r="AD12" s="5" t="s">
        <v>14</v>
      </c>
      <c r="AE12" s="5" t="s">
        <v>14</v>
      </c>
      <c r="AF12" s="5" t="s">
        <v>14</v>
      </c>
      <c r="AG12"/>
    </row>
    <row r="13" spans="1:33" x14ac:dyDescent="0.35">
      <c r="A13" s="34" t="s">
        <v>12</v>
      </c>
      <c r="B13" s="33" t="s">
        <v>106</v>
      </c>
      <c r="C13" s="130" t="s">
        <v>16</v>
      </c>
      <c r="D13" s="130" t="s">
        <v>16</v>
      </c>
      <c r="E13" s="130" t="s">
        <v>16</v>
      </c>
      <c r="F13" s="130" t="s">
        <v>17</v>
      </c>
      <c r="G13" s="130" t="s">
        <v>17</v>
      </c>
      <c r="H13" s="124" t="s">
        <v>7</v>
      </c>
      <c r="I13" s="124" t="s">
        <v>7</v>
      </c>
      <c r="J13" s="124" t="s">
        <v>7</v>
      </c>
      <c r="K13" s="124" t="s">
        <v>7</v>
      </c>
      <c r="L13" s="124" t="s">
        <v>7</v>
      </c>
      <c r="M13" s="124" t="s">
        <v>7</v>
      </c>
      <c r="N13" s="124" t="s">
        <v>7</v>
      </c>
      <c r="O13" s="125" t="s">
        <v>20</v>
      </c>
      <c r="P13" s="125" t="s">
        <v>20</v>
      </c>
      <c r="Q13" s="125" t="s">
        <v>20</v>
      </c>
      <c r="R13" s="125" t="s">
        <v>20</v>
      </c>
      <c r="S13" s="125" t="s">
        <v>20</v>
      </c>
      <c r="T13" s="124" t="s">
        <v>7</v>
      </c>
      <c r="U13" s="124" t="s">
        <v>7</v>
      </c>
      <c r="V13" s="130" t="s">
        <v>16</v>
      </c>
      <c r="W13" s="130" t="s">
        <v>16</v>
      </c>
      <c r="X13" s="130" t="s">
        <v>16</v>
      </c>
      <c r="Y13" s="130" t="s">
        <v>16</v>
      </c>
      <c r="Z13" s="130" t="s">
        <v>16</v>
      </c>
      <c r="AA13" s="130" t="s">
        <v>17</v>
      </c>
      <c r="AB13" s="130" t="s">
        <v>17</v>
      </c>
      <c r="AC13" s="124" t="s">
        <v>7</v>
      </c>
      <c r="AD13" s="124" t="s">
        <v>7</v>
      </c>
      <c r="AE13" s="124" t="s">
        <v>7</v>
      </c>
      <c r="AF13" s="124" t="s">
        <v>7</v>
      </c>
      <c r="AG13"/>
    </row>
    <row r="14" spans="1:33" x14ac:dyDescent="0.35">
      <c r="A14" s="34"/>
      <c r="B14" s="33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/>
    </row>
    <row r="15" spans="1:33" x14ac:dyDescent="0.35">
      <c r="A15" s="34"/>
      <c r="B15" s="33" t="s">
        <v>22</v>
      </c>
      <c r="C15" s="1" t="s">
        <v>14</v>
      </c>
      <c r="D15" s="5" t="s">
        <v>14</v>
      </c>
      <c r="E15" s="5" t="s">
        <v>14</v>
      </c>
      <c r="F15" s="5" t="s">
        <v>15</v>
      </c>
      <c r="G15" s="5" t="s">
        <v>15</v>
      </c>
      <c r="H15" s="28" t="s">
        <v>7</v>
      </c>
      <c r="I15" s="28" t="s">
        <v>7</v>
      </c>
      <c r="J15" s="28" t="s">
        <v>7</v>
      </c>
      <c r="K15" s="28" t="s">
        <v>7</v>
      </c>
      <c r="L15" s="109" t="s">
        <v>4</v>
      </c>
      <c r="M15" s="28" t="s">
        <v>7</v>
      </c>
      <c r="N15" s="28" t="s">
        <v>7</v>
      </c>
      <c r="O15" s="130" t="s">
        <v>16</v>
      </c>
      <c r="P15" s="130" t="s">
        <v>16</v>
      </c>
      <c r="Q15" s="130" t="s">
        <v>16</v>
      </c>
      <c r="R15" s="130" t="s">
        <v>16</v>
      </c>
      <c r="S15" s="130" t="s">
        <v>16</v>
      </c>
      <c r="T15" s="130" t="s">
        <v>17</v>
      </c>
      <c r="U15" s="130" t="s">
        <v>17</v>
      </c>
      <c r="V15" s="28" t="s">
        <v>7</v>
      </c>
      <c r="W15" s="28" t="s">
        <v>7</v>
      </c>
      <c r="X15" s="28" t="s">
        <v>7</v>
      </c>
      <c r="Y15" s="28" t="s">
        <v>7</v>
      </c>
      <c r="Z15" s="109" t="s">
        <v>4</v>
      </c>
      <c r="AA15" s="28" t="s">
        <v>7</v>
      </c>
      <c r="AB15" s="28" t="s">
        <v>7</v>
      </c>
      <c r="AC15" s="130" t="s">
        <v>16</v>
      </c>
      <c r="AD15" s="130" t="s">
        <v>16</v>
      </c>
      <c r="AE15" s="130" t="s">
        <v>16</v>
      </c>
      <c r="AF15" s="130" t="s">
        <v>16</v>
      </c>
      <c r="AG15"/>
    </row>
    <row r="16" spans="1:33" x14ac:dyDescent="0.35">
      <c r="A16" s="34"/>
      <c r="B16" s="33" t="s">
        <v>21</v>
      </c>
      <c r="C16" s="28" t="s">
        <v>7</v>
      </c>
      <c r="D16" s="109" t="s">
        <v>4</v>
      </c>
      <c r="E16" s="28" t="s">
        <v>7</v>
      </c>
      <c r="F16" s="28" t="s">
        <v>7</v>
      </c>
      <c r="G16" s="28" t="s">
        <v>7</v>
      </c>
      <c r="H16" s="130" t="s">
        <v>16</v>
      </c>
      <c r="I16" s="130" t="s">
        <v>16</v>
      </c>
      <c r="J16" s="130" t="s">
        <v>16</v>
      </c>
      <c r="K16" s="130" t="s">
        <v>16</v>
      </c>
      <c r="L16" s="130" t="s">
        <v>16</v>
      </c>
      <c r="M16" s="130" t="s">
        <v>17</v>
      </c>
      <c r="N16" s="130" t="s">
        <v>17</v>
      </c>
      <c r="O16" s="28" t="s">
        <v>7</v>
      </c>
      <c r="P16" s="28" t="s">
        <v>7</v>
      </c>
      <c r="Q16" s="28" t="s">
        <v>7</v>
      </c>
      <c r="R16" s="28" t="s">
        <v>7</v>
      </c>
      <c r="S16" s="109" t="s">
        <v>4</v>
      </c>
      <c r="T16" s="28" t="s">
        <v>7</v>
      </c>
      <c r="U16" s="28" t="s">
        <v>7</v>
      </c>
      <c r="V16" s="130" t="s">
        <v>16</v>
      </c>
      <c r="W16" s="130" t="s">
        <v>16</v>
      </c>
      <c r="X16" s="130" t="s">
        <v>16</v>
      </c>
      <c r="Y16" s="130" t="s">
        <v>16</v>
      </c>
      <c r="Z16" s="130" t="s">
        <v>16</v>
      </c>
      <c r="AA16" s="130" t="s">
        <v>17</v>
      </c>
      <c r="AB16" s="130" t="s">
        <v>17</v>
      </c>
      <c r="AC16" s="28" t="s">
        <v>7</v>
      </c>
      <c r="AD16" s="28" t="s">
        <v>7</v>
      </c>
      <c r="AE16" s="28" t="s">
        <v>7</v>
      </c>
      <c r="AF16" s="28" t="s">
        <v>7</v>
      </c>
      <c r="AG16"/>
    </row>
    <row r="17" spans="1:33" x14ac:dyDescent="0.35">
      <c r="A17" s="34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G17"/>
    </row>
    <row r="18" spans="1:33" x14ac:dyDescent="0.35">
      <c r="A18" s="34"/>
      <c r="E18" s="50"/>
      <c r="F18" s="50"/>
      <c r="G18" s="50"/>
      <c r="H18" s="122"/>
      <c r="I18" s="122"/>
      <c r="J18" s="122"/>
      <c r="K18" s="122"/>
      <c r="L18" s="122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122"/>
      <c r="AD18" s="122"/>
      <c r="AG18"/>
    </row>
    <row r="19" spans="1:33" x14ac:dyDescent="0.35">
      <c r="A19" s="34" t="s">
        <v>28</v>
      </c>
      <c r="B19" s="33" t="s">
        <v>29</v>
      </c>
      <c r="C19" s="162" t="s">
        <v>11</v>
      </c>
      <c r="D19" s="28" t="s">
        <v>7</v>
      </c>
      <c r="E19" s="28" t="s">
        <v>7</v>
      </c>
      <c r="F19" s="28" t="s">
        <v>7</v>
      </c>
      <c r="G19" s="28" t="s">
        <v>7</v>
      </c>
      <c r="H19" s="145" t="s">
        <v>54</v>
      </c>
      <c r="I19" s="145" t="s">
        <v>54</v>
      </c>
      <c r="J19" s="145" t="s">
        <v>54</v>
      </c>
      <c r="K19" s="145" t="s">
        <v>54</v>
      </c>
      <c r="L19" s="145" t="s">
        <v>54</v>
      </c>
      <c r="M19" s="28" t="s">
        <v>7</v>
      </c>
      <c r="N19" s="28" t="s">
        <v>7</v>
      </c>
      <c r="O19" s="145" t="s">
        <v>85</v>
      </c>
      <c r="P19" s="145" t="s">
        <v>85</v>
      </c>
      <c r="Q19" s="145" t="s">
        <v>85</v>
      </c>
      <c r="R19" s="145" t="s">
        <v>85</v>
      </c>
      <c r="S19" s="145" t="s">
        <v>85</v>
      </c>
      <c r="T19" s="28" t="s">
        <v>30</v>
      </c>
      <c r="U19" s="28" t="s">
        <v>30</v>
      </c>
      <c r="V19" s="162" t="s">
        <v>11</v>
      </c>
      <c r="W19" s="162" t="s">
        <v>11</v>
      </c>
      <c r="X19" s="162" t="s">
        <v>11</v>
      </c>
      <c r="Y19" s="162" t="s">
        <v>11</v>
      </c>
      <c r="Z19" s="162" t="s">
        <v>11</v>
      </c>
      <c r="AA19" s="28" t="s">
        <v>7</v>
      </c>
      <c r="AB19" s="28" t="s">
        <v>7</v>
      </c>
      <c r="AC19" s="145" t="s">
        <v>54</v>
      </c>
      <c r="AD19" s="145" t="s">
        <v>54</v>
      </c>
      <c r="AE19" s="145" t="s">
        <v>54</v>
      </c>
      <c r="AF19" s="145" t="s">
        <v>54</v>
      </c>
      <c r="AG19"/>
    </row>
    <row r="20" spans="1:33" x14ac:dyDescent="0.35">
      <c r="A20" s="34" t="s">
        <v>28</v>
      </c>
      <c r="B20" s="35" t="s">
        <v>60</v>
      </c>
      <c r="C20" s="145" t="s">
        <v>85</v>
      </c>
      <c r="D20" s="28" t="s">
        <v>30</v>
      </c>
      <c r="E20" s="28" t="s">
        <v>30</v>
      </c>
      <c r="F20" s="28" t="s">
        <v>30</v>
      </c>
      <c r="G20" s="28" t="s">
        <v>30</v>
      </c>
      <c r="H20" s="162" t="s">
        <v>11</v>
      </c>
      <c r="I20" s="162" t="s">
        <v>11</v>
      </c>
      <c r="J20" s="162" t="s">
        <v>11</v>
      </c>
      <c r="K20" s="162" t="s">
        <v>11</v>
      </c>
      <c r="L20" s="162" t="s">
        <v>11</v>
      </c>
      <c r="M20" s="28" t="s">
        <v>7</v>
      </c>
      <c r="N20" s="28" t="s">
        <v>7</v>
      </c>
      <c r="O20" s="145" t="s">
        <v>54</v>
      </c>
      <c r="P20" s="145" t="s">
        <v>54</v>
      </c>
      <c r="Q20" s="145" t="s">
        <v>54</v>
      </c>
      <c r="R20" s="145" t="s">
        <v>54</v>
      </c>
      <c r="S20" s="145" t="s">
        <v>54</v>
      </c>
      <c r="T20" s="28" t="s">
        <v>7</v>
      </c>
      <c r="U20" s="28" t="s">
        <v>7</v>
      </c>
      <c r="V20" s="145" t="s">
        <v>85</v>
      </c>
      <c r="W20" s="145" t="s">
        <v>85</v>
      </c>
      <c r="X20" s="145" t="s">
        <v>85</v>
      </c>
      <c r="Y20" s="145" t="s">
        <v>85</v>
      </c>
      <c r="Z20" s="145" t="s">
        <v>85</v>
      </c>
      <c r="AA20" s="28" t="s">
        <v>30</v>
      </c>
      <c r="AB20" s="28" t="s">
        <v>30</v>
      </c>
      <c r="AC20" s="162" t="s">
        <v>11</v>
      </c>
      <c r="AD20" s="162" t="s">
        <v>11</v>
      </c>
      <c r="AE20" s="162" t="s">
        <v>11</v>
      </c>
      <c r="AF20" s="162" t="s">
        <v>11</v>
      </c>
      <c r="AG20"/>
    </row>
    <row r="21" spans="1:33" x14ac:dyDescent="0.35">
      <c r="A21" s="34" t="s">
        <v>28</v>
      </c>
      <c r="B21" s="62" t="s">
        <v>13</v>
      </c>
      <c r="C21" s="145" t="s">
        <v>54</v>
      </c>
      <c r="D21" s="28" t="s">
        <v>7</v>
      </c>
      <c r="E21" s="28" t="s">
        <v>7</v>
      </c>
      <c r="F21" s="28" t="s">
        <v>7</v>
      </c>
      <c r="G21" s="28" t="s">
        <v>7</v>
      </c>
      <c r="H21" s="145" t="s">
        <v>85</v>
      </c>
      <c r="I21" s="145" t="s">
        <v>85</v>
      </c>
      <c r="J21" s="145" t="s">
        <v>85</v>
      </c>
      <c r="K21" s="145" t="s">
        <v>85</v>
      </c>
      <c r="L21" s="145" t="s">
        <v>85</v>
      </c>
      <c r="M21" s="28" t="s">
        <v>30</v>
      </c>
      <c r="N21" s="28" t="s">
        <v>30</v>
      </c>
      <c r="O21" s="162" t="s">
        <v>11</v>
      </c>
      <c r="P21" s="162" t="s">
        <v>11</v>
      </c>
      <c r="Q21" s="162" t="s">
        <v>11</v>
      </c>
      <c r="R21" s="162" t="s">
        <v>11</v>
      </c>
      <c r="S21" s="17" t="s">
        <v>4</v>
      </c>
      <c r="T21" s="28" t="s">
        <v>7</v>
      </c>
      <c r="U21" s="28" t="s">
        <v>7</v>
      </c>
      <c r="V21" s="145" t="s">
        <v>54</v>
      </c>
      <c r="W21" s="145" t="s">
        <v>54</v>
      </c>
      <c r="X21" s="145" t="s">
        <v>54</v>
      </c>
      <c r="Y21" s="145" t="s">
        <v>54</v>
      </c>
      <c r="Z21" s="145" t="s">
        <v>54</v>
      </c>
      <c r="AA21" s="28" t="s">
        <v>7</v>
      </c>
      <c r="AB21" s="28" t="s">
        <v>7</v>
      </c>
      <c r="AC21" s="145" t="s">
        <v>85</v>
      </c>
      <c r="AD21" s="145" t="s">
        <v>85</v>
      </c>
      <c r="AE21" s="145" t="s">
        <v>85</v>
      </c>
      <c r="AF21" s="145" t="s">
        <v>85</v>
      </c>
      <c r="AG21"/>
    </row>
    <row r="22" spans="1:33" x14ac:dyDescent="0.35">
      <c r="AG22"/>
    </row>
    <row r="23" spans="1:33" x14ac:dyDescent="0.35">
      <c r="B23" s="111" t="s">
        <v>89</v>
      </c>
      <c r="C23" s="110">
        <f t="shared" ref="C23:AF23" si="0">SUM(C24:C26)</f>
        <v>7</v>
      </c>
      <c r="D23" s="110">
        <f t="shared" si="0"/>
        <v>4</v>
      </c>
      <c r="E23" s="110">
        <f t="shared" si="0"/>
        <v>4</v>
      </c>
      <c r="F23" s="110">
        <f t="shared" si="0"/>
        <v>4</v>
      </c>
      <c r="G23" s="110">
        <f t="shared" si="0"/>
        <v>4</v>
      </c>
      <c r="H23" s="110">
        <f t="shared" si="0"/>
        <v>7</v>
      </c>
      <c r="I23" s="110">
        <f t="shared" si="0"/>
        <v>7</v>
      </c>
      <c r="J23" s="110">
        <f t="shared" si="0"/>
        <v>7</v>
      </c>
      <c r="K23" s="110">
        <f t="shared" si="0"/>
        <v>7</v>
      </c>
      <c r="L23" s="110">
        <f t="shared" si="0"/>
        <v>7</v>
      </c>
      <c r="M23" s="110">
        <f t="shared" si="0"/>
        <v>4</v>
      </c>
      <c r="N23" s="110">
        <f t="shared" si="0"/>
        <v>4</v>
      </c>
      <c r="O23" s="110">
        <f t="shared" si="0"/>
        <v>7</v>
      </c>
      <c r="P23" s="110">
        <f t="shared" si="0"/>
        <v>7</v>
      </c>
      <c r="Q23" s="110">
        <f t="shared" si="0"/>
        <v>7</v>
      </c>
      <c r="R23" s="110">
        <f t="shared" si="0"/>
        <v>7</v>
      </c>
      <c r="S23" s="110">
        <f t="shared" si="0"/>
        <v>6</v>
      </c>
      <c r="T23" s="110">
        <f t="shared" si="0"/>
        <v>4</v>
      </c>
      <c r="U23" s="110">
        <f t="shared" si="0"/>
        <v>4</v>
      </c>
      <c r="V23" s="110">
        <f t="shared" si="0"/>
        <v>7</v>
      </c>
      <c r="W23" s="110">
        <f t="shared" si="0"/>
        <v>7</v>
      </c>
      <c r="X23" s="110">
        <f t="shared" si="0"/>
        <v>7</v>
      </c>
      <c r="Y23" s="110">
        <f t="shared" si="0"/>
        <v>7</v>
      </c>
      <c r="Z23" s="110">
        <f t="shared" si="0"/>
        <v>7</v>
      </c>
      <c r="AA23" s="110">
        <f t="shared" si="0"/>
        <v>4</v>
      </c>
      <c r="AB23" s="110">
        <f t="shared" si="0"/>
        <v>4</v>
      </c>
      <c r="AC23" s="110">
        <f t="shared" si="0"/>
        <v>7</v>
      </c>
      <c r="AD23" s="110">
        <f t="shared" si="0"/>
        <v>7</v>
      </c>
      <c r="AE23" s="110">
        <f t="shared" si="0"/>
        <v>7</v>
      </c>
      <c r="AF23" s="110">
        <f t="shared" si="0"/>
        <v>7</v>
      </c>
    </row>
    <row r="24" spans="1:33" x14ac:dyDescent="0.35">
      <c r="B24" s="111" t="s">
        <v>90</v>
      </c>
      <c r="C24" s="112">
        <f t="shared" ref="C24:AF24" si="1">COUNTIF(C4:C21,"T")</f>
        <v>2</v>
      </c>
      <c r="D24" s="112">
        <f t="shared" si="1"/>
        <v>2</v>
      </c>
      <c r="E24" s="112">
        <f t="shared" si="1"/>
        <v>2</v>
      </c>
      <c r="F24" s="112">
        <f t="shared" si="1"/>
        <v>0</v>
      </c>
      <c r="G24" s="112">
        <f t="shared" si="1"/>
        <v>0</v>
      </c>
      <c r="H24" s="112">
        <f t="shared" si="1"/>
        <v>2</v>
      </c>
      <c r="I24" s="112">
        <f t="shared" si="1"/>
        <v>2</v>
      </c>
      <c r="J24" s="112">
        <f t="shared" si="1"/>
        <v>2</v>
      </c>
      <c r="K24" s="112">
        <f t="shared" si="1"/>
        <v>2</v>
      </c>
      <c r="L24" s="112">
        <f t="shared" si="1"/>
        <v>2</v>
      </c>
      <c r="M24" s="112">
        <f t="shared" si="1"/>
        <v>0</v>
      </c>
      <c r="N24" s="112">
        <f t="shared" si="1"/>
        <v>0</v>
      </c>
      <c r="O24" s="112">
        <f t="shared" si="1"/>
        <v>2</v>
      </c>
      <c r="P24" s="112">
        <f t="shared" si="1"/>
        <v>2</v>
      </c>
      <c r="Q24" s="112">
        <f t="shared" si="1"/>
        <v>2</v>
      </c>
      <c r="R24" s="112">
        <f t="shared" si="1"/>
        <v>2</v>
      </c>
      <c r="S24" s="112">
        <f t="shared" si="1"/>
        <v>2</v>
      </c>
      <c r="T24" s="112">
        <f t="shared" si="1"/>
        <v>0</v>
      </c>
      <c r="U24" s="112">
        <f t="shared" si="1"/>
        <v>0</v>
      </c>
      <c r="V24" s="112">
        <f t="shared" si="1"/>
        <v>2</v>
      </c>
      <c r="W24" s="112">
        <f t="shared" si="1"/>
        <v>2</v>
      </c>
      <c r="X24" s="112">
        <f t="shared" si="1"/>
        <v>2</v>
      </c>
      <c r="Y24" s="112">
        <f t="shared" si="1"/>
        <v>2</v>
      </c>
      <c r="Z24" s="112">
        <f t="shared" si="1"/>
        <v>2</v>
      </c>
      <c r="AA24" s="112">
        <f t="shared" si="1"/>
        <v>0</v>
      </c>
      <c r="AB24" s="112">
        <f t="shared" si="1"/>
        <v>0</v>
      </c>
      <c r="AC24" s="112">
        <f t="shared" si="1"/>
        <v>2</v>
      </c>
      <c r="AD24" s="112">
        <f t="shared" si="1"/>
        <v>2</v>
      </c>
      <c r="AE24" s="112">
        <f t="shared" si="1"/>
        <v>2</v>
      </c>
      <c r="AF24" s="112">
        <f t="shared" si="1"/>
        <v>2</v>
      </c>
    </row>
    <row r="25" spans="1:33" x14ac:dyDescent="0.35">
      <c r="B25" s="111" t="s">
        <v>91</v>
      </c>
      <c r="C25" s="112">
        <f t="shared" ref="C25:AF25" si="2">COUNTIF(C4:C21,"N")+COUNTIF(C4:C21,"NF")</f>
        <v>2</v>
      </c>
      <c r="D25" s="112">
        <f t="shared" si="2"/>
        <v>2</v>
      </c>
      <c r="E25" s="112">
        <f t="shared" si="2"/>
        <v>2</v>
      </c>
      <c r="F25" s="112">
        <f t="shared" si="2"/>
        <v>2</v>
      </c>
      <c r="G25" s="112">
        <f t="shared" si="2"/>
        <v>2</v>
      </c>
      <c r="H25" s="112">
        <f t="shared" si="2"/>
        <v>2</v>
      </c>
      <c r="I25" s="112">
        <f t="shared" si="2"/>
        <v>2</v>
      </c>
      <c r="J25" s="112">
        <f t="shared" si="2"/>
        <v>2</v>
      </c>
      <c r="K25" s="112">
        <f t="shared" si="2"/>
        <v>2</v>
      </c>
      <c r="L25" s="112">
        <f t="shared" si="2"/>
        <v>2</v>
      </c>
      <c r="M25" s="112">
        <f t="shared" si="2"/>
        <v>2</v>
      </c>
      <c r="N25" s="112">
        <f t="shared" si="2"/>
        <v>2</v>
      </c>
      <c r="O25" s="112">
        <f t="shared" si="2"/>
        <v>2</v>
      </c>
      <c r="P25" s="112">
        <f t="shared" si="2"/>
        <v>2</v>
      </c>
      <c r="Q25" s="112">
        <f t="shared" si="2"/>
        <v>2</v>
      </c>
      <c r="R25" s="112">
        <f t="shared" si="2"/>
        <v>2</v>
      </c>
      <c r="S25" s="112">
        <f t="shared" si="2"/>
        <v>2</v>
      </c>
      <c r="T25" s="112">
        <f t="shared" si="2"/>
        <v>2</v>
      </c>
      <c r="U25" s="112">
        <f t="shared" si="2"/>
        <v>2</v>
      </c>
      <c r="V25" s="112">
        <f t="shared" si="2"/>
        <v>2</v>
      </c>
      <c r="W25" s="112">
        <f t="shared" si="2"/>
        <v>2</v>
      </c>
      <c r="X25" s="112">
        <f t="shared" si="2"/>
        <v>2</v>
      </c>
      <c r="Y25" s="112">
        <f t="shared" si="2"/>
        <v>2</v>
      </c>
      <c r="Z25" s="112">
        <f t="shared" si="2"/>
        <v>2</v>
      </c>
      <c r="AA25" s="112">
        <f t="shared" si="2"/>
        <v>2</v>
      </c>
      <c r="AB25" s="112">
        <f t="shared" si="2"/>
        <v>2</v>
      </c>
      <c r="AC25" s="112">
        <f t="shared" si="2"/>
        <v>2</v>
      </c>
      <c r="AD25" s="112">
        <f t="shared" si="2"/>
        <v>2</v>
      </c>
      <c r="AE25" s="112">
        <f t="shared" si="2"/>
        <v>2</v>
      </c>
      <c r="AF25" s="112">
        <f t="shared" si="2"/>
        <v>2</v>
      </c>
    </row>
    <row r="26" spans="1:33" x14ac:dyDescent="0.35">
      <c r="B26" s="111" t="s">
        <v>92</v>
      </c>
      <c r="C26" s="112">
        <f>COUNTIF(C4:C21,"M/F")+COUNTIF(C4:C21,"M1")+COUNTIF(C4:C21,"M3")+COUNTIF(C4:C21,"M3/G")+COUNTIF(C4:C21,"M2")</f>
        <v>3</v>
      </c>
      <c r="D26" s="112">
        <f>COUNTIF(D4:D21,"M/F")+COUNTIF(D4:D21,"M1")+COUNTIF(D4:D21,"M3")+COUNTIF(D4:D21,"M3/G")+COUNTIF(D4:D21,"M2")</f>
        <v>0</v>
      </c>
      <c r="E26" s="112">
        <f>COUNTIF(E4:E21,"M1")+COUNTIF(E4:E21,"NF")</f>
        <v>0</v>
      </c>
      <c r="F26" s="112">
        <f t="shared" ref="F26:AF26" si="3">COUNTIF(F4:F21,"M/F")+COUNTIF(F4:F21,"M1")+COUNTIF(F4:F21,"M3")+COUNTIF(F4:F21,"M3/G")+COUNTIF(F4:F21,"M2")</f>
        <v>2</v>
      </c>
      <c r="G26" s="112">
        <f t="shared" si="3"/>
        <v>2</v>
      </c>
      <c r="H26" s="112">
        <f t="shared" si="3"/>
        <v>3</v>
      </c>
      <c r="I26" s="112">
        <f t="shared" si="3"/>
        <v>3</v>
      </c>
      <c r="J26" s="112">
        <f t="shared" si="3"/>
        <v>3</v>
      </c>
      <c r="K26" s="112">
        <f t="shared" si="3"/>
        <v>3</v>
      </c>
      <c r="L26" s="112">
        <f t="shared" si="3"/>
        <v>3</v>
      </c>
      <c r="M26" s="112">
        <f t="shared" si="3"/>
        <v>2</v>
      </c>
      <c r="N26" s="112">
        <f t="shared" si="3"/>
        <v>2</v>
      </c>
      <c r="O26" s="112">
        <f t="shared" si="3"/>
        <v>3</v>
      </c>
      <c r="P26" s="112">
        <f t="shared" si="3"/>
        <v>3</v>
      </c>
      <c r="Q26" s="112">
        <f t="shared" si="3"/>
        <v>3</v>
      </c>
      <c r="R26" s="112">
        <f t="shared" si="3"/>
        <v>3</v>
      </c>
      <c r="S26" s="112">
        <f t="shared" si="3"/>
        <v>2</v>
      </c>
      <c r="T26" s="112">
        <f t="shared" si="3"/>
        <v>2</v>
      </c>
      <c r="U26" s="112">
        <f t="shared" si="3"/>
        <v>2</v>
      </c>
      <c r="V26" s="112">
        <f t="shared" si="3"/>
        <v>3</v>
      </c>
      <c r="W26" s="112">
        <f t="shared" si="3"/>
        <v>3</v>
      </c>
      <c r="X26" s="112">
        <f t="shared" si="3"/>
        <v>3</v>
      </c>
      <c r="Y26" s="112">
        <f t="shared" si="3"/>
        <v>3</v>
      </c>
      <c r="Z26" s="112">
        <f t="shared" si="3"/>
        <v>3</v>
      </c>
      <c r="AA26" s="112">
        <f t="shared" si="3"/>
        <v>2</v>
      </c>
      <c r="AB26" s="112">
        <f t="shared" si="3"/>
        <v>2</v>
      </c>
      <c r="AC26" s="112">
        <f t="shared" si="3"/>
        <v>3</v>
      </c>
      <c r="AD26" s="112">
        <f t="shared" si="3"/>
        <v>3</v>
      </c>
      <c r="AE26" s="112">
        <f t="shared" si="3"/>
        <v>3</v>
      </c>
      <c r="AF26" s="112">
        <f t="shared" si="3"/>
        <v>3</v>
      </c>
    </row>
    <row r="28" spans="1:33" x14ac:dyDescent="0.35">
      <c r="B28" t="s">
        <v>65</v>
      </c>
    </row>
    <row r="29" spans="1:33" x14ac:dyDescent="0.35">
      <c r="B29" s="5" t="s">
        <v>66</v>
      </c>
    </row>
    <row r="30" spans="1:33" x14ac:dyDescent="0.35">
      <c r="B30" s="5" t="s">
        <v>67</v>
      </c>
    </row>
    <row r="31" spans="1:33" x14ac:dyDescent="0.35">
      <c r="B31" s="1" t="s">
        <v>68</v>
      </c>
    </row>
    <row r="32" spans="1:33" x14ac:dyDescent="0.35">
      <c r="B32" s="7" t="s">
        <v>69</v>
      </c>
    </row>
    <row r="33" spans="2:2" x14ac:dyDescent="0.35">
      <c r="B33" s="3" t="s">
        <v>70</v>
      </c>
    </row>
    <row r="34" spans="2:2" x14ac:dyDescent="0.35">
      <c r="B34" s="5" t="s">
        <v>71</v>
      </c>
    </row>
    <row r="35" spans="2:2" x14ac:dyDescent="0.35">
      <c r="B35" s="3" t="s">
        <v>72</v>
      </c>
    </row>
    <row r="36" spans="2:2" x14ac:dyDescent="0.35">
      <c r="B36" s="4" t="s">
        <v>73</v>
      </c>
    </row>
    <row r="37" spans="2:2" x14ac:dyDescent="0.35">
      <c r="B37" s="25" t="s">
        <v>74</v>
      </c>
    </row>
    <row r="38" spans="2:2" x14ac:dyDescent="0.35">
      <c r="B38" s="4" t="s">
        <v>93</v>
      </c>
    </row>
    <row r="39" spans="2:2" x14ac:dyDescent="0.35">
      <c r="B39" s="28" t="s">
        <v>76</v>
      </c>
    </row>
    <row r="40" spans="2:2" x14ac:dyDescent="0.35">
      <c r="B40" s="17" t="s">
        <v>77</v>
      </c>
    </row>
  </sheetData>
  <mergeCells count="2">
    <mergeCell ref="B1:B3"/>
    <mergeCell ref="C1:AF1"/>
  </mergeCells>
  <conditionalFormatting sqref="C24:AF26">
    <cfRule type="cellIs" dxfId="8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48C2-EAB6-46CB-BAEC-605EE998C4F6}">
  <dimension ref="A1:AH39"/>
  <sheetViews>
    <sheetView workbookViewId="0">
      <selection activeCell="E2" sqref="E1:E1048576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75"/>
      <c r="C1" s="190" t="s">
        <v>108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</row>
    <row r="2" spans="1:34" x14ac:dyDescent="0.35">
      <c r="A2" s="6"/>
      <c r="B2" s="175"/>
      <c r="C2" s="83" t="s">
        <v>4</v>
      </c>
      <c r="D2" s="83" t="s">
        <v>5</v>
      </c>
      <c r="E2" s="83" t="s">
        <v>6</v>
      </c>
      <c r="F2" s="84" t="s">
        <v>7</v>
      </c>
      <c r="G2" s="84" t="s">
        <v>1</v>
      </c>
      <c r="H2" s="85" t="s">
        <v>2</v>
      </c>
      <c r="I2" s="85" t="s">
        <v>3</v>
      </c>
      <c r="J2" s="85" t="s">
        <v>4</v>
      </c>
      <c r="K2" s="83" t="s">
        <v>5</v>
      </c>
      <c r="L2" s="83" t="s">
        <v>6</v>
      </c>
      <c r="M2" s="84" t="s">
        <v>7</v>
      </c>
      <c r="N2" s="84" t="s">
        <v>1</v>
      </c>
      <c r="O2" s="85" t="s">
        <v>2</v>
      </c>
      <c r="P2" s="85" t="s">
        <v>3</v>
      </c>
      <c r="Q2" s="83" t="s">
        <v>4</v>
      </c>
      <c r="R2" s="83" t="s">
        <v>5</v>
      </c>
      <c r="S2" s="83" t="s">
        <v>6</v>
      </c>
      <c r="T2" s="84" t="s">
        <v>7</v>
      </c>
      <c r="U2" s="84" t="s">
        <v>1</v>
      </c>
      <c r="V2" s="85" t="s">
        <v>2</v>
      </c>
      <c r="W2" s="85" t="s">
        <v>3</v>
      </c>
      <c r="X2" s="85" t="s">
        <v>4</v>
      </c>
      <c r="Y2" s="83" t="s">
        <v>5</v>
      </c>
      <c r="Z2" s="83" t="s">
        <v>6</v>
      </c>
      <c r="AA2" s="84" t="s">
        <v>7</v>
      </c>
      <c r="AB2" s="84" t="s">
        <v>1</v>
      </c>
      <c r="AC2" s="85" t="s">
        <v>2</v>
      </c>
      <c r="AD2" s="85" t="s">
        <v>3</v>
      </c>
      <c r="AE2" s="85" t="s">
        <v>4</v>
      </c>
      <c r="AF2" s="83" t="s">
        <v>5</v>
      </c>
      <c r="AG2" s="83" t="s">
        <v>6</v>
      </c>
      <c r="AH2"/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 x14ac:dyDescent="0.35">
      <c r="A4" s="63" t="s">
        <v>12</v>
      </c>
      <c r="B4" s="62" t="s">
        <v>99</v>
      </c>
      <c r="C4" s="5" t="s">
        <v>14</v>
      </c>
      <c r="D4" s="5" t="s">
        <v>15</v>
      </c>
      <c r="E4" s="5" t="s">
        <v>15</v>
      </c>
      <c r="F4" s="28" t="s">
        <v>7</v>
      </c>
      <c r="G4" s="28" t="s">
        <v>7</v>
      </c>
      <c r="H4" s="28" t="s">
        <v>7</v>
      </c>
      <c r="I4" s="28" t="s">
        <v>7</v>
      </c>
      <c r="J4" s="28" t="s">
        <v>7</v>
      </c>
      <c r="K4" s="28" t="s">
        <v>7</v>
      </c>
      <c r="L4" s="28" t="s">
        <v>7</v>
      </c>
      <c r="M4" s="7" t="s">
        <v>20</v>
      </c>
      <c r="N4" s="7" t="s">
        <v>20</v>
      </c>
      <c r="O4" s="7" t="s">
        <v>20</v>
      </c>
      <c r="P4" s="7" t="s">
        <v>20</v>
      </c>
      <c r="Q4" s="7" t="s">
        <v>20</v>
      </c>
      <c r="R4" s="28" t="s">
        <v>7</v>
      </c>
      <c r="S4" s="28" t="s">
        <v>7</v>
      </c>
      <c r="T4" s="1" t="s">
        <v>14</v>
      </c>
      <c r="U4" s="1" t="s">
        <v>14</v>
      </c>
      <c r="V4" s="1" t="s">
        <v>14</v>
      </c>
      <c r="W4" s="1" t="s">
        <v>14</v>
      </c>
      <c r="X4" s="1" t="s">
        <v>14</v>
      </c>
      <c r="Y4" s="5" t="s">
        <v>15</v>
      </c>
      <c r="Z4" s="5" t="s">
        <v>15</v>
      </c>
      <c r="AA4" s="28" t="s">
        <v>7</v>
      </c>
      <c r="AB4" s="28" t="s">
        <v>7</v>
      </c>
      <c r="AC4" s="28" t="s">
        <v>7</v>
      </c>
      <c r="AD4" s="28" t="s">
        <v>7</v>
      </c>
      <c r="AE4" s="28" t="s">
        <v>7</v>
      </c>
      <c r="AF4" s="28" t="s">
        <v>7</v>
      </c>
      <c r="AG4" s="28" t="s">
        <v>7</v>
      </c>
      <c r="AH4"/>
    </row>
    <row r="5" spans="1:34" x14ac:dyDescent="0.35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15</v>
      </c>
      <c r="L5" s="5" t="s">
        <v>15</v>
      </c>
      <c r="M5" s="28" t="s">
        <v>7</v>
      </c>
      <c r="N5" s="28" t="s">
        <v>7</v>
      </c>
      <c r="O5" s="28" t="s">
        <v>7</v>
      </c>
      <c r="P5" s="28" t="s">
        <v>7</v>
      </c>
      <c r="Q5" s="28" t="s">
        <v>7</v>
      </c>
      <c r="R5" s="28" t="s">
        <v>7</v>
      </c>
      <c r="S5" s="28" t="s">
        <v>7</v>
      </c>
      <c r="T5" s="7" t="s">
        <v>20</v>
      </c>
      <c r="U5" s="7" t="s">
        <v>20</v>
      </c>
      <c r="V5" s="7" t="s">
        <v>20</v>
      </c>
      <c r="W5" s="7" t="s">
        <v>20</v>
      </c>
      <c r="X5" s="7" t="s">
        <v>20</v>
      </c>
      <c r="Y5" s="28" t="s">
        <v>7</v>
      </c>
      <c r="Z5" s="28" t="s">
        <v>7</v>
      </c>
      <c r="AA5" s="1" t="s">
        <v>14</v>
      </c>
      <c r="AB5" s="1" t="s">
        <v>14</v>
      </c>
      <c r="AC5" s="1" t="s">
        <v>14</v>
      </c>
      <c r="AD5" s="1" t="s">
        <v>14</v>
      </c>
      <c r="AE5" s="1" t="s">
        <v>14</v>
      </c>
      <c r="AF5" s="5" t="s">
        <v>15</v>
      </c>
      <c r="AG5" s="5" t="s">
        <v>15</v>
      </c>
      <c r="AH5"/>
    </row>
    <row r="6" spans="1:34" x14ac:dyDescent="0.35">
      <c r="A6" s="34" t="s">
        <v>12</v>
      </c>
      <c r="B6" s="33" t="s">
        <v>191</v>
      </c>
      <c r="C6" s="5" t="s">
        <v>14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5" t="s">
        <v>14</v>
      </c>
      <c r="N6" s="5" t="s">
        <v>14</v>
      </c>
      <c r="O6" s="5" t="s">
        <v>14</v>
      </c>
      <c r="P6" s="5" t="s">
        <v>14</v>
      </c>
      <c r="Q6" s="5" t="s">
        <v>14</v>
      </c>
      <c r="R6" s="5" t="s">
        <v>15</v>
      </c>
      <c r="S6" s="5" t="s">
        <v>15</v>
      </c>
      <c r="T6" s="28" t="s">
        <v>7</v>
      </c>
      <c r="U6" s="28" t="s">
        <v>7</v>
      </c>
      <c r="V6" s="28" t="s">
        <v>7</v>
      </c>
      <c r="W6" s="28" t="s">
        <v>7</v>
      </c>
      <c r="X6" s="28" t="s">
        <v>7</v>
      </c>
      <c r="Y6" s="28" t="s">
        <v>7</v>
      </c>
      <c r="Z6" s="28" t="s">
        <v>7</v>
      </c>
      <c r="AA6" s="7" t="s">
        <v>20</v>
      </c>
      <c r="AB6" s="7" t="s">
        <v>20</v>
      </c>
      <c r="AC6" s="7" t="s">
        <v>20</v>
      </c>
      <c r="AD6" s="7" t="s">
        <v>20</v>
      </c>
      <c r="AE6" s="7" t="s">
        <v>20</v>
      </c>
      <c r="AF6" s="28" t="s">
        <v>7</v>
      </c>
      <c r="AG6" s="28" t="s">
        <v>7</v>
      </c>
      <c r="AH6"/>
    </row>
    <row r="7" spans="1:34" x14ac:dyDescent="0.35">
      <c r="A7" s="34" t="s">
        <v>12</v>
      </c>
      <c r="B7" s="33" t="s">
        <v>59</v>
      </c>
      <c r="C7" s="7" t="s">
        <v>20</v>
      </c>
      <c r="D7" s="28" t="s">
        <v>7</v>
      </c>
      <c r="E7" s="28" t="s">
        <v>7</v>
      </c>
      <c r="F7" s="7" t="s">
        <v>20</v>
      </c>
      <c r="G7" s="7" t="s">
        <v>20</v>
      </c>
      <c r="H7" s="7" t="s">
        <v>20</v>
      </c>
      <c r="I7" s="7" t="s">
        <v>20</v>
      </c>
      <c r="J7" s="7" t="s">
        <v>20</v>
      </c>
      <c r="K7" s="28" t="s">
        <v>7</v>
      </c>
      <c r="L7" s="28" t="s">
        <v>7</v>
      </c>
      <c r="M7" s="1" t="s">
        <v>14</v>
      </c>
      <c r="N7" s="1" t="s">
        <v>14</v>
      </c>
      <c r="O7" s="1" t="s">
        <v>14</v>
      </c>
      <c r="P7" s="1" t="s">
        <v>14</v>
      </c>
      <c r="Q7" s="5" t="s">
        <v>14</v>
      </c>
      <c r="R7" s="5" t="s">
        <v>15</v>
      </c>
      <c r="S7" s="5" t="s">
        <v>15</v>
      </c>
      <c r="T7" s="28" t="s">
        <v>7</v>
      </c>
      <c r="U7" s="28" t="s">
        <v>7</v>
      </c>
      <c r="V7" s="28" t="s">
        <v>7</v>
      </c>
      <c r="W7" s="28" t="s">
        <v>7</v>
      </c>
      <c r="X7" s="28" t="s">
        <v>7</v>
      </c>
      <c r="Y7" s="28" t="s">
        <v>7</v>
      </c>
      <c r="Z7" s="28" t="s">
        <v>7</v>
      </c>
      <c r="AA7" s="5" t="s">
        <v>14</v>
      </c>
      <c r="AB7" s="5" t="s">
        <v>14</v>
      </c>
      <c r="AC7" s="5" t="s">
        <v>14</v>
      </c>
      <c r="AD7" s="5" t="s">
        <v>14</v>
      </c>
      <c r="AE7" s="5" t="s">
        <v>14</v>
      </c>
      <c r="AF7" s="5" t="s">
        <v>15</v>
      </c>
      <c r="AG7" s="5" t="s">
        <v>15</v>
      </c>
      <c r="AH7"/>
    </row>
    <row r="8" spans="1:34" x14ac:dyDescent="0.35">
      <c r="A8" s="34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H8"/>
    </row>
    <row r="9" spans="1:34" x14ac:dyDescent="0.35">
      <c r="A9" s="34" t="s">
        <v>12</v>
      </c>
      <c r="B9" s="33" t="s">
        <v>105</v>
      </c>
      <c r="C9" s="130" t="s">
        <v>16</v>
      </c>
      <c r="D9" s="130" t="s">
        <v>17</v>
      </c>
      <c r="E9" s="130" t="s">
        <v>17</v>
      </c>
      <c r="F9" s="136" t="s">
        <v>7</v>
      </c>
      <c r="G9" s="136" t="s">
        <v>7</v>
      </c>
      <c r="H9" s="136" t="s">
        <v>7</v>
      </c>
      <c r="I9" s="136" t="s">
        <v>7</v>
      </c>
      <c r="J9" s="136" t="s">
        <v>7</v>
      </c>
      <c r="K9" s="136" t="s">
        <v>7</v>
      </c>
      <c r="L9" s="136" t="s">
        <v>7</v>
      </c>
      <c r="M9" s="130" t="s">
        <v>16</v>
      </c>
      <c r="N9" s="130" t="s">
        <v>16</v>
      </c>
      <c r="O9" s="130" t="s">
        <v>16</v>
      </c>
      <c r="P9" s="130" t="s">
        <v>16</v>
      </c>
      <c r="Q9" s="130" t="s">
        <v>16</v>
      </c>
      <c r="R9" s="130" t="s">
        <v>17</v>
      </c>
      <c r="S9" s="130" t="s">
        <v>17</v>
      </c>
      <c r="T9" s="136" t="s">
        <v>7</v>
      </c>
      <c r="U9" s="136" t="s">
        <v>7</v>
      </c>
      <c r="V9" s="136" t="s">
        <v>7</v>
      </c>
      <c r="W9" s="136" t="s">
        <v>7</v>
      </c>
      <c r="X9" s="136" t="s">
        <v>7</v>
      </c>
      <c r="Y9" s="136" t="s">
        <v>7</v>
      </c>
      <c r="Z9" s="136" t="s">
        <v>7</v>
      </c>
      <c r="AA9" s="125" t="s">
        <v>20</v>
      </c>
      <c r="AB9" s="125" t="s">
        <v>20</v>
      </c>
      <c r="AC9" s="125" t="s">
        <v>20</v>
      </c>
      <c r="AD9" s="125" t="s">
        <v>20</v>
      </c>
      <c r="AE9" s="125" t="s">
        <v>20</v>
      </c>
      <c r="AF9" s="136" t="s">
        <v>7</v>
      </c>
      <c r="AG9" s="136" t="s">
        <v>7</v>
      </c>
      <c r="AH9"/>
    </row>
    <row r="10" spans="1:34" x14ac:dyDescent="0.35">
      <c r="A10" s="34" t="s">
        <v>12</v>
      </c>
      <c r="B10" s="33" t="s">
        <v>53</v>
      </c>
      <c r="C10" s="125" t="s">
        <v>20</v>
      </c>
      <c r="D10" s="136" t="s">
        <v>7</v>
      </c>
      <c r="E10" s="136" t="s">
        <v>7</v>
      </c>
      <c r="F10" s="130" t="s">
        <v>16</v>
      </c>
      <c r="G10" s="130" t="s">
        <v>16</v>
      </c>
      <c r="H10" s="130" t="s">
        <v>16</v>
      </c>
      <c r="I10" s="130" t="s">
        <v>16</v>
      </c>
      <c r="J10" s="130" t="s">
        <v>16</v>
      </c>
      <c r="K10" s="130" t="s">
        <v>17</v>
      </c>
      <c r="L10" s="130" t="s">
        <v>17</v>
      </c>
      <c r="M10" s="136" t="s">
        <v>7</v>
      </c>
      <c r="N10" s="136" t="s">
        <v>7</v>
      </c>
      <c r="O10" s="136" t="s">
        <v>7</v>
      </c>
      <c r="P10" s="136" t="s">
        <v>7</v>
      </c>
      <c r="Q10" s="136" t="s">
        <v>7</v>
      </c>
      <c r="R10" s="136" t="s">
        <v>7</v>
      </c>
      <c r="S10" s="136" t="s">
        <v>7</v>
      </c>
      <c r="T10" s="130" t="s">
        <v>16</v>
      </c>
      <c r="U10" s="130" t="s">
        <v>16</v>
      </c>
      <c r="V10" s="130" t="s">
        <v>16</v>
      </c>
      <c r="W10" s="130" t="s">
        <v>16</v>
      </c>
      <c r="X10" s="130" t="s">
        <v>16</v>
      </c>
      <c r="Y10" s="130" t="s">
        <v>17</v>
      </c>
      <c r="Z10" s="130" t="s">
        <v>17</v>
      </c>
      <c r="AA10" s="136" t="s">
        <v>7</v>
      </c>
      <c r="AB10" s="136" t="s">
        <v>7</v>
      </c>
      <c r="AC10" s="136" t="s">
        <v>7</v>
      </c>
      <c r="AD10" s="136" t="s">
        <v>7</v>
      </c>
      <c r="AE10" s="136" t="s">
        <v>7</v>
      </c>
      <c r="AF10" s="136" t="s">
        <v>7</v>
      </c>
      <c r="AG10" s="136" t="s">
        <v>7</v>
      </c>
      <c r="AH10"/>
    </row>
    <row r="11" spans="1:34" x14ac:dyDescent="0.35">
      <c r="A11" s="34" t="s">
        <v>12</v>
      </c>
      <c r="B11" s="33" t="s">
        <v>24</v>
      </c>
      <c r="C11" s="136" t="s">
        <v>7</v>
      </c>
      <c r="D11" s="136" t="s">
        <v>7</v>
      </c>
      <c r="E11" s="136" t="s">
        <v>7</v>
      </c>
      <c r="F11" s="125" t="s">
        <v>20</v>
      </c>
      <c r="G11" s="125" t="s">
        <v>20</v>
      </c>
      <c r="H11" s="125" t="s">
        <v>20</v>
      </c>
      <c r="I11" s="125" t="s">
        <v>20</v>
      </c>
      <c r="J11" s="125" t="s">
        <v>20</v>
      </c>
      <c r="K11" s="136" t="s">
        <v>7</v>
      </c>
      <c r="L11" s="136" t="s">
        <v>7</v>
      </c>
      <c r="M11" s="130" t="s">
        <v>16</v>
      </c>
      <c r="N11" s="130" t="s">
        <v>16</v>
      </c>
      <c r="O11" s="130" t="s">
        <v>16</v>
      </c>
      <c r="P11" s="130" t="s">
        <v>16</v>
      </c>
      <c r="Q11" s="130" t="s">
        <v>16</v>
      </c>
      <c r="R11" s="130" t="s">
        <v>17</v>
      </c>
      <c r="S11" s="130" t="s">
        <v>17</v>
      </c>
      <c r="T11" s="136" t="s">
        <v>7</v>
      </c>
      <c r="U11" s="136" t="s">
        <v>7</v>
      </c>
      <c r="V11" s="136" t="s">
        <v>7</v>
      </c>
      <c r="W11" s="136" t="s">
        <v>7</v>
      </c>
      <c r="X11" s="136" t="s">
        <v>7</v>
      </c>
      <c r="Y11" s="136" t="s">
        <v>7</v>
      </c>
      <c r="Z11" s="136" t="s">
        <v>7</v>
      </c>
      <c r="AA11" s="130" t="s">
        <v>16</v>
      </c>
      <c r="AB11" s="130" t="s">
        <v>16</v>
      </c>
      <c r="AC11" s="130" t="s">
        <v>16</v>
      </c>
      <c r="AD11" s="130" t="s">
        <v>16</v>
      </c>
      <c r="AE11" s="130" t="s">
        <v>16</v>
      </c>
      <c r="AF11" s="130" t="s">
        <v>17</v>
      </c>
      <c r="AG11" s="130" t="s">
        <v>17</v>
      </c>
      <c r="AH11"/>
    </row>
    <row r="12" spans="1:34" x14ac:dyDescent="0.35">
      <c r="A12" s="34" t="s">
        <v>12</v>
      </c>
      <c r="B12" s="33" t="s">
        <v>84</v>
      </c>
      <c r="C12" s="5" t="s">
        <v>14</v>
      </c>
      <c r="D12" s="5" t="s">
        <v>15</v>
      </c>
      <c r="E12" s="5" t="s">
        <v>15</v>
      </c>
      <c r="F12" s="136" t="s">
        <v>7</v>
      </c>
      <c r="G12" s="136" t="s">
        <v>7</v>
      </c>
      <c r="H12" s="136" t="s">
        <v>7</v>
      </c>
      <c r="I12" s="136" t="s">
        <v>7</v>
      </c>
      <c r="J12" s="136" t="s">
        <v>7</v>
      </c>
      <c r="K12" s="136" t="s">
        <v>7</v>
      </c>
      <c r="L12" s="136" t="s">
        <v>7</v>
      </c>
      <c r="M12" s="125" t="s">
        <v>20</v>
      </c>
      <c r="N12" s="125" t="s">
        <v>20</v>
      </c>
      <c r="O12" s="125" t="s">
        <v>20</v>
      </c>
      <c r="P12" s="125" t="s">
        <v>20</v>
      </c>
      <c r="Q12" s="125" t="s">
        <v>20</v>
      </c>
      <c r="R12" s="136" t="s">
        <v>7</v>
      </c>
      <c r="S12" s="136" t="s">
        <v>7</v>
      </c>
      <c r="T12" s="130" t="s">
        <v>16</v>
      </c>
      <c r="U12" s="130" t="s">
        <v>16</v>
      </c>
      <c r="V12" s="130" t="s">
        <v>16</v>
      </c>
      <c r="W12" s="130" t="s">
        <v>16</v>
      </c>
      <c r="X12" s="130" t="s">
        <v>16</v>
      </c>
      <c r="Y12" s="130" t="s">
        <v>17</v>
      </c>
      <c r="Z12" s="130" t="s">
        <v>17</v>
      </c>
      <c r="AA12" s="136" t="s">
        <v>7</v>
      </c>
      <c r="AB12" s="136" t="s">
        <v>7</v>
      </c>
      <c r="AC12" s="136" t="s">
        <v>7</v>
      </c>
      <c r="AD12" s="136" t="s">
        <v>7</v>
      </c>
      <c r="AE12" s="136" t="s">
        <v>7</v>
      </c>
      <c r="AF12" s="136" t="s">
        <v>7</v>
      </c>
      <c r="AG12" s="136" t="s">
        <v>7</v>
      </c>
      <c r="AH12"/>
    </row>
    <row r="13" spans="1:34" ht="14.25" customHeight="1" x14ac:dyDescent="0.35">
      <c r="A13" s="34" t="s">
        <v>12</v>
      </c>
      <c r="B13" s="33" t="s">
        <v>106</v>
      </c>
      <c r="C13" s="136" t="s">
        <v>7</v>
      </c>
      <c r="D13" s="136" t="s">
        <v>7</v>
      </c>
      <c r="E13" s="136" t="s">
        <v>7</v>
      </c>
      <c r="F13" s="130" t="s">
        <v>16</v>
      </c>
      <c r="G13" s="130" t="s">
        <v>16</v>
      </c>
      <c r="H13" s="130" t="s">
        <v>16</v>
      </c>
      <c r="I13" s="130" t="s">
        <v>16</v>
      </c>
      <c r="J13" s="130" t="s">
        <v>16</v>
      </c>
      <c r="K13" s="130" t="s">
        <v>17</v>
      </c>
      <c r="L13" s="130" t="s">
        <v>17</v>
      </c>
      <c r="M13" s="136" t="s">
        <v>7</v>
      </c>
      <c r="N13" s="136" t="s">
        <v>7</v>
      </c>
      <c r="O13" s="136" t="s">
        <v>7</v>
      </c>
      <c r="P13" s="136" t="s">
        <v>7</v>
      </c>
      <c r="Q13" s="136" t="s">
        <v>7</v>
      </c>
      <c r="R13" s="136" t="s">
        <v>7</v>
      </c>
      <c r="S13" s="136" t="s">
        <v>7</v>
      </c>
      <c r="T13" s="125" t="s">
        <v>20</v>
      </c>
      <c r="U13" s="125" t="s">
        <v>20</v>
      </c>
      <c r="V13" s="125" t="s">
        <v>20</v>
      </c>
      <c r="W13" s="125" t="s">
        <v>20</v>
      </c>
      <c r="X13" s="125" t="s">
        <v>20</v>
      </c>
      <c r="Y13" s="136" t="s">
        <v>7</v>
      </c>
      <c r="Z13" s="136" t="s">
        <v>7</v>
      </c>
      <c r="AA13" s="130" t="s">
        <v>16</v>
      </c>
      <c r="AB13" s="130" t="s">
        <v>16</v>
      </c>
      <c r="AC13" s="130" t="s">
        <v>16</v>
      </c>
      <c r="AD13" s="130" t="s">
        <v>16</v>
      </c>
      <c r="AE13" s="130" t="s">
        <v>16</v>
      </c>
      <c r="AF13" s="130" t="s">
        <v>17</v>
      </c>
      <c r="AG13" s="130" t="s">
        <v>17</v>
      </c>
      <c r="AH13"/>
    </row>
    <row r="14" spans="1:34" ht="14.25" customHeight="1" x14ac:dyDescent="0.35">
      <c r="A14" s="34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/>
    </row>
    <row r="15" spans="1:34" x14ac:dyDescent="0.35">
      <c r="A15" s="34"/>
      <c r="B15" s="33" t="s">
        <v>22</v>
      </c>
      <c r="C15" s="130" t="s">
        <v>16</v>
      </c>
      <c r="D15" s="130" t="s">
        <v>17</v>
      </c>
      <c r="E15" s="130" t="s">
        <v>17</v>
      </c>
      <c r="F15" s="28" t="s">
        <v>7</v>
      </c>
      <c r="G15" s="28" t="s">
        <v>7</v>
      </c>
      <c r="H15" s="28" t="s">
        <v>7</v>
      </c>
      <c r="I15" s="28" t="s">
        <v>7</v>
      </c>
      <c r="J15" s="28" t="s">
        <v>7</v>
      </c>
      <c r="K15" s="28" t="s">
        <v>7</v>
      </c>
      <c r="L15" s="109" t="s">
        <v>4</v>
      </c>
      <c r="M15" s="28" t="s">
        <v>7</v>
      </c>
      <c r="N15" s="28" t="s">
        <v>7</v>
      </c>
      <c r="O15" s="130" t="s">
        <v>16</v>
      </c>
      <c r="P15" s="130" t="s">
        <v>16</v>
      </c>
      <c r="Q15" s="130" t="s">
        <v>16</v>
      </c>
      <c r="R15" s="130" t="s">
        <v>16</v>
      </c>
      <c r="S15" s="130" t="s">
        <v>16</v>
      </c>
      <c r="T15" s="130" t="s">
        <v>17</v>
      </c>
      <c r="U15" s="130" t="s">
        <v>17</v>
      </c>
      <c r="V15" s="28" t="s">
        <v>7</v>
      </c>
      <c r="W15" s="28" t="s">
        <v>7</v>
      </c>
      <c r="X15" s="28" t="s">
        <v>7</v>
      </c>
      <c r="Y15" s="28" t="s">
        <v>7</v>
      </c>
      <c r="Z15" s="109" t="s">
        <v>4</v>
      </c>
      <c r="AA15" s="28" t="s">
        <v>7</v>
      </c>
      <c r="AB15" s="28" t="s">
        <v>7</v>
      </c>
      <c r="AC15" s="130" t="s">
        <v>16</v>
      </c>
      <c r="AD15" s="130" t="s">
        <v>16</v>
      </c>
      <c r="AE15" s="130" t="s">
        <v>16</v>
      </c>
      <c r="AF15" s="130" t="s">
        <v>16</v>
      </c>
      <c r="AG15" s="130" t="s">
        <v>16</v>
      </c>
      <c r="AH15"/>
    </row>
    <row r="16" spans="1:34" x14ac:dyDescent="0.35">
      <c r="A16" s="34"/>
      <c r="B16" s="33" t="s">
        <v>21</v>
      </c>
      <c r="C16" s="28" t="s">
        <v>7</v>
      </c>
      <c r="D16" s="109" t="s">
        <v>4</v>
      </c>
      <c r="E16" s="28" t="s">
        <v>7</v>
      </c>
      <c r="F16" s="28" t="s">
        <v>7</v>
      </c>
      <c r="G16" s="28" t="s">
        <v>7</v>
      </c>
      <c r="H16" s="130" t="s">
        <v>16</v>
      </c>
      <c r="I16" s="130" t="s">
        <v>16</v>
      </c>
      <c r="J16" s="130" t="s">
        <v>16</v>
      </c>
      <c r="K16" s="130" t="s">
        <v>16</v>
      </c>
      <c r="L16" s="130" t="s">
        <v>16</v>
      </c>
      <c r="M16" s="130" t="s">
        <v>17</v>
      </c>
      <c r="N16" s="130" t="s">
        <v>17</v>
      </c>
      <c r="O16" s="28" t="s">
        <v>7</v>
      </c>
      <c r="P16" s="28" t="s">
        <v>7</v>
      </c>
      <c r="Q16" s="28" t="s">
        <v>7</v>
      </c>
      <c r="R16" s="28" t="s">
        <v>7</v>
      </c>
      <c r="S16" s="109" t="s">
        <v>4</v>
      </c>
      <c r="T16" s="28" t="s">
        <v>7</v>
      </c>
      <c r="U16" s="28" t="s">
        <v>7</v>
      </c>
      <c r="V16" s="130" t="s">
        <v>16</v>
      </c>
      <c r="W16" s="130" t="s">
        <v>16</v>
      </c>
      <c r="X16" s="130" t="s">
        <v>16</v>
      </c>
      <c r="Y16" s="130" t="s">
        <v>16</v>
      </c>
      <c r="Z16" s="130" t="s">
        <v>16</v>
      </c>
      <c r="AA16" s="130" t="s">
        <v>17</v>
      </c>
      <c r="AB16" s="130" t="s">
        <v>17</v>
      </c>
      <c r="AC16" s="28" t="s">
        <v>7</v>
      </c>
      <c r="AD16" s="28" t="s">
        <v>7</v>
      </c>
      <c r="AE16" s="28" t="s">
        <v>7</v>
      </c>
      <c r="AF16" s="28" t="s">
        <v>7</v>
      </c>
      <c r="AG16" s="28" t="s">
        <v>7</v>
      </c>
      <c r="AH16"/>
    </row>
    <row r="17" spans="1:34" x14ac:dyDescent="0.35">
      <c r="A17" s="34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122"/>
      <c r="U17" s="122"/>
      <c r="V17" s="122"/>
      <c r="W17" s="122"/>
      <c r="X17" s="122"/>
      <c r="Y17" s="50"/>
      <c r="Z17" s="50"/>
      <c r="AA17" s="50"/>
      <c r="AB17" s="50"/>
      <c r="AC17" s="50"/>
      <c r="AD17" s="50"/>
      <c r="AH17"/>
    </row>
    <row r="18" spans="1:34" x14ac:dyDescent="0.35">
      <c r="A18" s="34" t="s">
        <v>28</v>
      </c>
      <c r="B18" s="33" t="s">
        <v>29</v>
      </c>
      <c r="C18" s="28" t="s">
        <v>7</v>
      </c>
      <c r="D18" s="28" t="s">
        <v>7</v>
      </c>
      <c r="E18" s="28" t="s">
        <v>7</v>
      </c>
      <c r="F18" s="145" t="s">
        <v>85</v>
      </c>
      <c r="G18" s="145" t="s">
        <v>85</v>
      </c>
      <c r="H18" s="145" t="s">
        <v>85</v>
      </c>
      <c r="I18" s="145" t="s">
        <v>85</v>
      </c>
      <c r="J18" s="145" t="s">
        <v>85</v>
      </c>
      <c r="K18" s="28" t="s">
        <v>30</v>
      </c>
      <c r="L18" s="28" t="s">
        <v>30</v>
      </c>
      <c r="M18" s="162" t="s">
        <v>11</v>
      </c>
      <c r="N18" s="162" t="s">
        <v>11</v>
      </c>
      <c r="O18" s="162" t="s">
        <v>11</v>
      </c>
      <c r="P18" s="162" t="s">
        <v>11</v>
      </c>
      <c r="Q18" s="28" t="s">
        <v>7</v>
      </c>
      <c r="R18" s="28" t="s">
        <v>7</v>
      </c>
      <c r="S18" s="28" t="s">
        <v>7</v>
      </c>
      <c r="T18" s="145" t="s">
        <v>54</v>
      </c>
      <c r="U18" s="145" t="s">
        <v>54</v>
      </c>
      <c r="V18" s="145" t="s">
        <v>54</v>
      </c>
      <c r="W18" s="145" t="s">
        <v>54</v>
      </c>
      <c r="X18" s="145" t="s">
        <v>54</v>
      </c>
      <c r="Y18" s="28" t="s">
        <v>7</v>
      </c>
      <c r="Z18" s="28" t="s">
        <v>7</v>
      </c>
      <c r="AA18" s="145" t="s">
        <v>85</v>
      </c>
      <c r="AB18" s="145" t="s">
        <v>85</v>
      </c>
      <c r="AC18" s="145" t="s">
        <v>85</v>
      </c>
      <c r="AD18" s="145" t="s">
        <v>85</v>
      </c>
      <c r="AE18" s="145" t="s">
        <v>85</v>
      </c>
      <c r="AF18" s="28" t="s">
        <v>30</v>
      </c>
      <c r="AG18" s="28" t="s">
        <v>30</v>
      </c>
      <c r="AH18"/>
    </row>
    <row r="19" spans="1:34" x14ac:dyDescent="0.35">
      <c r="A19" s="34" t="s">
        <v>28</v>
      </c>
      <c r="B19" s="35" t="s">
        <v>60</v>
      </c>
      <c r="C19" s="28" t="s">
        <v>7</v>
      </c>
      <c r="D19" s="28" t="s">
        <v>7</v>
      </c>
      <c r="E19" s="28" t="s">
        <v>7</v>
      </c>
      <c r="F19" s="145" t="s">
        <v>54</v>
      </c>
      <c r="G19" s="145" t="s">
        <v>54</v>
      </c>
      <c r="H19" s="145" t="s">
        <v>54</v>
      </c>
      <c r="I19" s="145" t="s">
        <v>54</v>
      </c>
      <c r="J19" s="145" t="s">
        <v>54</v>
      </c>
      <c r="K19" s="28" t="s">
        <v>7</v>
      </c>
      <c r="L19" s="28" t="s">
        <v>7</v>
      </c>
      <c r="M19" s="145" t="s">
        <v>85</v>
      </c>
      <c r="N19" s="145" t="s">
        <v>85</v>
      </c>
      <c r="O19" s="145" t="s">
        <v>85</v>
      </c>
      <c r="P19" s="145" t="s">
        <v>85</v>
      </c>
      <c r="Q19" s="28" t="s">
        <v>30</v>
      </c>
      <c r="R19" s="28" t="s">
        <v>30</v>
      </c>
      <c r="S19" s="28" t="s">
        <v>30</v>
      </c>
      <c r="T19" s="162" t="s">
        <v>11</v>
      </c>
      <c r="U19" s="162" t="s">
        <v>11</v>
      </c>
      <c r="V19" s="162" t="s">
        <v>11</v>
      </c>
      <c r="W19" s="162" t="s">
        <v>11</v>
      </c>
      <c r="X19" s="162" t="s">
        <v>11</v>
      </c>
      <c r="Y19" s="28" t="s">
        <v>7</v>
      </c>
      <c r="Z19" s="28" t="s">
        <v>7</v>
      </c>
      <c r="AA19" s="145" t="s">
        <v>54</v>
      </c>
      <c r="AB19" s="145" t="s">
        <v>54</v>
      </c>
      <c r="AC19" s="145" t="s">
        <v>54</v>
      </c>
      <c r="AD19" s="145" t="s">
        <v>54</v>
      </c>
      <c r="AE19" s="145" t="s">
        <v>54</v>
      </c>
      <c r="AF19" s="28" t="s">
        <v>7</v>
      </c>
      <c r="AG19" s="28" t="s">
        <v>7</v>
      </c>
      <c r="AH19"/>
    </row>
    <row r="20" spans="1:34" x14ac:dyDescent="0.35">
      <c r="A20" s="34" t="s">
        <v>28</v>
      </c>
      <c r="B20" s="62" t="s">
        <v>13</v>
      </c>
      <c r="C20" s="28" t="s">
        <v>30</v>
      </c>
      <c r="D20" s="28" t="s">
        <v>30</v>
      </c>
      <c r="E20" s="28" t="s">
        <v>30</v>
      </c>
      <c r="F20" s="162" t="s">
        <v>11</v>
      </c>
      <c r="G20" s="162" t="s">
        <v>11</v>
      </c>
      <c r="H20" s="162" t="s">
        <v>11</v>
      </c>
      <c r="I20" s="162" t="s">
        <v>11</v>
      </c>
      <c r="J20" s="162" t="s">
        <v>11</v>
      </c>
      <c r="K20" s="28" t="s">
        <v>7</v>
      </c>
      <c r="L20" s="28" t="s">
        <v>7</v>
      </c>
      <c r="M20" s="145" t="s">
        <v>54</v>
      </c>
      <c r="N20" s="145" t="s">
        <v>54</v>
      </c>
      <c r="O20" s="145" t="s">
        <v>54</v>
      </c>
      <c r="P20" s="145" t="s">
        <v>54</v>
      </c>
      <c r="Q20" s="28" t="s">
        <v>7</v>
      </c>
      <c r="R20" s="28" t="s">
        <v>7</v>
      </c>
      <c r="S20" s="28" t="s">
        <v>7</v>
      </c>
      <c r="T20" s="145" t="s">
        <v>85</v>
      </c>
      <c r="U20" s="145" t="s">
        <v>85</v>
      </c>
      <c r="V20" s="145" t="s">
        <v>85</v>
      </c>
      <c r="W20" s="145" t="s">
        <v>85</v>
      </c>
      <c r="X20" s="145" t="s">
        <v>85</v>
      </c>
      <c r="Y20" s="28" t="s">
        <v>30</v>
      </c>
      <c r="Z20" s="28" t="s">
        <v>30</v>
      </c>
      <c r="AA20" s="162" t="s">
        <v>11</v>
      </c>
      <c r="AB20" s="162" t="s">
        <v>11</v>
      </c>
      <c r="AC20" s="162" t="s">
        <v>11</v>
      </c>
      <c r="AD20" s="162" t="s">
        <v>11</v>
      </c>
      <c r="AE20" s="162" t="s">
        <v>11</v>
      </c>
      <c r="AF20" s="28" t="s">
        <v>7</v>
      </c>
      <c r="AG20" s="28" t="s">
        <v>7</v>
      </c>
      <c r="AH20"/>
    </row>
    <row r="22" spans="1:34" x14ac:dyDescent="0.35">
      <c r="B22" s="111" t="s">
        <v>89</v>
      </c>
      <c r="C22" s="110">
        <f t="shared" ref="C22:AG22" si="0">SUM(C23:C25)</f>
        <v>4</v>
      </c>
      <c r="D22" s="110">
        <f t="shared" si="0"/>
        <v>4</v>
      </c>
      <c r="E22" s="110">
        <f t="shared" si="0"/>
        <v>4</v>
      </c>
      <c r="F22" s="110">
        <f t="shared" si="0"/>
        <v>7</v>
      </c>
      <c r="G22" s="110">
        <f t="shared" si="0"/>
        <v>7</v>
      </c>
      <c r="H22" s="110">
        <f t="shared" si="0"/>
        <v>8</v>
      </c>
      <c r="I22" s="110">
        <f t="shared" si="0"/>
        <v>8</v>
      </c>
      <c r="J22" s="110">
        <f t="shared" si="0"/>
        <v>8</v>
      </c>
      <c r="K22" s="110">
        <f t="shared" si="0"/>
        <v>4</v>
      </c>
      <c r="L22" s="110">
        <f t="shared" si="0"/>
        <v>4</v>
      </c>
      <c r="M22" s="110">
        <f t="shared" si="0"/>
        <v>8</v>
      </c>
      <c r="N22" s="110">
        <f t="shared" si="0"/>
        <v>8</v>
      </c>
      <c r="O22" s="110">
        <f t="shared" si="0"/>
        <v>8</v>
      </c>
      <c r="P22" s="110">
        <f t="shared" si="0"/>
        <v>8</v>
      </c>
      <c r="Q22" s="110">
        <f t="shared" si="0"/>
        <v>5</v>
      </c>
      <c r="R22" s="110">
        <f t="shared" si="0"/>
        <v>5</v>
      </c>
      <c r="S22" s="110">
        <f t="shared" si="0"/>
        <v>5</v>
      </c>
      <c r="T22" s="110">
        <f t="shared" si="0"/>
        <v>8</v>
      </c>
      <c r="U22" s="110">
        <f t="shared" si="0"/>
        <v>8</v>
      </c>
      <c r="V22" s="110">
        <f t="shared" si="0"/>
        <v>8</v>
      </c>
      <c r="W22" s="110">
        <f t="shared" si="0"/>
        <v>8</v>
      </c>
      <c r="X22" s="110">
        <f t="shared" si="0"/>
        <v>8</v>
      </c>
      <c r="Y22" s="110">
        <f t="shared" si="0"/>
        <v>4</v>
      </c>
      <c r="Z22" s="110">
        <f t="shared" si="0"/>
        <v>4</v>
      </c>
      <c r="AA22" s="110">
        <f t="shared" si="0"/>
        <v>8</v>
      </c>
      <c r="AB22" s="110">
        <f t="shared" si="0"/>
        <v>8</v>
      </c>
      <c r="AC22" s="110">
        <f t="shared" si="0"/>
        <v>8</v>
      </c>
      <c r="AD22" s="110">
        <f t="shared" si="0"/>
        <v>8</v>
      </c>
      <c r="AE22" s="110">
        <f t="shared" si="0"/>
        <v>8</v>
      </c>
      <c r="AF22" s="110">
        <f t="shared" si="0"/>
        <v>5</v>
      </c>
      <c r="AG22" s="110">
        <f t="shared" si="0"/>
        <v>5</v>
      </c>
    </row>
    <row r="23" spans="1:34" x14ac:dyDescent="0.35">
      <c r="B23" s="111" t="s">
        <v>90</v>
      </c>
      <c r="C23" s="112">
        <f t="shared" ref="C23:AG23" si="1">COUNTIF(C4:C20,"T")</f>
        <v>2</v>
      </c>
      <c r="D23" s="112">
        <f t="shared" si="1"/>
        <v>0</v>
      </c>
      <c r="E23" s="112">
        <f t="shared" si="1"/>
        <v>0</v>
      </c>
      <c r="F23" s="112">
        <f t="shared" si="1"/>
        <v>2</v>
      </c>
      <c r="G23" s="112">
        <f t="shared" si="1"/>
        <v>2</v>
      </c>
      <c r="H23" s="112">
        <f t="shared" si="1"/>
        <v>2</v>
      </c>
      <c r="I23" s="112">
        <f t="shared" si="1"/>
        <v>2</v>
      </c>
      <c r="J23" s="112">
        <f t="shared" si="1"/>
        <v>2</v>
      </c>
      <c r="K23" s="112">
        <f t="shared" si="1"/>
        <v>0</v>
      </c>
      <c r="L23" s="112">
        <f t="shared" si="1"/>
        <v>0</v>
      </c>
      <c r="M23" s="112">
        <f t="shared" si="1"/>
        <v>2</v>
      </c>
      <c r="N23" s="112">
        <f t="shared" si="1"/>
        <v>2</v>
      </c>
      <c r="O23" s="112">
        <f t="shared" si="1"/>
        <v>2</v>
      </c>
      <c r="P23" s="112">
        <f t="shared" si="1"/>
        <v>2</v>
      </c>
      <c r="Q23" s="112">
        <f t="shared" si="1"/>
        <v>2</v>
      </c>
      <c r="R23" s="112">
        <f t="shared" si="1"/>
        <v>0</v>
      </c>
      <c r="S23" s="112">
        <f t="shared" si="1"/>
        <v>0</v>
      </c>
      <c r="T23" s="112">
        <f t="shared" si="1"/>
        <v>2</v>
      </c>
      <c r="U23" s="112">
        <f t="shared" si="1"/>
        <v>2</v>
      </c>
      <c r="V23" s="112">
        <f t="shared" si="1"/>
        <v>2</v>
      </c>
      <c r="W23" s="112">
        <f t="shared" si="1"/>
        <v>2</v>
      </c>
      <c r="X23" s="112">
        <f t="shared" si="1"/>
        <v>2</v>
      </c>
      <c r="Y23" s="112">
        <f t="shared" si="1"/>
        <v>0</v>
      </c>
      <c r="Z23" s="112">
        <f t="shared" si="1"/>
        <v>0</v>
      </c>
      <c r="AA23" s="112">
        <f t="shared" si="1"/>
        <v>2</v>
      </c>
      <c r="AB23" s="112">
        <f t="shared" si="1"/>
        <v>2</v>
      </c>
      <c r="AC23" s="112">
        <f t="shared" si="1"/>
        <v>2</v>
      </c>
      <c r="AD23" s="112">
        <f t="shared" si="1"/>
        <v>2</v>
      </c>
      <c r="AE23" s="112">
        <f t="shared" si="1"/>
        <v>2</v>
      </c>
      <c r="AF23" s="112">
        <f t="shared" si="1"/>
        <v>0</v>
      </c>
      <c r="AG23" s="112">
        <f t="shared" si="1"/>
        <v>0</v>
      </c>
    </row>
    <row r="24" spans="1:34" x14ac:dyDescent="0.35">
      <c r="B24" s="111" t="s">
        <v>91</v>
      </c>
      <c r="C24" s="112">
        <f t="shared" ref="C24:AG24" si="2">COUNTIF(C4:C20,"N")+COUNTIF(C4:C20,"NF")</f>
        <v>2</v>
      </c>
      <c r="D24" s="112">
        <f t="shared" si="2"/>
        <v>2</v>
      </c>
      <c r="E24" s="112">
        <f t="shared" si="2"/>
        <v>2</v>
      </c>
      <c r="F24" s="112">
        <f t="shared" si="2"/>
        <v>2</v>
      </c>
      <c r="G24" s="112">
        <f t="shared" si="2"/>
        <v>2</v>
      </c>
      <c r="H24" s="112">
        <f t="shared" si="2"/>
        <v>3</v>
      </c>
      <c r="I24" s="112">
        <f t="shared" si="2"/>
        <v>3</v>
      </c>
      <c r="J24" s="112">
        <f t="shared" si="2"/>
        <v>3</v>
      </c>
      <c r="K24" s="112">
        <f t="shared" si="2"/>
        <v>3</v>
      </c>
      <c r="L24" s="112">
        <f t="shared" si="2"/>
        <v>3</v>
      </c>
      <c r="M24" s="112">
        <f t="shared" si="2"/>
        <v>3</v>
      </c>
      <c r="N24" s="112">
        <f t="shared" si="2"/>
        <v>3</v>
      </c>
      <c r="O24" s="112">
        <f t="shared" si="2"/>
        <v>3</v>
      </c>
      <c r="P24" s="112">
        <f t="shared" si="2"/>
        <v>3</v>
      </c>
      <c r="Q24" s="112">
        <f t="shared" si="2"/>
        <v>3</v>
      </c>
      <c r="R24" s="112">
        <f t="shared" si="2"/>
        <v>3</v>
      </c>
      <c r="S24" s="112">
        <f t="shared" si="2"/>
        <v>3</v>
      </c>
      <c r="T24" s="112">
        <f t="shared" si="2"/>
        <v>3</v>
      </c>
      <c r="U24" s="112">
        <f t="shared" si="2"/>
        <v>3</v>
      </c>
      <c r="V24" s="112">
        <f t="shared" si="2"/>
        <v>3</v>
      </c>
      <c r="W24" s="112">
        <f t="shared" si="2"/>
        <v>3</v>
      </c>
      <c r="X24" s="112">
        <f t="shared" si="2"/>
        <v>3</v>
      </c>
      <c r="Y24" s="112">
        <f t="shared" si="2"/>
        <v>3</v>
      </c>
      <c r="Z24" s="112">
        <f t="shared" si="2"/>
        <v>3</v>
      </c>
      <c r="AA24" s="112">
        <f t="shared" si="2"/>
        <v>3</v>
      </c>
      <c r="AB24" s="112">
        <f t="shared" si="2"/>
        <v>3</v>
      </c>
      <c r="AC24" s="112">
        <f t="shared" si="2"/>
        <v>3</v>
      </c>
      <c r="AD24" s="112">
        <f t="shared" si="2"/>
        <v>3</v>
      </c>
      <c r="AE24" s="112">
        <f t="shared" si="2"/>
        <v>3</v>
      </c>
      <c r="AF24" s="112">
        <f t="shared" si="2"/>
        <v>3</v>
      </c>
      <c r="AG24" s="112">
        <f t="shared" si="2"/>
        <v>3</v>
      </c>
    </row>
    <row r="25" spans="1:34" x14ac:dyDescent="0.35">
      <c r="B25" s="111" t="s">
        <v>92</v>
      </c>
      <c r="C25" s="112">
        <f>COUNTIF(C4:C20,"M/F")+COUNTIF(C4:C20,"M1")+COUNTIF(C4:C20,"M3")+COUNTIF(C4:C20,"M3/G")+COUNTIF(C4:C20,"M2")</f>
        <v>0</v>
      </c>
      <c r="D25" s="112">
        <f>COUNTIF(D4:D20,"M/F")+COUNTIF(D4:D20,"M1")+COUNTIF(D4:D20,"M3")+COUNTIF(D4:D20,"M3/G")+COUNTIF(D4:D20,"M2")</f>
        <v>2</v>
      </c>
      <c r="E25" s="112">
        <f>COUNTIF(E4:E20,"M1")+COUNTIF(E4:E20,"NF")</f>
        <v>2</v>
      </c>
      <c r="F25" s="112">
        <f t="shared" ref="F25:AG25" si="3">COUNTIF(F4:F20,"M/F")+COUNTIF(F4:F20,"M1")+COUNTIF(F4:F20,"M3")+COUNTIF(F4:F20,"M3/G")+COUNTIF(F4:F20,"M2")</f>
        <v>3</v>
      </c>
      <c r="G25" s="112">
        <f t="shared" si="3"/>
        <v>3</v>
      </c>
      <c r="H25" s="112">
        <f t="shared" si="3"/>
        <v>3</v>
      </c>
      <c r="I25" s="112">
        <f t="shared" si="3"/>
        <v>3</v>
      </c>
      <c r="J25" s="112">
        <f t="shared" si="3"/>
        <v>3</v>
      </c>
      <c r="K25" s="112">
        <f t="shared" si="3"/>
        <v>1</v>
      </c>
      <c r="L25" s="112">
        <f t="shared" si="3"/>
        <v>1</v>
      </c>
      <c r="M25" s="112">
        <f t="shared" si="3"/>
        <v>3</v>
      </c>
      <c r="N25" s="112">
        <f t="shared" si="3"/>
        <v>3</v>
      </c>
      <c r="O25" s="112">
        <f t="shared" si="3"/>
        <v>3</v>
      </c>
      <c r="P25" s="112">
        <f t="shared" si="3"/>
        <v>3</v>
      </c>
      <c r="Q25" s="112">
        <f t="shared" si="3"/>
        <v>0</v>
      </c>
      <c r="R25" s="112">
        <f t="shared" si="3"/>
        <v>2</v>
      </c>
      <c r="S25" s="112">
        <f t="shared" si="3"/>
        <v>2</v>
      </c>
      <c r="T25" s="112">
        <f t="shared" si="3"/>
        <v>3</v>
      </c>
      <c r="U25" s="112">
        <f t="shared" si="3"/>
        <v>3</v>
      </c>
      <c r="V25" s="112">
        <f t="shared" si="3"/>
        <v>3</v>
      </c>
      <c r="W25" s="112">
        <f t="shared" si="3"/>
        <v>3</v>
      </c>
      <c r="X25" s="112">
        <f t="shared" si="3"/>
        <v>3</v>
      </c>
      <c r="Y25" s="112">
        <f t="shared" si="3"/>
        <v>1</v>
      </c>
      <c r="Z25" s="112">
        <f t="shared" si="3"/>
        <v>1</v>
      </c>
      <c r="AA25" s="112">
        <f t="shared" si="3"/>
        <v>3</v>
      </c>
      <c r="AB25" s="112">
        <f t="shared" si="3"/>
        <v>3</v>
      </c>
      <c r="AC25" s="112">
        <f t="shared" si="3"/>
        <v>3</v>
      </c>
      <c r="AD25" s="112">
        <f t="shared" si="3"/>
        <v>3</v>
      </c>
      <c r="AE25" s="112">
        <f t="shared" si="3"/>
        <v>3</v>
      </c>
      <c r="AF25" s="112">
        <f t="shared" si="3"/>
        <v>2</v>
      </c>
      <c r="AG25" s="112">
        <f t="shared" si="3"/>
        <v>2</v>
      </c>
    </row>
    <row r="27" spans="1:34" x14ac:dyDescent="0.35">
      <c r="B27" t="s">
        <v>65</v>
      </c>
    </row>
    <row r="28" spans="1:34" x14ac:dyDescent="0.35">
      <c r="B28" s="5" t="s">
        <v>66</v>
      </c>
    </row>
    <row r="29" spans="1:34" x14ac:dyDescent="0.35">
      <c r="B29" s="5" t="s">
        <v>67</v>
      </c>
    </row>
    <row r="30" spans="1:34" x14ac:dyDescent="0.35">
      <c r="B30" s="1" t="s">
        <v>68</v>
      </c>
    </row>
    <row r="31" spans="1:34" x14ac:dyDescent="0.35">
      <c r="B31" s="7" t="s">
        <v>69</v>
      </c>
    </row>
    <row r="32" spans="1:34" x14ac:dyDescent="0.35">
      <c r="B32" s="3" t="s">
        <v>70</v>
      </c>
    </row>
    <row r="33" spans="2:2" x14ac:dyDescent="0.35">
      <c r="B33" s="5" t="s">
        <v>71</v>
      </c>
    </row>
    <row r="34" spans="2:2" x14ac:dyDescent="0.35">
      <c r="B34" s="3" t="s">
        <v>72</v>
      </c>
    </row>
    <row r="35" spans="2:2" x14ac:dyDescent="0.35">
      <c r="B35" s="4" t="s">
        <v>73</v>
      </c>
    </row>
    <row r="36" spans="2:2" x14ac:dyDescent="0.35">
      <c r="B36" s="25" t="s">
        <v>74</v>
      </c>
    </row>
    <row r="37" spans="2:2" x14ac:dyDescent="0.35">
      <c r="B37" s="4" t="s">
        <v>93</v>
      </c>
    </row>
    <row r="38" spans="2:2" x14ac:dyDescent="0.35">
      <c r="B38" s="28" t="s">
        <v>76</v>
      </c>
    </row>
    <row r="39" spans="2:2" x14ac:dyDescent="0.35">
      <c r="B39" s="17" t="s">
        <v>77</v>
      </c>
    </row>
  </sheetData>
  <mergeCells count="2">
    <mergeCell ref="B1:B3"/>
    <mergeCell ref="C1:AG1"/>
  </mergeCells>
  <conditionalFormatting sqref="C23:AG25">
    <cfRule type="cellIs" dxfId="7" priority="1" operator="equal">
      <formula>1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1F4E-A2A0-434F-A6D1-93213795F973}">
  <dimension ref="A1:AG37"/>
  <sheetViews>
    <sheetView workbookViewId="0">
      <selection activeCell="B4" sqref="B4:B8"/>
    </sheetView>
  </sheetViews>
  <sheetFormatPr baseColWidth="10" defaultColWidth="8.81640625" defaultRowHeight="14.5" x14ac:dyDescent="0.35"/>
  <cols>
    <col min="2" max="2" width="25.54296875" customWidth="1"/>
    <col min="3" max="32" width="4.7265625" customWidth="1"/>
    <col min="33" max="33" width="4" style="91" bestFit="1" customWidth="1"/>
  </cols>
  <sheetData>
    <row r="1" spans="1:33" ht="24" customHeight="1" x14ac:dyDescent="0.35">
      <c r="A1" s="6"/>
      <c r="B1" s="175"/>
      <c r="C1" s="190" t="s">
        <v>109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</row>
    <row r="2" spans="1:33" x14ac:dyDescent="0.35">
      <c r="A2" s="6"/>
      <c r="B2" s="175"/>
      <c r="C2" s="84" t="s">
        <v>7</v>
      </c>
      <c r="D2" s="84" t="s">
        <v>1</v>
      </c>
      <c r="E2" s="85" t="s">
        <v>2</v>
      </c>
      <c r="F2" s="85" t="s">
        <v>3</v>
      </c>
      <c r="G2" s="85" t="s">
        <v>4</v>
      </c>
      <c r="H2" s="83" t="s">
        <v>5</v>
      </c>
      <c r="I2" s="83" t="s">
        <v>6</v>
      </c>
      <c r="J2" s="84" t="s">
        <v>7</v>
      </c>
      <c r="K2" s="84" t="s">
        <v>1</v>
      </c>
      <c r="L2" s="85" t="s">
        <v>2</v>
      </c>
      <c r="M2" s="85" t="s">
        <v>3</v>
      </c>
      <c r="N2" s="85" t="s">
        <v>4</v>
      </c>
      <c r="O2" s="83" t="s">
        <v>5</v>
      </c>
      <c r="P2" s="83" t="s">
        <v>6</v>
      </c>
      <c r="Q2" s="84" t="s">
        <v>7</v>
      </c>
      <c r="R2" s="84" t="s">
        <v>1</v>
      </c>
      <c r="S2" s="85" t="s">
        <v>2</v>
      </c>
      <c r="T2" s="85" t="s">
        <v>3</v>
      </c>
      <c r="U2" s="85" t="s">
        <v>4</v>
      </c>
      <c r="V2" s="83" t="s">
        <v>5</v>
      </c>
      <c r="W2" s="83" t="s">
        <v>6</v>
      </c>
      <c r="X2" s="84" t="s">
        <v>7</v>
      </c>
      <c r="Y2" s="84" t="s">
        <v>1</v>
      </c>
      <c r="Z2" s="85" t="s">
        <v>2</v>
      </c>
      <c r="AA2" s="85" t="s">
        <v>3</v>
      </c>
      <c r="AB2" s="85" t="s">
        <v>4</v>
      </c>
      <c r="AC2" s="83" t="s">
        <v>5</v>
      </c>
      <c r="AD2" s="83" t="s">
        <v>6</v>
      </c>
      <c r="AE2" s="84" t="s">
        <v>7</v>
      </c>
      <c r="AF2" s="84" t="s">
        <v>1</v>
      </c>
      <c r="AG2"/>
    </row>
    <row r="3" spans="1:33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 x14ac:dyDescent="0.35">
      <c r="A4" s="63" t="s">
        <v>12</v>
      </c>
      <c r="B4" s="62" t="s">
        <v>104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15</v>
      </c>
      <c r="I4" s="5" t="s">
        <v>15</v>
      </c>
      <c r="J4" s="28" t="s">
        <v>7</v>
      </c>
      <c r="K4" s="28" t="s">
        <v>7</v>
      </c>
      <c r="L4" s="28" t="s">
        <v>7</v>
      </c>
      <c r="M4" s="28" t="s">
        <v>7</v>
      </c>
      <c r="N4" s="28" t="s">
        <v>7</v>
      </c>
      <c r="O4" s="28" t="s">
        <v>7</v>
      </c>
      <c r="P4" s="28" t="s">
        <v>7</v>
      </c>
      <c r="Q4" s="7" t="s">
        <v>20</v>
      </c>
      <c r="R4" s="7" t="s">
        <v>20</v>
      </c>
      <c r="S4" s="7" t="s">
        <v>20</v>
      </c>
      <c r="T4" s="7" t="s">
        <v>20</v>
      </c>
      <c r="U4" s="7" t="s">
        <v>20</v>
      </c>
      <c r="V4" s="28" t="s">
        <v>7</v>
      </c>
      <c r="W4" s="28" t="s">
        <v>7</v>
      </c>
      <c r="X4" s="1" t="s">
        <v>14</v>
      </c>
      <c r="Y4" s="1" t="s">
        <v>14</v>
      </c>
      <c r="Z4" s="1" t="s">
        <v>14</v>
      </c>
      <c r="AA4" s="1" t="s">
        <v>14</v>
      </c>
      <c r="AB4" s="1" t="s">
        <v>14</v>
      </c>
      <c r="AC4" s="5" t="s">
        <v>15</v>
      </c>
      <c r="AD4" s="5" t="s">
        <v>15</v>
      </c>
      <c r="AE4" s="28" t="s">
        <v>7</v>
      </c>
      <c r="AF4" s="28" t="s">
        <v>7</v>
      </c>
      <c r="AG4"/>
    </row>
    <row r="5" spans="1:33" x14ac:dyDescent="0.35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28" t="s">
        <v>7</v>
      </c>
      <c r="G5" s="28" t="s">
        <v>7</v>
      </c>
      <c r="H5" s="28" t="s">
        <v>7</v>
      </c>
      <c r="I5" s="28" t="s">
        <v>7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15</v>
      </c>
      <c r="P5" s="5" t="s">
        <v>15</v>
      </c>
      <c r="Q5" s="28" t="s">
        <v>7</v>
      </c>
      <c r="R5" s="28" t="s">
        <v>7</v>
      </c>
      <c r="S5" s="28" t="s">
        <v>7</v>
      </c>
      <c r="T5" s="28" t="s">
        <v>7</v>
      </c>
      <c r="U5" s="28" t="s">
        <v>7</v>
      </c>
      <c r="V5" s="28" t="s">
        <v>7</v>
      </c>
      <c r="W5" s="28" t="s">
        <v>7</v>
      </c>
      <c r="X5" s="7" t="s">
        <v>20</v>
      </c>
      <c r="Y5" s="7" t="s">
        <v>20</v>
      </c>
      <c r="Z5" s="7" t="s">
        <v>20</v>
      </c>
      <c r="AA5" s="7" t="s">
        <v>20</v>
      </c>
      <c r="AB5" s="7" t="s">
        <v>20</v>
      </c>
      <c r="AC5" s="28" t="s">
        <v>7</v>
      </c>
      <c r="AD5" s="28" t="s">
        <v>7</v>
      </c>
      <c r="AE5" s="1" t="s">
        <v>14</v>
      </c>
      <c r="AF5" s="1" t="s">
        <v>14</v>
      </c>
      <c r="AG5"/>
    </row>
    <row r="6" spans="1:33" x14ac:dyDescent="0.35">
      <c r="A6" s="34" t="s">
        <v>12</v>
      </c>
      <c r="B6" s="33" t="s">
        <v>21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5" t="s">
        <v>15</v>
      </c>
      <c r="I6" s="5" t="s">
        <v>15</v>
      </c>
      <c r="J6" s="28" t="s">
        <v>7</v>
      </c>
      <c r="K6" s="28" t="s">
        <v>7</v>
      </c>
      <c r="L6" s="28" t="s">
        <v>7</v>
      </c>
      <c r="M6" s="28" t="s">
        <v>7</v>
      </c>
      <c r="N6" s="28" t="s">
        <v>7</v>
      </c>
      <c r="O6" s="28" t="s">
        <v>7</v>
      </c>
      <c r="P6" s="28" t="s">
        <v>7</v>
      </c>
      <c r="Q6" s="5" t="s">
        <v>14</v>
      </c>
      <c r="R6" s="5" t="s">
        <v>14</v>
      </c>
      <c r="S6" s="5" t="s">
        <v>14</v>
      </c>
      <c r="T6" s="5" t="s">
        <v>14</v>
      </c>
      <c r="U6" s="5" t="s">
        <v>14</v>
      </c>
      <c r="V6" s="5" t="s">
        <v>15</v>
      </c>
      <c r="W6" s="5" t="s">
        <v>15</v>
      </c>
      <c r="X6" s="28" t="s">
        <v>7</v>
      </c>
      <c r="Y6" s="28" t="s">
        <v>7</v>
      </c>
      <c r="Z6" s="28" t="s">
        <v>7</v>
      </c>
      <c r="AA6" s="28" t="s">
        <v>7</v>
      </c>
      <c r="AB6" s="28" t="s">
        <v>7</v>
      </c>
      <c r="AC6" s="28" t="s">
        <v>7</v>
      </c>
      <c r="AD6" s="28" t="s">
        <v>7</v>
      </c>
      <c r="AE6" s="7" t="s">
        <v>20</v>
      </c>
      <c r="AF6" s="7" t="s">
        <v>20</v>
      </c>
      <c r="AG6"/>
    </row>
    <row r="7" spans="1:33" x14ac:dyDescent="0.35">
      <c r="A7" s="34" t="s">
        <v>12</v>
      </c>
      <c r="B7" s="33" t="s">
        <v>22</v>
      </c>
      <c r="C7" s="7" t="s">
        <v>20</v>
      </c>
      <c r="D7" s="7" t="s">
        <v>20</v>
      </c>
      <c r="E7" s="7" t="s">
        <v>20</v>
      </c>
      <c r="F7" s="7" t="s">
        <v>20</v>
      </c>
      <c r="G7" s="7" t="s">
        <v>20</v>
      </c>
      <c r="H7" s="28" t="s">
        <v>7</v>
      </c>
      <c r="I7" s="28" t="s">
        <v>7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  <c r="O7" s="5" t="s">
        <v>15</v>
      </c>
      <c r="P7" s="5" t="s">
        <v>15</v>
      </c>
      <c r="Q7" s="28" t="s">
        <v>7</v>
      </c>
      <c r="R7" s="28" t="s">
        <v>7</v>
      </c>
      <c r="S7" s="28" t="s">
        <v>7</v>
      </c>
      <c r="T7" s="28" t="s">
        <v>7</v>
      </c>
      <c r="U7" s="28" t="s">
        <v>7</v>
      </c>
      <c r="V7" s="28" t="s">
        <v>7</v>
      </c>
      <c r="W7" s="28" t="s">
        <v>7</v>
      </c>
      <c r="X7" s="5" t="s">
        <v>14</v>
      </c>
      <c r="Y7" s="5" t="s">
        <v>14</v>
      </c>
      <c r="Z7" s="5" t="s">
        <v>14</v>
      </c>
      <c r="AA7" s="5" t="s">
        <v>14</v>
      </c>
      <c r="AB7" s="5" t="s">
        <v>14</v>
      </c>
      <c r="AC7" s="5" t="s">
        <v>15</v>
      </c>
      <c r="AD7" s="5" t="s">
        <v>15</v>
      </c>
      <c r="AE7" s="28" t="s">
        <v>7</v>
      </c>
      <c r="AF7" s="28" t="s">
        <v>7</v>
      </c>
      <c r="AG7"/>
    </row>
    <row r="8" spans="1:33" x14ac:dyDescent="0.35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28" t="s">
        <v>7</v>
      </c>
      <c r="H8" s="28" t="s">
        <v>7</v>
      </c>
      <c r="I8" s="28" t="s">
        <v>7</v>
      </c>
      <c r="J8" s="7" t="s">
        <v>20</v>
      </c>
      <c r="K8" s="7" t="s">
        <v>20</v>
      </c>
      <c r="L8" s="7" t="s">
        <v>20</v>
      </c>
      <c r="M8" s="7" t="s">
        <v>20</v>
      </c>
      <c r="N8" s="7" t="s">
        <v>20</v>
      </c>
      <c r="O8" s="28" t="s">
        <v>7</v>
      </c>
      <c r="P8" s="28" t="s">
        <v>7</v>
      </c>
      <c r="Q8" s="1" t="s">
        <v>14</v>
      </c>
      <c r="R8" s="1" t="s">
        <v>14</v>
      </c>
      <c r="S8" s="1" t="s">
        <v>14</v>
      </c>
      <c r="T8" s="1" t="s">
        <v>14</v>
      </c>
      <c r="U8" s="1" t="s">
        <v>14</v>
      </c>
      <c r="V8" s="5" t="s">
        <v>15</v>
      </c>
      <c r="W8" s="5" t="s">
        <v>15</v>
      </c>
      <c r="X8" s="28" t="s">
        <v>7</v>
      </c>
      <c r="Y8" s="28" t="s">
        <v>7</v>
      </c>
      <c r="Z8" s="28" t="s">
        <v>7</v>
      </c>
      <c r="AA8" s="28" t="s">
        <v>7</v>
      </c>
      <c r="AB8" s="28" t="s">
        <v>7</v>
      </c>
      <c r="AC8" s="28" t="s">
        <v>7</v>
      </c>
      <c r="AD8" s="28" t="s">
        <v>7</v>
      </c>
      <c r="AE8" s="5" t="s">
        <v>14</v>
      </c>
      <c r="AF8" s="5" t="s">
        <v>14</v>
      </c>
      <c r="AG8"/>
    </row>
    <row r="9" spans="1:33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 x14ac:dyDescent="0.35">
      <c r="A10" s="34" t="s">
        <v>12</v>
      </c>
      <c r="B10" s="33" t="s">
        <v>105</v>
      </c>
      <c r="C10" s="130" t="s">
        <v>16</v>
      </c>
      <c r="D10" s="130" t="s">
        <v>16</v>
      </c>
      <c r="E10" s="130" t="s">
        <v>16</v>
      </c>
      <c r="F10" s="130" t="s">
        <v>16</v>
      </c>
      <c r="G10" s="130" t="s">
        <v>16</v>
      </c>
      <c r="H10" s="130" t="s">
        <v>17</v>
      </c>
      <c r="I10" s="130" t="s">
        <v>17</v>
      </c>
      <c r="J10" s="124" t="s">
        <v>7</v>
      </c>
      <c r="K10" s="124" t="s">
        <v>7</v>
      </c>
      <c r="L10" s="124" t="s">
        <v>7</v>
      </c>
      <c r="M10" s="124" t="s">
        <v>7</v>
      </c>
      <c r="N10" s="124" t="s">
        <v>7</v>
      </c>
      <c r="O10" s="124" t="s">
        <v>7</v>
      </c>
      <c r="P10" s="124" t="s">
        <v>7</v>
      </c>
      <c r="Q10" s="130" t="s">
        <v>16</v>
      </c>
      <c r="R10" s="130" t="s">
        <v>16</v>
      </c>
      <c r="S10" s="130" t="s">
        <v>16</v>
      </c>
      <c r="T10" s="130" t="s">
        <v>16</v>
      </c>
      <c r="U10" s="130" t="s">
        <v>16</v>
      </c>
      <c r="V10" s="130" t="s">
        <v>17</v>
      </c>
      <c r="W10" s="130" t="s">
        <v>17</v>
      </c>
      <c r="X10" s="124" t="s">
        <v>7</v>
      </c>
      <c r="Y10" s="124" t="s">
        <v>7</v>
      </c>
      <c r="Z10" s="124" t="s">
        <v>7</v>
      </c>
      <c r="AA10" s="124" t="s">
        <v>7</v>
      </c>
      <c r="AB10" s="124" t="s">
        <v>7</v>
      </c>
      <c r="AC10" s="124" t="s">
        <v>7</v>
      </c>
      <c r="AD10" s="124" t="s">
        <v>7</v>
      </c>
      <c r="AE10" s="125" t="s">
        <v>20</v>
      </c>
      <c r="AF10" s="125" t="s">
        <v>20</v>
      </c>
      <c r="AG10"/>
    </row>
    <row r="11" spans="1:33" x14ac:dyDescent="0.35">
      <c r="A11" s="34" t="s">
        <v>12</v>
      </c>
      <c r="B11" s="33" t="s">
        <v>53</v>
      </c>
      <c r="C11" s="125" t="s">
        <v>20</v>
      </c>
      <c r="D11" s="125" t="s">
        <v>20</v>
      </c>
      <c r="E11" s="125" t="s">
        <v>20</v>
      </c>
      <c r="F11" s="125" t="s">
        <v>20</v>
      </c>
      <c r="G11" s="125" t="s">
        <v>20</v>
      </c>
      <c r="H11" s="124" t="s">
        <v>7</v>
      </c>
      <c r="I11" s="124" t="s">
        <v>7</v>
      </c>
      <c r="J11" s="130" t="s">
        <v>16</v>
      </c>
      <c r="K11" s="130" t="s">
        <v>16</v>
      </c>
      <c r="L11" s="130" t="s">
        <v>16</v>
      </c>
      <c r="M11" s="130" t="s">
        <v>16</v>
      </c>
      <c r="N11" s="130" t="s">
        <v>16</v>
      </c>
      <c r="O11" s="130" t="s">
        <v>17</v>
      </c>
      <c r="P11" s="130" t="s">
        <v>17</v>
      </c>
      <c r="Q11" s="124" t="s">
        <v>7</v>
      </c>
      <c r="R11" s="124" t="s">
        <v>7</v>
      </c>
      <c r="S11" s="124" t="s">
        <v>7</v>
      </c>
      <c r="T11" s="124" t="s">
        <v>7</v>
      </c>
      <c r="U11" s="124" t="s">
        <v>7</v>
      </c>
      <c r="V11" s="124" t="s">
        <v>7</v>
      </c>
      <c r="W11" s="124" t="s">
        <v>7</v>
      </c>
      <c r="X11" s="130" t="s">
        <v>16</v>
      </c>
      <c r="Y11" s="130" t="s">
        <v>16</v>
      </c>
      <c r="Z11" s="130" t="s">
        <v>16</v>
      </c>
      <c r="AA11" s="130" t="s">
        <v>16</v>
      </c>
      <c r="AB11" s="130" t="s">
        <v>16</v>
      </c>
      <c r="AC11" s="130" t="s">
        <v>17</v>
      </c>
      <c r="AD11" s="130" t="s">
        <v>17</v>
      </c>
      <c r="AE11" s="124" t="s">
        <v>7</v>
      </c>
      <c r="AF11" s="124" t="s">
        <v>7</v>
      </c>
      <c r="AG11"/>
    </row>
    <row r="12" spans="1:33" x14ac:dyDescent="0.35">
      <c r="A12" s="34" t="s">
        <v>12</v>
      </c>
      <c r="B12" s="33" t="s">
        <v>24</v>
      </c>
      <c r="C12" s="124" t="s">
        <v>7</v>
      </c>
      <c r="D12" s="124" t="s">
        <v>7</v>
      </c>
      <c r="E12" s="124" t="s">
        <v>7</v>
      </c>
      <c r="F12" s="124" t="s">
        <v>7</v>
      </c>
      <c r="G12" s="124" t="s">
        <v>7</v>
      </c>
      <c r="H12" s="124" t="s">
        <v>7</v>
      </c>
      <c r="I12" s="124" t="s">
        <v>7</v>
      </c>
      <c r="J12" s="125" t="s">
        <v>20</v>
      </c>
      <c r="K12" s="125" t="s">
        <v>20</v>
      </c>
      <c r="L12" s="125" t="s">
        <v>20</v>
      </c>
      <c r="M12" s="125" t="s">
        <v>20</v>
      </c>
      <c r="N12" s="125" t="s">
        <v>20</v>
      </c>
      <c r="O12" s="124" t="s">
        <v>7</v>
      </c>
      <c r="P12" s="124" t="s">
        <v>7</v>
      </c>
      <c r="Q12" s="130" t="s">
        <v>16</v>
      </c>
      <c r="R12" s="130" t="s">
        <v>16</v>
      </c>
      <c r="S12" s="130" t="s">
        <v>16</v>
      </c>
      <c r="T12" s="130" t="s">
        <v>16</v>
      </c>
      <c r="U12" s="130" t="s">
        <v>16</v>
      </c>
      <c r="V12" s="130" t="s">
        <v>17</v>
      </c>
      <c r="W12" s="130" t="s">
        <v>17</v>
      </c>
      <c r="X12" s="124" t="s">
        <v>7</v>
      </c>
      <c r="Y12" s="124" t="s">
        <v>7</v>
      </c>
      <c r="Z12" s="124" t="s">
        <v>7</v>
      </c>
      <c r="AA12" s="124" t="s">
        <v>7</v>
      </c>
      <c r="AB12" s="124" t="s">
        <v>7</v>
      </c>
      <c r="AC12" s="124" t="s">
        <v>7</v>
      </c>
      <c r="AD12" s="124" t="s">
        <v>7</v>
      </c>
      <c r="AE12" s="130" t="s">
        <v>16</v>
      </c>
      <c r="AF12" s="130" t="s">
        <v>16</v>
      </c>
      <c r="AG12"/>
    </row>
    <row r="13" spans="1:33" x14ac:dyDescent="0.35">
      <c r="A13" s="34" t="s">
        <v>12</v>
      </c>
      <c r="B13" s="33" t="s">
        <v>84</v>
      </c>
      <c r="C13" s="130" t="s">
        <v>16</v>
      </c>
      <c r="D13" s="130" t="s">
        <v>16</v>
      </c>
      <c r="E13" s="130" t="s">
        <v>16</v>
      </c>
      <c r="F13" s="130" t="s">
        <v>16</v>
      </c>
      <c r="G13" s="130" t="s">
        <v>16</v>
      </c>
      <c r="H13" s="130" t="s">
        <v>17</v>
      </c>
      <c r="I13" s="130" t="s">
        <v>17</v>
      </c>
      <c r="J13" s="124" t="s">
        <v>7</v>
      </c>
      <c r="K13" s="124" t="s">
        <v>7</v>
      </c>
      <c r="L13" s="124" t="s">
        <v>7</v>
      </c>
      <c r="M13" s="124" t="s">
        <v>7</v>
      </c>
      <c r="N13" s="124" t="s">
        <v>7</v>
      </c>
      <c r="O13" s="124" t="s">
        <v>7</v>
      </c>
      <c r="P13" s="124" t="s">
        <v>7</v>
      </c>
      <c r="Q13" s="125" t="s">
        <v>20</v>
      </c>
      <c r="R13" s="125" t="s">
        <v>20</v>
      </c>
      <c r="S13" s="125" t="s">
        <v>20</v>
      </c>
      <c r="T13" s="125" t="s">
        <v>20</v>
      </c>
      <c r="U13" s="125" t="s">
        <v>20</v>
      </c>
      <c r="V13" s="124" t="s">
        <v>7</v>
      </c>
      <c r="W13" s="124" t="s">
        <v>7</v>
      </c>
      <c r="X13" s="130" t="s">
        <v>16</v>
      </c>
      <c r="Y13" s="130" t="s">
        <v>16</v>
      </c>
      <c r="Z13" s="130" t="s">
        <v>16</v>
      </c>
      <c r="AA13" s="130" t="s">
        <v>16</v>
      </c>
      <c r="AB13" s="130" t="s">
        <v>16</v>
      </c>
      <c r="AC13" s="130" t="s">
        <v>17</v>
      </c>
      <c r="AD13" s="130" t="s">
        <v>17</v>
      </c>
      <c r="AE13" s="124" t="s">
        <v>7</v>
      </c>
      <c r="AF13" s="124" t="s">
        <v>7</v>
      </c>
      <c r="AG13"/>
    </row>
    <row r="14" spans="1:33" x14ac:dyDescent="0.35">
      <c r="A14" s="34" t="s">
        <v>12</v>
      </c>
      <c r="B14" s="33" t="s">
        <v>106</v>
      </c>
      <c r="C14" s="124" t="s">
        <v>7</v>
      </c>
      <c r="D14" s="124" t="s">
        <v>7</v>
      </c>
      <c r="E14" s="124" t="s">
        <v>7</v>
      </c>
      <c r="F14" s="124" t="s">
        <v>7</v>
      </c>
      <c r="G14" s="124" t="s">
        <v>7</v>
      </c>
      <c r="H14" s="124" t="s">
        <v>7</v>
      </c>
      <c r="I14" s="124" t="s">
        <v>7</v>
      </c>
      <c r="J14" s="130" t="s">
        <v>16</v>
      </c>
      <c r="K14" s="130" t="s">
        <v>16</v>
      </c>
      <c r="L14" s="130" t="s">
        <v>16</v>
      </c>
      <c r="M14" s="130" t="s">
        <v>16</v>
      </c>
      <c r="N14" s="130" t="s">
        <v>16</v>
      </c>
      <c r="O14" s="130" t="s">
        <v>17</v>
      </c>
      <c r="P14" s="130" t="s">
        <v>17</v>
      </c>
      <c r="Q14" s="124" t="s">
        <v>7</v>
      </c>
      <c r="R14" s="124" t="s">
        <v>7</v>
      </c>
      <c r="S14" s="124" t="s">
        <v>7</v>
      </c>
      <c r="T14" s="124" t="s">
        <v>7</v>
      </c>
      <c r="U14" s="124" t="s">
        <v>7</v>
      </c>
      <c r="V14" s="124" t="s">
        <v>7</v>
      </c>
      <c r="W14" s="124" t="s">
        <v>7</v>
      </c>
      <c r="X14" s="125" t="s">
        <v>20</v>
      </c>
      <c r="Y14" s="125" t="s">
        <v>20</v>
      </c>
      <c r="Z14" s="125" t="s">
        <v>20</v>
      </c>
      <c r="AA14" s="125" t="s">
        <v>20</v>
      </c>
      <c r="AB14" s="125" t="s">
        <v>20</v>
      </c>
      <c r="AC14" s="124" t="s">
        <v>7</v>
      </c>
      <c r="AD14" s="124" t="s">
        <v>7</v>
      </c>
      <c r="AE14" s="130" t="s">
        <v>16</v>
      </c>
      <c r="AF14" s="130" t="s">
        <v>16</v>
      </c>
      <c r="AG14"/>
    </row>
    <row r="15" spans="1:33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 x14ac:dyDescent="0.35">
      <c r="A16" s="34" t="s">
        <v>28</v>
      </c>
      <c r="B16" s="33" t="s">
        <v>29</v>
      </c>
      <c r="C16" s="162" t="s">
        <v>11</v>
      </c>
      <c r="D16" s="162" t="s">
        <v>11</v>
      </c>
      <c r="E16" s="162" t="s">
        <v>11</v>
      </c>
      <c r="F16" s="162" t="s">
        <v>11</v>
      </c>
      <c r="G16" s="162" t="s">
        <v>11</v>
      </c>
      <c r="H16" s="28" t="s">
        <v>7</v>
      </c>
      <c r="I16" s="28" t="s">
        <v>7</v>
      </c>
      <c r="J16" s="145" t="s">
        <v>54</v>
      </c>
      <c r="K16" s="145" t="s">
        <v>54</v>
      </c>
      <c r="L16" s="145" t="s">
        <v>54</v>
      </c>
      <c r="M16" s="145" t="s">
        <v>54</v>
      </c>
      <c r="N16" s="145" t="s">
        <v>54</v>
      </c>
      <c r="O16" s="28" t="s">
        <v>7</v>
      </c>
      <c r="P16" s="28" t="s">
        <v>7</v>
      </c>
      <c r="Q16" s="145" t="s">
        <v>85</v>
      </c>
      <c r="R16" s="145" t="s">
        <v>85</v>
      </c>
      <c r="S16" s="145" t="s">
        <v>85</v>
      </c>
      <c r="T16" s="145" t="s">
        <v>85</v>
      </c>
      <c r="U16" s="145" t="s">
        <v>85</v>
      </c>
      <c r="V16" s="28" t="s">
        <v>30</v>
      </c>
      <c r="W16" s="28" t="s">
        <v>30</v>
      </c>
      <c r="X16" s="162" t="s">
        <v>11</v>
      </c>
      <c r="Y16" s="162" t="s">
        <v>11</v>
      </c>
      <c r="Z16" s="162" t="s">
        <v>11</v>
      </c>
      <c r="AA16" s="162" t="s">
        <v>11</v>
      </c>
      <c r="AB16" s="162" t="s">
        <v>11</v>
      </c>
      <c r="AC16" s="28" t="s">
        <v>7</v>
      </c>
      <c r="AD16" s="28" t="s">
        <v>7</v>
      </c>
      <c r="AE16" s="145" t="s">
        <v>54</v>
      </c>
      <c r="AF16" s="145" t="s">
        <v>54</v>
      </c>
      <c r="AG16"/>
    </row>
    <row r="17" spans="1:33" x14ac:dyDescent="0.35">
      <c r="A17" s="34" t="s">
        <v>28</v>
      </c>
      <c r="B17" s="35" t="s">
        <v>60</v>
      </c>
      <c r="C17" s="145" t="s">
        <v>85</v>
      </c>
      <c r="D17" s="145" t="s">
        <v>85</v>
      </c>
      <c r="E17" s="145" t="s">
        <v>85</v>
      </c>
      <c r="F17" s="145" t="s">
        <v>85</v>
      </c>
      <c r="G17" s="145" t="s">
        <v>85</v>
      </c>
      <c r="H17" s="28" t="s">
        <v>30</v>
      </c>
      <c r="I17" s="28" t="s">
        <v>30</v>
      </c>
      <c r="J17" s="162" t="s">
        <v>11</v>
      </c>
      <c r="K17" s="162" t="s">
        <v>11</v>
      </c>
      <c r="L17" s="162" t="s">
        <v>11</v>
      </c>
      <c r="M17" s="162" t="s">
        <v>11</v>
      </c>
      <c r="N17" s="162" t="s">
        <v>11</v>
      </c>
      <c r="O17" s="28" t="s">
        <v>7</v>
      </c>
      <c r="P17" s="28" t="s">
        <v>7</v>
      </c>
      <c r="Q17" s="145" t="s">
        <v>54</v>
      </c>
      <c r="R17" s="145" t="s">
        <v>54</v>
      </c>
      <c r="S17" s="145" t="s">
        <v>54</v>
      </c>
      <c r="T17" s="145" t="s">
        <v>54</v>
      </c>
      <c r="U17" s="145" t="s">
        <v>54</v>
      </c>
      <c r="V17" s="28" t="s">
        <v>7</v>
      </c>
      <c r="W17" s="28" t="s">
        <v>7</v>
      </c>
      <c r="X17" s="145" t="s">
        <v>85</v>
      </c>
      <c r="Y17" s="145" t="s">
        <v>85</v>
      </c>
      <c r="Z17" s="145" t="s">
        <v>85</v>
      </c>
      <c r="AA17" s="145" t="s">
        <v>85</v>
      </c>
      <c r="AB17" s="145" t="s">
        <v>85</v>
      </c>
      <c r="AC17" s="28" t="s">
        <v>30</v>
      </c>
      <c r="AD17" s="28" t="s">
        <v>30</v>
      </c>
      <c r="AE17" s="162" t="s">
        <v>11</v>
      </c>
      <c r="AF17" s="162" t="s">
        <v>11</v>
      </c>
      <c r="AG17"/>
    </row>
    <row r="18" spans="1:33" x14ac:dyDescent="0.35">
      <c r="A18" s="34" t="s">
        <v>28</v>
      </c>
      <c r="B18" s="62" t="s">
        <v>13</v>
      </c>
      <c r="C18" s="145" t="s">
        <v>54</v>
      </c>
      <c r="D18" s="145" t="s">
        <v>54</v>
      </c>
      <c r="E18" s="145" t="s">
        <v>54</v>
      </c>
      <c r="F18" s="145" t="s">
        <v>54</v>
      </c>
      <c r="G18" s="145" t="s">
        <v>54</v>
      </c>
      <c r="H18" s="28" t="s">
        <v>7</v>
      </c>
      <c r="I18" s="28" t="s">
        <v>7</v>
      </c>
      <c r="J18" s="145" t="s">
        <v>85</v>
      </c>
      <c r="K18" s="145" t="s">
        <v>85</v>
      </c>
      <c r="L18" s="145" t="s">
        <v>85</v>
      </c>
      <c r="M18" s="145" t="s">
        <v>85</v>
      </c>
      <c r="N18" s="145" t="s">
        <v>85</v>
      </c>
      <c r="O18" s="28" t="s">
        <v>30</v>
      </c>
      <c r="P18" s="28" t="s">
        <v>30</v>
      </c>
      <c r="Q18" s="162" t="s">
        <v>11</v>
      </c>
      <c r="R18" s="162" t="s">
        <v>11</v>
      </c>
      <c r="S18" s="162" t="s">
        <v>11</v>
      </c>
      <c r="T18" s="162" t="s">
        <v>11</v>
      </c>
      <c r="U18" s="17" t="s">
        <v>4</v>
      </c>
      <c r="V18" s="28" t="s">
        <v>7</v>
      </c>
      <c r="W18" s="28" t="s">
        <v>7</v>
      </c>
      <c r="X18" s="145" t="s">
        <v>54</v>
      </c>
      <c r="Y18" s="145" t="s">
        <v>54</v>
      </c>
      <c r="Z18" s="145" t="s">
        <v>54</v>
      </c>
      <c r="AA18" s="145" t="s">
        <v>54</v>
      </c>
      <c r="AB18" s="145" t="s">
        <v>54</v>
      </c>
      <c r="AC18" s="28" t="s">
        <v>7</v>
      </c>
      <c r="AD18" s="28" t="s">
        <v>7</v>
      </c>
      <c r="AE18" s="145" t="s">
        <v>85</v>
      </c>
      <c r="AF18" s="145" t="s">
        <v>85</v>
      </c>
      <c r="AG18"/>
    </row>
    <row r="19" spans="1:33" x14ac:dyDescent="0.35">
      <c r="H19" t="s">
        <v>110</v>
      </c>
      <c r="AG19"/>
    </row>
    <row r="20" spans="1:33" x14ac:dyDescent="0.35">
      <c r="B20" s="111" t="s">
        <v>89</v>
      </c>
      <c r="C20" s="110">
        <f t="shared" ref="C20:AF20" si="0">SUM(C21:C23)</f>
        <v>7</v>
      </c>
      <c r="D20" s="110">
        <f t="shared" si="0"/>
        <v>7</v>
      </c>
      <c r="E20" s="110">
        <f t="shared" si="0"/>
        <v>5</v>
      </c>
      <c r="F20" s="110">
        <f t="shared" si="0"/>
        <v>7</v>
      </c>
      <c r="G20" s="110">
        <f t="shared" si="0"/>
        <v>7</v>
      </c>
      <c r="H20" s="110">
        <f t="shared" si="0"/>
        <v>4</v>
      </c>
      <c r="I20" s="110">
        <f t="shared" si="0"/>
        <v>4</v>
      </c>
      <c r="J20" s="110">
        <f t="shared" si="0"/>
        <v>7</v>
      </c>
      <c r="K20" s="110">
        <f t="shared" si="0"/>
        <v>7</v>
      </c>
      <c r="L20" s="110">
        <f t="shared" si="0"/>
        <v>7</v>
      </c>
      <c r="M20" s="110">
        <f t="shared" si="0"/>
        <v>7</v>
      </c>
      <c r="N20" s="110">
        <f t="shared" si="0"/>
        <v>7</v>
      </c>
      <c r="O20" s="110">
        <f t="shared" si="0"/>
        <v>4</v>
      </c>
      <c r="P20" s="110">
        <f t="shared" si="0"/>
        <v>4</v>
      </c>
      <c r="Q20" s="110">
        <f t="shared" si="0"/>
        <v>7</v>
      </c>
      <c r="R20" s="110">
        <f t="shared" si="0"/>
        <v>7</v>
      </c>
      <c r="S20" s="110">
        <f t="shared" si="0"/>
        <v>7</v>
      </c>
      <c r="T20" s="110">
        <f t="shared" si="0"/>
        <v>7</v>
      </c>
      <c r="U20" s="110">
        <f t="shared" si="0"/>
        <v>6</v>
      </c>
      <c r="V20" s="110">
        <f t="shared" si="0"/>
        <v>4</v>
      </c>
      <c r="W20" s="110">
        <f t="shared" si="0"/>
        <v>4</v>
      </c>
      <c r="X20" s="110">
        <f t="shared" si="0"/>
        <v>7</v>
      </c>
      <c r="Y20" s="110">
        <f t="shared" si="0"/>
        <v>7</v>
      </c>
      <c r="Z20" s="110">
        <f t="shared" si="0"/>
        <v>7</v>
      </c>
      <c r="AA20" s="110">
        <f t="shared" si="0"/>
        <v>7</v>
      </c>
      <c r="AB20" s="110">
        <f t="shared" si="0"/>
        <v>7</v>
      </c>
      <c r="AC20" s="110">
        <f t="shared" si="0"/>
        <v>4</v>
      </c>
      <c r="AD20" s="110">
        <f t="shared" si="0"/>
        <v>4</v>
      </c>
      <c r="AE20" s="110">
        <f t="shared" si="0"/>
        <v>7</v>
      </c>
      <c r="AF20" s="110">
        <f t="shared" si="0"/>
        <v>7</v>
      </c>
    </row>
    <row r="21" spans="1:33" x14ac:dyDescent="0.35">
      <c r="B21" s="111" t="s">
        <v>90</v>
      </c>
      <c r="C21" s="112">
        <f t="shared" ref="C21:AF21" si="1">COUNTIF(C4:C18,"T")</f>
        <v>2</v>
      </c>
      <c r="D21" s="112">
        <f t="shared" si="1"/>
        <v>2</v>
      </c>
      <c r="E21" s="112">
        <f t="shared" si="1"/>
        <v>2</v>
      </c>
      <c r="F21" s="112">
        <f t="shared" si="1"/>
        <v>2</v>
      </c>
      <c r="G21" s="112">
        <f t="shared" si="1"/>
        <v>2</v>
      </c>
      <c r="H21" s="112">
        <f t="shared" si="1"/>
        <v>0</v>
      </c>
      <c r="I21" s="112">
        <f t="shared" si="1"/>
        <v>0</v>
      </c>
      <c r="J21" s="112">
        <f t="shared" si="1"/>
        <v>2</v>
      </c>
      <c r="K21" s="112">
        <f t="shared" si="1"/>
        <v>2</v>
      </c>
      <c r="L21" s="112">
        <f t="shared" si="1"/>
        <v>2</v>
      </c>
      <c r="M21" s="112">
        <f t="shared" si="1"/>
        <v>2</v>
      </c>
      <c r="N21" s="112">
        <f t="shared" si="1"/>
        <v>2</v>
      </c>
      <c r="O21" s="112">
        <f t="shared" si="1"/>
        <v>0</v>
      </c>
      <c r="P21" s="112">
        <f t="shared" si="1"/>
        <v>0</v>
      </c>
      <c r="Q21" s="112">
        <f t="shared" si="1"/>
        <v>2</v>
      </c>
      <c r="R21" s="112">
        <f t="shared" si="1"/>
        <v>2</v>
      </c>
      <c r="S21" s="112">
        <f t="shared" si="1"/>
        <v>2</v>
      </c>
      <c r="T21" s="112">
        <f t="shared" si="1"/>
        <v>2</v>
      </c>
      <c r="U21" s="112">
        <f t="shared" si="1"/>
        <v>2</v>
      </c>
      <c r="V21" s="112">
        <f t="shared" si="1"/>
        <v>0</v>
      </c>
      <c r="W21" s="112">
        <f t="shared" si="1"/>
        <v>0</v>
      </c>
      <c r="X21" s="112">
        <f t="shared" si="1"/>
        <v>2</v>
      </c>
      <c r="Y21" s="112">
        <f t="shared" si="1"/>
        <v>2</v>
      </c>
      <c r="Z21" s="112">
        <f t="shared" si="1"/>
        <v>2</v>
      </c>
      <c r="AA21" s="112">
        <f t="shared" si="1"/>
        <v>2</v>
      </c>
      <c r="AB21" s="112">
        <f t="shared" si="1"/>
        <v>2</v>
      </c>
      <c r="AC21" s="112">
        <f t="shared" si="1"/>
        <v>0</v>
      </c>
      <c r="AD21" s="112">
        <f t="shared" si="1"/>
        <v>0</v>
      </c>
      <c r="AE21" s="112">
        <f t="shared" si="1"/>
        <v>2</v>
      </c>
      <c r="AF21" s="112">
        <f t="shared" si="1"/>
        <v>2</v>
      </c>
    </row>
    <row r="22" spans="1:33" x14ac:dyDescent="0.35">
      <c r="B22" s="111" t="s">
        <v>91</v>
      </c>
      <c r="C22" s="112">
        <f t="shared" ref="C22:AF22" si="2">COUNTIF(C4:C18,"N")+COUNTIF(C4:C18,"NF")</f>
        <v>2</v>
      </c>
      <c r="D22" s="112">
        <f t="shared" si="2"/>
        <v>2</v>
      </c>
      <c r="E22" s="112">
        <f t="shared" si="2"/>
        <v>2</v>
      </c>
      <c r="F22" s="112">
        <f t="shared" si="2"/>
        <v>2</v>
      </c>
      <c r="G22" s="112">
        <f t="shared" si="2"/>
        <v>2</v>
      </c>
      <c r="H22" s="112">
        <f t="shared" si="2"/>
        <v>2</v>
      </c>
      <c r="I22" s="112">
        <f t="shared" si="2"/>
        <v>2</v>
      </c>
      <c r="J22" s="112">
        <f t="shared" si="2"/>
        <v>2</v>
      </c>
      <c r="K22" s="112">
        <f t="shared" si="2"/>
        <v>2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2</v>
      </c>
      <c r="P22" s="112">
        <f t="shared" si="2"/>
        <v>2</v>
      </c>
      <c r="Q22" s="112">
        <f t="shared" si="2"/>
        <v>2</v>
      </c>
      <c r="R22" s="112">
        <f t="shared" si="2"/>
        <v>2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2</v>
      </c>
      <c r="W22" s="112">
        <f t="shared" si="2"/>
        <v>2</v>
      </c>
      <c r="X22" s="112">
        <f t="shared" si="2"/>
        <v>2</v>
      </c>
      <c r="Y22" s="112">
        <f t="shared" si="2"/>
        <v>2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2</v>
      </c>
      <c r="AD22" s="112">
        <f t="shared" si="2"/>
        <v>2</v>
      </c>
      <c r="AE22" s="112">
        <f t="shared" si="2"/>
        <v>2</v>
      </c>
      <c r="AF22" s="112">
        <f t="shared" si="2"/>
        <v>2</v>
      </c>
    </row>
    <row r="23" spans="1:33" x14ac:dyDescent="0.35">
      <c r="B23" s="111" t="s">
        <v>92</v>
      </c>
      <c r="C23" s="112">
        <f>COUNTIF(C4:C18,"M/F")+COUNTIF(C4:C18,"M1")+COUNTIF(C4:C18,"M3")+COUNTIF(C4:C18,"M3/G")+COUNTIF(C4:C18,"M2")</f>
        <v>3</v>
      </c>
      <c r="D23" s="112">
        <f>COUNTIF(D4:D18,"M/F")+COUNTIF(D4:D18,"M1")+COUNTIF(D4:D18,"M3")+COUNTIF(D4:D18,"M3/G")+COUNTIF(D4:D18,"M2")</f>
        <v>3</v>
      </c>
      <c r="E23" s="112">
        <f>COUNTIF(E4:E18,"M1")+COUNTIF(E4:E18,"NF")</f>
        <v>1</v>
      </c>
      <c r="F23" s="112">
        <f t="shared" ref="F23:AF23" si="3">COUNTIF(F4:F18,"M/F")+COUNTIF(F4:F18,"M1")+COUNTIF(F4:F18,"M3")+COUNTIF(F4:F18,"M3/G")+COUNTIF(F4:F18,"M2")</f>
        <v>3</v>
      </c>
      <c r="G23" s="112">
        <f t="shared" si="3"/>
        <v>3</v>
      </c>
      <c r="H23" s="112">
        <f t="shared" si="3"/>
        <v>2</v>
      </c>
      <c r="I23" s="112">
        <f t="shared" si="3"/>
        <v>2</v>
      </c>
      <c r="J23" s="112">
        <f t="shared" si="3"/>
        <v>3</v>
      </c>
      <c r="K23" s="112">
        <f t="shared" si="3"/>
        <v>3</v>
      </c>
      <c r="L23" s="112">
        <f t="shared" si="3"/>
        <v>3</v>
      </c>
      <c r="M23" s="112">
        <f t="shared" si="3"/>
        <v>3</v>
      </c>
      <c r="N23" s="112">
        <f t="shared" si="3"/>
        <v>3</v>
      </c>
      <c r="O23" s="112">
        <f t="shared" si="3"/>
        <v>2</v>
      </c>
      <c r="P23" s="112">
        <f t="shared" si="3"/>
        <v>2</v>
      </c>
      <c r="Q23" s="112">
        <f t="shared" si="3"/>
        <v>3</v>
      </c>
      <c r="R23" s="112">
        <f t="shared" si="3"/>
        <v>3</v>
      </c>
      <c r="S23" s="112">
        <f t="shared" si="3"/>
        <v>3</v>
      </c>
      <c r="T23" s="112">
        <f t="shared" si="3"/>
        <v>3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3</v>
      </c>
      <c r="Y23" s="112">
        <f t="shared" si="3"/>
        <v>3</v>
      </c>
      <c r="Z23" s="112">
        <f t="shared" si="3"/>
        <v>3</v>
      </c>
      <c r="AA23" s="112">
        <f t="shared" si="3"/>
        <v>3</v>
      </c>
      <c r="AB23" s="112">
        <f t="shared" si="3"/>
        <v>3</v>
      </c>
      <c r="AC23" s="112">
        <f t="shared" si="3"/>
        <v>2</v>
      </c>
      <c r="AD23" s="112">
        <f t="shared" si="3"/>
        <v>2</v>
      </c>
      <c r="AE23" s="112">
        <f t="shared" si="3"/>
        <v>3</v>
      </c>
      <c r="AF23" s="112">
        <f t="shared" si="3"/>
        <v>3</v>
      </c>
    </row>
    <row r="25" spans="1:33" x14ac:dyDescent="0.35">
      <c r="B25" t="s">
        <v>65</v>
      </c>
    </row>
    <row r="26" spans="1:33" x14ac:dyDescent="0.35">
      <c r="B26" s="5" t="s">
        <v>66</v>
      </c>
    </row>
    <row r="27" spans="1:33" x14ac:dyDescent="0.35">
      <c r="B27" s="5" t="s">
        <v>67</v>
      </c>
    </row>
    <row r="28" spans="1:33" x14ac:dyDescent="0.35">
      <c r="B28" s="1" t="s">
        <v>68</v>
      </c>
    </row>
    <row r="29" spans="1:33" x14ac:dyDescent="0.35">
      <c r="B29" s="7" t="s">
        <v>69</v>
      </c>
    </row>
    <row r="30" spans="1:33" x14ac:dyDescent="0.35">
      <c r="B30" s="3" t="s">
        <v>70</v>
      </c>
    </row>
    <row r="31" spans="1:33" x14ac:dyDescent="0.35">
      <c r="B31" s="5" t="s">
        <v>71</v>
      </c>
    </row>
    <row r="32" spans="1:33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F1"/>
  </mergeCells>
  <conditionalFormatting sqref="C21:AF23">
    <cfRule type="cellIs" dxfId="6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91D8-E4BE-4614-B869-E61E9C05A4AC}">
  <dimension ref="A1:AJ37"/>
  <sheetViews>
    <sheetView workbookViewId="0">
      <selection activeCell="B4" sqref="B4:B8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6" ht="24" customHeight="1" x14ac:dyDescent="0.35">
      <c r="A1" s="6"/>
      <c r="B1" s="175"/>
      <c r="C1" s="190" t="s">
        <v>111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</row>
    <row r="2" spans="1:36" x14ac:dyDescent="0.35">
      <c r="A2" s="6"/>
      <c r="B2" s="175"/>
      <c r="C2" s="85" t="s">
        <v>2</v>
      </c>
      <c r="D2" s="85" t="s">
        <v>3</v>
      </c>
      <c r="E2" s="85" t="s">
        <v>4</v>
      </c>
      <c r="F2" s="83" t="s">
        <v>5</v>
      </c>
      <c r="G2" s="83" t="s">
        <v>6</v>
      </c>
      <c r="H2" s="84" t="s">
        <v>7</v>
      </c>
      <c r="I2" s="84" t="s">
        <v>1</v>
      </c>
      <c r="J2" s="85" t="s">
        <v>2</v>
      </c>
      <c r="K2" s="85" t="s">
        <v>3</v>
      </c>
      <c r="L2" s="85" t="s">
        <v>4</v>
      </c>
      <c r="M2" s="83" t="s">
        <v>5</v>
      </c>
      <c r="N2" s="83" t="s">
        <v>6</v>
      </c>
      <c r="O2" s="84" t="s">
        <v>7</v>
      </c>
      <c r="P2" s="84" t="s">
        <v>1</v>
      </c>
      <c r="Q2" s="85" t="s">
        <v>2</v>
      </c>
      <c r="R2" s="85" t="s">
        <v>3</v>
      </c>
      <c r="S2" s="85" t="s">
        <v>4</v>
      </c>
      <c r="T2" s="83" t="s">
        <v>5</v>
      </c>
      <c r="U2" s="83" t="s">
        <v>6</v>
      </c>
      <c r="V2" s="84" t="s">
        <v>7</v>
      </c>
      <c r="W2" s="84" t="s">
        <v>1</v>
      </c>
      <c r="X2" s="85" t="s">
        <v>2</v>
      </c>
      <c r="Y2" s="85" t="s">
        <v>3</v>
      </c>
      <c r="Z2" s="85" t="s">
        <v>4</v>
      </c>
      <c r="AA2" s="83" t="s">
        <v>5</v>
      </c>
      <c r="AB2" s="83" t="s">
        <v>6</v>
      </c>
      <c r="AC2" s="84" t="s">
        <v>7</v>
      </c>
      <c r="AD2" s="84" t="s">
        <v>1</v>
      </c>
      <c r="AE2" s="85" t="s">
        <v>2</v>
      </c>
      <c r="AF2" s="85" t="s">
        <v>3</v>
      </c>
      <c r="AG2" s="85" t="s">
        <v>4</v>
      </c>
      <c r="AH2"/>
    </row>
    <row r="3" spans="1:36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6" x14ac:dyDescent="0.35">
      <c r="A4" s="63" t="s">
        <v>12</v>
      </c>
      <c r="B4" s="62" t="s">
        <v>104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15</v>
      </c>
      <c r="N4" s="5" t="s">
        <v>15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28" t="s">
        <v>7</v>
      </c>
      <c r="U4" s="28" t="s">
        <v>7</v>
      </c>
      <c r="V4" s="7" t="s">
        <v>20</v>
      </c>
      <c r="W4" s="7" t="s">
        <v>20</v>
      </c>
      <c r="X4" s="7" t="s">
        <v>20</v>
      </c>
      <c r="Y4" s="7" t="s">
        <v>20</v>
      </c>
      <c r="Z4" s="7" t="s">
        <v>20</v>
      </c>
      <c r="AA4" s="28" t="s">
        <v>7</v>
      </c>
      <c r="AB4" s="28" t="s">
        <v>7</v>
      </c>
      <c r="AC4" s="1" t="s">
        <v>14</v>
      </c>
      <c r="AD4" s="1" t="s">
        <v>14</v>
      </c>
      <c r="AE4" s="1" t="s">
        <v>14</v>
      </c>
      <c r="AF4" s="1" t="s">
        <v>14</v>
      </c>
      <c r="AG4" s="1" t="s">
        <v>14</v>
      </c>
      <c r="AH4"/>
    </row>
    <row r="5" spans="1:36" x14ac:dyDescent="0.35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5" t="s">
        <v>15</v>
      </c>
      <c r="G5" s="5" t="s">
        <v>15</v>
      </c>
      <c r="H5" s="28" t="s">
        <v>7</v>
      </c>
      <c r="I5" s="28" t="s">
        <v>7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5" t="s">
        <v>14</v>
      </c>
      <c r="P5" s="5" t="s">
        <v>14</v>
      </c>
      <c r="Q5" s="5" t="s">
        <v>14</v>
      </c>
      <c r="R5" s="5" t="s">
        <v>14</v>
      </c>
      <c r="S5" s="5" t="s">
        <v>14</v>
      </c>
      <c r="T5" s="5" t="s">
        <v>15</v>
      </c>
      <c r="U5" s="5" t="s">
        <v>15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28" t="s">
        <v>7</v>
      </c>
      <c r="AB5" s="28" t="s">
        <v>7</v>
      </c>
      <c r="AC5" s="7" t="s">
        <v>20</v>
      </c>
      <c r="AD5" s="7" t="s">
        <v>20</v>
      </c>
      <c r="AE5" s="7" t="s">
        <v>20</v>
      </c>
      <c r="AF5" s="7" t="s">
        <v>20</v>
      </c>
      <c r="AG5" s="7" t="s">
        <v>20</v>
      </c>
      <c r="AH5"/>
    </row>
    <row r="6" spans="1:36" x14ac:dyDescent="0.35">
      <c r="A6" s="34" t="s">
        <v>12</v>
      </c>
      <c r="B6" s="33" t="s">
        <v>21</v>
      </c>
      <c r="C6" s="7" t="s">
        <v>20</v>
      </c>
      <c r="D6" s="7" t="s">
        <v>20</v>
      </c>
      <c r="E6" s="7" t="s">
        <v>20</v>
      </c>
      <c r="F6" s="28" t="s">
        <v>7</v>
      </c>
      <c r="G6" s="28" t="s">
        <v>7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  <c r="M6" s="5" t="s">
        <v>15</v>
      </c>
      <c r="N6" s="5" t="s">
        <v>15</v>
      </c>
      <c r="O6" s="28" t="s">
        <v>7</v>
      </c>
      <c r="P6" s="28" t="s">
        <v>7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5" t="s">
        <v>14</v>
      </c>
      <c r="W6" s="5" t="s">
        <v>14</v>
      </c>
      <c r="X6" s="5" t="s">
        <v>14</v>
      </c>
      <c r="Y6" s="5" t="s">
        <v>14</v>
      </c>
      <c r="Z6" s="5" t="s">
        <v>14</v>
      </c>
      <c r="AA6" s="5" t="s">
        <v>15</v>
      </c>
      <c r="AB6" s="5" t="s">
        <v>15</v>
      </c>
      <c r="AC6" s="28" t="s">
        <v>7</v>
      </c>
      <c r="AD6" s="28" t="s">
        <v>7</v>
      </c>
      <c r="AE6" s="28" t="s">
        <v>7</v>
      </c>
      <c r="AF6" s="28" t="s">
        <v>7</v>
      </c>
      <c r="AG6" s="28" t="s">
        <v>7</v>
      </c>
      <c r="AH6"/>
    </row>
    <row r="7" spans="1:36" x14ac:dyDescent="0.35">
      <c r="A7" s="34" t="s">
        <v>12</v>
      </c>
      <c r="B7" s="33" t="s">
        <v>22</v>
      </c>
      <c r="C7" s="28" t="s">
        <v>7</v>
      </c>
      <c r="D7" s="28" t="s">
        <v>7</v>
      </c>
      <c r="E7" s="28" t="s">
        <v>7</v>
      </c>
      <c r="F7" s="28" t="s">
        <v>7</v>
      </c>
      <c r="G7" s="28" t="s">
        <v>7</v>
      </c>
      <c r="H7" s="7" t="s">
        <v>20</v>
      </c>
      <c r="I7" s="7" t="s">
        <v>20</v>
      </c>
      <c r="J7" s="7" t="s">
        <v>20</v>
      </c>
      <c r="K7" s="7" t="s">
        <v>20</v>
      </c>
      <c r="L7" s="7" t="s">
        <v>20</v>
      </c>
      <c r="M7" s="28" t="s">
        <v>7</v>
      </c>
      <c r="N7" s="28" t="s">
        <v>7</v>
      </c>
      <c r="O7" s="1" t="s">
        <v>14</v>
      </c>
      <c r="P7" s="1" t="s">
        <v>14</v>
      </c>
      <c r="Q7" s="1" t="s">
        <v>14</v>
      </c>
      <c r="R7" s="1" t="s">
        <v>14</v>
      </c>
      <c r="S7" s="1" t="s">
        <v>14</v>
      </c>
      <c r="T7" s="5" t="s">
        <v>15</v>
      </c>
      <c r="U7" s="5" t="s">
        <v>15</v>
      </c>
      <c r="V7" s="28" t="s">
        <v>7</v>
      </c>
      <c r="W7" s="28" t="s">
        <v>7</v>
      </c>
      <c r="X7" s="28" t="s">
        <v>7</v>
      </c>
      <c r="Y7" s="28" t="s">
        <v>7</v>
      </c>
      <c r="Z7" s="28" t="s">
        <v>7</v>
      </c>
      <c r="AA7" s="28" t="s">
        <v>7</v>
      </c>
      <c r="AB7" s="28" t="s">
        <v>7</v>
      </c>
      <c r="AC7" s="5" t="s">
        <v>14</v>
      </c>
      <c r="AD7" s="5" t="s">
        <v>14</v>
      </c>
      <c r="AE7" s="5" t="s">
        <v>14</v>
      </c>
      <c r="AF7" s="5" t="s">
        <v>14</v>
      </c>
      <c r="AG7" s="5" t="s">
        <v>14</v>
      </c>
      <c r="AH7"/>
    </row>
    <row r="8" spans="1:36" x14ac:dyDescent="0.35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5" t="s">
        <v>15</v>
      </c>
      <c r="G8" s="5" t="s">
        <v>15</v>
      </c>
      <c r="H8" s="28" t="s">
        <v>7</v>
      </c>
      <c r="I8" s="28" t="s">
        <v>7</v>
      </c>
      <c r="J8" s="28" t="s">
        <v>7</v>
      </c>
      <c r="K8" s="28" t="s">
        <v>7</v>
      </c>
      <c r="L8" s="28" t="s">
        <v>7</v>
      </c>
      <c r="M8" s="28" t="s">
        <v>7</v>
      </c>
      <c r="N8" s="28" t="s">
        <v>7</v>
      </c>
      <c r="O8" s="7" t="s">
        <v>20</v>
      </c>
      <c r="P8" s="7" t="s">
        <v>20</v>
      </c>
      <c r="Q8" s="7" t="s">
        <v>20</v>
      </c>
      <c r="R8" s="7" t="s">
        <v>20</v>
      </c>
      <c r="S8" s="7" t="s">
        <v>20</v>
      </c>
      <c r="T8" s="28" t="s">
        <v>7</v>
      </c>
      <c r="U8" s="28" t="s">
        <v>7</v>
      </c>
      <c r="V8" s="1" t="s">
        <v>14</v>
      </c>
      <c r="W8" s="1" t="s">
        <v>14</v>
      </c>
      <c r="X8" s="1" t="s">
        <v>14</v>
      </c>
      <c r="Y8" s="1" t="s">
        <v>14</v>
      </c>
      <c r="Z8" s="1" t="s">
        <v>14</v>
      </c>
      <c r="AA8" s="5" t="s">
        <v>15</v>
      </c>
      <c r="AB8" s="5" t="s">
        <v>15</v>
      </c>
      <c r="AC8" s="28" t="s">
        <v>7</v>
      </c>
      <c r="AD8" s="28" t="s">
        <v>7</v>
      </c>
      <c r="AE8" s="28" t="s">
        <v>7</v>
      </c>
      <c r="AF8" s="28" t="s">
        <v>7</v>
      </c>
      <c r="AG8" s="28" t="s">
        <v>7</v>
      </c>
      <c r="AH8"/>
    </row>
    <row r="9" spans="1:36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6" x14ac:dyDescent="0.35">
      <c r="A10" s="34" t="s">
        <v>12</v>
      </c>
      <c r="B10" s="33" t="s">
        <v>105</v>
      </c>
      <c r="C10" s="125" t="s">
        <v>20</v>
      </c>
      <c r="D10" s="125" t="s">
        <v>20</v>
      </c>
      <c r="E10" s="125" t="s">
        <v>20</v>
      </c>
      <c r="F10" s="124" t="s">
        <v>7</v>
      </c>
      <c r="G10" s="124" t="s">
        <v>7</v>
      </c>
      <c r="H10" s="130" t="s">
        <v>16</v>
      </c>
      <c r="I10" s="130" t="s">
        <v>16</v>
      </c>
      <c r="J10" s="130" t="s">
        <v>16</v>
      </c>
      <c r="K10" s="130" t="s">
        <v>16</v>
      </c>
      <c r="L10" s="130" t="s">
        <v>16</v>
      </c>
      <c r="M10" s="130" t="s">
        <v>17</v>
      </c>
      <c r="N10" s="130" t="s">
        <v>17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30" t="s">
        <v>16</v>
      </c>
      <c r="W10" s="130" t="s">
        <v>16</v>
      </c>
      <c r="X10" s="130" t="s">
        <v>16</v>
      </c>
      <c r="Y10" s="130" t="s">
        <v>16</v>
      </c>
      <c r="Z10" s="130" t="s">
        <v>16</v>
      </c>
      <c r="AA10" s="130" t="s">
        <v>17</v>
      </c>
      <c r="AB10" s="130" t="s">
        <v>17</v>
      </c>
      <c r="AC10" s="124" t="s">
        <v>7</v>
      </c>
      <c r="AD10" s="124" t="s">
        <v>7</v>
      </c>
      <c r="AE10" s="124" t="s">
        <v>7</v>
      </c>
      <c r="AF10" s="124" t="s">
        <v>7</v>
      </c>
      <c r="AG10" s="124" t="s">
        <v>7</v>
      </c>
      <c r="AH10"/>
    </row>
    <row r="11" spans="1:36" x14ac:dyDescent="0.35">
      <c r="A11" s="34" t="s">
        <v>12</v>
      </c>
      <c r="B11" s="33" t="s">
        <v>53</v>
      </c>
      <c r="C11" s="124" t="s">
        <v>7</v>
      </c>
      <c r="D11" s="124" t="s">
        <v>7</v>
      </c>
      <c r="E11" s="124" t="s">
        <v>7</v>
      </c>
      <c r="F11" s="124" t="s">
        <v>7</v>
      </c>
      <c r="G11" s="124" t="s">
        <v>7</v>
      </c>
      <c r="H11" s="125" t="s">
        <v>20</v>
      </c>
      <c r="I11" s="125" t="s">
        <v>20</v>
      </c>
      <c r="J11" s="125" t="s">
        <v>20</v>
      </c>
      <c r="K11" s="125" t="s">
        <v>20</v>
      </c>
      <c r="L11" s="125" t="s">
        <v>20</v>
      </c>
      <c r="M11" s="124" t="s">
        <v>7</v>
      </c>
      <c r="N11" s="124" t="s">
        <v>7</v>
      </c>
      <c r="O11" s="130" t="s">
        <v>16</v>
      </c>
      <c r="P11" s="130" t="s">
        <v>16</v>
      </c>
      <c r="Q11" s="130" t="s">
        <v>16</v>
      </c>
      <c r="R11" s="130" t="s">
        <v>16</v>
      </c>
      <c r="S11" s="130" t="s">
        <v>16</v>
      </c>
      <c r="T11" s="130" t="s">
        <v>17</v>
      </c>
      <c r="U11" s="130" t="s">
        <v>17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30" t="s">
        <v>16</v>
      </c>
      <c r="AD11" s="130" t="s">
        <v>16</v>
      </c>
      <c r="AE11" s="130" t="s">
        <v>16</v>
      </c>
      <c r="AF11" s="130" t="s">
        <v>16</v>
      </c>
      <c r="AG11" s="130" t="s">
        <v>16</v>
      </c>
      <c r="AH11"/>
    </row>
    <row r="12" spans="1:36" x14ac:dyDescent="0.35">
      <c r="A12" s="34" t="s">
        <v>12</v>
      </c>
      <c r="B12" s="33" t="s">
        <v>24</v>
      </c>
      <c r="C12" s="130" t="s">
        <v>16</v>
      </c>
      <c r="D12" s="130" t="s">
        <v>16</v>
      </c>
      <c r="E12" s="130" t="s">
        <v>16</v>
      </c>
      <c r="F12" s="130" t="s">
        <v>17</v>
      </c>
      <c r="G12" s="130" t="s">
        <v>17</v>
      </c>
      <c r="H12" s="124" t="s">
        <v>7</v>
      </c>
      <c r="I12" s="124" t="s">
        <v>7</v>
      </c>
      <c r="J12" s="124" t="s">
        <v>7</v>
      </c>
      <c r="K12" s="124" t="s">
        <v>7</v>
      </c>
      <c r="L12" s="124" t="s">
        <v>7</v>
      </c>
      <c r="M12" s="124" t="s">
        <v>7</v>
      </c>
      <c r="N12" s="124" t="s">
        <v>7</v>
      </c>
      <c r="O12" s="125" t="s">
        <v>20</v>
      </c>
      <c r="P12" s="125" t="s">
        <v>20</v>
      </c>
      <c r="Q12" s="125" t="s">
        <v>20</v>
      </c>
      <c r="R12" s="125" t="s">
        <v>20</v>
      </c>
      <c r="S12" s="125" t="s">
        <v>20</v>
      </c>
      <c r="T12" s="124" t="s">
        <v>7</v>
      </c>
      <c r="U12" s="124" t="s">
        <v>7</v>
      </c>
      <c r="V12" s="130" t="s">
        <v>16</v>
      </c>
      <c r="W12" s="130" t="s">
        <v>16</v>
      </c>
      <c r="X12" s="130" t="s">
        <v>16</v>
      </c>
      <c r="Y12" s="130" t="s">
        <v>16</v>
      </c>
      <c r="Z12" s="130" t="s">
        <v>16</v>
      </c>
      <c r="AA12" s="130" t="s">
        <v>17</v>
      </c>
      <c r="AB12" s="130" t="s">
        <v>17</v>
      </c>
      <c r="AC12" s="124" t="s">
        <v>7</v>
      </c>
      <c r="AD12" s="124" t="s">
        <v>7</v>
      </c>
      <c r="AE12" s="124" t="s">
        <v>7</v>
      </c>
      <c r="AF12" s="124" t="s">
        <v>7</v>
      </c>
      <c r="AG12" s="124" t="s">
        <v>7</v>
      </c>
      <c r="AH12"/>
    </row>
    <row r="13" spans="1:36" x14ac:dyDescent="0.35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30" t="s">
        <v>16</v>
      </c>
      <c r="I13" s="130" t="s">
        <v>16</v>
      </c>
      <c r="J13" s="130" t="s">
        <v>16</v>
      </c>
      <c r="K13" s="130" t="s">
        <v>16</v>
      </c>
      <c r="L13" s="130" t="s">
        <v>16</v>
      </c>
      <c r="M13" s="130" t="s">
        <v>17</v>
      </c>
      <c r="N13" s="130" t="s">
        <v>17</v>
      </c>
      <c r="O13" s="124" t="s">
        <v>7</v>
      </c>
      <c r="P13" s="124" t="s">
        <v>7</v>
      </c>
      <c r="Q13" s="124" t="s">
        <v>7</v>
      </c>
      <c r="R13" s="124" t="s">
        <v>7</v>
      </c>
      <c r="S13" s="124" t="s">
        <v>7</v>
      </c>
      <c r="T13" s="124" t="s">
        <v>7</v>
      </c>
      <c r="U13" s="124" t="s">
        <v>7</v>
      </c>
      <c r="V13" s="125" t="s">
        <v>20</v>
      </c>
      <c r="W13" s="125" t="s">
        <v>20</v>
      </c>
      <c r="X13" s="125" t="s">
        <v>20</v>
      </c>
      <c r="Y13" s="125" t="s">
        <v>20</v>
      </c>
      <c r="Z13" s="125" t="s">
        <v>20</v>
      </c>
      <c r="AA13" s="124" t="s">
        <v>7</v>
      </c>
      <c r="AB13" s="124" t="s">
        <v>7</v>
      </c>
      <c r="AC13" s="130" t="s">
        <v>16</v>
      </c>
      <c r="AD13" s="130" t="s">
        <v>16</v>
      </c>
      <c r="AE13" s="130" t="s">
        <v>16</v>
      </c>
      <c r="AF13" s="130" t="s">
        <v>16</v>
      </c>
      <c r="AG13" s="130" t="s">
        <v>16</v>
      </c>
      <c r="AH13"/>
    </row>
    <row r="14" spans="1:36" x14ac:dyDescent="0.35">
      <c r="A14" s="34" t="s">
        <v>12</v>
      </c>
      <c r="B14" s="33" t="s">
        <v>106</v>
      </c>
      <c r="C14" s="130" t="s">
        <v>16</v>
      </c>
      <c r="D14" s="130" t="s">
        <v>16</v>
      </c>
      <c r="E14" s="130" t="s">
        <v>16</v>
      </c>
      <c r="F14" s="130" t="s">
        <v>17</v>
      </c>
      <c r="G14" s="130" t="s">
        <v>17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30" t="s">
        <v>16</v>
      </c>
      <c r="P14" s="130" t="s">
        <v>16</v>
      </c>
      <c r="Q14" s="130" t="s">
        <v>16</v>
      </c>
      <c r="R14" s="130" t="s">
        <v>16</v>
      </c>
      <c r="S14" s="130" t="s">
        <v>16</v>
      </c>
      <c r="T14" s="130" t="s">
        <v>17</v>
      </c>
      <c r="U14" s="130" t="s">
        <v>17</v>
      </c>
      <c r="V14" s="124" t="s">
        <v>7</v>
      </c>
      <c r="W14" s="124" t="s">
        <v>7</v>
      </c>
      <c r="X14" s="124" t="s">
        <v>7</v>
      </c>
      <c r="Y14" s="124" t="s">
        <v>7</v>
      </c>
      <c r="Z14" s="124" t="s">
        <v>7</v>
      </c>
      <c r="AA14" s="124" t="s">
        <v>7</v>
      </c>
      <c r="AB14" s="124" t="s">
        <v>7</v>
      </c>
      <c r="AC14" s="125" t="s">
        <v>20</v>
      </c>
      <c r="AD14" s="125" t="s">
        <v>20</v>
      </c>
      <c r="AE14" s="125" t="s">
        <v>20</v>
      </c>
      <c r="AF14" s="125" t="s">
        <v>20</v>
      </c>
      <c r="AG14" s="125" t="s">
        <v>20</v>
      </c>
      <c r="AH14"/>
      <c r="AJ14" s="134"/>
    </row>
    <row r="15" spans="1:36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6" x14ac:dyDescent="0.35">
      <c r="A16" s="34" t="s">
        <v>28</v>
      </c>
      <c r="B16" s="33" t="s">
        <v>29</v>
      </c>
      <c r="C16" s="25" t="s">
        <v>11</v>
      </c>
      <c r="D16" s="25" t="s">
        <v>11</v>
      </c>
      <c r="E16" s="25" t="s">
        <v>11</v>
      </c>
      <c r="F16" s="28" t="s">
        <v>7</v>
      </c>
      <c r="G16" s="28" t="s">
        <v>7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28" t="s">
        <v>7</v>
      </c>
      <c r="N16" s="28" t="s">
        <v>7</v>
      </c>
      <c r="O16" s="4" t="s">
        <v>85</v>
      </c>
      <c r="P16" s="4" t="s">
        <v>85</v>
      </c>
      <c r="Q16" s="4" t="s">
        <v>85</v>
      </c>
      <c r="R16" s="4" t="s">
        <v>85</v>
      </c>
      <c r="S16" s="4" t="s">
        <v>85</v>
      </c>
      <c r="T16" s="28" t="s">
        <v>30</v>
      </c>
      <c r="U16" s="28" t="s">
        <v>30</v>
      </c>
      <c r="V16" s="25" t="s">
        <v>11</v>
      </c>
      <c r="W16" s="25" t="s">
        <v>11</v>
      </c>
      <c r="X16" s="25" t="s">
        <v>11</v>
      </c>
      <c r="Y16" s="25" t="s">
        <v>11</v>
      </c>
      <c r="Z16" s="25" t="s">
        <v>11</v>
      </c>
      <c r="AA16" s="28" t="s">
        <v>7</v>
      </c>
      <c r="AB16" s="28" t="s">
        <v>7</v>
      </c>
      <c r="AC16" s="4" t="s">
        <v>14</v>
      </c>
      <c r="AD16" s="4" t="s">
        <v>14</v>
      </c>
      <c r="AE16" s="4" t="s">
        <v>14</v>
      </c>
      <c r="AF16" s="4" t="s">
        <v>14</v>
      </c>
      <c r="AG16" s="4" t="s">
        <v>14</v>
      </c>
      <c r="AH16"/>
    </row>
    <row r="17" spans="1:34" x14ac:dyDescent="0.35">
      <c r="A17" s="34" t="s">
        <v>28</v>
      </c>
      <c r="B17" s="35" t="s">
        <v>60</v>
      </c>
      <c r="C17" s="4" t="s">
        <v>85</v>
      </c>
      <c r="D17" s="4" t="s">
        <v>85</v>
      </c>
      <c r="E17" s="4" t="s">
        <v>85</v>
      </c>
      <c r="F17" s="28" t="s">
        <v>30</v>
      </c>
      <c r="G17" s="28" t="s">
        <v>30</v>
      </c>
      <c r="H17" s="25" t="s">
        <v>11</v>
      </c>
      <c r="I17" s="25" t="s">
        <v>11</v>
      </c>
      <c r="J17" s="25" t="s">
        <v>11</v>
      </c>
      <c r="K17" s="25" t="s">
        <v>11</v>
      </c>
      <c r="L17" s="25" t="s">
        <v>11</v>
      </c>
      <c r="M17" s="28" t="s">
        <v>7</v>
      </c>
      <c r="N17" s="28" t="s">
        <v>7</v>
      </c>
      <c r="O17" s="4" t="s">
        <v>14</v>
      </c>
      <c r="P17" s="4" t="s">
        <v>14</v>
      </c>
      <c r="Q17" s="4" t="s">
        <v>14</v>
      </c>
      <c r="R17" s="4" t="s">
        <v>14</v>
      </c>
      <c r="S17" s="4" t="s">
        <v>14</v>
      </c>
      <c r="T17" s="28" t="s">
        <v>7</v>
      </c>
      <c r="U17" s="28" t="s">
        <v>7</v>
      </c>
      <c r="V17" s="4" t="s">
        <v>85</v>
      </c>
      <c r="W17" s="4" t="s">
        <v>85</v>
      </c>
      <c r="X17" s="4" t="s">
        <v>85</v>
      </c>
      <c r="Y17" s="4" t="s">
        <v>85</v>
      </c>
      <c r="Z17" s="4" t="s">
        <v>85</v>
      </c>
      <c r="AA17" s="28" t="s">
        <v>30</v>
      </c>
      <c r="AB17" s="28" t="s">
        <v>30</v>
      </c>
      <c r="AC17" s="25" t="s">
        <v>11</v>
      </c>
      <c r="AD17" s="25" t="s">
        <v>11</v>
      </c>
      <c r="AE17" s="25" t="s">
        <v>11</v>
      </c>
      <c r="AF17" s="25" t="s">
        <v>11</v>
      </c>
      <c r="AG17" s="25" t="s">
        <v>11</v>
      </c>
      <c r="AH17"/>
    </row>
    <row r="18" spans="1:34" x14ac:dyDescent="0.35">
      <c r="A18" s="34" t="s">
        <v>28</v>
      </c>
      <c r="B18" s="62" t="s">
        <v>13</v>
      </c>
      <c r="C18" s="4" t="s">
        <v>14</v>
      </c>
      <c r="D18" s="4" t="s">
        <v>14</v>
      </c>
      <c r="E18" s="4" t="s">
        <v>14</v>
      </c>
      <c r="F18" s="28" t="s">
        <v>7</v>
      </c>
      <c r="G18" s="28" t="s">
        <v>7</v>
      </c>
      <c r="H18" s="4" t="s">
        <v>85</v>
      </c>
      <c r="I18" s="4" t="s">
        <v>85</v>
      </c>
      <c r="J18" s="4" t="s">
        <v>85</v>
      </c>
      <c r="K18" s="4" t="s">
        <v>85</v>
      </c>
      <c r="L18" s="4" t="s">
        <v>85</v>
      </c>
      <c r="M18" s="28" t="s">
        <v>30</v>
      </c>
      <c r="N18" s="28" t="s">
        <v>30</v>
      </c>
      <c r="O18" s="25" t="s">
        <v>11</v>
      </c>
      <c r="P18" s="25" t="s">
        <v>11</v>
      </c>
      <c r="Q18" s="25" t="s">
        <v>11</v>
      </c>
      <c r="R18" s="25" t="s">
        <v>11</v>
      </c>
      <c r="S18" s="25" t="s">
        <v>11</v>
      </c>
      <c r="T18" s="28" t="s">
        <v>7</v>
      </c>
      <c r="U18" s="28" t="s">
        <v>7</v>
      </c>
      <c r="V18" s="4" t="s">
        <v>14</v>
      </c>
      <c r="W18" s="4" t="s">
        <v>14</v>
      </c>
      <c r="X18" s="4" t="s">
        <v>14</v>
      </c>
      <c r="Y18" s="4" t="s">
        <v>14</v>
      </c>
      <c r="Z18" s="4" t="s">
        <v>14</v>
      </c>
      <c r="AA18" s="28" t="s">
        <v>7</v>
      </c>
      <c r="AB18" s="28" t="s">
        <v>7</v>
      </c>
      <c r="AC18" s="4" t="s">
        <v>85</v>
      </c>
      <c r="AD18" s="4" t="s">
        <v>85</v>
      </c>
      <c r="AE18" s="4" t="s">
        <v>85</v>
      </c>
      <c r="AF18" s="4" t="s">
        <v>85</v>
      </c>
      <c r="AG18" s="4" t="s">
        <v>85</v>
      </c>
      <c r="AH18"/>
    </row>
    <row r="19" spans="1:34" x14ac:dyDescent="0.35">
      <c r="AH19"/>
    </row>
    <row r="20" spans="1:34" x14ac:dyDescent="0.35">
      <c r="B20" s="111" t="s">
        <v>89</v>
      </c>
      <c r="C20" s="110">
        <f t="shared" ref="C20:AG20" si="0">SUM(C21:C23)</f>
        <v>6</v>
      </c>
      <c r="D20" s="110">
        <f t="shared" si="0"/>
        <v>6</v>
      </c>
      <c r="E20" s="110">
        <f t="shared" si="0"/>
        <v>4</v>
      </c>
      <c r="F20" s="110">
        <f t="shared" si="0"/>
        <v>4</v>
      </c>
      <c r="G20" s="110">
        <f t="shared" si="0"/>
        <v>4</v>
      </c>
      <c r="H20" s="110">
        <f t="shared" si="0"/>
        <v>6</v>
      </c>
      <c r="I20" s="110">
        <f t="shared" si="0"/>
        <v>6</v>
      </c>
      <c r="J20" s="110">
        <f t="shared" si="0"/>
        <v>6</v>
      </c>
      <c r="K20" s="110">
        <f t="shared" si="0"/>
        <v>6</v>
      </c>
      <c r="L20" s="110">
        <f t="shared" si="0"/>
        <v>6</v>
      </c>
      <c r="M20" s="110">
        <f t="shared" si="0"/>
        <v>4</v>
      </c>
      <c r="N20" s="110">
        <f t="shared" si="0"/>
        <v>4</v>
      </c>
      <c r="O20" s="110">
        <f t="shared" si="0"/>
        <v>6</v>
      </c>
      <c r="P20" s="110">
        <f t="shared" si="0"/>
        <v>6</v>
      </c>
      <c r="Q20" s="110">
        <f t="shared" si="0"/>
        <v>6</v>
      </c>
      <c r="R20" s="110">
        <f t="shared" si="0"/>
        <v>6</v>
      </c>
      <c r="S20" s="110">
        <f t="shared" si="0"/>
        <v>6</v>
      </c>
      <c r="T20" s="110">
        <f t="shared" si="0"/>
        <v>4</v>
      </c>
      <c r="U20" s="110">
        <f t="shared" si="0"/>
        <v>4</v>
      </c>
      <c r="V20" s="110">
        <f t="shared" si="0"/>
        <v>6</v>
      </c>
      <c r="W20" s="110">
        <f t="shared" si="0"/>
        <v>6</v>
      </c>
      <c r="X20" s="110">
        <f t="shared" si="0"/>
        <v>6</v>
      </c>
      <c r="Y20" s="110">
        <f t="shared" si="0"/>
        <v>6</v>
      </c>
      <c r="Z20" s="110">
        <f t="shared" si="0"/>
        <v>6</v>
      </c>
      <c r="AA20" s="110">
        <f t="shared" si="0"/>
        <v>4</v>
      </c>
      <c r="AB20" s="110">
        <f t="shared" si="0"/>
        <v>4</v>
      </c>
      <c r="AC20" s="110">
        <f t="shared" si="0"/>
        <v>6</v>
      </c>
      <c r="AD20" s="110">
        <f t="shared" si="0"/>
        <v>6</v>
      </c>
      <c r="AE20" s="110">
        <f t="shared" si="0"/>
        <v>6</v>
      </c>
      <c r="AF20" s="110">
        <f t="shared" si="0"/>
        <v>6</v>
      </c>
      <c r="AG20" s="110">
        <f t="shared" si="0"/>
        <v>6</v>
      </c>
    </row>
    <row r="21" spans="1:34" x14ac:dyDescent="0.35">
      <c r="B21" s="111" t="s">
        <v>90</v>
      </c>
      <c r="C21" s="112">
        <f t="shared" ref="C21:AG21" si="1">COUNTIF(C4:C18,"T")</f>
        <v>2</v>
      </c>
      <c r="D21" s="112">
        <f t="shared" si="1"/>
        <v>2</v>
      </c>
      <c r="E21" s="112">
        <f t="shared" si="1"/>
        <v>2</v>
      </c>
      <c r="F21" s="112">
        <f t="shared" si="1"/>
        <v>0</v>
      </c>
      <c r="G21" s="112">
        <f t="shared" si="1"/>
        <v>0</v>
      </c>
      <c r="H21" s="112">
        <f t="shared" si="1"/>
        <v>2</v>
      </c>
      <c r="I21" s="112">
        <f t="shared" si="1"/>
        <v>2</v>
      </c>
      <c r="J21" s="112">
        <f t="shared" si="1"/>
        <v>2</v>
      </c>
      <c r="K21" s="112">
        <f t="shared" si="1"/>
        <v>2</v>
      </c>
      <c r="L21" s="112">
        <f t="shared" si="1"/>
        <v>2</v>
      </c>
      <c r="M21" s="112">
        <f t="shared" si="1"/>
        <v>0</v>
      </c>
      <c r="N21" s="112">
        <f t="shared" si="1"/>
        <v>0</v>
      </c>
      <c r="O21" s="112">
        <f t="shared" si="1"/>
        <v>2</v>
      </c>
      <c r="P21" s="112">
        <f t="shared" si="1"/>
        <v>2</v>
      </c>
      <c r="Q21" s="112">
        <f t="shared" si="1"/>
        <v>2</v>
      </c>
      <c r="R21" s="112">
        <f t="shared" si="1"/>
        <v>2</v>
      </c>
      <c r="S21" s="112">
        <f t="shared" si="1"/>
        <v>2</v>
      </c>
      <c r="T21" s="112">
        <f t="shared" si="1"/>
        <v>0</v>
      </c>
      <c r="U21" s="112">
        <f t="shared" si="1"/>
        <v>0</v>
      </c>
      <c r="V21" s="112">
        <f t="shared" si="1"/>
        <v>2</v>
      </c>
      <c r="W21" s="112">
        <f t="shared" si="1"/>
        <v>2</v>
      </c>
      <c r="X21" s="112">
        <f t="shared" si="1"/>
        <v>2</v>
      </c>
      <c r="Y21" s="112">
        <f t="shared" si="1"/>
        <v>2</v>
      </c>
      <c r="Z21" s="112">
        <f t="shared" si="1"/>
        <v>2</v>
      </c>
      <c r="AA21" s="112">
        <f t="shared" si="1"/>
        <v>0</v>
      </c>
      <c r="AB21" s="112">
        <f t="shared" si="1"/>
        <v>0</v>
      </c>
      <c r="AC21" s="112">
        <f t="shared" si="1"/>
        <v>2</v>
      </c>
      <c r="AD21" s="112">
        <f t="shared" si="1"/>
        <v>2</v>
      </c>
      <c r="AE21" s="112">
        <f t="shared" si="1"/>
        <v>2</v>
      </c>
      <c r="AF21" s="112">
        <f t="shared" si="1"/>
        <v>2</v>
      </c>
      <c r="AG21" s="112">
        <f t="shared" si="1"/>
        <v>2</v>
      </c>
    </row>
    <row r="22" spans="1:34" x14ac:dyDescent="0.35">
      <c r="B22" s="111" t="s">
        <v>91</v>
      </c>
      <c r="C22" s="112">
        <f t="shared" ref="C22:AG22" si="2">COUNTIF(C4:C18,"N")+COUNTIF(C4:C18,"NF")</f>
        <v>2</v>
      </c>
      <c r="D22" s="112">
        <f t="shared" si="2"/>
        <v>2</v>
      </c>
      <c r="E22" s="112">
        <f t="shared" si="2"/>
        <v>2</v>
      </c>
      <c r="F22" s="112">
        <f t="shared" si="2"/>
        <v>2</v>
      </c>
      <c r="G22" s="112">
        <f t="shared" si="2"/>
        <v>2</v>
      </c>
      <c r="H22" s="112">
        <f t="shared" si="2"/>
        <v>2</v>
      </c>
      <c r="I22" s="112">
        <f t="shared" si="2"/>
        <v>2</v>
      </c>
      <c r="J22" s="112">
        <f t="shared" si="2"/>
        <v>2</v>
      </c>
      <c r="K22" s="112">
        <f t="shared" si="2"/>
        <v>2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2</v>
      </c>
      <c r="P22" s="112">
        <f t="shared" si="2"/>
        <v>2</v>
      </c>
      <c r="Q22" s="112">
        <f t="shared" si="2"/>
        <v>2</v>
      </c>
      <c r="R22" s="112">
        <f t="shared" si="2"/>
        <v>2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2</v>
      </c>
      <c r="W22" s="112">
        <f t="shared" si="2"/>
        <v>2</v>
      </c>
      <c r="X22" s="112">
        <f t="shared" si="2"/>
        <v>2</v>
      </c>
      <c r="Y22" s="112">
        <f t="shared" si="2"/>
        <v>2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2</v>
      </c>
      <c r="AD22" s="112">
        <f t="shared" si="2"/>
        <v>2</v>
      </c>
      <c r="AE22" s="112">
        <f t="shared" si="2"/>
        <v>2</v>
      </c>
      <c r="AF22" s="112">
        <f t="shared" si="2"/>
        <v>2</v>
      </c>
      <c r="AG22" s="112">
        <f t="shared" si="2"/>
        <v>2</v>
      </c>
    </row>
    <row r="23" spans="1:34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 x14ac:dyDescent="0.35">
      <c r="B25" t="s">
        <v>65</v>
      </c>
    </row>
    <row r="26" spans="1:34" x14ac:dyDescent="0.35">
      <c r="B26" s="5" t="s">
        <v>66</v>
      </c>
    </row>
    <row r="27" spans="1:34" x14ac:dyDescent="0.35">
      <c r="B27" s="5" t="s">
        <v>67</v>
      </c>
    </row>
    <row r="28" spans="1:34" x14ac:dyDescent="0.35">
      <c r="B28" s="1" t="s">
        <v>68</v>
      </c>
    </row>
    <row r="29" spans="1:34" x14ac:dyDescent="0.35">
      <c r="B29" s="7" t="s">
        <v>69</v>
      </c>
    </row>
    <row r="30" spans="1:34" x14ac:dyDescent="0.35">
      <c r="B30" s="3" t="s">
        <v>70</v>
      </c>
    </row>
    <row r="31" spans="1:34" x14ac:dyDescent="0.35">
      <c r="B31" s="5" t="s">
        <v>71</v>
      </c>
    </row>
    <row r="32" spans="1:34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G1"/>
  </mergeCells>
  <conditionalFormatting sqref="C21:AG23">
    <cfRule type="cellIs" dxfId="5" priority="1" operator="equal">
      <formula>1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FAA6-3AEE-4FDA-8814-8ECFF9DBE1B0}">
  <dimension ref="A1:AH37"/>
  <sheetViews>
    <sheetView workbookViewId="0">
      <selection activeCell="C10" sqref="C10:AG14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75"/>
      <c r="C1" s="190" t="s">
        <v>112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</row>
    <row r="2" spans="1:34" x14ac:dyDescent="0.35">
      <c r="A2" s="6"/>
      <c r="B2" s="175"/>
      <c r="C2" s="83" t="s">
        <v>5</v>
      </c>
      <c r="D2" s="83" t="s">
        <v>6</v>
      </c>
      <c r="E2" s="84" t="s">
        <v>7</v>
      </c>
      <c r="F2" s="84" t="s">
        <v>1</v>
      </c>
      <c r="G2" s="85" t="s">
        <v>2</v>
      </c>
      <c r="H2" s="85" t="s">
        <v>3</v>
      </c>
      <c r="I2" s="85" t="s">
        <v>4</v>
      </c>
      <c r="J2" s="83" t="s">
        <v>5</v>
      </c>
      <c r="K2" s="83" t="s">
        <v>6</v>
      </c>
      <c r="L2" s="84" t="s">
        <v>7</v>
      </c>
      <c r="M2" s="84" t="s">
        <v>1</v>
      </c>
      <c r="N2" s="85" t="s">
        <v>2</v>
      </c>
      <c r="O2" s="85" t="s">
        <v>3</v>
      </c>
      <c r="P2" s="85" t="s">
        <v>4</v>
      </c>
      <c r="Q2" s="83" t="s">
        <v>5</v>
      </c>
      <c r="R2" s="83" t="s">
        <v>6</v>
      </c>
      <c r="S2" s="84" t="s">
        <v>7</v>
      </c>
      <c r="T2" s="84" t="s">
        <v>1</v>
      </c>
      <c r="U2" s="85" t="s">
        <v>2</v>
      </c>
      <c r="V2" s="85" t="s">
        <v>3</v>
      </c>
      <c r="W2" s="85" t="s">
        <v>4</v>
      </c>
      <c r="X2" s="83" t="s">
        <v>5</v>
      </c>
      <c r="Y2" s="83" t="s">
        <v>6</v>
      </c>
      <c r="Z2" s="84" t="s">
        <v>7</v>
      </c>
      <c r="AA2" s="84" t="s">
        <v>1</v>
      </c>
      <c r="AB2" s="85" t="s">
        <v>2</v>
      </c>
      <c r="AC2" s="85" t="s">
        <v>3</v>
      </c>
      <c r="AD2" s="85" t="s">
        <v>4</v>
      </c>
      <c r="AE2" s="83" t="s">
        <v>5</v>
      </c>
      <c r="AF2" s="83" t="s">
        <v>6</v>
      </c>
      <c r="AG2" s="84" t="s">
        <v>7</v>
      </c>
      <c r="AH2"/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 x14ac:dyDescent="0.35">
      <c r="A4" s="63" t="s">
        <v>12</v>
      </c>
      <c r="B4" s="62" t="s">
        <v>13</v>
      </c>
      <c r="C4" s="5" t="s">
        <v>15</v>
      </c>
      <c r="D4" s="5" t="s">
        <v>15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28" t="s">
        <v>7</v>
      </c>
      <c r="K4" s="28" t="s">
        <v>7</v>
      </c>
      <c r="L4" s="5" t="s">
        <v>14</v>
      </c>
      <c r="M4" s="5" t="s">
        <v>14</v>
      </c>
      <c r="N4" s="5" t="s">
        <v>14</v>
      </c>
      <c r="O4" s="5" t="s">
        <v>14</v>
      </c>
      <c r="P4" s="5" t="s">
        <v>14</v>
      </c>
      <c r="Q4" s="5" t="s">
        <v>15</v>
      </c>
      <c r="R4" s="5" t="s">
        <v>15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28" t="s">
        <v>7</v>
      </c>
      <c r="Z4" s="7" t="s">
        <v>20</v>
      </c>
      <c r="AA4" s="7" t="s">
        <v>20</v>
      </c>
      <c r="AB4" s="7" t="s">
        <v>20</v>
      </c>
      <c r="AC4" s="7" t="s">
        <v>20</v>
      </c>
      <c r="AD4" s="7" t="s">
        <v>20</v>
      </c>
      <c r="AE4" s="28" t="s">
        <v>7</v>
      </c>
      <c r="AF4" s="28" t="s">
        <v>7</v>
      </c>
      <c r="AG4" s="1" t="s">
        <v>14</v>
      </c>
      <c r="AH4"/>
    </row>
    <row r="5" spans="1:34" x14ac:dyDescent="0.35">
      <c r="A5" s="34" t="s">
        <v>12</v>
      </c>
      <c r="B5" s="33" t="s">
        <v>19</v>
      </c>
      <c r="C5" s="28" t="s">
        <v>7</v>
      </c>
      <c r="D5" s="28" t="s">
        <v>7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5" t="s">
        <v>15</v>
      </c>
      <c r="K5" s="5" t="s">
        <v>15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28" t="s">
        <v>7</v>
      </c>
      <c r="R5" s="28" t="s">
        <v>7</v>
      </c>
      <c r="S5" s="5" t="s">
        <v>14</v>
      </c>
      <c r="T5" s="5" t="s">
        <v>14</v>
      </c>
      <c r="U5" s="5" t="s">
        <v>14</v>
      </c>
      <c r="V5" s="5" t="s">
        <v>14</v>
      </c>
      <c r="W5" s="5" t="s">
        <v>14</v>
      </c>
      <c r="X5" s="5" t="s">
        <v>15</v>
      </c>
      <c r="Y5" s="5" t="s">
        <v>15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28" t="s">
        <v>7</v>
      </c>
      <c r="AG5" s="7" t="s">
        <v>20</v>
      </c>
      <c r="AH5"/>
    </row>
    <row r="6" spans="1:34" x14ac:dyDescent="0.35">
      <c r="A6" s="34" t="s">
        <v>12</v>
      </c>
      <c r="B6" s="33" t="s">
        <v>21</v>
      </c>
      <c r="C6" s="28" t="s">
        <v>7</v>
      </c>
      <c r="D6" s="28" t="s">
        <v>7</v>
      </c>
      <c r="E6" s="7" t="s">
        <v>20</v>
      </c>
      <c r="F6" s="7" t="s">
        <v>20</v>
      </c>
      <c r="G6" s="7" t="s">
        <v>20</v>
      </c>
      <c r="H6" s="7" t="s">
        <v>20</v>
      </c>
      <c r="I6" s="7" t="s">
        <v>20</v>
      </c>
      <c r="J6" s="28" t="s">
        <v>7</v>
      </c>
      <c r="K6" s="28" t="s">
        <v>7</v>
      </c>
      <c r="L6" s="1" t="s">
        <v>14</v>
      </c>
      <c r="M6" s="1" t="s">
        <v>14</v>
      </c>
      <c r="N6" s="1" t="s">
        <v>14</v>
      </c>
      <c r="O6" s="1" t="s">
        <v>14</v>
      </c>
      <c r="P6" s="1" t="s">
        <v>14</v>
      </c>
      <c r="Q6" s="5" t="s">
        <v>15</v>
      </c>
      <c r="R6" s="5" t="s">
        <v>15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28" t="s">
        <v>7</v>
      </c>
      <c r="Y6" s="28" t="s">
        <v>7</v>
      </c>
      <c r="Z6" s="5" t="s">
        <v>14</v>
      </c>
      <c r="AA6" s="5" t="s">
        <v>14</v>
      </c>
      <c r="AB6" s="5" t="s">
        <v>14</v>
      </c>
      <c r="AC6" s="5" t="s">
        <v>14</v>
      </c>
      <c r="AD6" s="5" t="s">
        <v>14</v>
      </c>
      <c r="AE6" s="5" t="s">
        <v>15</v>
      </c>
      <c r="AF6" s="5" t="s">
        <v>15</v>
      </c>
      <c r="AG6" s="28" t="s">
        <v>7</v>
      </c>
      <c r="AH6"/>
    </row>
    <row r="7" spans="1:34" x14ac:dyDescent="0.35">
      <c r="A7" s="34" t="s">
        <v>12</v>
      </c>
      <c r="B7" s="33" t="s">
        <v>22</v>
      </c>
      <c r="C7" s="5" t="s">
        <v>15</v>
      </c>
      <c r="D7" s="5" t="s">
        <v>15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28" t="s">
        <v>7</v>
      </c>
      <c r="K7" s="28" t="s">
        <v>7</v>
      </c>
      <c r="L7" s="7" t="s">
        <v>20</v>
      </c>
      <c r="M7" s="7" t="s">
        <v>20</v>
      </c>
      <c r="N7" s="7" t="s">
        <v>20</v>
      </c>
      <c r="O7" s="7" t="s">
        <v>20</v>
      </c>
      <c r="P7" s="7" t="s">
        <v>20</v>
      </c>
      <c r="Q7" s="28" t="s">
        <v>7</v>
      </c>
      <c r="R7" s="28" t="s">
        <v>7</v>
      </c>
      <c r="S7" s="1" t="s">
        <v>14</v>
      </c>
      <c r="T7" s="1" t="s">
        <v>14</v>
      </c>
      <c r="U7" s="1" t="s">
        <v>14</v>
      </c>
      <c r="V7" s="1" t="s">
        <v>14</v>
      </c>
      <c r="W7" s="1" t="s">
        <v>14</v>
      </c>
      <c r="X7" s="5" t="s">
        <v>15</v>
      </c>
      <c r="Y7" s="5" t="s">
        <v>15</v>
      </c>
      <c r="Z7" s="28" t="s">
        <v>7</v>
      </c>
      <c r="AA7" s="28" t="s">
        <v>7</v>
      </c>
      <c r="AB7" s="28" t="s">
        <v>7</v>
      </c>
      <c r="AC7" s="28" t="s">
        <v>7</v>
      </c>
      <c r="AD7" s="28" t="s">
        <v>7</v>
      </c>
      <c r="AE7" s="28" t="s">
        <v>7</v>
      </c>
      <c r="AF7" s="28" t="s">
        <v>7</v>
      </c>
      <c r="AG7" s="5" t="s">
        <v>14</v>
      </c>
      <c r="AH7"/>
    </row>
    <row r="8" spans="1:34" x14ac:dyDescent="0.35">
      <c r="A8" s="34" t="s">
        <v>12</v>
      </c>
      <c r="B8" s="33" t="s">
        <v>59</v>
      </c>
      <c r="C8" s="28" t="s">
        <v>7</v>
      </c>
      <c r="D8" s="28" t="s">
        <v>7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15</v>
      </c>
      <c r="K8" s="5" t="s">
        <v>15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28" t="s">
        <v>7</v>
      </c>
      <c r="R8" s="28" t="s">
        <v>7</v>
      </c>
      <c r="S8" s="7" t="s">
        <v>20</v>
      </c>
      <c r="T8" s="7" t="s">
        <v>20</v>
      </c>
      <c r="U8" s="7" t="s">
        <v>20</v>
      </c>
      <c r="V8" s="7" t="s">
        <v>20</v>
      </c>
      <c r="W8" s="7" t="s">
        <v>20</v>
      </c>
      <c r="X8" s="28" t="s">
        <v>7</v>
      </c>
      <c r="Y8" s="28" t="s">
        <v>7</v>
      </c>
      <c r="Z8" s="1" t="s">
        <v>14</v>
      </c>
      <c r="AA8" s="1" t="s">
        <v>14</v>
      </c>
      <c r="AB8" s="1" t="s">
        <v>14</v>
      </c>
      <c r="AC8" s="1" t="s">
        <v>14</v>
      </c>
      <c r="AD8" s="1" t="s">
        <v>14</v>
      </c>
      <c r="AE8" s="5" t="s">
        <v>15</v>
      </c>
      <c r="AF8" s="5" t="s">
        <v>15</v>
      </c>
      <c r="AG8" s="28" t="s">
        <v>7</v>
      </c>
      <c r="AH8"/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 x14ac:dyDescent="0.35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 s="123" t="s">
        <v>7</v>
      </c>
      <c r="AH10"/>
    </row>
    <row r="11" spans="1:34" x14ac:dyDescent="0.35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 s="123" t="s">
        <v>7</v>
      </c>
      <c r="AH11"/>
    </row>
    <row r="12" spans="1:34" x14ac:dyDescent="0.35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 s="123" t="s">
        <v>7</v>
      </c>
      <c r="AH12"/>
    </row>
    <row r="13" spans="1:34" x14ac:dyDescent="0.35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 s="123" t="s">
        <v>7</v>
      </c>
      <c r="AH13"/>
    </row>
    <row r="14" spans="1:34" x14ac:dyDescent="0.35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 s="123" t="s">
        <v>7</v>
      </c>
      <c r="AH14"/>
    </row>
    <row r="15" spans="1:34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 x14ac:dyDescent="0.35">
      <c r="A16" s="34" t="s">
        <v>28</v>
      </c>
      <c r="B16" s="33" t="s">
        <v>29</v>
      </c>
      <c r="C16" s="28" t="s">
        <v>7</v>
      </c>
      <c r="D16" s="28" t="s">
        <v>7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  <c r="J16" s="28" t="s">
        <v>7</v>
      </c>
      <c r="K16" s="28" t="s">
        <v>7</v>
      </c>
      <c r="L16" s="25" t="s">
        <v>11</v>
      </c>
      <c r="M16" s="25" t="s">
        <v>11</v>
      </c>
      <c r="N16" s="25" t="s">
        <v>11</v>
      </c>
      <c r="O16" s="25" t="s">
        <v>11</v>
      </c>
      <c r="P16" s="25" t="s">
        <v>11</v>
      </c>
      <c r="Q16" s="28" t="s">
        <v>7</v>
      </c>
      <c r="R16" s="28" t="s">
        <v>7</v>
      </c>
      <c r="S16" s="4" t="s">
        <v>14</v>
      </c>
      <c r="T16" s="4" t="s">
        <v>14</v>
      </c>
      <c r="U16" s="4" t="s">
        <v>14</v>
      </c>
      <c r="V16" s="4" t="s">
        <v>14</v>
      </c>
      <c r="W16" s="4" t="s">
        <v>14</v>
      </c>
      <c r="X16" s="28" t="s">
        <v>7</v>
      </c>
      <c r="Y16" s="28" t="s">
        <v>7</v>
      </c>
      <c r="Z16" s="4" t="s">
        <v>85</v>
      </c>
      <c r="AA16" s="4" t="s">
        <v>85</v>
      </c>
      <c r="AB16" s="4" t="s">
        <v>85</v>
      </c>
      <c r="AC16" s="4" t="s">
        <v>85</v>
      </c>
      <c r="AD16" s="4" t="s">
        <v>85</v>
      </c>
      <c r="AE16" s="28" t="s">
        <v>7</v>
      </c>
      <c r="AF16" s="28" t="s">
        <v>7</v>
      </c>
      <c r="AG16" s="25" t="s">
        <v>11</v>
      </c>
      <c r="AH16"/>
    </row>
    <row r="17" spans="1:34" x14ac:dyDescent="0.35">
      <c r="A17" s="34" t="s">
        <v>28</v>
      </c>
      <c r="B17" s="35" t="s">
        <v>60</v>
      </c>
      <c r="C17" s="28" t="s">
        <v>7</v>
      </c>
      <c r="D17" s="28" t="s">
        <v>7</v>
      </c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28" t="s">
        <v>7</v>
      </c>
      <c r="K17" s="28" t="s">
        <v>7</v>
      </c>
      <c r="L17" s="4" t="s">
        <v>85</v>
      </c>
      <c r="M17" s="4" t="s">
        <v>85</v>
      </c>
      <c r="N17" s="4" t="s">
        <v>85</v>
      </c>
      <c r="O17" s="4" t="s">
        <v>85</v>
      </c>
      <c r="P17" s="4" t="s">
        <v>85</v>
      </c>
      <c r="Q17" s="28" t="s">
        <v>7</v>
      </c>
      <c r="R17" s="28" t="s">
        <v>7</v>
      </c>
      <c r="S17" s="25" t="s">
        <v>11</v>
      </c>
      <c r="T17" s="25" t="s">
        <v>11</v>
      </c>
      <c r="U17" s="25" t="s">
        <v>11</v>
      </c>
      <c r="V17" s="25" t="s">
        <v>11</v>
      </c>
      <c r="W17" s="25" t="s">
        <v>11</v>
      </c>
      <c r="X17" s="28" t="s">
        <v>7</v>
      </c>
      <c r="Y17" s="28" t="s">
        <v>7</v>
      </c>
      <c r="Z17" s="4" t="s">
        <v>14</v>
      </c>
      <c r="AA17" s="4" t="s">
        <v>14</v>
      </c>
      <c r="AB17" s="4" t="s">
        <v>14</v>
      </c>
      <c r="AC17" s="4" t="s">
        <v>14</v>
      </c>
      <c r="AD17" s="4" t="s">
        <v>14</v>
      </c>
      <c r="AE17" s="28" t="s">
        <v>7</v>
      </c>
      <c r="AF17" s="28" t="s">
        <v>7</v>
      </c>
      <c r="AG17" s="4" t="s">
        <v>85</v>
      </c>
      <c r="AH17"/>
    </row>
    <row r="18" spans="1:34" x14ac:dyDescent="0.35">
      <c r="A18" s="34" t="s">
        <v>28</v>
      </c>
      <c r="B18" s="35" t="s">
        <v>34</v>
      </c>
      <c r="C18" s="28" t="s">
        <v>7</v>
      </c>
      <c r="D18" s="28" t="s">
        <v>7</v>
      </c>
      <c r="E18" s="25" t="s">
        <v>11</v>
      </c>
      <c r="F18" s="25" t="s">
        <v>11</v>
      </c>
      <c r="G18" s="25" t="s">
        <v>11</v>
      </c>
      <c r="H18" s="25" t="s">
        <v>11</v>
      </c>
      <c r="I18" s="25" t="s">
        <v>11</v>
      </c>
      <c r="J18" s="28" t="s">
        <v>7</v>
      </c>
      <c r="K18" s="28" t="s">
        <v>7</v>
      </c>
      <c r="L18" s="4" t="s">
        <v>14</v>
      </c>
      <c r="M18" s="4" t="s">
        <v>14</v>
      </c>
      <c r="N18" s="4" t="s">
        <v>14</v>
      </c>
      <c r="O18" s="4" t="s">
        <v>14</v>
      </c>
      <c r="P18" s="4" t="s">
        <v>14</v>
      </c>
      <c r="Q18" s="28" t="s">
        <v>7</v>
      </c>
      <c r="R18" s="28" t="s">
        <v>7</v>
      </c>
      <c r="S18" s="4" t="s">
        <v>85</v>
      </c>
      <c r="T18" s="4" t="s">
        <v>85</v>
      </c>
      <c r="U18" s="4" t="s">
        <v>85</v>
      </c>
      <c r="V18" s="4" t="s">
        <v>85</v>
      </c>
      <c r="W18" s="4" t="s">
        <v>85</v>
      </c>
      <c r="X18" s="28" t="s">
        <v>7</v>
      </c>
      <c r="Y18" s="28" t="s">
        <v>7</v>
      </c>
      <c r="Z18" s="25" t="s">
        <v>11</v>
      </c>
      <c r="AA18" s="25" t="s">
        <v>11</v>
      </c>
      <c r="AB18" s="25" t="s">
        <v>11</v>
      </c>
      <c r="AC18" s="25" t="s">
        <v>11</v>
      </c>
      <c r="AD18" s="25" t="s">
        <v>11</v>
      </c>
      <c r="AE18" s="28" t="s">
        <v>7</v>
      </c>
      <c r="AF18" s="28" t="s">
        <v>7</v>
      </c>
      <c r="AG18" s="4" t="s">
        <v>14</v>
      </c>
      <c r="AH18"/>
    </row>
    <row r="19" spans="1:34" x14ac:dyDescent="0.35">
      <c r="AH19"/>
    </row>
    <row r="20" spans="1:34" x14ac:dyDescent="0.35">
      <c r="B20" s="111" t="s">
        <v>89</v>
      </c>
      <c r="C20" s="110">
        <f t="shared" ref="C20:AG20" si="0">SUM(C21:C23)</f>
        <v>2</v>
      </c>
      <c r="D20" s="110">
        <f t="shared" si="0"/>
        <v>2</v>
      </c>
      <c r="E20" s="110">
        <f t="shared" si="0"/>
        <v>1</v>
      </c>
      <c r="F20" s="110">
        <f t="shared" si="0"/>
        <v>3</v>
      </c>
      <c r="G20" s="110">
        <f t="shared" si="0"/>
        <v>3</v>
      </c>
      <c r="H20" s="110">
        <f t="shared" si="0"/>
        <v>3</v>
      </c>
      <c r="I20" s="110">
        <f t="shared" si="0"/>
        <v>3</v>
      </c>
      <c r="J20" s="110">
        <f t="shared" si="0"/>
        <v>2</v>
      </c>
      <c r="K20" s="110">
        <f t="shared" si="0"/>
        <v>2</v>
      </c>
      <c r="L20" s="110">
        <f t="shared" si="0"/>
        <v>3</v>
      </c>
      <c r="M20" s="110">
        <f t="shared" si="0"/>
        <v>3</v>
      </c>
      <c r="N20" s="110">
        <f t="shared" si="0"/>
        <v>3</v>
      </c>
      <c r="O20" s="110">
        <f t="shared" si="0"/>
        <v>3</v>
      </c>
      <c r="P20" s="110">
        <f t="shared" si="0"/>
        <v>3</v>
      </c>
      <c r="Q20" s="110">
        <f t="shared" si="0"/>
        <v>2</v>
      </c>
      <c r="R20" s="110">
        <f t="shared" si="0"/>
        <v>2</v>
      </c>
      <c r="S20" s="110">
        <f t="shared" si="0"/>
        <v>3</v>
      </c>
      <c r="T20" s="110">
        <f t="shared" si="0"/>
        <v>3</v>
      </c>
      <c r="U20" s="110">
        <f t="shared" si="0"/>
        <v>3</v>
      </c>
      <c r="V20" s="110">
        <f t="shared" si="0"/>
        <v>3</v>
      </c>
      <c r="W20" s="110">
        <f t="shared" si="0"/>
        <v>3</v>
      </c>
      <c r="X20" s="110">
        <f t="shared" si="0"/>
        <v>2</v>
      </c>
      <c r="Y20" s="110">
        <f t="shared" si="0"/>
        <v>2</v>
      </c>
      <c r="Z20" s="110">
        <f t="shared" si="0"/>
        <v>3</v>
      </c>
      <c r="AA20" s="110">
        <f t="shared" si="0"/>
        <v>3</v>
      </c>
      <c r="AB20" s="110">
        <f t="shared" si="0"/>
        <v>3</v>
      </c>
      <c r="AC20" s="110">
        <f t="shared" si="0"/>
        <v>3</v>
      </c>
      <c r="AD20" s="110">
        <f t="shared" si="0"/>
        <v>3</v>
      </c>
      <c r="AE20" s="110">
        <f t="shared" si="0"/>
        <v>2</v>
      </c>
      <c r="AF20" s="110">
        <f t="shared" si="0"/>
        <v>2</v>
      </c>
      <c r="AG20" s="110">
        <f t="shared" si="0"/>
        <v>3</v>
      </c>
    </row>
    <row r="21" spans="1:34" x14ac:dyDescent="0.35">
      <c r="B21" s="111" t="s">
        <v>90</v>
      </c>
      <c r="C21" s="112">
        <f t="shared" ref="C21:AG21" si="1">COUNTIF(C4:C18,"T")</f>
        <v>0</v>
      </c>
      <c r="D21" s="112">
        <f t="shared" si="1"/>
        <v>0</v>
      </c>
      <c r="E21" s="112">
        <f t="shared" si="1"/>
        <v>1</v>
      </c>
      <c r="F21" s="112">
        <f t="shared" si="1"/>
        <v>1</v>
      </c>
      <c r="G21" s="112">
        <f t="shared" si="1"/>
        <v>1</v>
      </c>
      <c r="H21" s="112">
        <f t="shared" si="1"/>
        <v>1</v>
      </c>
      <c r="I21" s="112">
        <f t="shared" si="1"/>
        <v>1</v>
      </c>
      <c r="J21" s="112">
        <f t="shared" si="1"/>
        <v>0</v>
      </c>
      <c r="K21" s="112">
        <f t="shared" si="1"/>
        <v>0</v>
      </c>
      <c r="L21" s="112">
        <f t="shared" si="1"/>
        <v>1</v>
      </c>
      <c r="M21" s="112">
        <f t="shared" si="1"/>
        <v>1</v>
      </c>
      <c r="N21" s="112">
        <f t="shared" si="1"/>
        <v>1</v>
      </c>
      <c r="O21" s="112">
        <f t="shared" si="1"/>
        <v>1</v>
      </c>
      <c r="P21" s="112">
        <f t="shared" si="1"/>
        <v>1</v>
      </c>
      <c r="Q21" s="112">
        <f t="shared" si="1"/>
        <v>0</v>
      </c>
      <c r="R21" s="112">
        <f t="shared" si="1"/>
        <v>0</v>
      </c>
      <c r="S21" s="112">
        <f t="shared" si="1"/>
        <v>1</v>
      </c>
      <c r="T21" s="112">
        <f t="shared" si="1"/>
        <v>1</v>
      </c>
      <c r="U21" s="112">
        <f t="shared" si="1"/>
        <v>1</v>
      </c>
      <c r="V21" s="112">
        <f t="shared" si="1"/>
        <v>1</v>
      </c>
      <c r="W21" s="112">
        <f t="shared" si="1"/>
        <v>1</v>
      </c>
      <c r="X21" s="112">
        <f t="shared" si="1"/>
        <v>0</v>
      </c>
      <c r="Y21" s="112">
        <f t="shared" si="1"/>
        <v>0</v>
      </c>
      <c r="Z21" s="112">
        <f t="shared" si="1"/>
        <v>1</v>
      </c>
      <c r="AA21" s="112">
        <f t="shared" si="1"/>
        <v>1</v>
      </c>
      <c r="AB21" s="112">
        <f t="shared" si="1"/>
        <v>1</v>
      </c>
      <c r="AC21" s="112">
        <f t="shared" si="1"/>
        <v>1</v>
      </c>
      <c r="AD21" s="112">
        <f t="shared" si="1"/>
        <v>1</v>
      </c>
      <c r="AE21" s="112">
        <f t="shared" si="1"/>
        <v>0</v>
      </c>
      <c r="AF21" s="112">
        <f t="shared" si="1"/>
        <v>0</v>
      </c>
      <c r="AG21" s="112">
        <f t="shared" si="1"/>
        <v>1</v>
      </c>
    </row>
    <row r="22" spans="1:34" x14ac:dyDescent="0.35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 x14ac:dyDescent="0.35">
      <c r="B25" t="s">
        <v>65</v>
      </c>
    </row>
    <row r="26" spans="1:34" x14ac:dyDescent="0.35">
      <c r="B26" s="5" t="s">
        <v>66</v>
      </c>
    </row>
    <row r="27" spans="1:34" x14ac:dyDescent="0.35">
      <c r="B27" s="5" t="s">
        <v>67</v>
      </c>
    </row>
    <row r="28" spans="1:34" x14ac:dyDescent="0.35">
      <c r="B28" s="1" t="s">
        <v>68</v>
      </c>
    </row>
    <row r="29" spans="1:34" x14ac:dyDescent="0.35">
      <c r="B29" s="7" t="s">
        <v>69</v>
      </c>
    </row>
    <row r="30" spans="1:34" x14ac:dyDescent="0.35">
      <c r="B30" s="3" t="s">
        <v>70</v>
      </c>
    </row>
    <row r="31" spans="1:34" x14ac:dyDescent="0.35">
      <c r="B31" s="5" t="s">
        <v>71</v>
      </c>
    </row>
    <row r="32" spans="1:34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G1"/>
  </mergeCells>
  <conditionalFormatting sqref="C21:AG23">
    <cfRule type="cellIs" dxfId="4" priority="1" operator="equal">
      <formula>1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2B92-488E-40C6-9E10-5B88C88F0D5E}">
  <dimension ref="A1:AG37"/>
  <sheetViews>
    <sheetView workbookViewId="0">
      <selection activeCell="W14" sqref="W14:AA14"/>
    </sheetView>
  </sheetViews>
  <sheetFormatPr baseColWidth="10" defaultColWidth="8.81640625" defaultRowHeight="14.5" x14ac:dyDescent="0.35"/>
  <cols>
    <col min="2" max="2" width="25.54296875" customWidth="1"/>
    <col min="3" max="32" width="4.7265625" customWidth="1"/>
    <col min="33" max="33" width="9.54296875" style="91" customWidth="1"/>
  </cols>
  <sheetData>
    <row r="1" spans="1:33" ht="24" customHeight="1" x14ac:dyDescent="0.35">
      <c r="A1" s="6"/>
      <c r="B1" s="175"/>
      <c r="C1" s="190" t="s">
        <v>113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/>
    </row>
    <row r="2" spans="1:33" x14ac:dyDescent="0.35">
      <c r="A2" s="6"/>
      <c r="B2" s="175"/>
      <c r="C2" s="84" t="s">
        <v>1</v>
      </c>
      <c r="D2" s="85" t="s">
        <v>2</v>
      </c>
      <c r="E2" s="85" t="s">
        <v>3</v>
      </c>
      <c r="F2" s="85" t="s">
        <v>4</v>
      </c>
      <c r="G2" s="83" t="s">
        <v>5</v>
      </c>
      <c r="H2" s="83" t="s">
        <v>6</v>
      </c>
      <c r="I2" s="84" t="s">
        <v>7</v>
      </c>
      <c r="J2" s="84" t="s">
        <v>1</v>
      </c>
      <c r="K2" s="85" t="s">
        <v>2</v>
      </c>
      <c r="L2" s="85" t="s">
        <v>3</v>
      </c>
      <c r="M2" s="85" t="s">
        <v>4</v>
      </c>
      <c r="N2" s="83" t="s">
        <v>5</v>
      </c>
      <c r="O2" s="83" t="s">
        <v>6</v>
      </c>
      <c r="P2" s="84" t="s">
        <v>7</v>
      </c>
      <c r="Q2" s="84" t="s">
        <v>1</v>
      </c>
      <c r="R2" s="85" t="s">
        <v>2</v>
      </c>
      <c r="S2" s="85" t="s">
        <v>3</v>
      </c>
      <c r="T2" s="85" t="s">
        <v>4</v>
      </c>
      <c r="U2" s="83" t="s">
        <v>5</v>
      </c>
      <c r="V2" s="83" t="s">
        <v>6</v>
      </c>
      <c r="W2" s="84" t="s">
        <v>7</v>
      </c>
      <c r="X2" s="84" t="s">
        <v>1</v>
      </c>
      <c r="Y2" s="85" t="s">
        <v>2</v>
      </c>
      <c r="Z2" s="85" t="s">
        <v>3</v>
      </c>
      <c r="AA2" s="85" t="s">
        <v>4</v>
      </c>
      <c r="AB2" s="83" t="s">
        <v>5</v>
      </c>
      <c r="AC2" s="83" t="s">
        <v>6</v>
      </c>
      <c r="AD2" s="84" t="s">
        <v>7</v>
      </c>
      <c r="AE2" s="84" t="s">
        <v>1</v>
      </c>
      <c r="AF2" s="85" t="s">
        <v>2</v>
      </c>
      <c r="AG2"/>
    </row>
    <row r="3" spans="1:33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 x14ac:dyDescent="0.35">
      <c r="A4" s="63" t="s">
        <v>12</v>
      </c>
      <c r="B4" s="62" t="s">
        <v>13</v>
      </c>
      <c r="C4" s="1" t="s">
        <v>14</v>
      </c>
      <c r="D4" s="1" t="s">
        <v>14</v>
      </c>
      <c r="E4" s="1" t="s">
        <v>14</v>
      </c>
      <c r="F4" s="1" t="s">
        <v>14</v>
      </c>
      <c r="G4" s="5" t="s">
        <v>15</v>
      </c>
      <c r="H4" s="5" t="s">
        <v>15</v>
      </c>
      <c r="I4" s="28" t="s">
        <v>7</v>
      </c>
      <c r="J4" s="28" t="s">
        <v>7</v>
      </c>
      <c r="K4" s="28" t="s">
        <v>7</v>
      </c>
      <c r="L4" s="28" t="s">
        <v>7</v>
      </c>
      <c r="M4" s="28" t="s">
        <v>7</v>
      </c>
      <c r="N4" s="28" t="s">
        <v>7</v>
      </c>
      <c r="O4" s="28" t="s">
        <v>7</v>
      </c>
      <c r="P4" s="5" t="s">
        <v>14</v>
      </c>
      <c r="Q4" s="5" t="s">
        <v>14</v>
      </c>
      <c r="R4" s="5" t="s">
        <v>14</v>
      </c>
      <c r="S4" s="5" t="s">
        <v>14</v>
      </c>
      <c r="T4" s="5" t="s">
        <v>14</v>
      </c>
      <c r="U4" s="5" t="s">
        <v>15</v>
      </c>
      <c r="V4" s="5" t="s">
        <v>15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7" t="s">
        <v>20</v>
      </c>
      <c r="AE4" s="7" t="s">
        <v>20</v>
      </c>
      <c r="AF4" s="7" t="s">
        <v>20</v>
      </c>
      <c r="AG4"/>
    </row>
    <row r="5" spans="1:33" x14ac:dyDescent="0.35">
      <c r="A5" s="34" t="s">
        <v>12</v>
      </c>
      <c r="B5" s="33" t="s">
        <v>19</v>
      </c>
      <c r="C5" s="7" t="s">
        <v>20</v>
      </c>
      <c r="D5" s="7" t="s">
        <v>20</v>
      </c>
      <c r="E5" s="7" t="s">
        <v>20</v>
      </c>
      <c r="F5" s="7" t="s">
        <v>20</v>
      </c>
      <c r="G5" s="28" t="s">
        <v>7</v>
      </c>
      <c r="H5" s="28" t="s">
        <v>7</v>
      </c>
      <c r="I5" s="1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5" t="s">
        <v>15</v>
      </c>
      <c r="O5" s="5" t="s">
        <v>15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28" t="s">
        <v>7</v>
      </c>
      <c r="V5" s="28" t="s">
        <v>7</v>
      </c>
      <c r="W5" s="5" t="s">
        <v>14</v>
      </c>
      <c r="X5" s="5" t="s">
        <v>14</v>
      </c>
      <c r="Y5" s="5" t="s">
        <v>14</v>
      </c>
      <c r="Z5" s="5" t="s">
        <v>14</v>
      </c>
      <c r="AA5" s="5" t="s">
        <v>14</v>
      </c>
      <c r="AB5" s="5" t="s">
        <v>15</v>
      </c>
      <c r="AC5" s="5" t="s">
        <v>15</v>
      </c>
      <c r="AD5" s="28" t="s">
        <v>7</v>
      </c>
      <c r="AE5" s="28" t="s">
        <v>7</v>
      </c>
      <c r="AF5" s="28" t="s">
        <v>7</v>
      </c>
      <c r="AG5"/>
    </row>
    <row r="6" spans="1:33" x14ac:dyDescent="0.35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7" t="s">
        <v>20</v>
      </c>
      <c r="J6" s="7" t="s">
        <v>20</v>
      </c>
      <c r="K6" s="7" t="s">
        <v>20</v>
      </c>
      <c r="L6" s="7" t="s">
        <v>20</v>
      </c>
      <c r="M6" s="7" t="s">
        <v>20</v>
      </c>
      <c r="N6" s="28" t="s">
        <v>7</v>
      </c>
      <c r="O6" s="28" t="s">
        <v>7</v>
      </c>
      <c r="P6" s="1" t="s">
        <v>14</v>
      </c>
      <c r="Q6" s="1" t="s">
        <v>14</v>
      </c>
      <c r="R6" s="1" t="s">
        <v>14</v>
      </c>
      <c r="S6" s="1" t="s">
        <v>14</v>
      </c>
      <c r="T6" s="1" t="s">
        <v>14</v>
      </c>
      <c r="U6" s="5" t="s">
        <v>15</v>
      </c>
      <c r="V6" s="5" t="s">
        <v>15</v>
      </c>
      <c r="W6" s="28" t="s">
        <v>7</v>
      </c>
      <c r="X6" s="28" t="s">
        <v>7</v>
      </c>
      <c r="Y6" s="28" t="s">
        <v>7</v>
      </c>
      <c r="Z6" s="28" t="s">
        <v>7</v>
      </c>
      <c r="AA6" s="28" t="s">
        <v>7</v>
      </c>
      <c r="AB6" s="28" t="s">
        <v>7</v>
      </c>
      <c r="AC6" s="28" t="s">
        <v>7</v>
      </c>
      <c r="AD6" s="5" t="s">
        <v>14</v>
      </c>
      <c r="AE6" s="5" t="s">
        <v>14</v>
      </c>
      <c r="AF6" s="5" t="s">
        <v>14</v>
      </c>
      <c r="AG6"/>
    </row>
    <row r="7" spans="1:33" x14ac:dyDescent="0.35">
      <c r="A7" s="34" t="s">
        <v>12</v>
      </c>
      <c r="B7" s="33" t="s">
        <v>22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15</v>
      </c>
      <c r="H7" s="5" t="s">
        <v>15</v>
      </c>
      <c r="I7" s="28" t="s">
        <v>7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7" t="s">
        <v>20</v>
      </c>
      <c r="Q7" s="7" t="s">
        <v>20</v>
      </c>
      <c r="R7" s="7" t="s">
        <v>20</v>
      </c>
      <c r="S7" s="7" t="s">
        <v>20</v>
      </c>
      <c r="T7" s="7" t="s">
        <v>20</v>
      </c>
      <c r="U7" s="28" t="s">
        <v>7</v>
      </c>
      <c r="V7" s="28" t="s">
        <v>7</v>
      </c>
      <c r="W7" s="1" t="s">
        <v>14</v>
      </c>
      <c r="X7" s="1" t="s">
        <v>14</v>
      </c>
      <c r="Y7" s="1" t="s">
        <v>14</v>
      </c>
      <c r="Z7" s="1" t="s">
        <v>14</v>
      </c>
      <c r="AA7" s="1" t="s">
        <v>14</v>
      </c>
      <c r="AB7" s="5" t="s">
        <v>15</v>
      </c>
      <c r="AC7" s="5" t="s">
        <v>15</v>
      </c>
      <c r="AD7" s="28" t="s">
        <v>7</v>
      </c>
      <c r="AE7" s="28" t="s">
        <v>7</v>
      </c>
      <c r="AF7" s="28" t="s">
        <v>7</v>
      </c>
      <c r="AG7"/>
    </row>
    <row r="8" spans="1:33" x14ac:dyDescent="0.35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28" t="s">
        <v>7</v>
      </c>
      <c r="H8" s="28" t="s">
        <v>7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  <c r="N8" s="5" t="s">
        <v>15</v>
      </c>
      <c r="O8" s="5" t="s">
        <v>15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28" t="s">
        <v>7</v>
      </c>
      <c r="W8" s="7" t="s">
        <v>20</v>
      </c>
      <c r="X8" s="7" t="s">
        <v>20</v>
      </c>
      <c r="Y8" s="7" t="s">
        <v>20</v>
      </c>
      <c r="Z8" s="7" t="s">
        <v>20</v>
      </c>
      <c r="AA8" s="7" t="s">
        <v>20</v>
      </c>
      <c r="AB8" s="28" t="s">
        <v>7</v>
      </c>
      <c r="AC8" s="28" t="s">
        <v>7</v>
      </c>
      <c r="AD8" s="1" t="s">
        <v>14</v>
      </c>
      <c r="AE8" s="1" t="s">
        <v>14</v>
      </c>
      <c r="AF8" s="1" t="s">
        <v>14</v>
      </c>
      <c r="AG8"/>
    </row>
    <row r="9" spans="1:33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 x14ac:dyDescent="0.35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/>
    </row>
    <row r="11" spans="1:33" x14ac:dyDescent="0.35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/>
    </row>
    <row r="12" spans="1:33" x14ac:dyDescent="0.35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/>
    </row>
    <row r="13" spans="1:33" x14ac:dyDescent="0.35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/>
    </row>
    <row r="14" spans="1:33" x14ac:dyDescent="0.35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/>
    </row>
    <row r="15" spans="1:33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 x14ac:dyDescent="0.35">
      <c r="A16" s="34" t="s">
        <v>28</v>
      </c>
      <c r="B16" s="33" t="s">
        <v>29</v>
      </c>
      <c r="C16" s="25" t="s">
        <v>11</v>
      </c>
      <c r="D16" s="25" t="s">
        <v>11</v>
      </c>
      <c r="E16" s="25" t="s">
        <v>11</v>
      </c>
      <c r="F16" s="25" t="s">
        <v>11</v>
      </c>
      <c r="G16" s="28" t="s">
        <v>7</v>
      </c>
      <c r="H16" s="28" t="s">
        <v>7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28" t="s">
        <v>7</v>
      </c>
      <c r="O16" s="28" t="s">
        <v>7</v>
      </c>
      <c r="P16" s="4" t="s">
        <v>85</v>
      </c>
      <c r="Q16" s="4" t="s">
        <v>85</v>
      </c>
      <c r="R16" s="4" t="s">
        <v>85</v>
      </c>
      <c r="S16" s="4" t="s">
        <v>85</v>
      </c>
      <c r="T16" s="4" t="s">
        <v>85</v>
      </c>
      <c r="U16" s="28" t="s">
        <v>7</v>
      </c>
      <c r="V16" s="28" t="s">
        <v>7</v>
      </c>
      <c r="W16" s="25" t="s">
        <v>11</v>
      </c>
      <c r="X16" s="25" t="s">
        <v>11</v>
      </c>
      <c r="Y16" s="25" t="s">
        <v>11</v>
      </c>
      <c r="Z16" s="25" t="s">
        <v>11</v>
      </c>
      <c r="AA16" s="25" t="s">
        <v>11</v>
      </c>
      <c r="AB16" s="28" t="s">
        <v>7</v>
      </c>
      <c r="AC16" s="28" t="s">
        <v>7</v>
      </c>
      <c r="AD16" s="4" t="s">
        <v>14</v>
      </c>
      <c r="AE16" s="4" t="s">
        <v>14</v>
      </c>
      <c r="AF16" s="4" t="s">
        <v>14</v>
      </c>
      <c r="AG16"/>
    </row>
    <row r="17" spans="1:33" x14ac:dyDescent="0.35">
      <c r="A17" s="34" t="s">
        <v>28</v>
      </c>
      <c r="B17" s="35" t="s">
        <v>60</v>
      </c>
      <c r="C17" s="4" t="s">
        <v>85</v>
      </c>
      <c r="D17" s="4" t="s">
        <v>85</v>
      </c>
      <c r="E17" s="4" t="s">
        <v>85</v>
      </c>
      <c r="F17" s="4" t="s">
        <v>85</v>
      </c>
      <c r="G17" s="28" t="s">
        <v>7</v>
      </c>
      <c r="H17" s="28" t="s">
        <v>7</v>
      </c>
      <c r="I17" s="25" t="s">
        <v>11</v>
      </c>
      <c r="J17" s="25" t="s">
        <v>11</v>
      </c>
      <c r="K17" s="25" t="s">
        <v>11</v>
      </c>
      <c r="L17" s="25" t="s">
        <v>11</v>
      </c>
      <c r="M17" s="25" t="s">
        <v>11</v>
      </c>
      <c r="N17" s="28" t="s">
        <v>7</v>
      </c>
      <c r="O17" s="28" t="s">
        <v>7</v>
      </c>
      <c r="P17" s="4" t="s">
        <v>14</v>
      </c>
      <c r="Q17" s="4" t="s">
        <v>14</v>
      </c>
      <c r="R17" s="4" t="s">
        <v>14</v>
      </c>
      <c r="S17" s="4" t="s">
        <v>14</v>
      </c>
      <c r="T17" s="4" t="s">
        <v>14</v>
      </c>
      <c r="U17" s="28" t="s">
        <v>7</v>
      </c>
      <c r="V17" s="28" t="s">
        <v>7</v>
      </c>
      <c r="W17" s="4" t="s">
        <v>85</v>
      </c>
      <c r="X17" s="4" t="s">
        <v>85</v>
      </c>
      <c r="Y17" s="4" t="s">
        <v>85</v>
      </c>
      <c r="Z17" s="4" t="s">
        <v>85</v>
      </c>
      <c r="AA17" s="4" t="s">
        <v>85</v>
      </c>
      <c r="AB17" s="28" t="s">
        <v>7</v>
      </c>
      <c r="AC17" s="28" t="s">
        <v>7</v>
      </c>
      <c r="AD17" s="25" t="s">
        <v>11</v>
      </c>
      <c r="AE17" s="25" t="s">
        <v>11</v>
      </c>
      <c r="AF17" s="25" t="s">
        <v>11</v>
      </c>
      <c r="AG17"/>
    </row>
    <row r="18" spans="1:33" x14ac:dyDescent="0.35">
      <c r="A18" s="34" t="s">
        <v>28</v>
      </c>
      <c r="B18" s="35" t="s">
        <v>34</v>
      </c>
      <c r="C18" s="4" t="s">
        <v>14</v>
      </c>
      <c r="D18" s="4" t="s">
        <v>14</v>
      </c>
      <c r="E18" s="4" t="s">
        <v>14</v>
      </c>
      <c r="F18" s="4" t="s">
        <v>14</v>
      </c>
      <c r="G18" s="28" t="s">
        <v>7</v>
      </c>
      <c r="H18" s="28" t="s">
        <v>7</v>
      </c>
      <c r="I18" s="4" t="s">
        <v>85</v>
      </c>
      <c r="J18" s="4" t="s">
        <v>85</v>
      </c>
      <c r="K18" s="4" t="s">
        <v>85</v>
      </c>
      <c r="L18" s="4" t="s">
        <v>85</v>
      </c>
      <c r="M18" s="4" t="s">
        <v>85</v>
      </c>
      <c r="N18" s="28" t="s">
        <v>7</v>
      </c>
      <c r="O18" s="28" t="s">
        <v>7</v>
      </c>
      <c r="P18" s="25" t="s">
        <v>11</v>
      </c>
      <c r="Q18" s="25" t="s">
        <v>11</v>
      </c>
      <c r="R18" s="25" t="s">
        <v>11</v>
      </c>
      <c r="S18" s="25" t="s">
        <v>11</v>
      </c>
      <c r="T18" s="25" t="s">
        <v>11</v>
      </c>
      <c r="U18" s="28" t="s">
        <v>7</v>
      </c>
      <c r="V18" s="28" t="s">
        <v>7</v>
      </c>
      <c r="W18" s="4" t="s">
        <v>14</v>
      </c>
      <c r="X18" s="4" t="s">
        <v>14</v>
      </c>
      <c r="Y18" s="4" t="s">
        <v>14</v>
      </c>
      <c r="Z18" s="4" t="s">
        <v>14</v>
      </c>
      <c r="AA18" s="4" t="s">
        <v>14</v>
      </c>
      <c r="AB18" s="28" t="s">
        <v>7</v>
      </c>
      <c r="AC18" s="28" t="s">
        <v>7</v>
      </c>
      <c r="AD18" s="4" t="s">
        <v>85</v>
      </c>
      <c r="AE18" s="4" t="s">
        <v>85</v>
      </c>
      <c r="AF18" s="4" t="s">
        <v>85</v>
      </c>
      <c r="AG18"/>
    </row>
    <row r="19" spans="1:33" x14ac:dyDescent="0.35">
      <c r="AG19"/>
    </row>
    <row r="20" spans="1:33" x14ac:dyDescent="0.35">
      <c r="B20" s="111" t="s">
        <v>89</v>
      </c>
      <c r="C20" s="110">
        <f t="shared" ref="C20:AF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2</v>
      </c>
      <c r="H20" s="110">
        <f t="shared" si="0"/>
        <v>2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2</v>
      </c>
      <c r="O20" s="110">
        <f t="shared" si="0"/>
        <v>2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2</v>
      </c>
      <c r="V20" s="110">
        <f t="shared" si="0"/>
        <v>2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2</v>
      </c>
      <c r="AC20" s="110">
        <f t="shared" si="0"/>
        <v>2</v>
      </c>
      <c r="AD20" s="110">
        <f t="shared" si="0"/>
        <v>3</v>
      </c>
      <c r="AE20" s="110">
        <f t="shared" si="0"/>
        <v>3</v>
      </c>
      <c r="AF20" s="110">
        <f t="shared" si="0"/>
        <v>3</v>
      </c>
    </row>
    <row r="21" spans="1:33" x14ac:dyDescent="0.35">
      <c r="B21" s="111" t="s">
        <v>90</v>
      </c>
      <c r="C21" s="112">
        <f t="shared" ref="C21:AF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0</v>
      </c>
      <c r="H21" s="112">
        <f t="shared" si="1"/>
        <v>0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0</v>
      </c>
      <c r="O21" s="112">
        <f t="shared" si="1"/>
        <v>0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0</v>
      </c>
      <c r="V21" s="112">
        <f t="shared" si="1"/>
        <v>0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0</v>
      </c>
      <c r="AC21" s="112">
        <f t="shared" si="1"/>
        <v>0</v>
      </c>
      <c r="AD21" s="112">
        <f t="shared" si="1"/>
        <v>1</v>
      </c>
      <c r="AE21" s="112">
        <f t="shared" si="1"/>
        <v>1</v>
      </c>
      <c r="AF21" s="112">
        <f t="shared" si="1"/>
        <v>1</v>
      </c>
    </row>
    <row r="22" spans="1:33" x14ac:dyDescent="0.35">
      <c r="B22" s="111" t="s">
        <v>91</v>
      </c>
      <c r="C22" s="112">
        <f t="shared" ref="C22:AF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</row>
    <row r="23" spans="1:33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F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5" spans="1:33" x14ac:dyDescent="0.35">
      <c r="B25" t="s">
        <v>65</v>
      </c>
    </row>
    <row r="26" spans="1:33" x14ac:dyDescent="0.35">
      <c r="B26" s="5" t="s">
        <v>66</v>
      </c>
    </row>
    <row r="27" spans="1:33" x14ac:dyDescent="0.35">
      <c r="B27" s="5" t="s">
        <v>67</v>
      </c>
    </row>
    <row r="28" spans="1:33" x14ac:dyDescent="0.35">
      <c r="B28" s="1" t="s">
        <v>68</v>
      </c>
    </row>
    <row r="29" spans="1:33" x14ac:dyDescent="0.35">
      <c r="B29" s="7" t="s">
        <v>69</v>
      </c>
    </row>
    <row r="30" spans="1:33" x14ac:dyDescent="0.35">
      <c r="B30" s="3" t="s">
        <v>70</v>
      </c>
    </row>
    <row r="31" spans="1:33" x14ac:dyDescent="0.35">
      <c r="B31" s="5" t="s">
        <v>71</v>
      </c>
    </row>
    <row r="32" spans="1:33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F1"/>
  </mergeCells>
  <conditionalFormatting sqref="C21:AF23">
    <cfRule type="cellIs" dxfId="3" priority="1" operator="equal">
      <formula>1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3CA3-F73B-4CBB-BDAC-475ED78834C7}">
  <dimension ref="A1:AH37"/>
  <sheetViews>
    <sheetView topLeftCell="B3" workbookViewId="0">
      <selection activeCell="C10" sqref="C10:AG14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75"/>
      <c r="C1" s="190" t="s">
        <v>114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</row>
    <row r="2" spans="1:34" x14ac:dyDescent="0.35">
      <c r="A2" s="6"/>
      <c r="B2" s="175"/>
      <c r="C2" s="85" t="s">
        <v>3</v>
      </c>
      <c r="D2" s="85" t="s">
        <v>4</v>
      </c>
      <c r="E2" s="83" t="s">
        <v>5</v>
      </c>
      <c r="F2" s="83" t="s">
        <v>6</v>
      </c>
      <c r="G2" s="84" t="s">
        <v>7</v>
      </c>
      <c r="H2" s="84" t="s">
        <v>1</v>
      </c>
      <c r="I2" s="85" t="s">
        <v>2</v>
      </c>
      <c r="J2" s="85" t="s">
        <v>3</v>
      </c>
      <c r="K2" s="85" t="s">
        <v>4</v>
      </c>
      <c r="L2" s="83" t="s">
        <v>5</v>
      </c>
      <c r="M2" s="83" t="s">
        <v>6</v>
      </c>
      <c r="N2" s="84" t="s">
        <v>7</v>
      </c>
      <c r="O2" s="84" t="s">
        <v>1</v>
      </c>
      <c r="P2" s="85" t="s">
        <v>2</v>
      </c>
      <c r="Q2" s="85" t="s">
        <v>3</v>
      </c>
      <c r="R2" s="85" t="s">
        <v>4</v>
      </c>
      <c r="S2" s="83" t="s">
        <v>5</v>
      </c>
      <c r="T2" s="83" t="s">
        <v>6</v>
      </c>
      <c r="U2" s="84" t="s">
        <v>7</v>
      </c>
      <c r="V2" s="84" t="s">
        <v>1</v>
      </c>
      <c r="W2" s="85" t="s">
        <v>2</v>
      </c>
      <c r="X2" s="85" t="s">
        <v>3</v>
      </c>
      <c r="Y2" s="85" t="s">
        <v>4</v>
      </c>
      <c r="Z2" s="83" t="s">
        <v>5</v>
      </c>
      <c r="AA2" s="83" t="s">
        <v>6</v>
      </c>
      <c r="AB2" s="84" t="s">
        <v>7</v>
      </c>
      <c r="AC2" s="84" t="s">
        <v>1</v>
      </c>
      <c r="AD2" s="85" t="s">
        <v>2</v>
      </c>
      <c r="AE2" s="85" t="s">
        <v>3</v>
      </c>
      <c r="AF2" s="85" t="s">
        <v>4</v>
      </c>
      <c r="AG2" s="83" t="s">
        <v>5</v>
      </c>
      <c r="AH2"/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 x14ac:dyDescent="0.35">
      <c r="A4" s="63" t="s">
        <v>12</v>
      </c>
      <c r="B4" s="62" t="s">
        <v>13</v>
      </c>
      <c r="C4" s="7" t="s">
        <v>20</v>
      </c>
      <c r="D4" s="7" t="s">
        <v>20</v>
      </c>
      <c r="E4" s="28" t="s">
        <v>7</v>
      </c>
      <c r="F4" s="28" t="s">
        <v>7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5" t="s">
        <v>15</v>
      </c>
      <c r="M4" s="5" t="s">
        <v>15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28" t="s">
        <v>7</v>
      </c>
      <c r="U4" s="5" t="s">
        <v>14</v>
      </c>
      <c r="V4" s="5" t="s">
        <v>14</v>
      </c>
      <c r="W4" s="5" t="s">
        <v>14</v>
      </c>
      <c r="X4" s="5" t="s">
        <v>14</v>
      </c>
      <c r="Y4" s="5" t="s">
        <v>14</v>
      </c>
      <c r="Z4" s="5" t="s">
        <v>15</v>
      </c>
      <c r="AA4" s="5" t="s">
        <v>15</v>
      </c>
      <c r="AB4" s="28" t="s">
        <v>7</v>
      </c>
      <c r="AC4" s="28" t="s">
        <v>7</v>
      </c>
      <c r="AD4" s="28" t="s">
        <v>7</v>
      </c>
      <c r="AE4" s="28" t="s">
        <v>7</v>
      </c>
      <c r="AF4" s="28" t="s">
        <v>7</v>
      </c>
      <c r="AG4" s="28" t="s">
        <v>7</v>
      </c>
      <c r="AH4"/>
    </row>
    <row r="5" spans="1:34" x14ac:dyDescent="0.35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28" t="s">
        <v>7</v>
      </c>
      <c r="G5" s="7" t="s">
        <v>20</v>
      </c>
      <c r="H5" s="7" t="s">
        <v>20</v>
      </c>
      <c r="I5" s="7" t="s">
        <v>20</v>
      </c>
      <c r="J5" s="7" t="s">
        <v>20</v>
      </c>
      <c r="K5" s="7" t="s">
        <v>20</v>
      </c>
      <c r="L5" s="28" t="s">
        <v>7</v>
      </c>
      <c r="M5" s="28" t="s">
        <v>7</v>
      </c>
      <c r="N5" s="1" t="s">
        <v>14</v>
      </c>
      <c r="O5" s="1" t="s">
        <v>14</v>
      </c>
      <c r="P5" s="1" t="s">
        <v>14</v>
      </c>
      <c r="Q5" s="1" t="s">
        <v>14</v>
      </c>
      <c r="R5" s="1" t="s">
        <v>14</v>
      </c>
      <c r="S5" s="5" t="s">
        <v>15</v>
      </c>
      <c r="T5" s="5" t="s">
        <v>15</v>
      </c>
      <c r="U5" s="28" t="s">
        <v>7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28" t="s">
        <v>7</v>
      </c>
      <c r="AB5" s="5" t="s">
        <v>14</v>
      </c>
      <c r="AC5" s="5" t="s">
        <v>14</v>
      </c>
      <c r="AD5" s="5" t="s">
        <v>14</v>
      </c>
      <c r="AE5" s="5" t="s">
        <v>14</v>
      </c>
      <c r="AF5" s="5" t="s">
        <v>14</v>
      </c>
      <c r="AG5" s="5" t="s">
        <v>15</v>
      </c>
      <c r="AH5"/>
    </row>
    <row r="6" spans="1:34" x14ac:dyDescent="0.35">
      <c r="A6" s="34" t="s">
        <v>12</v>
      </c>
      <c r="B6" s="33" t="s">
        <v>21</v>
      </c>
      <c r="C6" s="5" t="s">
        <v>14</v>
      </c>
      <c r="D6" s="5" t="s">
        <v>14</v>
      </c>
      <c r="E6" s="5" t="s">
        <v>15</v>
      </c>
      <c r="F6" s="5" t="s">
        <v>15</v>
      </c>
      <c r="G6" s="28" t="s">
        <v>7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28" t="s">
        <v>7</v>
      </c>
      <c r="N6" s="7" t="s">
        <v>20</v>
      </c>
      <c r="O6" s="7" t="s">
        <v>20</v>
      </c>
      <c r="P6" s="7" t="s">
        <v>20</v>
      </c>
      <c r="Q6" s="7" t="s">
        <v>20</v>
      </c>
      <c r="R6" s="7" t="s">
        <v>20</v>
      </c>
      <c r="S6" s="28" t="s">
        <v>7</v>
      </c>
      <c r="T6" s="28" t="s">
        <v>7</v>
      </c>
      <c r="U6" s="1" t="s">
        <v>14</v>
      </c>
      <c r="V6" s="1" t="s">
        <v>14</v>
      </c>
      <c r="W6" s="1" t="s">
        <v>14</v>
      </c>
      <c r="X6" s="1" t="s">
        <v>14</v>
      </c>
      <c r="Y6" s="1" t="s">
        <v>14</v>
      </c>
      <c r="Z6" s="5" t="s">
        <v>15</v>
      </c>
      <c r="AA6" s="5" t="s">
        <v>15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28" t="s">
        <v>7</v>
      </c>
      <c r="AH6"/>
    </row>
    <row r="7" spans="1:34" x14ac:dyDescent="0.35">
      <c r="A7" s="34" t="s">
        <v>12</v>
      </c>
      <c r="B7" s="33" t="s">
        <v>22</v>
      </c>
      <c r="C7" s="28" t="s">
        <v>7</v>
      </c>
      <c r="D7" s="28" t="s">
        <v>7</v>
      </c>
      <c r="E7" s="28" t="s">
        <v>7</v>
      </c>
      <c r="F7" s="28" t="s">
        <v>7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15</v>
      </c>
      <c r="M7" s="5" t="s">
        <v>15</v>
      </c>
      <c r="N7" s="28" t="s">
        <v>7</v>
      </c>
      <c r="O7" s="28" t="s">
        <v>7</v>
      </c>
      <c r="P7" s="28" t="s">
        <v>7</v>
      </c>
      <c r="Q7" s="28" t="s">
        <v>7</v>
      </c>
      <c r="R7" s="28" t="s">
        <v>7</v>
      </c>
      <c r="S7" s="28" t="s">
        <v>7</v>
      </c>
      <c r="T7" s="28" t="s">
        <v>7</v>
      </c>
      <c r="U7" s="7" t="s">
        <v>20</v>
      </c>
      <c r="V7" s="7" t="s">
        <v>20</v>
      </c>
      <c r="W7" s="7" t="s">
        <v>20</v>
      </c>
      <c r="X7" s="7" t="s">
        <v>20</v>
      </c>
      <c r="Y7" s="7" t="s">
        <v>20</v>
      </c>
      <c r="Z7" s="28" t="s">
        <v>7</v>
      </c>
      <c r="AA7" s="28" t="s">
        <v>7</v>
      </c>
      <c r="AB7" s="1" t="s">
        <v>14</v>
      </c>
      <c r="AC7" s="1" t="s">
        <v>14</v>
      </c>
      <c r="AD7" s="1" t="s">
        <v>14</v>
      </c>
      <c r="AE7" s="1" t="s">
        <v>14</v>
      </c>
      <c r="AF7" s="1" t="s">
        <v>14</v>
      </c>
      <c r="AG7" s="5" t="s">
        <v>15</v>
      </c>
      <c r="AH7"/>
    </row>
    <row r="8" spans="1:34" x14ac:dyDescent="0.35">
      <c r="A8" s="34" t="s">
        <v>12</v>
      </c>
      <c r="B8" s="33" t="s">
        <v>59</v>
      </c>
      <c r="C8" s="1" t="s">
        <v>14</v>
      </c>
      <c r="D8" s="1" t="s">
        <v>14</v>
      </c>
      <c r="E8" s="5" t="s">
        <v>15</v>
      </c>
      <c r="F8" s="5" t="s">
        <v>15</v>
      </c>
      <c r="G8" s="28" t="s">
        <v>7</v>
      </c>
      <c r="H8" s="28" t="s">
        <v>7</v>
      </c>
      <c r="I8" s="28" t="s">
        <v>7</v>
      </c>
      <c r="J8" s="28" t="s">
        <v>7</v>
      </c>
      <c r="K8" s="28" t="s">
        <v>7</v>
      </c>
      <c r="L8" s="28" t="s">
        <v>7</v>
      </c>
      <c r="M8" s="28" t="s">
        <v>7</v>
      </c>
      <c r="N8" s="5" t="s">
        <v>14</v>
      </c>
      <c r="O8" s="5" t="s">
        <v>14</v>
      </c>
      <c r="P8" s="5" t="s">
        <v>14</v>
      </c>
      <c r="Q8" s="5" t="s">
        <v>14</v>
      </c>
      <c r="R8" s="5" t="s">
        <v>14</v>
      </c>
      <c r="S8" s="5" t="s">
        <v>15</v>
      </c>
      <c r="T8" s="5" t="s">
        <v>15</v>
      </c>
      <c r="U8" s="28" t="s">
        <v>7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28" t="s">
        <v>7</v>
      </c>
      <c r="AB8" s="7" t="s">
        <v>20</v>
      </c>
      <c r="AC8" s="7" t="s">
        <v>20</v>
      </c>
      <c r="AD8" s="7" t="s">
        <v>20</v>
      </c>
      <c r="AE8" s="7" t="s">
        <v>20</v>
      </c>
      <c r="AF8" s="7" t="s">
        <v>20</v>
      </c>
      <c r="AG8" s="28" t="s">
        <v>7</v>
      </c>
      <c r="AH8"/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 x14ac:dyDescent="0.35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 s="123" t="s">
        <v>7</v>
      </c>
      <c r="AH10"/>
    </row>
    <row r="11" spans="1:34" x14ac:dyDescent="0.35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 s="123" t="s">
        <v>7</v>
      </c>
      <c r="AH11"/>
    </row>
    <row r="12" spans="1:34" x14ac:dyDescent="0.35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 s="123" t="s">
        <v>7</v>
      </c>
      <c r="AH12"/>
    </row>
    <row r="13" spans="1:34" x14ac:dyDescent="0.35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 s="123" t="s">
        <v>7</v>
      </c>
      <c r="AH13"/>
    </row>
    <row r="14" spans="1:34" x14ac:dyDescent="0.35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 s="123" t="s">
        <v>7</v>
      </c>
      <c r="AH14"/>
    </row>
    <row r="15" spans="1:34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 x14ac:dyDescent="0.35">
      <c r="A16" s="34" t="s">
        <v>28</v>
      </c>
      <c r="B16" s="33" t="s">
        <v>29</v>
      </c>
      <c r="C16" s="4" t="s">
        <v>14</v>
      </c>
      <c r="D16" s="4" t="s">
        <v>14</v>
      </c>
      <c r="E16" s="28" t="s">
        <v>7</v>
      </c>
      <c r="F16" s="28" t="s">
        <v>7</v>
      </c>
      <c r="G16" s="4" t="s">
        <v>85</v>
      </c>
      <c r="H16" s="4" t="s">
        <v>85</v>
      </c>
      <c r="I16" s="4" t="s">
        <v>85</v>
      </c>
      <c r="J16" s="4" t="s">
        <v>85</v>
      </c>
      <c r="K16" s="4" t="s">
        <v>85</v>
      </c>
      <c r="L16" s="28" t="s">
        <v>7</v>
      </c>
      <c r="M16" s="28" t="s">
        <v>7</v>
      </c>
      <c r="N16" s="25" t="s">
        <v>11</v>
      </c>
      <c r="O16" s="25" t="s">
        <v>11</v>
      </c>
      <c r="P16" s="25" t="s">
        <v>11</v>
      </c>
      <c r="Q16" s="25" t="s">
        <v>11</v>
      </c>
      <c r="R16" s="25" t="s">
        <v>11</v>
      </c>
      <c r="S16" s="28" t="s">
        <v>7</v>
      </c>
      <c r="T16" s="28" t="s">
        <v>7</v>
      </c>
      <c r="U16" s="4" t="s">
        <v>14</v>
      </c>
      <c r="V16" s="4" t="s">
        <v>14</v>
      </c>
      <c r="W16" s="4" t="s">
        <v>14</v>
      </c>
      <c r="X16" s="4" t="s">
        <v>14</v>
      </c>
      <c r="Y16" s="4" t="s">
        <v>14</v>
      </c>
      <c r="Z16" s="28" t="s">
        <v>7</v>
      </c>
      <c r="AA16" s="28" t="s">
        <v>7</v>
      </c>
      <c r="AB16" s="4" t="s">
        <v>85</v>
      </c>
      <c r="AC16" s="4" t="s">
        <v>85</v>
      </c>
      <c r="AD16" s="4" t="s">
        <v>85</v>
      </c>
      <c r="AE16" s="4" t="s">
        <v>85</v>
      </c>
      <c r="AF16" s="4" t="s">
        <v>85</v>
      </c>
      <c r="AG16" s="28" t="s">
        <v>7</v>
      </c>
      <c r="AH16"/>
    </row>
    <row r="17" spans="1:34" x14ac:dyDescent="0.35">
      <c r="A17" s="34" t="s">
        <v>28</v>
      </c>
      <c r="B17" s="35" t="s">
        <v>60</v>
      </c>
      <c r="C17" s="25" t="s">
        <v>11</v>
      </c>
      <c r="D17" s="25" t="s">
        <v>11</v>
      </c>
      <c r="E17" s="28" t="s">
        <v>7</v>
      </c>
      <c r="F17" s="28" t="s">
        <v>7</v>
      </c>
      <c r="G17" s="4" t="s">
        <v>14</v>
      </c>
      <c r="H17" s="4" t="s">
        <v>14</v>
      </c>
      <c r="I17" s="4" t="s">
        <v>14</v>
      </c>
      <c r="J17" s="4" t="s">
        <v>14</v>
      </c>
      <c r="K17" s="4" t="s">
        <v>14</v>
      </c>
      <c r="L17" s="28" t="s">
        <v>7</v>
      </c>
      <c r="M17" s="28" t="s">
        <v>7</v>
      </c>
      <c r="N17" s="4" t="s">
        <v>85</v>
      </c>
      <c r="O17" s="4" t="s">
        <v>85</v>
      </c>
      <c r="P17" s="4" t="s">
        <v>85</v>
      </c>
      <c r="Q17" s="4" t="s">
        <v>85</v>
      </c>
      <c r="R17" s="4" t="s">
        <v>85</v>
      </c>
      <c r="S17" s="28" t="s">
        <v>7</v>
      </c>
      <c r="T17" s="28" t="s">
        <v>7</v>
      </c>
      <c r="U17" s="25" t="s">
        <v>11</v>
      </c>
      <c r="V17" s="25" t="s">
        <v>11</v>
      </c>
      <c r="W17" s="25" t="s">
        <v>11</v>
      </c>
      <c r="X17" s="25" t="s">
        <v>11</v>
      </c>
      <c r="Y17" s="25" t="s">
        <v>11</v>
      </c>
      <c r="Z17" s="28" t="s">
        <v>7</v>
      </c>
      <c r="AA17" s="28" t="s">
        <v>7</v>
      </c>
      <c r="AB17" s="4" t="s">
        <v>14</v>
      </c>
      <c r="AC17" s="4" t="s">
        <v>14</v>
      </c>
      <c r="AD17" s="4" t="s">
        <v>14</v>
      </c>
      <c r="AE17" s="4" t="s">
        <v>14</v>
      </c>
      <c r="AF17" s="4" t="s">
        <v>14</v>
      </c>
      <c r="AG17" s="28" t="s">
        <v>7</v>
      </c>
      <c r="AH17"/>
    </row>
    <row r="18" spans="1:34" x14ac:dyDescent="0.35">
      <c r="A18" s="34" t="s">
        <v>28</v>
      </c>
      <c r="B18" s="35" t="s">
        <v>34</v>
      </c>
      <c r="C18" s="4" t="s">
        <v>85</v>
      </c>
      <c r="D18" s="4" t="s">
        <v>85</v>
      </c>
      <c r="E18" s="28" t="s">
        <v>7</v>
      </c>
      <c r="F18" s="28" t="s">
        <v>7</v>
      </c>
      <c r="G18" s="25" t="s">
        <v>11</v>
      </c>
      <c r="H18" s="25" t="s">
        <v>11</v>
      </c>
      <c r="I18" s="25" t="s">
        <v>11</v>
      </c>
      <c r="J18" s="25" t="s">
        <v>11</v>
      </c>
      <c r="K18" s="25" t="s">
        <v>11</v>
      </c>
      <c r="L18" s="28" t="s">
        <v>7</v>
      </c>
      <c r="M18" s="28" t="s">
        <v>7</v>
      </c>
      <c r="N18" s="4" t="s">
        <v>14</v>
      </c>
      <c r="O18" s="4" t="s">
        <v>14</v>
      </c>
      <c r="P18" s="4" t="s">
        <v>14</v>
      </c>
      <c r="Q18" s="4" t="s">
        <v>14</v>
      </c>
      <c r="R18" s="4" t="s">
        <v>14</v>
      </c>
      <c r="S18" s="28" t="s">
        <v>7</v>
      </c>
      <c r="T18" s="28" t="s">
        <v>7</v>
      </c>
      <c r="U18" s="4" t="s">
        <v>85</v>
      </c>
      <c r="V18" s="4" t="s">
        <v>85</v>
      </c>
      <c r="W18" s="4" t="s">
        <v>85</v>
      </c>
      <c r="X18" s="4" t="s">
        <v>85</v>
      </c>
      <c r="Y18" s="4" t="s">
        <v>85</v>
      </c>
      <c r="Z18" s="28" t="s">
        <v>7</v>
      </c>
      <c r="AA18" s="28" t="s">
        <v>7</v>
      </c>
      <c r="AB18" s="25" t="s">
        <v>11</v>
      </c>
      <c r="AC18" s="25" t="s">
        <v>11</v>
      </c>
      <c r="AD18" s="25" t="s">
        <v>11</v>
      </c>
      <c r="AE18" s="25" t="s">
        <v>11</v>
      </c>
      <c r="AF18" s="25" t="s">
        <v>11</v>
      </c>
      <c r="AG18" s="28" t="s">
        <v>7</v>
      </c>
      <c r="AH18"/>
    </row>
    <row r="20" spans="1:34" x14ac:dyDescent="0.35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0</v>
      </c>
      <c r="F20" s="110">
        <f t="shared" si="0"/>
        <v>2</v>
      </c>
      <c r="G20" s="110">
        <f t="shared" si="0"/>
        <v>3</v>
      </c>
      <c r="H20" s="110">
        <f t="shared" si="0"/>
        <v>3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2</v>
      </c>
      <c r="M20" s="110">
        <f t="shared" si="0"/>
        <v>2</v>
      </c>
      <c r="N20" s="110">
        <f t="shared" si="0"/>
        <v>3</v>
      </c>
      <c r="O20" s="110">
        <f t="shared" si="0"/>
        <v>3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2</v>
      </c>
      <c r="T20" s="110">
        <f t="shared" si="0"/>
        <v>2</v>
      </c>
      <c r="U20" s="110">
        <f t="shared" si="0"/>
        <v>3</v>
      </c>
      <c r="V20" s="110">
        <f t="shared" si="0"/>
        <v>3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2</v>
      </c>
      <c r="AA20" s="110">
        <f t="shared" si="0"/>
        <v>2</v>
      </c>
      <c r="AB20" s="110">
        <f t="shared" si="0"/>
        <v>3</v>
      </c>
      <c r="AC20" s="110">
        <f t="shared" si="0"/>
        <v>3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2</v>
      </c>
    </row>
    <row r="21" spans="1:34" x14ac:dyDescent="0.35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0</v>
      </c>
      <c r="F21" s="112">
        <f t="shared" si="1"/>
        <v>0</v>
      </c>
      <c r="G21" s="112">
        <f t="shared" si="1"/>
        <v>1</v>
      </c>
      <c r="H21" s="112">
        <f t="shared" si="1"/>
        <v>1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0</v>
      </c>
      <c r="M21" s="112">
        <f t="shared" si="1"/>
        <v>0</v>
      </c>
      <c r="N21" s="112">
        <f t="shared" si="1"/>
        <v>1</v>
      </c>
      <c r="O21" s="112">
        <f t="shared" si="1"/>
        <v>1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0</v>
      </c>
      <c r="T21" s="112">
        <f t="shared" si="1"/>
        <v>0</v>
      </c>
      <c r="U21" s="112">
        <f t="shared" si="1"/>
        <v>1</v>
      </c>
      <c r="V21" s="112">
        <f t="shared" si="1"/>
        <v>1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0</v>
      </c>
      <c r="AA21" s="112">
        <f t="shared" si="1"/>
        <v>0</v>
      </c>
      <c r="AB21" s="112">
        <f t="shared" si="1"/>
        <v>1</v>
      </c>
      <c r="AC21" s="112">
        <f t="shared" si="1"/>
        <v>1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0</v>
      </c>
    </row>
    <row r="22" spans="1:34" x14ac:dyDescent="0.35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 x14ac:dyDescent="0.35">
      <c r="B25" t="s">
        <v>65</v>
      </c>
    </row>
    <row r="26" spans="1:34" x14ac:dyDescent="0.35">
      <c r="B26" s="5" t="s">
        <v>66</v>
      </c>
    </row>
    <row r="27" spans="1:34" x14ac:dyDescent="0.35">
      <c r="B27" s="5" t="s">
        <v>67</v>
      </c>
    </row>
    <row r="28" spans="1:34" x14ac:dyDescent="0.35">
      <c r="B28" s="1" t="s">
        <v>68</v>
      </c>
    </row>
    <row r="29" spans="1:34" x14ac:dyDescent="0.35">
      <c r="B29" s="7" t="s">
        <v>69</v>
      </c>
    </row>
    <row r="30" spans="1:34" x14ac:dyDescent="0.35">
      <c r="B30" s="3" t="s">
        <v>70</v>
      </c>
    </row>
    <row r="31" spans="1:34" x14ac:dyDescent="0.35">
      <c r="B31" s="5" t="s">
        <v>71</v>
      </c>
    </row>
    <row r="32" spans="1:34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G1"/>
  </mergeCells>
  <conditionalFormatting sqref="C21:AG23">
    <cfRule type="cellIs" dxfId="2" priority="1" operator="equal">
      <formula>1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67D3-062C-4F8F-B089-E90C1AC8AD30}">
  <dimension ref="A1:AG37"/>
  <sheetViews>
    <sheetView topLeftCell="B1" workbookViewId="0">
      <selection activeCell="C10" sqref="C10:AF14"/>
    </sheetView>
  </sheetViews>
  <sheetFormatPr baseColWidth="10" defaultColWidth="8.81640625" defaultRowHeight="14.5" x14ac:dyDescent="0.35"/>
  <cols>
    <col min="2" max="2" width="25.54296875" customWidth="1"/>
    <col min="3" max="32" width="4.7265625" customWidth="1"/>
    <col min="33" max="33" width="4" style="91" bestFit="1" customWidth="1"/>
  </cols>
  <sheetData>
    <row r="1" spans="1:33" ht="24" customHeight="1" x14ac:dyDescent="0.35">
      <c r="A1" s="6"/>
      <c r="B1" s="175"/>
      <c r="C1" s="190" t="s">
        <v>115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</row>
    <row r="2" spans="1:33" x14ac:dyDescent="0.35">
      <c r="A2" s="6"/>
      <c r="B2" s="175"/>
      <c r="C2" s="83" t="s">
        <v>6</v>
      </c>
      <c r="D2" s="84" t="s">
        <v>7</v>
      </c>
      <c r="E2" s="84" t="s">
        <v>1</v>
      </c>
      <c r="F2" s="85" t="s">
        <v>2</v>
      </c>
      <c r="G2" s="85" t="s">
        <v>3</v>
      </c>
      <c r="H2" s="85" t="s">
        <v>4</v>
      </c>
      <c r="I2" s="83" t="s">
        <v>5</v>
      </c>
      <c r="J2" s="83" t="s">
        <v>6</v>
      </c>
      <c r="K2" s="84" t="s">
        <v>7</v>
      </c>
      <c r="L2" s="84" t="s">
        <v>1</v>
      </c>
      <c r="M2" s="85" t="s">
        <v>2</v>
      </c>
      <c r="N2" s="85" t="s">
        <v>3</v>
      </c>
      <c r="O2" s="85" t="s">
        <v>4</v>
      </c>
      <c r="P2" s="83" t="s">
        <v>5</v>
      </c>
      <c r="Q2" s="83" t="s">
        <v>6</v>
      </c>
      <c r="R2" s="84" t="s">
        <v>7</v>
      </c>
      <c r="S2" s="84" t="s">
        <v>1</v>
      </c>
      <c r="T2" s="85" t="s">
        <v>2</v>
      </c>
      <c r="U2" s="85" t="s">
        <v>3</v>
      </c>
      <c r="V2" s="85" t="s">
        <v>4</v>
      </c>
      <c r="W2" s="83" t="s">
        <v>5</v>
      </c>
      <c r="X2" s="83" t="s">
        <v>6</v>
      </c>
      <c r="Y2" s="84" t="s">
        <v>7</v>
      </c>
      <c r="Z2" s="84" t="s">
        <v>1</v>
      </c>
      <c r="AA2" s="85" t="s">
        <v>2</v>
      </c>
      <c r="AB2" s="85" t="s">
        <v>3</v>
      </c>
      <c r="AC2" s="85" t="s">
        <v>4</v>
      </c>
      <c r="AD2" s="83" t="s">
        <v>5</v>
      </c>
      <c r="AE2" s="83" t="s">
        <v>6</v>
      </c>
      <c r="AF2" s="84" t="s">
        <v>7</v>
      </c>
      <c r="AG2"/>
    </row>
    <row r="3" spans="1:33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 x14ac:dyDescent="0.35">
      <c r="A4" s="63" t="s">
        <v>12</v>
      </c>
      <c r="B4" s="62" t="s">
        <v>13</v>
      </c>
      <c r="C4" s="28" t="s">
        <v>7</v>
      </c>
      <c r="D4" s="7" t="s">
        <v>20</v>
      </c>
      <c r="E4" s="7" t="s">
        <v>20</v>
      </c>
      <c r="F4" s="7" t="s">
        <v>20</v>
      </c>
      <c r="G4" s="7" t="s">
        <v>20</v>
      </c>
      <c r="H4" s="7" t="s">
        <v>20</v>
      </c>
      <c r="I4" s="28" t="s">
        <v>7</v>
      </c>
      <c r="J4" s="28" t="s">
        <v>7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14</v>
      </c>
      <c r="P4" s="5" t="s">
        <v>15</v>
      </c>
      <c r="Q4" s="5" t="s">
        <v>15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5" t="s">
        <v>14</v>
      </c>
      <c r="Z4" s="5" t="s">
        <v>14</v>
      </c>
      <c r="AA4" s="5" t="s">
        <v>14</v>
      </c>
      <c r="AB4" s="5" t="s">
        <v>14</v>
      </c>
      <c r="AC4" s="5" t="s">
        <v>14</v>
      </c>
      <c r="AD4" s="5" t="s">
        <v>15</v>
      </c>
      <c r="AE4" s="5" t="s">
        <v>15</v>
      </c>
      <c r="AF4" s="28" t="s">
        <v>7</v>
      </c>
      <c r="AG4"/>
    </row>
    <row r="5" spans="1:33" x14ac:dyDescent="0.35">
      <c r="A5" s="34" t="s">
        <v>12</v>
      </c>
      <c r="B5" s="33" t="s">
        <v>19</v>
      </c>
      <c r="C5" s="5" t="s">
        <v>15</v>
      </c>
      <c r="D5" s="28" t="s">
        <v>7</v>
      </c>
      <c r="E5" s="28" t="s">
        <v>7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7" t="s">
        <v>20</v>
      </c>
      <c r="L5" s="7" t="s">
        <v>20</v>
      </c>
      <c r="M5" s="7" t="s">
        <v>20</v>
      </c>
      <c r="N5" s="7" t="s">
        <v>20</v>
      </c>
      <c r="O5" s="7" t="s">
        <v>20</v>
      </c>
      <c r="P5" s="28" t="s">
        <v>7</v>
      </c>
      <c r="Q5" s="28" t="s">
        <v>7</v>
      </c>
      <c r="R5" s="1" t="s">
        <v>14</v>
      </c>
      <c r="S5" s="1" t="s">
        <v>14</v>
      </c>
      <c r="T5" s="1" t="s">
        <v>14</v>
      </c>
      <c r="U5" s="1" t="s">
        <v>14</v>
      </c>
      <c r="V5" s="1" t="s">
        <v>14</v>
      </c>
      <c r="W5" s="5" t="s">
        <v>15</v>
      </c>
      <c r="X5" s="5" t="s">
        <v>15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5" t="s">
        <v>14</v>
      </c>
      <c r="AG5"/>
    </row>
    <row r="6" spans="1:33" x14ac:dyDescent="0.35">
      <c r="A6" s="34" t="s">
        <v>12</v>
      </c>
      <c r="B6" s="33" t="s">
        <v>21</v>
      </c>
      <c r="C6" s="28" t="s">
        <v>7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15</v>
      </c>
      <c r="J6" s="5" t="s">
        <v>15</v>
      </c>
      <c r="K6" s="28" t="s">
        <v>7</v>
      </c>
      <c r="L6" s="28" t="s">
        <v>7</v>
      </c>
      <c r="M6" s="28" t="s">
        <v>7</v>
      </c>
      <c r="N6" s="28" t="s">
        <v>7</v>
      </c>
      <c r="O6" s="28" t="s">
        <v>7</v>
      </c>
      <c r="P6" s="28" t="s">
        <v>7</v>
      </c>
      <c r="Q6" s="28" t="s">
        <v>7</v>
      </c>
      <c r="R6" s="7" t="s">
        <v>20</v>
      </c>
      <c r="S6" s="7" t="s">
        <v>20</v>
      </c>
      <c r="T6" s="7" t="s">
        <v>20</v>
      </c>
      <c r="U6" s="7" t="s">
        <v>20</v>
      </c>
      <c r="V6" s="7" t="s">
        <v>20</v>
      </c>
      <c r="W6" s="28" t="s">
        <v>7</v>
      </c>
      <c r="X6" s="28" t="s">
        <v>7</v>
      </c>
      <c r="Y6" s="1" t="s">
        <v>14</v>
      </c>
      <c r="Z6" s="1" t="s">
        <v>14</v>
      </c>
      <c r="AA6" s="1" t="s">
        <v>14</v>
      </c>
      <c r="AB6" s="1" t="s">
        <v>14</v>
      </c>
      <c r="AC6" s="1" t="s">
        <v>14</v>
      </c>
      <c r="AD6" s="5" t="s">
        <v>15</v>
      </c>
      <c r="AE6" s="5" t="s">
        <v>15</v>
      </c>
      <c r="AF6" s="28" t="s">
        <v>7</v>
      </c>
      <c r="AG6"/>
    </row>
    <row r="7" spans="1:33" x14ac:dyDescent="0.35">
      <c r="A7" s="34" t="s">
        <v>12</v>
      </c>
      <c r="B7" s="33" t="s">
        <v>22</v>
      </c>
      <c r="C7" s="5" t="s">
        <v>15</v>
      </c>
      <c r="D7" s="28" t="s">
        <v>7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28" t="s">
        <v>7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14</v>
      </c>
      <c r="P7" s="5" t="s">
        <v>15</v>
      </c>
      <c r="Q7" s="5" t="s">
        <v>15</v>
      </c>
      <c r="R7" s="28" t="s">
        <v>7</v>
      </c>
      <c r="S7" s="28" t="s">
        <v>7</v>
      </c>
      <c r="T7" s="28" t="s">
        <v>7</v>
      </c>
      <c r="U7" s="28" t="s">
        <v>7</v>
      </c>
      <c r="V7" s="28" t="s">
        <v>7</v>
      </c>
      <c r="W7" s="28" t="s">
        <v>7</v>
      </c>
      <c r="X7" s="28" t="s">
        <v>7</v>
      </c>
      <c r="Y7" s="7" t="s">
        <v>20</v>
      </c>
      <c r="Z7" s="7" t="s">
        <v>20</v>
      </c>
      <c r="AA7" s="7" t="s">
        <v>20</v>
      </c>
      <c r="AB7" s="7" t="s">
        <v>20</v>
      </c>
      <c r="AC7" s="7" t="s">
        <v>20</v>
      </c>
      <c r="AD7" s="28" t="s">
        <v>7</v>
      </c>
      <c r="AE7" s="28" t="s">
        <v>7</v>
      </c>
      <c r="AF7" s="1" t="s">
        <v>14</v>
      </c>
      <c r="AG7"/>
    </row>
    <row r="8" spans="1:33" x14ac:dyDescent="0.35">
      <c r="A8" s="34" t="s">
        <v>12</v>
      </c>
      <c r="B8" s="33" t="s">
        <v>59</v>
      </c>
      <c r="C8" s="28" t="s">
        <v>7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5" t="s">
        <v>15</v>
      </c>
      <c r="J8" s="5" t="s">
        <v>15</v>
      </c>
      <c r="K8" s="28" t="s">
        <v>7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28" t="s">
        <v>7</v>
      </c>
      <c r="R8" s="5" t="s">
        <v>14</v>
      </c>
      <c r="S8" s="5" t="s">
        <v>14</v>
      </c>
      <c r="T8" s="5" t="s">
        <v>14</v>
      </c>
      <c r="U8" s="5" t="s">
        <v>14</v>
      </c>
      <c r="V8" s="5" t="s">
        <v>14</v>
      </c>
      <c r="W8" s="5" t="s">
        <v>15</v>
      </c>
      <c r="X8" s="5" t="s">
        <v>15</v>
      </c>
      <c r="Y8" s="28" t="s">
        <v>7</v>
      </c>
      <c r="Z8" s="28" t="s">
        <v>7</v>
      </c>
      <c r="AA8" s="28" t="s">
        <v>7</v>
      </c>
      <c r="AB8" s="28" t="s">
        <v>7</v>
      </c>
      <c r="AC8" s="28" t="s">
        <v>7</v>
      </c>
      <c r="AD8" s="28" t="s">
        <v>7</v>
      </c>
      <c r="AE8" s="28" t="s">
        <v>7</v>
      </c>
      <c r="AF8" s="7" t="s">
        <v>20</v>
      </c>
      <c r="AG8"/>
    </row>
    <row r="9" spans="1:33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 x14ac:dyDescent="0.35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/>
    </row>
    <row r="11" spans="1:33" x14ac:dyDescent="0.35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/>
    </row>
    <row r="12" spans="1:33" x14ac:dyDescent="0.35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/>
    </row>
    <row r="13" spans="1:33" x14ac:dyDescent="0.35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/>
    </row>
    <row r="14" spans="1:33" x14ac:dyDescent="0.35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/>
    </row>
    <row r="15" spans="1:33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 x14ac:dyDescent="0.35">
      <c r="A16" s="34" t="s">
        <v>28</v>
      </c>
      <c r="B16" s="33" t="s">
        <v>29</v>
      </c>
      <c r="C16" s="28" t="s">
        <v>7</v>
      </c>
      <c r="D16" s="25" t="s">
        <v>11</v>
      </c>
      <c r="E16" s="25" t="s">
        <v>11</v>
      </c>
      <c r="F16" s="25" t="s">
        <v>11</v>
      </c>
      <c r="G16" s="25" t="s">
        <v>11</v>
      </c>
      <c r="H16" s="25" t="s">
        <v>11</v>
      </c>
      <c r="I16" s="28" t="s">
        <v>7</v>
      </c>
      <c r="J16" s="28" t="s">
        <v>7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  <c r="P16" s="28" t="s">
        <v>7</v>
      </c>
      <c r="Q16" s="28" t="s">
        <v>7</v>
      </c>
      <c r="R16" s="4" t="s">
        <v>85</v>
      </c>
      <c r="S16" s="4" t="s">
        <v>85</v>
      </c>
      <c r="T16" s="4" t="s">
        <v>85</v>
      </c>
      <c r="U16" s="4" t="s">
        <v>85</v>
      </c>
      <c r="V16" s="4" t="s">
        <v>85</v>
      </c>
      <c r="W16" s="28" t="s">
        <v>7</v>
      </c>
      <c r="X16" s="28" t="s">
        <v>7</v>
      </c>
      <c r="Y16" s="25" t="s">
        <v>11</v>
      </c>
      <c r="Z16" s="25" t="s">
        <v>11</v>
      </c>
      <c r="AA16" s="25" t="s">
        <v>11</v>
      </c>
      <c r="AB16" s="25" t="s">
        <v>11</v>
      </c>
      <c r="AC16" s="25" t="s">
        <v>11</v>
      </c>
      <c r="AD16" s="28" t="s">
        <v>7</v>
      </c>
      <c r="AE16" s="28" t="s">
        <v>7</v>
      </c>
      <c r="AF16" s="4" t="s">
        <v>14</v>
      </c>
      <c r="AG16"/>
    </row>
    <row r="17" spans="1:33" x14ac:dyDescent="0.35">
      <c r="A17" s="34" t="s">
        <v>28</v>
      </c>
      <c r="B17" s="35" t="s">
        <v>60</v>
      </c>
      <c r="C17" s="28" t="s">
        <v>7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28" t="s">
        <v>7</v>
      </c>
      <c r="J17" s="28" t="s">
        <v>7</v>
      </c>
      <c r="K17" s="25" t="s">
        <v>11</v>
      </c>
      <c r="L17" s="25" t="s">
        <v>11</v>
      </c>
      <c r="M17" s="25" t="s">
        <v>11</v>
      </c>
      <c r="N17" s="25" t="s">
        <v>11</v>
      </c>
      <c r="O17" s="25" t="s">
        <v>11</v>
      </c>
      <c r="P17" s="28" t="s">
        <v>7</v>
      </c>
      <c r="Q17" s="28" t="s">
        <v>7</v>
      </c>
      <c r="R17" s="4" t="s">
        <v>14</v>
      </c>
      <c r="S17" s="4" t="s">
        <v>14</v>
      </c>
      <c r="T17" s="4" t="s">
        <v>14</v>
      </c>
      <c r="U17" s="4" t="s">
        <v>14</v>
      </c>
      <c r="V17" s="4" t="s">
        <v>14</v>
      </c>
      <c r="W17" s="28" t="s">
        <v>7</v>
      </c>
      <c r="X17" s="28" t="s">
        <v>7</v>
      </c>
      <c r="Y17" s="4" t="s">
        <v>85</v>
      </c>
      <c r="Z17" s="4" t="s">
        <v>85</v>
      </c>
      <c r="AA17" s="4" t="s">
        <v>85</v>
      </c>
      <c r="AB17" s="4" t="s">
        <v>85</v>
      </c>
      <c r="AC17" s="4" t="s">
        <v>85</v>
      </c>
      <c r="AD17" s="28" t="s">
        <v>7</v>
      </c>
      <c r="AE17" s="28" t="s">
        <v>7</v>
      </c>
      <c r="AF17" s="25" t="s">
        <v>11</v>
      </c>
      <c r="AG17"/>
    </row>
    <row r="18" spans="1:33" x14ac:dyDescent="0.35">
      <c r="A18" s="34" t="s">
        <v>28</v>
      </c>
      <c r="B18" s="35" t="s">
        <v>34</v>
      </c>
      <c r="C18" s="28" t="s">
        <v>7</v>
      </c>
      <c r="D18" s="4" t="s">
        <v>14</v>
      </c>
      <c r="E18" s="4" t="s">
        <v>14</v>
      </c>
      <c r="F18" s="4" t="s">
        <v>14</v>
      </c>
      <c r="G18" s="4" t="s">
        <v>14</v>
      </c>
      <c r="H18" s="4" t="s">
        <v>14</v>
      </c>
      <c r="I18" s="28" t="s">
        <v>7</v>
      </c>
      <c r="J18" s="28" t="s">
        <v>7</v>
      </c>
      <c r="K18" s="4" t="s">
        <v>85</v>
      </c>
      <c r="L18" s="4" t="s">
        <v>85</v>
      </c>
      <c r="M18" s="4" t="s">
        <v>85</v>
      </c>
      <c r="N18" s="4" t="s">
        <v>85</v>
      </c>
      <c r="O18" s="4" t="s">
        <v>85</v>
      </c>
      <c r="P18" s="28" t="s">
        <v>7</v>
      </c>
      <c r="Q18" s="28" t="s">
        <v>7</v>
      </c>
      <c r="R18" s="25" t="s">
        <v>11</v>
      </c>
      <c r="S18" s="25" t="s">
        <v>11</v>
      </c>
      <c r="T18" s="25" t="s">
        <v>11</v>
      </c>
      <c r="U18" s="25" t="s">
        <v>11</v>
      </c>
      <c r="V18" s="25" t="s">
        <v>11</v>
      </c>
      <c r="W18" s="28" t="s">
        <v>7</v>
      </c>
      <c r="X18" s="28" t="s">
        <v>7</v>
      </c>
      <c r="Y18" s="4" t="s">
        <v>14</v>
      </c>
      <c r="Z18" s="4" t="s">
        <v>14</v>
      </c>
      <c r="AA18" s="4" t="s">
        <v>14</v>
      </c>
      <c r="AB18" s="4" t="s">
        <v>14</v>
      </c>
      <c r="AC18" s="4" t="s">
        <v>14</v>
      </c>
      <c r="AD18" s="28" t="s">
        <v>7</v>
      </c>
      <c r="AE18" s="28" t="s">
        <v>7</v>
      </c>
      <c r="AF18" s="4" t="s">
        <v>85</v>
      </c>
      <c r="AG18"/>
    </row>
    <row r="20" spans="1:33" x14ac:dyDescent="0.35">
      <c r="B20" s="111" t="s">
        <v>89</v>
      </c>
      <c r="C20" s="110">
        <f t="shared" ref="C20:AF20" si="0">SUM(C21:C23)</f>
        <v>2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3</v>
      </c>
      <c r="H20" s="110">
        <f t="shared" si="0"/>
        <v>3</v>
      </c>
      <c r="I20" s="110">
        <f t="shared" si="0"/>
        <v>2</v>
      </c>
      <c r="J20" s="110">
        <f t="shared" si="0"/>
        <v>2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3</v>
      </c>
      <c r="O20" s="110">
        <f t="shared" si="0"/>
        <v>3</v>
      </c>
      <c r="P20" s="110">
        <f t="shared" si="0"/>
        <v>2</v>
      </c>
      <c r="Q20" s="110">
        <f t="shared" si="0"/>
        <v>2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3</v>
      </c>
      <c r="V20" s="110">
        <f t="shared" si="0"/>
        <v>3</v>
      </c>
      <c r="W20" s="110">
        <f t="shared" si="0"/>
        <v>2</v>
      </c>
      <c r="X20" s="110">
        <f t="shared" si="0"/>
        <v>2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3</v>
      </c>
      <c r="AC20" s="110">
        <f t="shared" si="0"/>
        <v>3</v>
      </c>
      <c r="AD20" s="110">
        <f t="shared" si="0"/>
        <v>2</v>
      </c>
      <c r="AE20" s="110">
        <f t="shared" si="0"/>
        <v>2</v>
      </c>
      <c r="AF20" s="110">
        <f t="shared" si="0"/>
        <v>3</v>
      </c>
    </row>
    <row r="21" spans="1:33" x14ac:dyDescent="0.35">
      <c r="B21" s="111" t="s">
        <v>90</v>
      </c>
      <c r="C21" s="112">
        <f t="shared" ref="C21:AF21" si="1">COUNTIF(C4:C18,"T")</f>
        <v>0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1</v>
      </c>
      <c r="H21" s="112">
        <f t="shared" si="1"/>
        <v>1</v>
      </c>
      <c r="I21" s="112">
        <f t="shared" si="1"/>
        <v>0</v>
      </c>
      <c r="J21" s="112">
        <f t="shared" si="1"/>
        <v>0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1</v>
      </c>
      <c r="O21" s="112">
        <f t="shared" si="1"/>
        <v>1</v>
      </c>
      <c r="P21" s="112">
        <f t="shared" si="1"/>
        <v>0</v>
      </c>
      <c r="Q21" s="112">
        <f t="shared" si="1"/>
        <v>0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1</v>
      </c>
      <c r="V21" s="112">
        <f t="shared" si="1"/>
        <v>1</v>
      </c>
      <c r="W21" s="112">
        <f t="shared" si="1"/>
        <v>0</v>
      </c>
      <c r="X21" s="112">
        <f t="shared" si="1"/>
        <v>0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1</v>
      </c>
      <c r="AC21" s="112">
        <f t="shared" si="1"/>
        <v>1</v>
      </c>
      <c r="AD21" s="112">
        <f t="shared" si="1"/>
        <v>0</v>
      </c>
      <c r="AE21" s="112">
        <f t="shared" si="1"/>
        <v>0</v>
      </c>
      <c r="AF21" s="112">
        <f t="shared" si="1"/>
        <v>1</v>
      </c>
    </row>
    <row r="22" spans="1:33" x14ac:dyDescent="0.35">
      <c r="B22" s="111" t="s">
        <v>91</v>
      </c>
      <c r="C22" s="112">
        <f t="shared" ref="C22:AF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</row>
    <row r="23" spans="1:33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F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5" spans="1:33" x14ac:dyDescent="0.35">
      <c r="B25" t="s">
        <v>65</v>
      </c>
    </row>
    <row r="26" spans="1:33" x14ac:dyDescent="0.35">
      <c r="B26" s="5" t="s">
        <v>66</v>
      </c>
    </row>
    <row r="27" spans="1:33" x14ac:dyDescent="0.35">
      <c r="B27" s="5" t="s">
        <v>67</v>
      </c>
    </row>
    <row r="28" spans="1:33" x14ac:dyDescent="0.35">
      <c r="B28" s="1" t="s">
        <v>68</v>
      </c>
    </row>
    <row r="29" spans="1:33" x14ac:dyDescent="0.35">
      <c r="B29" s="7" t="s">
        <v>69</v>
      </c>
    </row>
    <row r="30" spans="1:33" x14ac:dyDescent="0.35">
      <c r="B30" s="3" t="s">
        <v>70</v>
      </c>
    </row>
    <row r="31" spans="1:33" x14ac:dyDescent="0.35">
      <c r="B31" s="5" t="s">
        <v>71</v>
      </c>
    </row>
    <row r="32" spans="1:33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F1"/>
  </mergeCells>
  <conditionalFormatting sqref="C21:AF23">
    <cfRule type="cellIs" dxfId="1" priority="1" operator="equal">
      <formula>1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E44D-E914-4781-A639-360258C88956}">
  <dimension ref="A1:AH37"/>
  <sheetViews>
    <sheetView workbookViewId="0">
      <selection activeCell="C10" sqref="C10:AG14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75"/>
      <c r="C1" s="190" t="s">
        <v>116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</row>
    <row r="2" spans="1:34" x14ac:dyDescent="0.35">
      <c r="A2" s="6"/>
      <c r="B2" s="175"/>
      <c r="C2" s="84" t="s">
        <v>1</v>
      </c>
      <c r="D2" s="85" t="s">
        <v>2</v>
      </c>
      <c r="E2" s="85" t="s">
        <v>3</v>
      </c>
      <c r="F2" s="85" t="s">
        <v>4</v>
      </c>
      <c r="G2" s="83" t="s">
        <v>5</v>
      </c>
      <c r="H2" s="83" t="s">
        <v>6</v>
      </c>
      <c r="I2" s="84" t="s">
        <v>7</v>
      </c>
      <c r="J2" s="84" t="s">
        <v>1</v>
      </c>
      <c r="K2" s="85" t="s">
        <v>2</v>
      </c>
      <c r="L2" s="85" t="s">
        <v>3</v>
      </c>
      <c r="M2" s="85" t="s">
        <v>4</v>
      </c>
      <c r="N2" s="83" t="s">
        <v>5</v>
      </c>
      <c r="O2" s="83" t="s">
        <v>6</v>
      </c>
      <c r="P2" s="84" t="s">
        <v>7</v>
      </c>
      <c r="Q2" s="84" t="s">
        <v>1</v>
      </c>
      <c r="R2" s="85" t="s">
        <v>2</v>
      </c>
      <c r="S2" s="85" t="s">
        <v>3</v>
      </c>
      <c r="T2" s="85" t="s">
        <v>4</v>
      </c>
      <c r="U2" s="83" t="s">
        <v>5</v>
      </c>
      <c r="V2" s="83" t="s">
        <v>6</v>
      </c>
      <c r="W2" s="84" t="s">
        <v>7</v>
      </c>
      <c r="X2" s="84" t="s">
        <v>1</v>
      </c>
      <c r="Y2" s="85" t="s">
        <v>2</v>
      </c>
      <c r="Z2" s="85" t="s">
        <v>3</v>
      </c>
      <c r="AA2" s="85" t="s">
        <v>4</v>
      </c>
      <c r="AB2" s="83" t="s">
        <v>5</v>
      </c>
      <c r="AC2" s="83" t="s">
        <v>6</v>
      </c>
      <c r="AD2" s="84" t="s">
        <v>7</v>
      </c>
      <c r="AE2" s="84" t="s">
        <v>1</v>
      </c>
      <c r="AF2" s="85" t="s">
        <v>2</v>
      </c>
      <c r="AG2" s="85" t="s">
        <v>3</v>
      </c>
      <c r="AH2"/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 x14ac:dyDescent="0.35">
      <c r="A4" s="63" t="s">
        <v>12</v>
      </c>
      <c r="B4" s="62" t="s">
        <v>13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7" t="s">
        <v>20</v>
      </c>
      <c r="J4" s="7" t="s">
        <v>20</v>
      </c>
      <c r="K4" s="7" t="s">
        <v>20</v>
      </c>
      <c r="L4" s="7" t="s">
        <v>20</v>
      </c>
      <c r="M4" s="7" t="s">
        <v>20</v>
      </c>
      <c r="N4" s="28" t="s">
        <v>7</v>
      </c>
      <c r="O4" s="28" t="s">
        <v>7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14</v>
      </c>
      <c r="U4" s="5" t="s">
        <v>15</v>
      </c>
      <c r="V4" s="5" t="s">
        <v>15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5" t="s">
        <v>14</v>
      </c>
      <c r="AE4" s="5" t="s">
        <v>14</v>
      </c>
      <c r="AF4" s="5" t="s">
        <v>14</v>
      </c>
      <c r="AG4" s="5" t="s">
        <v>14</v>
      </c>
      <c r="AH4"/>
    </row>
    <row r="5" spans="1:34" x14ac:dyDescent="0.35">
      <c r="A5" s="34" t="s">
        <v>12</v>
      </c>
      <c r="B5" s="33" t="s">
        <v>19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15</v>
      </c>
      <c r="H5" s="5" t="s">
        <v>15</v>
      </c>
      <c r="I5" s="28" t="s">
        <v>7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7" t="s">
        <v>20</v>
      </c>
      <c r="Q5" s="7" t="s">
        <v>20</v>
      </c>
      <c r="R5" s="7" t="s">
        <v>20</v>
      </c>
      <c r="S5" s="7" t="s">
        <v>20</v>
      </c>
      <c r="T5" s="7" t="s">
        <v>20</v>
      </c>
      <c r="U5" s="28" t="s">
        <v>7</v>
      </c>
      <c r="V5" s="28" t="s">
        <v>7</v>
      </c>
      <c r="W5" s="1" t="s">
        <v>14</v>
      </c>
      <c r="X5" s="1" t="s">
        <v>14</v>
      </c>
      <c r="Y5" s="1" t="s">
        <v>14</v>
      </c>
      <c r="Z5" s="1" t="s">
        <v>14</v>
      </c>
      <c r="AA5" s="1" t="s">
        <v>14</v>
      </c>
      <c r="AB5" s="5" t="s">
        <v>15</v>
      </c>
      <c r="AC5" s="5" t="s">
        <v>15</v>
      </c>
      <c r="AD5" s="28" t="s">
        <v>7</v>
      </c>
      <c r="AE5" s="28" t="s">
        <v>7</v>
      </c>
      <c r="AF5" s="28" t="s">
        <v>7</v>
      </c>
      <c r="AG5" s="28" t="s">
        <v>7</v>
      </c>
      <c r="AH5"/>
    </row>
    <row r="6" spans="1:34" x14ac:dyDescent="0.35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15</v>
      </c>
      <c r="O6" s="5" t="s">
        <v>15</v>
      </c>
      <c r="P6" s="28" t="s">
        <v>7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28" t="s">
        <v>7</v>
      </c>
      <c r="W6" s="7" t="s">
        <v>20</v>
      </c>
      <c r="X6" s="7" t="s">
        <v>20</v>
      </c>
      <c r="Y6" s="7" t="s">
        <v>20</v>
      </c>
      <c r="Z6" s="7" t="s">
        <v>20</v>
      </c>
      <c r="AA6" s="7" t="s">
        <v>20</v>
      </c>
      <c r="AB6" s="28" t="s">
        <v>7</v>
      </c>
      <c r="AC6" s="28" t="s">
        <v>7</v>
      </c>
      <c r="AD6" s="1" t="s">
        <v>14</v>
      </c>
      <c r="AE6" s="1" t="s">
        <v>14</v>
      </c>
      <c r="AF6" s="1" t="s">
        <v>14</v>
      </c>
      <c r="AG6" s="1" t="s">
        <v>14</v>
      </c>
      <c r="AH6"/>
    </row>
    <row r="7" spans="1:34" x14ac:dyDescent="0.35">
      <c r="A7" s="34" t="s">
        <v>12</v>
      </c>
      <c r="B7" s="33" t="s">
        <v>22</v>
      </c>
      <c r="C7" s="1" t="s">
        <v>14</v>
      </c>
      <c r="D7" s="1" t="s">
        <v>14</v>
      </c>
      <c r="E7" s="1" t="s">
        <v>14</v>
      </c>
      <c r="F7" s="1" t="s">
        <v>14</v>
      </c>
      <c r="G7" s="5" t="s">
        <v>15</v>
      </c>
      <c r="H7" s="5" t="s">
        <v>15</v>
      </c>
      <c r="I7" s="28" t="s">
        <v>7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  <c r="U7" s="5" t="s">
        <v>15</v>
      </c>
      <c r="V7" s="5" t="s">
        <v>15</v>
      </c>
      <c r="W7" s="28" t="s">
        <v>7</v>
      </c>
      <c r="X7" s="28" t="s">
        <v>7</v>
      </c>
      <c r="Y7" s="28" t="s">
        <v>7</v>
      </c>
      <c r="Z7" s="28" t="s">
        <v>7</v>
      </c>
      <c r="AA7" s="28" t="s">
        <v>7</v>
      </c>
      <c r="AB7" s="28" t="s">
        <v>7</v>
      </c>
      <c r="AC7" s="28" t="s">
        <v>7</v>
      </c>
      <c r="AD7" s="7" t="s">
        <v>20</v>
      </c>
      <c r="AE7" s="7" t="s">
        <v>20</v>
      </c>
      <c r="AF7" s="7" t="s">
        <v>20</v>
      </c>
      <c r="AG7" s="7" t="s">
        <v>20</v>
      </c>
      <c r="AH7"/>
    </row>
    <row r="8" spans="1:34" x14ac:dyDescent="0.35">
      <c r="A8" s="34" t="s">
        <v>12</v>
      </c>
      <c r="B8" s="33" t="s">
        <v>59</v>
      </c>
      <c r="C8" s="7" t="s">
        <v>20</v>
      </c>
      <c r="D8" s="7" t="s">
        <v>20</v>
      </c>
      <c r="E8" s="7" t="s">
        <v>20</v>
      </c>
      <c r="F8" s="7" t="s">
        <v>20</v>
      </c>
      <c r="G8" s="28" t="s">
        <v>7</v>
      </c>
      <c r="H8" s="28" t="s">
        <v>7</v>
      </c>
      <c r="I8" s="1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5" t="s">
        <v>15</v>
      </c>
      <c r="O8" s="5" t="s">
        <v>15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28" t="s">
        <v>7</v>
      </c>
      <c r="W8" s="5" t="s">
        <v>14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15</v>
      </c>
      <c r="AC8" s="5" t="s">
        <v>15</v>
      </c>
      <c r="AD8" s="28" t="s">
        <v>7</v>
      </c>
      <c r="AE8" s="28" t="s">
        <v>7</v>
      </c>
      <c r="AF8" s="28" t="s">
        <v>7</v>
      </c>
      <c r="AG8" s="28" t="s">
        <v>7</v>
      </c>
      <c r="AH8"/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 x14ac:dyDescent="0.35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 s="123" t="s">
        <v>7</v>
      </c>
      <c r="AH10"/>
    </row>
    <row r="11" spans="1:34" x14ac:dyDescent="0.35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 s="123" t="s">
        <v>7</v>
      </c>
      <c r="AH11"/>
    </row>
    <row r="12" spans="1:34" x14ac:dyDescent="0.35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 s="123" t="s">
        <v>7</v>
      </c>
      <c r="AH12"/>
    </row>
    <row r="13" spans="1:34" x14ac:dyDescent="0.35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 s="123" t="s">
        <v>7</v>
      </c>
      <c r="AH13"/>
    </row>
    <row r="14" spans="1:34" x14ac:dyDescent="0.35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 s="123" t="s">
        <v>7</v>
      </c>
      <c r="AH14"/>
    </row>
    <row r="15" spans="1:34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 x14ac:dyDescent="0.35">
      <c r="A16" s="34" t="s">
        <v>28</v>
      </c>
      <c r="B16" s="33" t="s">
        <v>29</v>
      </c>
      <c r="C16" s="4" t="s">
        <v>14</v>
      </c>
      <c r="D16" s="4" t="s">
        <v>14</v>
      </c>
      <c r="E16" s="4" t="s">
        <v>14</v>
      </c>
      <c r="F16" s="4" t="s">
        <v>14</v>
      </c>
      <c r="G16" s="28" t="s">
        <v>7</v>
      </c>
      <c r="H16" s="28" t="s">
        <v>7</v>
      </c>
      <c r="I16" s="4" t="s">
        <v>85</v>
      </c>
      <c r="J16" s="4" t="s">
        <v>85</v>
      </c>
      <c r="K16" s="4" t="s">
        <v>85</v>
      </c>
      <c r="L16" s="4" t="s">
        <v>85</v>
      </c>
      <c r="M16" s="4" t="s">
        <v>85</v>
      </c>
      <c r="N16" s="28" t="s">
        <v>7</v>
      </c>
      <c r="O16" s="28" t="s">
        <v>7</v>
      </c>
      <c r="P16" s="25" t="s">
        <v>11</v>
      </c>
      <c r="Q16" s="25" t="s">
        <v>11</v>
      </c>
      <c r="R16" s="25" t="s">
        <v>11</v>
      </c>
      <c r="S16" s="25" t="s">
        <v>11</v>
      </c>
      <c r="T16" s="25" t="s">
        <v>11</v>
      </c>
      <c r="U16" s="28" t="s">
        <v>7</v>
      </c>
      <c r="V16" s="28" t="s">
        <v>7</v>
      </c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28" t="s">
        <v>7</v>
      </c>
      <c r="AC16" s="28" t="s">
        <v>7</v>
      </c>
      <c r="AD16" s="4" t="s">
        <v>85</v>
      </c>
      <c r="AE16" s="4" t="s">
        <v>85</v>
      </c>
      <c r="AF16" s="4" t="s">
        <v>85</v>
      </c>
      <c r="AG16" s="4" t="s">
        <v>85</v>
      </c>
      <c r="AH16"/>
    </row>
    <row r="17" spans="1:34" x14ac:dyDescent="0.35">
      <c r="A17" s="34" t="s">
        <v>28</v>
      </c>
      <c r="B17" s="35" t="s">
        <v>60</v>
      </c>
      <c r="C17" s="25" t="s">
        <v>11</v>
      </c>
      <c r="D17" s="25" t="s">
        <v>11</v>
      </c>
      <c r="E17" s="25" t="s">
        <v>11</v>
      </c>
      <c r="F17" s="25" t="s">
        <v>11</v>
      </c>
      <c r="G17" s="28" t="s">
        <v>7</v>
      </c>
      <c r="H17" s="28" t="s">
        <v>7</v>
      </c>
      <c r="I17" s="4" t="s">
        <v>14</v>
      </c>
      <c r="J17" s="4" t="s">
        <v>14</v>
      </c>
      <c r="K17" s="4" t="s">
        <v>14</v>
      </c>
      <c r="L17" s="4" t="s">
        <v>14</v>
      </c>
      <c r="M17" s="4" t="s">
        <v>14</v>
      </c>
      <c r="N17" s="28" t="s">
        <v>7</v>
      </c>
      <c r="O17" s="28" t="s">
        <v>7</v>
      </c>
      <c r="P17" s="4" t="s">
        <v>85</v>
      </c>
      <c r="Q17" s="4" t="s">
        <v>85</v>
      </c>
      <c r="R17" s="4" t="s">
        <v>85</v>
      </c>
      <c r="S17" s="4" t="s">
        <v>85</v>
      </c>
      <c r="T17" s="4" t="s">
        <v>85</v>
      </c>
      <c r="U17" s="28" t="s">
        <v>7</v>
      </c>
      <c r="V17" s="28" t="s">
        <v>7</v>
      </c>
      <c r="W17" s="25" t="s">
        <v>11</v>
      </c>
      <c r="X17" s="25" t="s">
        <v>11</v>
      </c>
      <c r="Y17" s="25" t="s">
        <v>11</v>
      </c>
      <c r="Z17" s="25" t="s">
        <v>11</v>
      </c>
      <c r="AA17" s="25" t="s">
        <v>11</v>
      </c>
      <c r="AB17" s="28" t="s">
        <v>7</v>
      </c>
      <c r="AC17" s="28" t="s">
        <v>7</v>
      </c>
      <c r="AD17" s="4" t="s">
        <v>14</v>
      </c>
      <c r="AE17" s="4" t="s">
        <v>14</v>
      </c>
      <c r="AF17" s="4" t="s">
        <v>14</v>
      </c>
      <c r="AG17" s="4" t="s">
        <v>14</v>
      </c>
      <c r="AH17"/>
    </row>
    <row r="18" spans="1:34" x14ac:dyDescent="0.35">
      <c r="A18" s="34" t="s">
        <v>28</v>
      </c>
      <c r="B18" s="35" t="s">
        <v>34</v>
      </c>
      <c r="C18" s="4" t="s">
        <v>85</v>
      </c>
      <c r="D18" s="4" t="s">
        <v>85</v>
      </c>
      <c r="E18" s="4" t="s">
        <v>85</v>
      </c>
      <c r="F18" s="4" t="s">
        <v>85</v>
      </c>
      <c r="G18" s="28" t="s">
        <v>7</v>
      </c>
      <c r="H18" s="28" t="s">
        <v>7</v>
      </c>
      <c r="I18" s="25" t="s">
        <v>11</v>
      </c>
      <c r="J18" s="25" t="s">
        <v>11</v>
      </c>
      <c r="K18" s="25" t="s">
        <v>11</v>
      </c>
      <c r="L18" s="25" t="s">
        <v>11</v>
      </c>
      <c r="M18" s="25" t="s">
        <v>11</v>
      </c>
      <c r="N18" s="28" t="s">
        <v>7</v>
      </c>
      <c r="O18" s="28" t="s">
        <v>7</v>
      </c>
      <c r="P18" s="4" t="s">
        <v>14</v>
      </c>
      <c r="Q18" s="4" t="s">
        <v>14</v>
      </c>
      <c r="R18" s="4" t="s">
        <v>14</v>
      </c>
      <c r="S18" s="4" t="s">
        <v>14</v>
      </c>
      <c r="T18" s="4" t="s">
        <v>14</v>
      </c>
      <c r="U18" s="28" t="s">
        <v>7</v>
      </c>
      <c r="V18" s="28" t="s">
        <v>7</v>
      </c>
      <c r="W18" s="4" t="s">
        <v>85</v>
      </c>
      <c r="X18" s="4" t="s">
        <v>85</v>
      </c>
      <c r="Y18" s="4" t="s">
        <v>85</v>
      </c>
      <c r="Z18" s="4" t="s">
        <v>85</v>
      </c>
      <c r="AA18" s="4" t="s">
        <v>85</v>
      </c>
      <c r="AB18" s="28" t="s">
        <v>7</v>
      </c>
      <c r="AC18" s="28" t="s">
        <v>7</v>
      </c>
      <c r="AD18" s="25" t="s">
        <v>11</v>
      </c>
      <c r="AE18" s="25" t="s">
        <v>11</v>
      </c>
      <c r="AF18" s="25" t="s">
        <v>11</v>
      </c>
      <c r="AG18" s="25" t="s">
        <v>11</v>
      </c>
      <c r="AH18"/>
    </row>
    <row r="20" spans="1:34" x14ac:dyDescent="0.35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2</v>
      </c>
      <c r="H20" s="110">
        <f t="shared" si="0"/>
        <v>2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2</v>
      </c>
      <c r="O20" s="110">
        <f t="shared" si="0"/>
        <v>2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2</v>
      </c>
      <c r="V20" s="110">
        <f t="shared" si="0"/>
        <v>2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2</v>
      </c>
      <c r="AC20" s="110">
        <f t="shared" si="0"/>
        <v>2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3</v>
      </c>
    </row>
    <row r="21" spans="1:34" x14ac:dyDescent="0.35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0</v>
      </c>
      <c r="H21" s="112">
        <f t="shared" si="1"/>
        <v>0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0</v>
      </c>
      <c r="O21" s="112">
        <f t="shared" si="1"/>
        <v>0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0</v>
      </c>
      <c r="V21" s="112">
        <f t="shared" si="1"/>
        <v>0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0</v>
      </c>
      <c r="AC21" s="112">
        <f t="shared" si="1"/>
        <v>0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1</v>
      </c>
    </row>
    <row r="22" spans="1:34" x14ac:dyDescent="0.35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 x14ac:dyDescent="0.35">
      <c r="B25" t="s">
        <v>65</v>
      </c>
    </row>
    <row r="26" spans="1:34" x14ac:dyDescent="0.35">
      <c r="B26" s="5" t="s">
        <v>66</v>
      </c>
    </row>
    <row r="27" spans="1:34" x14ac:dyDescent="0.35">
      <c r="B27" s="5" t="s">
        <v>67</v>
      </c>
    </row>
    <row r="28" spans="1:34" x14ac:dyDescent="0.35">
      <c r="B28" s="1" t="s">
        <v>68</v>
      </c>
    </row>
    <row r="29" spans="1:34" x14ac:dyDescent="0.35">
      <c r="B29" s="7" t="s">
        <v>69</v>
      </c>
    </row>
    <row r="30" spans="1:34" x14ac:dyDescent="0.35">
      <c r="B30" s="3" t="s">
        <v>70</v>
      </c>
    </row>
    <row r="31" spans="1:34" x14ac:dyDescent="0.35">
      <c r="B31" s="5" t="s">
        <v>71</v>
      </c>
    </row>
    <row r="32" spans="1:34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G1"/>
  </mergeCells>
  <conditionalFormatting sqref="C21:AG23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2063-7919-499C-8FE2-0FAED0CAF827}">
  <dimension ref="D2:BL74"/>
  <sheetViews>
    <sheetView showGridLines="0" topLeftCell="A25" zoomScale="115" zoomScaleNormal="115" workbookViewId="0">
      <selection activeCell="W32" sqref="W32"/>
    </sheetView>
  </sheetViews>
  <sheetFormatPr baseColWidth="10" defaultColWidth="11.453125" defaultRowHeight="14.5" x14ac:dyDescent="0.35"/>
  <cols>
    <col min="1" max="1" width="1.81640625" customWidth="1"/>
    <col min="2" max="3" width="2.81640625" customWidth="1"/>
    <col min="4" max="4" width="10.453125" customWidth="1"/>
    <col min="5" max="5" width="3.7265625" customWidth="1"/>
    <col min="6" max="6" width="3.453125" customWidth="1"/>
    <col min="7" max="7" width="8.54296875" bestFit="1" customWidth="1"/>
    <col min="8" max="8" width="7.54296875" customWidth="1"/>
    <col min="9" max="9" width="8.453125" customWidth="1"/>
    <col min="10" max="62" width="3.7265625" customWidth="1"/>
    <col min="63" max="63" width="5" customWidth="1"/>
    <col min="64" max="64" width="4.1796875" customWidth="1"/>
  </cols>
  <sheetData>
    <row r="2" spans="4:64" x14ac:dyDescent="0.35">
      <c r="G2" s="101" t="s">
        <v>117</v>
      </c>
      <c r="I2" s="102">
        <f>1800*10</f>
        <v>18000</v>
      </c>
    </row>
    <row r="3" spans="4:64" x14ac:dyDescent="0.35">
      <c r="G3" s="101" t="s">
        <v>118</v>
      </c>
      <c r="I3" s="102">
        <f>366*6*8</f>
        <v>17568</v>
      </c>
    </row>
    <row r="6" spans="4:64" x14ac:dyDescent="0.35">
      <c r="F6" s="95"/>
    </row>
    <row r="7" spans="4:64" x14ac:dyDescent="0.35">
      <c r="D7" s="102"/>
      <c r="E7" s="102"/>
      <c r="F7" s="95"/>
    </row>
    <row r="8" spans="4:64" x14ac:dyDescent="0.35">
      <c r="D8" s="102"/>
      <c r="E8" s="102"/>
      <c r="F8" s="95"/>
    </row>
    <row r="9" spans="4:64" x14ac:dyDescent="0.35">
      <c r="D9" s="102"/>
      <c r="E9" s="102"/>
      <c r="F9" s="95"/>
      <c r="G9" s="99" t="s">
        <v>119</v>
      </c>
      <c r="H9" s="99" t="s">
        <v>120</v>
      </c>
      <c r="I9" s="99" t="s">
        <v>121</v>
      </c>
      <c r="J9" s="99" t="s">
        <v>122</v>
      </c>
      <c r="K9" s="99" t="s">
        <v>123</v>
      </c>
      <c r="L9" s="99" t="s">
        <v>124</v>
      </c>
      <c r="M9" s="99" t="s">
        <v>125</v>
      </c>
      <c r="N9" s="99" t="s">
        <v>126</v>
      </c>
      <c r="O9" s="99" t="s">
        <v>127</v>
      </c>
      <c r="P9" s="99" t="s">
        <v>128</v>
      </c>
      <c r="Q9" s="99" t="s">
        <v>129</v>
      </c>
      <c r="R9" s="99" t="s">
        <v>130</v>
      </c>
      <c r="S9" s="99" t="s">
        <v>131</v>
      </c>
      <c r="T9" s="99" t="s">
        <v>132</v>
      </c>
      <c r="U9" s="99" t="s">
        <v>133</v>
      </c>
      <c r="V9" s="99" t="s">
        <v>134</v>
      </c>
      <c r="W9" s="99" t="s">
        <v>135</v>
      </c>
      <c r="X9" s="99" t="s">
        <v>136</v>
      </c>
      <c r="Y9" s="99" t="s">
        <v>137</v>
      </c>
      <c r="Z9" s="99" t="s">
        <v>138</v>
      </c>
      <c r="AA9" s="99" t="s">
        <v>139</v>
      </c>
      <c r="AB9" s="99" t="s">
        <v>140</v>
      </c>
      <c r="AC9" s="99" t="s">
        <v>141</v>
      </c>
      <c r="AD9" s="99" t="s">
        <v>142</v>
      </c>
      <c r="AE9" s="99" t="s">
        <v>143</v>
      </c>
      <c r="AF9" s="99" t="s">
        <v>144</v>
      </c>
      <c r="AG9" s="99" t="s">
        <v>145</v>
      </c>
      <c r="AH9" s="99" t="s">
        <v>146</v>
      </c>
      <c r="AI9" s="99" t="s">
        <v>147</v>
      </c>
      <c r="AJ9" s="99" t="s">
        <v>148</v>
      </c>
      <c r="AK9" s="99" t="s">
        <v>149</v>
      </c>
      <c r="AL9" s="99" t="s">
        <v>150</v>
      </c>
      <c r="AM9" s="99" t="s">
        <v>151</v>
      </c>
      <c r="AN9" s="99" t="s">
        <v>152</v>
      </c>
      <c r="AO9" s="99" t="s">
        <v>153</v>
      </c>
      <c r="AP9" s="99" t="s">
        <v>154</v>
      </c>
      <c r="AQ9" s="99" t="s">
        <v>155</v>
      </c>
      <c r="AR9" s="99" t="s">
        <v>156</v>
      </c>
      <c r="AS9" s="99" t="s">
        <v>157</v>
      </c>
      <c r="AT9" s="99" t="s">
        <v>158</v>
      </c>
      <c r="AU9" s="99" t="s">
        <v>159</v>
      </c>
      <c r="AV9" s="99" t="s">
        <v>160</v>
      </c>
      <c r="AW9" s="99" t="s">
        <v>161</v>
      </c>
      <c r="AX9" s="99" t="s">
        <v>162</v>
      </c>
      <c r="AY9" s="99" t="s">
        <v>163</v>
      </c>
      <c r="AZ9" s="99" t="s">
        <v>164</v>
      </c>
      <c r="BA9" s="99" t="s">
        <v>165</v>
      </c>
      <c r="BB9" s="99" t="s">
        <v>166</v>
      </c>
      <c r="BC9" s="99" t="s">
        <v>167</v>
      </c>
      <c r="BD9" s="99" t="s">
        <v>168</v>
      </c>
      <c r="BE9" s="99" t="s">
        <v>169</v>
      </c>
      <c r="BF9" s="99" t="s">
        <v>170</v>
      </c>
      <c r="BG9" s="99" t="s">
        <v>171</v>
      </c>
      <c r="BH9" s="99" t="s">
        <v>172</v>
      </c>
      <c r="BI9" s="99" t="s">
        <v>173</v>
      </c>
      <c r="BJ9" s="99" t="s">
        <v>174</v>
      </c>
      <c r="BK9" s="106" t="s">
        <v>175</v>
      </c>
      <c r="BL9" s="106" t="s">
        <v>176</v>
      </c>
    </row>
    <row r="10" spans="4:64" x14ac:dyDescent="0.35">
      <c r="D10" s="102"/>
      <c r="E10" s="102"/>
      <c r="F10" s="95"/>
      <c r="G10" s="97" t="s">
        <v>177</v>
      </c>
      <c r="H10" s="108">
        <f>COUNTIFS(J10:BJ10,"T")*40+COUNTIFS(J10:BJ10,"M1")*64+COUNTIFS(J10:BJ10,"N")*64-24-24</f>
        <v>856</v>
      </c>
      <c r="I10" s="108">
        <f>1800/2-H10</f>
        <v>44</v>
      </c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 t="s">
        <v>54</v>
      </c>
      <c r="AK10" s="100" t="s">
        <v>7</v>
      </c>
      <c r="AL10" s="100" t="s">
        <v>16</v>
      </c>
      <c r="AM10" s="100" t="s">
        <v>7</v>
      </c>
      <c r="AN10" s="100" t="s">
        <v>20</v>
      </c>
      <c r="AO10" s="100" t="s">
        <v>54</v>
      </c>
      <c r="AP10" s="100" t="s">
        <v>7</v>
      </c>
      <c r="AQ10" s="100" t="s">
        <v>16</v>
      </c>
      <c r="AR10" s="100" t="s">
        <v>7</v>
      </c>
      <c r="AS10" s="100" t="s">
        <v>20</v>
      </c>
      <c r="AT10" s="100" t="s">
        <v>54</v>
      </c>
      <c r="AU10" s="100" t="s">
        <v>7</v>
      </c>
      <c r="AV10" s="100" t="s">
        <v>16</v>
      </c>
      <c r="AW10" s="100" t="s">
        <v>7</v>
      </c>
      <c r="AX10" s="100" t="s">
        <v>20</v>
      </c>
      <c r="AY10" s="100" t="s">
        <v>54</v>
      </c>
      <c r="AZ10" s="100" t="s">
        <v>7</v>
      </c>
      <c r="BA10" s="100" t="s">
        <v>16</v>
      </c>
      <c r="BB10" s="100" t="s">
        <v>7</v>
      </c>
      <c r="BC10" s="100" t="s">
        <v>20</v>
      </c>
      <c r="BD10" s="100" t="s">
        <v>54</v>
      </c>
      <c r="BE10" s="100" t="s">
        <v>7</v>
      </c>
      <c r="BF10" s="100" t="s">
        <v>16</v>
      </c>
      <c r="BG10" s="100" t="s">
        <v>7</v>
      </c>
      <c r="BH10" s="100" t="s">
        <v>20</v>
      </c>
      <c r="BI10" s="100" t="s">
        <v>54</v>
      </c>
      <c r="BJ10" s="100"/>
      <c r="BK10" s="107">
        <f>COUNTIFS(J10:BJ10,"M1")+COUNTIFS(J10:BJ10,"N")</f>
        <v>11</v>
      </c>
      <c r="BL10" s="107">
        <f>COUNTIFS(J10:BJ10,"L")</f>
        <v>10</v>
      </c>
    </row>
    <row r="11" spans="4:64" x14ac:dyDescent="0.35">
      <c r="D11" s="102"/>
      <c r="E11" s="102"/>
      <c r="F11" s="95"/>
      <c r="G11" s="97" t="s">
        <v>178</v>
      </c>
      <c r="H11" s="108">
        <f>COUNTIFS(J11:BJ11,"T")*40+COUNTIFS(J11:BJ11,"M1")*64+COUNTIFS(J11:BJ11,"N")*64-24</f>
        <v>856</v>
      </c>
      <c r="I11" s="108">
        <f t="shared" ref="I11:I20" si="0">1800/2-H11</f>
        <v>44</v>
      </c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 t="s">
        <v>20</v>
      </c>
      <c r="AK11" s="100" t="s">
        <v>54</v>
      </c>
      <c r="AL11" s="100" t="s">
        <v>7</v>
      </c>
      <c r="AM11" s="100" t="s">
        <v>16</v>
      </c>
      <c r="AN11" s="100" t="s">
        <v>7</v>
      </c>
      <c r="AO11" s="100" t="s">
        <v>20</v>
      </c>
      <c r="AP11" s="100" t="s">
        <v>54</v>
      </c>
      <c r="AQ11" s="100" t="s">
        <v>7</v>
      </c>
      <c r="AR11" s="100" t="s">
        <v>16</v>
      </c>
      <c r="AS11" s="100" t="s">
        <v>7</v>
      </c>
      <c r="AT11" s="100" t="s">
        <v>20</v>
      </c>
      <c r="AU11" s="100" t="s">
        <v>54</v>
      </c>
      <c r="AV11" s="100" t="s">
        <v>7</v>
      </c>
      <c r="AW11" s="100" t="s">
        <v>16</v>
      </c>
      <c r="AX11" s="100" t="s">
        <v>7</v>
      </c>
      <c r="AY11" s="100" t="s">
        <v>20</v>
      </c>
      <c r="AZ11" s="100" t="s">
        <v>54</v>
      </c>
      <c r="BA11" s="100" t="s">
        <v>7</v>
      </c>
      <c r="BB11" s="100" t="s">
        <v>16</v>
      </c>
      <c r="BC11" s="100" t="s">
        <v>7</v>
      </c>
      <c r="BD11" s="100" t="s">
        <v>20</v>
      </c>
      <c r="BE11" s="100" t="s">
        <v>54</v>
      </c>
      <c r="BF11" s="100" t="s">
        <v>7</v>
      </c>
      <c r="BG11" s="100" t="s">
        <v>16</v>
      </c>
      <c r="BH11" s="100" t="s">
        <v>7</v>
      </c>
      <c r="BI11" s="100" t="s">
        <v>20</v>
      </c>
      <c r="BJ11" s="100"/>
      <c r="BK11" s="107">
        <f t="shared" ref="BK11:BK20" si="1">COUNTIFS(J11:BJ11,"M1")+COUNTIFS(J11:BJ11,"N")</f>
        <v>10</v>
      </c>
      <c r="BL11" s="107">
        <f t="shared" ref="BL11:BL20" si="2">COUNTIFS(J11:BJ11,"L")</f>
        <v>10</v>
      </c>
    </row>
    <row r="12" spans="4:64" x14ac:dyDescent="0.35">
      <c r="D12" s="102"/>
      <c r="E12" s="102"/>
      <c r="F12" s="95"/>
      <c r="G12" s="97" t="s">
        <v>179</v>
      </c>
      <c r="H12" s="108">
        <f>COUNTIFS(J12:BJ12,"T")*40+COUNTIFS(J12:BJ12,"M1")*64+COUNTIFS(J12:BJ12,"N")*64</f>
        <v>840</v>
      </c>
      <c r="I12" s="108">
        <f t="shared" si="0"/>
        <v>60</v>
      </c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 t="s">
        <v>7</v>
      </c>
      <c r="AK12" s="100" t="s">
        <v>20</v>
      </c>
      <c r="AL12" s="100" t="s">
        <v>54</v>
      </c>
      <c r="AM12" s="100" t="s">
        <v>7</v>
      </c>
      <c r="AN12" s="100" t="s">
        <v>16</v>
      </c>
      <c r="AO12" s="100" t="s">
        <v>7</v>
      </c>
      <c r="AP12" s="100" t="s">
        <v>20</v>
      </c>
      <c r="AQ12" s="100" t="s">
        <v>54</v>
      </c>
      <c r="AR12" s="100" t="s">
        <v>7</v>
      </c>
      <c r="AS12" s="100" t="s">
        <v>16</v>
      </c>
      <c r="AT12" s="100" t="s">
        <v>7</v>
      </c>
      <c r="AU12" s="100" t="s">
        <v>20</v>
      </c>
      <c r="AV12" s="100" t="s">
        <v>54</v>
      </c>
      <c r="AW12" s="100" t="s">
        <v>7</v>
      </c>
      <c r="AX12" s="100" t="s">
        <v>16</v>
      </c>
      <c r="AY12" s="100" t="s">
        <v>7</v>
      </c>
      <c r="AZ12" s="100" t="s">
        <v>20</v>
      </c>
      <c r="BA12" s="100" t="s">
        <v>54</v>
      </c>
      <c r="BB12" s="100" t="s">
        <v>7</v>
      </c>
      <c r="BC12" s="100" t="s">
        <v>16</v>
      </c>
      <c r="BD12" s="100" t="s">
        <v>7</v>
      </c>
      <c r="BE12" s="100" t="s">
        <v>20</v>
      </c>
      <c r="BF12" s="100" t="s">
        <v>54</v>
      </c>
      <c r="BG12" s="100" t="s">
        <v>7</v>
      </c>
      <c r="BH12" s="100" t="s">
        <v>16</v>
      </c>
      <c r="BI12" s="100" t="s">
        <v>7</v>
      </c>
      <c r="BJ12" s="100"/>
      <c r="BK12" s="107">
        <f t="shared" si="1"/>
        <v>10</v>
      </c>
      <c r="BL12" s="107">
        <f t="shared" si="2"/>
        <v>11</v>
      </c>
    </row>
    <row r="13" spans="4:64" x14ac:dyDescent="0.35">
      <c r="D13" s="102"/>
      <c r="E13" s="102"/>
      <c r="F13" s="95"/>
      <c r="G13" s="97" t="s">
        <v>180</v>
      </c>
      <c r="H13" s="108">
        <f>COUNTIFS(J13:BJ13,"T")*40+COUNTIFS(J13:BJ13,"M1")*64+COUNTIFS(J13:BJ13,"N")*64-24-24</f>
        <v>856</v>
      </c>
      <c r="I13" s="108">
        <f t="shared" si="0"/>
        <v>44</v>
      </c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 t="s">
        <v>16</v>
      </c>
      <c r="AK13" s="100" t="s">
        <v>7</v>
      </c>
      <c r="AL13" s="100" t="s">
        <v>20</v>
      </c>
      <c r="AM13" s="100" t="s">
        <v>54</v>
      </c>
      <c r="AN13" s="100" t="s">
        <v>7</v>
      </c>
      <c r="AO13" s="100" t="s">
        <v>16</v>
      </c>
      <c r="AP13" s="100" t="s">
        <v>7</v>
      </c>
      <c r="AQ13" s="100" t="s">
        <v>20</v>
      </c>
      <c r="AR13" s="100" t="s">
        <v>54</v>
      </c>
      <c r="AS13" s="100" t="s">
        <v>7</v>
      </c>
      <c r="AT13" s="100" t="s">
        <v>16</v>
      </c>
      <c r="AU13" s="100" t="s">
        <v>7</v>
      </c>
      <c r="AV13" s="100" t="s">
        <v>20</v>
      </c>
      <c r="AW13" s="100" t="s">
        <v>54</v>
      </c>
      <c r="AX13" s="100" t="s">
        <v>7</v>
      </c>
      <c r="AY13" s="100" t="s">
        <v>16</v>
      </c>
      <c r="AZ13" s="100" t="s">
        <v>7</v>
      </c>
      <c r="BA13" s="100" t="s">
        <v>20</v>
      </c>
      <c r="BB13" s="100" t="s">
        <v>54</v>
      </c>
      <c r="BC13" s="100" t="s">
        <v>7</v>
      </c>
      <c r="BD13" s="100" t="s">
        <v>16</v>
      </c>
      <c r="BE13" s="100" t="s">
        <v>7</v>
      </c>
      <c r="BF13" s="100" t="s">
        <v>20</v>
      </c>
      <c r="BG13" s="100" t="s">
        <v>54</v>
      </c>
      <c r="BH13" s="100" t="s">
        <v>7</v>
      </c>
      <c r="BI13" s="100" t="s">
        <v>16</v>
      </c>
      <c r="BJ13" s="100"/>
      <c r="BK13" s="107">
        <f t="shared" si="1"/>
        <v>11</v>
      </c>
      <c r="BL13" s="107">
        <f t="shared" si="2"/>
        <v>10</v>
      </c>
    </row>
    <row r="14" spans="4:64" x14ac:dyDescent="0.35">
      <c r="D14" s="102"/>
      <c r="E14" s="102"/>
      <c r="F14" s="95"/>
      <c r="G14" s="97" t="s">
        <v>181</v>
      </c>
      <c r="H14" s="108">
        <f>COUNTIFS(J14:BJ14,"T")*40+COUNTIFS(J14:BJ14,"M1")*64+COUNTIFS(J14:BJ14,"N")*64</f>
        <v>840</v>
      </c>
      <c r="I14" s="108">
        <f t="shared" si="0"/>
        <v>60</v>
      </c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 t="s">
        <v>7</v>
      </c>
      <c r="AK14" s="100" t="s">
        <v>16</v>
      </c>
      <c r="AL14" s="100" t="s">
        <v>7</v>
      </c>
      <c r="AM14" s="100" t="s">
        <v>20</v>
      </c>
      <c r="AN14" s="100" t="s">
        <v>54</v>
      </c>
      <c r="AO14" s="100" t="s">
        <v>7</v>
      </c>
      <c r="AP14" s="100" t="s">
        <v>16</v>
      </c>
      <c r="AQ14" s="100" t="s">
        <v>7</v>
      </c>
      <c r="AR14" s="100" t="s">
        <v>20</v>
      </c>
      <c r="AS14" s="100" t="s">
        <v>54</v>
      </c>
      <c r="AT14" s="100" t="s">
        <v>7</v>
      </c>
      <c r="AU14" s="100" t="s">
        <v>16</v>
      </c>
      <c r="AV14" s="100" t="s">
        <v>7</v>
      </c>
      <c r="AW14" s="100" t="s">
        <v>20</v>
      </c>
      <c r="AX14" s="100" t="s">
        <v>54</v>
      </c>
      <c r="AY14" s="100" t="s">
        <v>7</v>
      </c>
      <c r="AZ14" s="100" t="s">
        <v>16</v>
      </c>
      <c r="BA14" s="100" t="s">
        <v>7</v>
      </c>
      <c r="BB14" s="100" t="s">
        <v>20</v>
      </c>
      <c r="BC14" s="100" t="s">
        <v>54</v>
      </c>
      <c r="BD14" s="100" t="s">
        <v>7</v>
      </c>
      <c r="BE14" s="100" t="s">
        <v>16</v>
      </c>
      <c r="BF14" s="100" t="s">
        <v>7</v>
      </c>
      <c r="BG14" s="100" t="s">
        <v>20</v>
      </c>
      <c r="BH14" s="100" t="s">
        <v>54</v>
      </c>
      <c r="BI14" s="100" t="s">
        <v>7</v>
      </c>
      <c r="BJ14" s="100"/>
      <c r="BK14" s="107">
        <f t="shared" si="1"/>
        <v>10</v>
      </c>
      <c r="BL14" s="107">
        <f t="shared" si="2"/>
        <v>11</v>
      </c>
    </row>
    <row r="15" spans="4:64" ht="5.25" customHeight="1" x14ac:dyDescent="0.35">
      <c r="D15" s="102"/>
      <c r="E15" s="102"/>
      <c r="F15" s="95"/>
      <c r="G15" s="98"/>
      <c r="H15" s="98"/>
      <c r="I15" s="98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7"/>
      <c r="BL15" s="107"/>
    </row>
    <row r="16" spans="4:64" x14ac:dyDescent="0.35">
      <c r="D16" s="102"/>
      <c r="E16" s="102"/>
      <c r="F16" s="95"/>
      <c r="G16" s="97" t="s">
        <v>182</v>
      </c>
      <c r="H16" s="108">
        <f>COUNTIFS(J16:BJ16,"T")*40+COUNTIFS(J16:BJ16,"M1")*64+COUNTIFS(J16:BJ16,"N")*64</f>
        <v>840</v>
      </c>
      <c r="I16" s="108">
        <f t="shared" si="0"/>
        <v>60</v>
      </c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 t="s">
        <v>7</v>
      </c>
      <c r="AK16" s="100" t="s">
        <v>20</v>
      </c>
      <c r="AL16" s="100" t="s">
        <v>16</v>
      </c>
      <c r="AM16" s="100" t="s">
        <v>7</v>
      </c>
      <c r="AN16" s="100" t="s">
        <v>54</v>
      </c>
      <c r="AO16" s="100" t="s">
        <v>7</v>
      </c>
      <c r="AP16" s="100" t="s">
        <v>20</v>
      </c>
      <c r="AQ16" s="100" t="s">
        <v>16</v>
      </c>
      <c r="AR16" s="100" t="s">
        <v>7</v>
      </c>
      <c r="AS16" s="100" t="s">
        <v>54</v>
      </c>
      <c r="AT16" s="100" t="s">
        <v>7</v>
      </c>
      <c r="AU16" s="100" t="s">
        <v>20</v>
      </c>
      <c r="AV16" s="100" t="s">
        <v>16</v>
      </c>
      <c r="AW16" s="100" t="s">
        <v>7</v>
      </c>
      <c r="AX16" s="100" t="s">
        <v>54</v>
      </c>
      <c r="AY16" s="100" t="s">
        <v>7</v>
      </c>
      <c r="AZ16" s="100" t="s">
        <v>20</v>
      </c>
      <c r="BA16" s="100" t="s">
        <v>16</v>
      </c>
      <c r="BB16" s="100" t="s">
        <v>7</v>
      </c>
      <c r="BC16" s="100" t="s">
        <v>54</v>
      </c>
      <c r="BD16" s="100" t="s">
        <v>7</v>
      </c>
      <c r="BE16" s="100" t="s">
        <v>20</v>
      </c>
      <c r="BF16" s="100" t="s">
        <v>16</v>
      </c>
      <c r="BG16" s="100" t="s">
        <v>7</v>
      </c>
      <c r="BH16" s="100" t="s">
        <v>54</v>
      </c>
      <c r="BI16" s="100" t="s">
        <v>7</v>
      </c>
      <c r="BJ16" s="100"/>
      <c r="BK16" s="107">
        <f t="shared" si="1"/>
        <v>10</v>
      </c>
      <c r="BL16" s="107">
        <f t="shared" si="2"/>
        <v>11</v>
      </c>
    </row>
    <row r="17" spans="7:64" x14ac:dyDescent="0.35">
      <c r="G17" s="97" t="s">
        <v>183</v>
      </c>
      <c r="H17" s="108">
        <f>COUNTIFS(J17:BJ17,"T")*40+COUNTIFS(J17:BJ17,"M1")*64+COUNTIFS(J17:BJ17,"N")*64-24-24</f>
        <v>856</v>
      </c>
      <c r="I17" s="108">
        <f t="shared" si="0"/>
        <v>44</v>
      </c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 t="s">
        <v>54</v>
      </c>
      <c r="AK17" s="100" t="s">
        <v>7</v>
      </c>
      <c r="AL17" s="100" t="s">
        <v>20</v>
      </c>
      <c r="AM17" s="100" t="s">
        <v>16</v>
      </c>
      <c r="AN17" s="100" t="s">
        <v>7</v>
      </c>
      <c r="AO17" s="100" t="s">
        <v>54</v>
      </c>
      <c r="AP17" s="100" t="s">
        <v>7</v>
      </c>
      <c r="AQ17" s="100" t="s">
        <v>20</v>
      </c>
      <c r="AR17" s="100" t="s">
        <v>16</v>
      </c>
      <c r="AS17" s="100" t="s">
        <v>7</v>
      </c>
      <c r="AT17" s="100" t="s">
        <v>54</v>
      </c>
      <c r="AU17" s="100" t="s">
        <v>7</v>
      </c>
      <c r="AV17" s="100" t="s">
        <v>20</v>
      </c>
      <c r="AW17" s="100" t="s">
        <v>16</v>
      </c>
      <c r="AX17" s="100" t="s">
        <v>7</v>
      </c>
      <c r="AY17" s="100" t="s">
        <v>54</v>
      </c>
      <c r="AZ17" s="100" t="s">
        <v>7</v>
      </c>
      <c r="BA17" s="100" t="s">
        <v>20</v>
      </c>
      <c r="BB17" s="100" t="s">
        <v>16</v>
      </c>
      <c r="BC17" s="100" t="s">
        <v>7</v>
      </c>
      <c r="BD17" s="100" t="s">
        <v>54</v>
      </c>
      <c r="BE17" s="100" t="s">
        <v>7</v>
      </c>
      <c r="BF17" s="100" t="s">
        <v>20</v>
      </c>
      <c r="BG17" s="100" t="s">
        <v>16</v>
      </c>
      <c r="BH17" s="100" t="s">
        <v>7</v>
      </c>
      <c r="BI17" s="100" t="s">
        <v>54</v>
      </c>
      <c r="BJ17" s="100"/>
      <c r="BK17" s="107">
        <f t="shared" si="1"/>
        <v>11</v>
      </c>
      <c r="BL17" s="107">
        <f t="shared" si="2"/>
        <v>10</v>
      </c>
    </row>
    <row r="18" spans="7:64" x14ac:dyDescent="0.35">
      <c r="G18" s="97" t="s">
        <v>184</v>
      </c>
      <c r="H18" s="108">
        <f>COUNTIFS(J18:BJ18,"T")*40+COUNTIFS(J18:BJ18,"M1")*64+COUNTIFS(J18:BJ18,"N")*64</f>
        <v>840</v>
      </c>
      <c r="I18" s="108">
        <f t="shared" si="0"/>
        <v>60</v>
      </c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 t="s">
        <v>7</v>
      </c>
      <c r="AK18" s="100" t="s">
        <v>54</v>
      </c>
      <c r="AL18" s="100" t="s">
        <v>7</v>
      </c>
      <c r="AM18" s="100" t="s">
        <v>20</v>
      </c>
      <c r="AN18" s="100" t="s">
        <v>16</v>
      </c>
      <c r="AO18" s="100" t="s">
        <v>7</v>
      </c>
      <c r="AP18" s="100" t="s">
        <v>54</v>
      </c>
      <c r="AQ18" s="100" t="s">
        <v>7</v>
      </c>
      <c r="AR18" s="100" t="s">
        <v>20</v>
      </c>
      <c r="AS18" s="100" t="s">
        <v>16</v>
      </c>
      <c r="AT18" s="100" t="s">
        <v>7</v>
      </c>
      <c r="AU18" s="100" t="s">
        <v>54</v>
      </c>
      <c r="AV18" s="100" t="s">
        <v>7</v>
      </c>
      <c r="AW18" s="100" t="s">
        <v>20</v>
      </c>
      <c r="AX18" s="100" t="s">
        <v>16</v>
      </c>
      <c r="AY18" s="100" t="s">
        <v>7</v>
      </c>
      <c r="AZ18" s="100" t="s">
        <v>54</v>
      </c>
      <c r="BA18" s="100" t="s">
        <v>7</v>
      </c>
      <c r="BB18" s="100" t="s">
        <v>20</v>
      </c>
      <c r="BC18" s="100" t="s">
        <v>16</v>
      </c>
      <c r="BD18" s="100" t="s">
        <v>7</v>
      </c>
      <c r="BE18" s="100" t="s">
        <v>54</v>
      </c>
      <c r="BF18" s="100" t="s">
        <v>7</v>
      </c>
      <c r="BG18" s="100" t="s">
        <v>20</v>
      </c>
      <c r="BH18" s="100" t="s">
        <v>16</v>
      </c>
      <c r="BI18" s="100" t="s">
        <v>7</v>
      </c>
      <c r="BJ18" s="100"/>
      <c r="BK18" s="107">
        <f t="shared" si="1"/>
        <v>10</v>
      </c>
      <c r="BL18" s="107">
        <f t="shared" si="2"/>
        <v>11</v>
      </c>
    </row>
    <row r="19" spans="7:64" x14ac:dyDescent="0.35">
      <c r="G19" s="97" t="s">
        <v>185</v>
      </c>
      <c r="H19" s="108">
        <f>COUNTIFS(J19:BJ19,"T")*40+COUNTIFS(J19:BJ19,"M1")*64+COUNTIFS(J19:BJ19,"N")*64-24-24</f>
        <v>856</v>
      </c>
      <c r="I19" s="108">
        <f t="shared" si="0"/>
        <v>44</v>
      </c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 t="s">
        <v>16</v>
      </c>
      <c r="AK19" s="100" t="s">
        <v>7</v>
      </c>
      <c r="AL19" s="100" t="s">
        <v>54</v>
      </c>
      <c r="AM19" s="100" t="s">
        <v>7</v>
      </c>
      <c r="AN19" s="100" t="s">
        <v>20</v>
      </c>
      <c r="AO19" s="100" t="s">
        <v>16</v>
      </c>
      <c r="AP19" s="100" t="s">
        <v>7</v>
      </c>
      <c r="AQ19" s="100" t="s">
        <v>54</v>
      </c>
      <c r="AR19" s="100" t="s">
        <v>7</v>
      </c>
      <c r="AS19" s="100" t="s">
        <v>20</v>
      </c>
      <c r="AT19" s="100" t="s">
        <v>16</v>
      </c>
      <c r="AU19" s="100" t="s">
        <v>7</v>
      </c>
      <c r="AV19" s="100" t="s">
        <v>54</v>
      </c>
      <c r="AW19" s="100" t="s">
        <v>7</v>
      </c>
      <c r="AX19" s="100" t="s">
        <v>20</v>
      </c>
      <c r="AY19" s="100" t="s">
        <v>16</v>
      </c>
      <c r="AZ19" s="100" t="s">
        <v>7</v>
      </c>
      <c r="BA19" s="100" t="s">
        <v>54</v>
      </c>
      <c r="BB19" s="100" t="s">
        <v>7</v>
      </c>
      <c r="BC19" s="100" t="s">
        <v>20</v>
      </c>
      <c r="BD19" s="100" t="s">
        <v>16</v>
      </c>
      <c r="BE19" s="100" t="s">
        <v>7</v>
      </c>
      <c r="BF19" s="100" t="s">
        <v>54</v>
      </c>
      <c r="BG19" s="100" t="s">
        <v>7</v>
      </c>
      <c r="BH19" s="100" t="s">
        <v>20</v>
      </c>
      <c r="BI19" s="100" t="s">
        <v>16</v>
      </c>
      <c r="BJ19" s="100"/>
      <c r="BK19" s="107">
        <f t="shared" si="1"/>
        <v>11</v>
      </c>
      <c r="BL19" s="107">
        <f t="shared" si="2"/>
        <v>10</v>
      </c>
    </row>
    <row r="20" spans="7:64" x14ac:dyDescent="0.35">
      <c r="G20" s="97" t="s">
        <v>186</v>
      </c>
      <c r="H20" s="108">
        <f t="shared" ref="H20" si="3">COUNTIFS(J20:BJ20,"T")*40+COUNTIFS(J20:BJ20,"M1")*64+COUNTIFS(J20:BJ20,"N")*64-24</f>
        <v>856</v>
      </c>
      <c r="I20" s="108">
        <f t="shared" si="0"/>
        <v>44</v>
      </c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 t="s">
        <v>20</v>
      </c>
      <c r="AK20" s="100" t="s">
        <v>16</v>
      </c>
      <c r="AL20" s="100" t="s">
        <v>7</v>
      </c>
      <c r="AM20" s="100" t="s">
        <v>54</v>
      </c>
      <c r="AN20" s="100" t="s">
        <v>7</v>
      </c>
      <c r="AO20" s="100" t="s">
        <v>20</v>
      </c>
      <c r="AP20" s="100" t="s">
        <v>16</v>
      </c>
      <c r="AQ20" s="100" t="s">
        <v>7</v>
      </c>
      <c r="AR20" s="100" t="s">
        <v>54</v>
      </c>
      <c r="AS20" s="100" t="s">
        <v>7</v>
      </c>
      <c r="AT20" s="100" t="s">
        <v>20</v>
      </c>
      <c r="AU20" s="100" t="s">
        <v>16</v>
      </c>
      <c r="AV20" s="100" t="s">
        <v>7</v>
      </c>
      <c r="AW20" s="100" t="s">
        <v>54</v>
      </c>
      <c r="AX20" s="100" t="s">
        <v>7</v>
      </c>
      <c r="AY20" s="100" t="s">
        <v>20</v>
      </c>
      <c r="AZ20" s="100" t="s">
        <v>16</v>
      </c>
      <c r="BA20" s="100" t="s">
        <v>7</v>
      </c>
      <c r="BB20" s="100" t="s">
        <v>54</v>
      </c>
      <c r="BC20" s="100" t="s">
        <v>7</v>
      </c>
      <c r="BD20" s="100" t="s">
        <v>20</v>
      </c>
      <c r="BE20" s="100" t="s">
        <v>16</v>
      </c>
      <c r="BF20" s="100" t="s">
        <v>7</v>
      </c>
      <c r="BG20" s="100" t="s">
        <v>54</v>
      </c>
      <c r="BH20" s="100" t="s">
        <v>7</v>
      </c>
      <c r="BI20" s="100" t="s">
        <v>20</v>
      </c>
      <c r="BJ20" s="100"/>
      <c r="BK20" s="107">
        <f t="shared" si="1"/>
        <v>10</v>
      </c>
      <c r="BL20" s="107">
        <f t="shared" si="2"/>
        <v>10</v>
      </c>
    </row>
    <row r="21" spans="7:64" x14ac:dyDescent="0.35"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</row>
    <row r="22" spans="7:64" x14ac:dyDescent="0.35">
      <c r="G22" s="101" t="s">
        <v>187</v>
      </c>
      <c r="H22">
        <f>SUM(H10:H20)</f>
        <v>8496</v>
      </c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</row>
    <row r="23" spans="7:64" x14ac:dyDescent="0.35">
      <c r="G23" s="101" t="s">
        <v>188</v>
      </c>
      <c r="H23">
        <f>AVERAGE(H10:H20)</f>
        <v>849.6</v>
      </c>
    </row>
    <row r="27" spans="7:64" x14ac:dyDescent="0.35">
      <c r="G27" s="99" t="s">
        <v>119</v>
      </c>
      <c r="H27" s="99" t="s">
        <v>120</v>
      </c>
      <c r="I27" s="99" t="s">
        <v>121</v>
      </c>
      <c r="J27" s="99" t="s">
        <v>122</v>
      </c>
      <c r="K27" s="99" t="s">
        <v>123</v>
      </c>
      <c r="L27" s="99" t="s">
        <v>124</v>
      </c>
      <c r="M27" s="99" t="s">
        <v>125</v>
      </c>
      <c r="N27" s="99" t="s">
        <v>126</v>
      </c>
      <c r="O27" s="99" t="s">
        <v>127</v>
      </c>
      <c r="P27" s="99" t="s">
        <v>128</v>
      </c>
      <c r="Q27" s="99" t="s">
        <v>129</v>
      </c>
      <c r="R27" s="99" t="s">
        <v>130</v>
      </c>
      <c r="S27" s="99" t="s">
        <v>131</v>
      </c>
      <c r="T27" s="99" t="s">
        <v>132</v>
      </c>
      <c r="U27" s="99" t="s">
        <v>133</v>
      </c>
      <c r="V27" s="99" t="s">
        <v>134</v>
      </c>
      <c r="W27" s="99" t="s">
        <v>135</v>
      </c>
      <c r="X27" s="99" t="s">
        <v>136</v>
      </c>
      <c r="Y27" s="99" t="s">
        <v>137</v>
      </c>
      <c r="Z27" s="99" t="s">
        <v>138</v>
      </c>
      <c r="AA27" s="99" t="s">
        <v>139</v>
      </c>
      <c r="AB27" s="99" t="s">
        <v>140</v>
      </c>
      <c r="AC27" s="99" t="s">
        <v>141</v>
      </c>
      <c r="AD27" s="99" t="s">
        <v>142</v>
      </c>
      <c r="AE27" s="99" t="s">
        <v>143</v>
      </c>
      <c r="AF27" s="99" t="s">
        <v>144</v>
      </c>
      <c r="AG27" s="99" t="s">
        <v>145</v>
      </c>
      <c r="AH27" s="99" t="s">
        <v>146</v>
      </c>
      <c r="AI27" s="99" t="s">
        <v>147</v>
      </c>
      <c r="AJ27" s="99" t="s">
        <v>148</v>
      </c>
      <c r="AK27" s="99" t="s">
        <v>149</v>
      </c>
      <c r="AL27" s="99" t="s">
        <v>150</v>
      </c>
      <c r="AM27" s="99" t="s">
        <v>151</v>
      </c>
      <c r="AN27" s="99" t="s">
        <v>152</v>
      </c>
      <c r="AO27" s="99" t="s">
        <v>153</v>
      </c>
      <c r="AP27" s="99" t="s">
        <v>154</v>
      </c>
      <c r="AQ27" s="99" t="s">
        <v>155</v>
      </c>
      <c r="AR27" s="99" t="s">
        <v>156</v>
      </c>
      <c r="AS27" s="99" t="s">
        <v>157</v>
      </c>
      <c r="AT27" s="99" t="s">
        <v>158</v>
      </c>
      <c r="AU27" s="99" t="s">
        <v>159</v>
      </c>
      <c r="AV27" s="99" t="s">
        <v>160</v>
      </c>
      <c r="AW27" s="99" t="s">
        <v>161</v>
      </c>
      <c r="AX27" s="99" t="s">
        <v>162</v>
      </c>
      <c r="AY27" s="99" t="s">
        <v>163</v>
      </c>
      <c r="AZ27" s="99" t="s">
        <v>164</v>
      </c>
      <c r="BA27" s="99" t="s">
        <v>165</v>
      </c>
      <c r="BB27" s="99" t="s">
        <v>166</v>
      </c>
      <c r="BC27" s="99" t="s">
        <v>167</v>
      </c>
      <c r="BD27" s="99" t="s">
        <v>168</v>
      </c>
      <c r="BE27" s="99" t="s">
        <v>169</v>
      </c>
      <c r="BF27" s="99" t="s">
        <v>170</v>
      </c>
      <c r="BG27" s="99" t="s">
        <v>171</v>
      </c>
      <c r="BH27" s="99" t="s">
        <v>172</v>
      </c>
      <c r="BI27" s="99" t="s">
        <v>173</v>
      </c>
      <c r="BJ27" s="99" t="s">
        <v>174</v>
      </c>
      <c r="BK27" s="106" t="s">
        <v>175</v>
      </c>
      <c r="BL27" s="106" t="s">
        <v>176</v>
      </c>
    </row>
    <row r="28" spans="7:64" x14ac:dyDescent="0.35">
      <c r="G28" s="97" t="s">
        <v>177</v>
      </c>
      <c r="H28" s="108">
        <f>COUNTIFS(J28:BJ28,"T")*40+COUNTIFS(J28:BJ28,"M1")*64+COUNTIFS(J28:BJ28,"N")*64-24-32</f>
        <v>1752</v>
      </c>
      <c r="I28" s="108">
        <f>1800-H28</f>
        <v>48</v>
      </c>
      <c r="J28" s="100" t="s">
        <v>54</v>
      </c>
      <c r="K28" s="100" t="s">
        <v>7</v>
      </c>
      <c r="L28" s="100" t="s">
        <v>54</v>
      </c>
      <c r="M28" s="100" t="s">
        <v>7</v>
      </c>
      <c r="N28" s="100" t="s">
        <v>20</v>
      </c>
      <c r="O28" s="100" t="s">
        <v>54</v>
      </c>
      <c r="P28" s="100" t="s">
        <v>7</v>
      </c>
      <c r="Q28" s="100" t="s">
        <v>54</v>
      </c>
      <c r="R28" s="100" t="s">
        <v>7</v>
      </c>
      <c r="S28" s="100" t="s">
        <v>20</v>
      </c>
      <c r="T28" s="100" t="s">
        <v>54</v>
      </c>
      <c r="U28" s="100" t="s">
        <v>7</v>
      </c>
      <c r="V28" s="100" t="s">
        <v>54</v>
      </c>
      <c r="W28" s="117" t="s">
        <v>7</v>
      </c>
      <c r="X28" s="100" t="s">
        <v>20</v>
      </c>
      <c r="Y28" s="100" t="s">
        <v>54</v>
      </c>
      <c r="Z28" s="100" t="s">
        <v>7</v>
      </c>
      <c r="AA28" s="100" t="s">
        <v>54</v>
      </c>
      <c r="AB28" s="100" t="s">
        <v>7</v>
      </c>
      <c r="AC28" s="100" t="s">
        <v>20</v>
      </c>
      <c r="AD28" s="100" t="s">
        <v>54</v>
      </c>
      <c r="AE28" s="117" t="s">
        <v>7</v>
      </c>
      <c r="AF28" s="100" t="s">
        <v>54</v>
      </c>
      <c r="AG28" s="100" t="s">
        <v>7</v>
      </c>
      <c r="AH28" s="100" t="s">
        <v>20</v>
      </c>
      <c r="AI28" s="100" t="s">
        <v>54</v>
      </c>
      <c r="AJ28" s="100" t="s">
        <v>7</v>
      </c>
      <c r="AK28" s="100" t="s">
        <v>54</v>
      </c>
      <c r="AL28" s="117" t="s">
        <v>7</v>
      </c>
      <c r="AM28" s="100" t="s">
        <v>20</v>
      </c>
      <c r="AN28" s="100" t="s">
        <v>54</v>
      </c>
      <c r="AO28" s="100" t="s">
        <v>7</v>
      </c>
      <c r="AP28" s="100" t="s">
        <v>54</v>
      </c>
      <c r="AQ28" s="100" t="s">
        <v>7</v>
      </c>
      <c r="AR28" s="100" t="s">
        <v>20</v>
      </c>
      <c r="AS28" s="100" t="s">
        <v>54</v>
      </c>
      <c r="AT28" s="117" t="s">
        <v>7</v>
      </c>
      <c r="AU28" s="100" t="s">
        <v>54</v>
      </c>
      <c r="AV28" s="100" t="s">
        <v>7</v>
      </c>
      <c r="AW28" s="100" t="s">
        <v>20</v>
      </c>
      <c r="AX28" s="100" t="s">
        <v>54</v>
      </c>
      <c r="AY28" s="100" t="s">
        <v>7</v>
      </c>
      <c r="AZ28" s="100" t="s">
        <v>54</v>
      </c>
      <c r="BA28" s="117" t="s">
        <v>7</v>
      </c>
      <c r="BB28" s="100" t="s">
        <v>20</v>
      </c>
      <c r="BC28" s="100" t="s">
        <v>54</v>
      </c>
      <c r="BD28" s="100" t="s">
        <v>7</v>
      </c>
      <c r="BE28" s="100" t="s">
        <v>54</v>
      </c>
      <c r="BF28" s="100" t="s">
        <v>7</v>
      </c>
      <c r="BG28" s="100" t="s">
        <v>20</v>
      </c>
      <c r="BH28" s="100" t="s">
        <v>54</v>
      </c>
      <c r="BI28" s="117" t="s">
        <v>7</v>
      </c>
      <c r="BJ28" s="100" t="s">
        <v>54</v>
      </c>
      <c r="BK28" s="107">
        <f>COUNTIFS(J28:BJ28,"M1")+COUNTIFS(J28:BJ28,"N")</f>
        <v>22</v>
      </c>
      <c r="BL28" s="107">
        <f>COUNTIFS(J28:BJ28,"L")</f>
        <v>21</v>
      </c>
    </row>
    <row r="29" spans="7:64" x14ac:dyDescent="0.35">
      <c r="G29" s="97" t="s">
        <v>178</v>
      </c>
      <c r="H29" s="108">
        <f t="shared" ref="H29:H38" si="4">COUNTIFS(J29:BJ29,"T")*40+COUNTIFS(J29:BJ29,"M1")*64+COUNTIFS(J29:BJ29,"N")*64-24</f>
        <v>1760</v>
      </c>
      <c r="I29" s="108">
        <f t="shared" ref="I29:I32" si="5">1800-H29</f>
        <v>40</v>
      </c>
      <c r="J29" s="100" t="s">
        <v>20</v>
      </c>
      <c r="K29" s="100" t="s">
        <v>54</v>
      </c>
      <c r="L29" s="100" t="s">
        <v>7</v>
      </c>
      <c r="M29" s="100" t="s">
        <v>54</v>
      </c>
      <c r="N29" s="100" t="s">
        <v>7</v>
      </c>
      <c r="O29" s="100" t="s">
        <v>20</v>
      </c>
      <c r="P29" s="100" t="s">
        <v>54</v>
      </c>
      <c r="Q29" s="100" t="s">
        <v>7</v>
      </c>
      <c r="R29" s="100" t="s">
        <v>54</v>
      </c>
      <c r="S29" s="100" t="s">
        <v>7</v>
      </c>
      <c r="T29" s="100" t="s">
        <v>20</v>
      </c>
      <c r="U29" s="100" t="s">
        <v>54</v>
      </c>
      <c r="V29" s="100" t="s">
        <v>7</v>
      </c>
      <c r="W29" s="100" t="s">
        <v>54</v>
      </c>
      <c r="X29" s="100" t="s">
        <v>7</v>
      </c>
      <c r="Y29" s="100" t="s">
        <v>20</v>
      </c>
      <c r="Z29" s="100" t="s">
        <v>54</v>
      </c>
      <c r="AA29" s="100" t="s">
        <v>7</v>
      </c>
      <c r="AB29" s="100" t="s">
        <v>54</v>
      </c>
      <c r="AC29" s="100" t="s">
        <v>7</v>
      </c>
      <c r="AD29" s="100" t="s">
        <v>20</v>
      </c>
      <c r="AE29" s="100" t="s">
        <v>54</v>
      </c>
      <c r="AF29" s="100" t="s">
        <v>7</v>
      </c>
      <c r="AG29" s="100" t="s">
        <v>54</v>
      </c>
      <c r="AH29" s="100" t="s">
        <v>7</v>
      </c>
      <c r="AI29" s="100" t="s">
        <v>20</v>
      </c>
      <c r="AJ29" s="100" t="s">
        <v>54</v>
      </c>
      <c r="AK29" s="100" t="s">
        <v>7</v>
      </c>
      <c r="AL29" s="100" t="s">
        <v>54</v>
      </c>
      <c r="AM29" s="100" t="s">
        <v>7</v>
      </c>
      <c r="AN29" s="100" t="s">
        <v>20</v>
      </c>
      <c r="AO29" s="100" t="s">
        <v>54</v>
      </c>
      <c r="AP29" s="100" t="s">
        <v>7</v>
      </c>
      <c r="AQ29" s="100" t="s">
        <v>54</v>
      </c>
      <c r="AR29" s="100" t="s">
        <v>7</v>
      </c>
      <c r="AS29" s="100" t="s">
        <v>20</v>
      </c>
      <c r="AT29" s="100" t="s">
        <v>54</v>
      </c>
      <c r="AU29" s="100" t="s">
        <v>7</v>
      </c>
      <c r="AV29" s="100" t="s">
        <v>54</v>
      </c>
      <c r="AW29" s="100" t="s">
        <v>7</v>
      </c>
      <c r="AX29" s="100" t="s">
        <v>20</v>
      </c>
      <c r="AY29" s="100" t="s">
        <v>54</v>
      </c>
      <c r="AZ29" s="100" t="s">
        <v>7</v>
      </c>
      <c r="BA29" s="100" t="s">
        <v>54</v>
      </c>
      <c r="BB29" s="100" t="s">
        <v>7</v>
      </c>
      <c r="BC29" s="100" t="s">
        <v>20</v>
      </c>
      <c r="BD29" s="100" t="s">
        <v>54</v>
      </c>
      <c r="BE29" s="100" t="s">
        <v>7</v>
      </c>
      <c r="BF29" s="100" t="s">
        <v>54</v>
      </c>
      <c r="BG29" s="100" t="s">
        <v>7</v>
      </c>
      <c r="BH29" s="100" t="s">
        <v>20</v>
      </c>
      <c r="BI29" s="100" t="s">
        <v>54</v>
      </c>
      <c r="BJ29" s="100" t="s">
        <v>7</v>
      </c>
      <c r="BK29" s="107">
        <f>COUNTIFS(J29:BJ29,"M1")+COUNTIFS(J29:BJ29,"N")</f>
        <v>21</v>
      </c>
      <c r="BL29" s="107">
        <f t="shared" ref="BL29:BL38" si="6">COUNTIFS(J29:BJ29,"L")</f>
        <v>21</v>
      </c>
    </row>
    <row r="30" spans="7:64" x14ac:dyDescent="0.35">
      <c r="G30" s="97" t="s">
        <v>179</v>
      </c>
      <c r="H30" s="108">
        <f>COUNTIFS(J30:BJ30,"T")*40+COUNTIFS(J30:BJ30,"M1")*64+COUNTIFS(J30:BJ30,"N")*64-24-32</f>
        <v>1728</v>
      </c>
      <c r="I30" s="108">
        <f t="shared" si="5"/>
        <v>72</v>
      </c>
      <c r="J30" s="100" t="s">
        <v>7</v>
      </c>
      <c r="K30" s="100" t="s">
        <v>20</v>
      </c>
      <c r="L30" s="100" t="s">
        <v>54</v>
      </c>
      <c r="M30" s="100" t="s">
        <v>7</v>
      </c>
      <c r="N30" s="100" t="s">
        <v>54</v>
      </c>
      <c r="O30" s="100" t="s">
        <v>7</v>
      </c>
      <c r="P30" s="100" t="s">
        <v>20</v>
      </c>
      <c r="Q30" s="100" t="s">
        <v>54</v>
      </c>
      <c r="R30" s="100" t="s">
        <v>7</v>
      </c>
      <c r="S30" s="100" t="s">
        <v>54</v>
      </c>
      <c r="T30" s="100" t="s">
        <v>7</v>
      </c>
      <c r="U30" s="100" t="s">
        <v>20</v>
      </c>
      <c r="V30" s="100" t="s">
        <v>54</v>
      </c>
      <c r="W30" s="100" t="s">
        <v>7</v>
      </c>
      <c r="X30" s="100" t="s">
        <v>54</v>
      </c>
      <c r="Y30" s="100" t="s">
        <v>7</v>
      </c>
      <c r="Z30" s="100" t="s">
        <v>20</v>
      </c>
      <c r="AA30" s="100" t="s">
        <v>54</v>
      </c>
      <c r="AB30" s="100" t="s">
        <v>7</v>
      </c>
      <c r="AC30" s="100" t="s">
        <v>54</v>
      </c>
      <c r="AD30" s="100" t="s">
        <v>7</v>
      </c>
      <c r="AE30" s="100" t="s">
        <v>20</v>
      </c>
      <c r="AF30" s="100" t="s">
        <v>54</v>
      </c>
      <c r="AG30" s="100" t="s">
        <v>7</v>
      </c>
      <c r="AH30" s="100" t="s">
        <v>54</v>
      </c>
      <c r="AI30" s="100" t="s">
        <v>7</v>
      </c>
      <c r="AJ30" s="100" t="s">
        <v>20</v>
      </c>
      <c r="AK30" s="100" t="s">
        <v>54</v>
      </c>
      <c r="AL30" s="100" t="s">
        <v>7</v>
      </c>
      <c r="AM30" s="100" t="s">
        <v>54</v>
      </c>
      <c r="AN30" s="100" t="s">
        <v>7</v>
      </c>
      <c r="AO30" s="100" t="s">
        <v>20</v>
      </c>
      <c r="AP30" s="100" t="s">
        <v>54</v>
      </c>
      <c r="AQ30" s="100" t="s">
        <v>7</v>
      </c>
      <c r="AR30" s="100" t="s">
        <v>54</v>
      </c>
      <c r="AS30" s="100" t="s">
        <v>7</v>
      </c>
      <c r="AT30" s="100" t="s">
        <v>20</v>
      </c>
      <c r="AU30" s="100" t="s">
        <v>54</v>
      </c>
      <c r="AV30" s="100" t="s">
        <v>7</v>
      </c>
      <c r="AW30" s="100" t="s">
        <v>54</v>
      </c>
      <c r="AX30" s="100" t="s">
        <v>7</v>
      </c>
      <c r="AY30" s="100" t="s">
        <v>20</v>
      </c>
      <c r="AZ30" s="100" t="s">
        <v>54</v>
      </c>
      <c r="BA30" s="100" t="s">
        <v>7</v>
      </c>
      <c r="BB30" s="100" t="s">
        <v>54</v>
      </c>
      <c r="BC30" s="100" t="s">
        <v>7</v>
      </c>
      <c r="BD30" s="100" t="s">
        <v>20</v>
      </c>
      <c r="BE30" s="100" t="s">
        <v>54</v>
      </c>
      <c r="BF30" s="100" t="s">
        <v>7</v>
      </c>
      <c r="BG30" s="100" t="s">
        <v>54</v>
      </c>
      <c r="BH30" s="100" t="s">
        <v>7</v>
      </c>
      <c r="BI30" s="100" t="s">
        <v>20</v>
      </c>
      <c r="BJ30" s="100" t="s">
        <v>54</v>
      </c>
      <c r="BK30" s="107">
        <f>COUNTIFS(J30:BJ30,"M1")+COUNTIFS(J30:BJ30,"N")</f>
        <v>21</v>
      </c>
      <c r="BL30" s="107">
        <f t="shared" si="6"/>
        <v>21</v>
      </c>
    </row>
    <row r="31" spans="7:64" x14ac:dyDescent="0.35">
      <c r="G31" s="97" t="s">
        <v>180</v>
      </c>
      <c r="H31" s="108">
        <f>COUNTIFS(J31:BJ31,"T")*40+COUNTIFS(J31:BJ31,"M1")*64+COUNTIFS(J31:BJ31,"N")*64-24-8</f>
        <v>1752</v>
      </c>
      <c r="I31" s="108">
        <f t="shared" si="5"/>
        <v>48</v>
      </c>
      <c r="J31" s="100" t="s">
        <v>16</v>
      </c>
      <c r="K31" s="100" t="s">
        <v>7</v>
      </c>
      <c r="L31" s="100" t="s">
        <v>20</v>
      </c>
      <c r="M31" s="100" t="s">
        <v>54</v>
      </c>
      <c r="N31" s="100" t="s">
        <v>7</v>
      </c>
      <c r="O31" s="100" t="s">
        <v>54</v>
      </c>
      <c r="P31" s="100" t="s">
        <v>7</v>
      </c>
      <c r="Q31" s="100" t="s">
        <v>20</v>
      </c>
      <c r="R31" s="100" t="s">
        <v>54</v>
      </c>
      <c r="S31" s="100" t="s">
        <v>7</v>
      </c>
      <c r="T31" s="100" t="s">
        <v>54</v>
      </c>
      <c r="U31" s="100" t="s">
        <v>7</v>
      </c>
      <c r="V31" s="100" t="s">
        <v>20</v>
      </c>
      <c r="W31" s="100" t="s">
        <v>54</v>
      </c>
      <c r="X31" s="100" t="s">
        <v>7</v>
      </c>
      <c r="Y31" s="100" t="s">
        <v>54</v>
      </c>
      <c r="Z31" s="100" t="s">
        <v>7</v>
      </c>
      <c r="AA31" s="100" t="s">
        <v>20</v>
      </c>
      <c r="AB31" s="100" t="s">
        <v>54</v>
      </c>
      <c r="AC31" s="100" t="s">
        <v>7</v>
      </c>
      <c r="AD31" s="100" t="s">
        <v>54</v>
      </c>
      <c r="AE31" s="100" t="s">
        <v>7</v>
      </c>
      <c r="AF31" s="100" t="s">
        <v>20</v>
      </c>
      <c r="AG31" s="100" t="s">
        <v>54</v>
      </c>
      <c r="AH31" s="100" t="s">
        <v>7</v>
      </c>
      <c r="AI31" s="100" t="s">
        <v>54</v>
      </c>
      <c r="AJ31" s="100" t="s">
        <v>7</v>
      </c>
      <c r="AK31" s="100" t="s">
        <v>20</v>
      </c>
      <c r="AL31" s="100" t="s">
        <v>54</v>
      </c>
      <c r="AM31" s="100" t="s">
        <v>7</v>
      </c>
      <c r="AN31" s="100" t="s">
        <v>54</v>
      </c>
      <c r="AO31" s="100" t="s">
        <v>7</v>
      </c>
      <c r="AP31" s="100" t="s">
        <v>20</v>
      </c>
      <c r="AQ31" s="100" t="s">
        <v>54</v>
      </c>
      <c r="AR31" s="100" t="s">
        <v>7</v>
      </c>
      <c r="AS31" s="100" t="s">
        <v>54</v>
      </c>
      <c r="AT31" s="100" t="s">
        <v>7</v>
      </c>
      <c r="AU31" s="100" t="s">
        <v>20</v>
      </c>
      <c r="AV31" s="100" t="s">
        <v>54</v>
      </c>
      <c r="AW31" s="100" t="s">
        <v>7</v>
      </c>
      <c r="AX31" s="100" t="s">
        <v>54</v>
      </c>
      <c r="AY31" s="100" t="s">
        <v>7</v>
      </c>
      <c r="AZ31" s="100" t="s">
        <v>20</v>
      </c>
      <c r="BA31" s="100" t="s">
        <v>54</v>
      </c>
      <c r="BB31" s="100" t="s">
        <v>7</v>
      </c>
      <c r="BC31" s="100" t="s">
        <v>54</v>
      </c>
      <c r="BD31" s="100" t="s">
        <v>7</v>
      </c>
      <c r="BE31" s="100" t="s">
        <v>20</v>
      </c>
      <c r="BF31" s="100" t="s">
        <v>54</v>
      </c>
      <c r="BG31" s="100" t="s">
        <v>7</v>
      </c>
      <c r="BH31" s="100" t="s">
        <v>54</v>
      </c>
      <c r="BI31" s="100" t="s">
        <v>7</v>
      </c>
      <c r="BJ31" s="100" t="s">
        <v>20</v>
      </c>
      <c r="BK31" s="107">
        <f>COUNTIFS(J31:BJ31,"M1")+COUNTIFS(J31:BJ31,"N")</f>
        <v>21</v>
      </c>
      <c r="BL31" s="107">
        <f t="shared" si="6"/>
        <v>21</v>
      </c>
    </row>
    <row r="32" spans="7:64" x14ac:dyDescent="0.35">
      <c r="G32" s="97" t="s">
        <v>181</v>
      </c>
      <c r="H32" s="108">
        <f t="shared" si="4"/>
        <v>1720</v>
      </c>
      <c r="I32" s="108">
        <f t="shared" si="5"/>
        <v>80</v>
      </c>
      <c r="J32" s="100" t="s">
        <v>7</v>
      </c>
      <c r="K32" s="100" t="s">
        <v>16</v>
      </c>
      <c r="L32" s="100" t="s">
        <v>7</v>
      </c>
      <c r="M32" s="100" t="s">
        <v>20</v>
      </c>
      <c r="N32" s="100" t="s">
        <v>54</v>
      </c>
      <c r="O32" s="100" t="s">
        <v>7</v>
      </c>
      <c r="P32" s="100" t="s">
        <v>54</v>
      </c>
      <c r="Q32" s="100" t="s">
        <v>7</v>
      </c>
      <c r="R32" s="100" t="s">
        <v>20</v>
      </c>
      <c r="S32" s="100" t="s">
        <v>54</v>
      </c>
      <c r="T32" s="100" t="s">
        <v>7</v>
      </c>
      <c r="U32" s="100" t="s">
        <v>54</v>
      </c>
      <c r="V32" s="100" t="s">
        <v>7</v>
      </c>
      <c r="W32" s="100" t="s">
        <v>20</v>
      </c>
      <c r="X32" s="100" t="s">
        <v>54</v>
      </c>
      <c r="Y32" s="100" t="s">
        <v>7</v>
      </c>
      <c r="Z32" s="100" t="s">
        <v>54</v>
      </c>
      <c r="AA32" s="100" t="s">
        <v>7</v>
      </c>
      <c r="AB32" s="100" t="s">
        <v>20</v>
      </c>
      <c r="AC32" s="100" t="s">
        <v>54</v>
      </c>
      <c r="AD32" s="100" t="s">
        <v>7</v>
      </c>
      <c r="AE32" s="100" t="s">
        <v>54</v>
      </c>
      <c r="AF32" s="100" t="s">
        <v>7</v>
      </c>
      <c r="AG32" s="100" t="s">
        <v>20</v>
      </c>
      <c r="AH32" s="100" t="s">
        <v>54</v>
      </c>
      <c r="AI32" s="100" t="s">
        <v>7</v>
      </c>
      <c r="AJ32" s="100" t="s">
        <v>54</v>
      </c>
      <c r="AK32" s="100" t="s">
        <v>7</v>
      </c>
      <c r="AL32" s="100" t="s">
        <v>20</v>
      </c>
      <c r="AM32" s="100" t="s">
        <v>54</v>
      </c>
      <c r="AN32" s="100" t="s">
        <v>7</v>
      </c>
      <c r="AO32" s="100" t="s">
        <v>54</v>
      </c>
      <c r="AP32" s="100" t="s">
        <v>7</v>
      </c>
      <c r="AQ32" s="100" t="s">
        <v>20</v>
      </c>
      <c r="AR32" s="100" t="s">
        <v>54</v>
      </c>
      <c r="AS32" s="100" t="s">
        <v>7</v>
      </c>
      <c r="AT32" s="100" t="s">
        <v>54</v>
      </c>
      <c r="AU32" s="100" t="s">
        <v>7</v>
      </c>
      <c r="AV32" s="100" t="s">
        <v>20</v>
      </c>
      <c r="AW32" s="100" t="s">
        <v>54</v>
      </c>
      <c r="AX32" s="100" t="s">
        <v>7</v>
      </c>
      <c r="AY32" s="100" t="s">
        <v>54</v>
      </c>
      <c r="AZ32" s="100" t="s">
        <v>7</v>
      </c>
      <c r="BA32" s="100" t="s">
        <v>20</v>
      </c>
      <c r="BB32" s="100" t="s">
        <v>54</v>
      </c>
      <c r="BC32" s="100" t="s">
        <v>7</v>
      </c>
      <c r="BD32" s="100" t="s">
        <v>54</v>
      </c>
      <c r="BE32" s="100" t="s">
        <v>7</v>
      </c>
      <c r="BF32" s="100" t="s">
        <v>20</v>
      </c>
      <c r="BG32" s="100" t="s">
        <v>54</v>
      </c>
      <c r="BH32" s="100" t="s">
        <v>7</v>
      </c>
      <c r="BI32" s="100" t="s">
        <v>54</v>
      </c>
      <c r="BJ32" s="100" t="s">
        <v>7</v>
      </c>
      <c r="BK32" s="107">
        <f>COUNTIFS(J32:BJ32,"M1")+COUNTIFS(J32:BJ32,"N")</f>
        <v>21</v>
      </c>
      <c r="BL32" s="107">
        <f t="shared" si="6"/>
        <v>22</v>
      </c>
    </row>
    <row r="33" spans="7:64" ht="6.75" customHeight="1" x14ac:dyDescent="0.35">
      <c r="G33" s="98"/>
      <c r="H33" s="98"/>
      <c r="I33" s="98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7"/>
      <c r="BL33" s="107"/>
    </row>
    <row r="34" spans="7:64" x14ac:dyDescent="0.35">
      <c r="G34" s="97" t="s">
        <v>182</v>
      </c>
      <c r="H34" s="108">
        <f>COUNTIFS(J34:BJ34,"T")*40+COUNTIFS(J34:BJ34,"M1")*64+COUNTIFS(J34:BJ34,"N")*64-24-32</f>
        <v>1728</v>
      </c>
      <c r="I34" s="108">
        <f t="shared" ref="I34:I38" si="7">1800-H34</f>
        <v>72</v>
      </c>
      <c r="J34" s="100" t="s">
        <v>7</v>
      </c>
      <c r="K34" s="100" t="s">
        <v>20</v>
      </c>
      <c r="L34" s="100" t="s">
        <v>16</v>
      </c>
      <c r="M34" s="100" t="s">
        <v>7</v>
      </c>
      <c r="N34" s="100" t="s">
        <v>16</v>
      </c>
      <c r="O34" s="100" t="s">
        <v>7</v>
      </c>
      <c r="P34" s="100" t="s">
        <v>20</v>
      </c>
      <c r="Q34" s="100" t="s">
        <v>16</v>
      </c>
      <c r="R34" s="100" t="s">
        <v>7</v>
      </c>
      <c r="S34" s="100" t="s">
        <v>16</v>
      </c>
      <c r="T34" s="100" t="s">
        <v>7</v>
      </c>
      <c r="U34" s="100" t="s">
        <v>20</v>
      </c>
      <c r="V34" s="100" t="s">
        <v>16</v>
      </c>
      <c r="W34" s="100" t="s">
        <v>7</v>
      </c>
      <c r="X34" s="100" t="s">
        <v>16</v>
      </c>
      <c r="Y34" s="100" t="s">
        <v>7</v>
      </c>
      <c r="Z34" s="100" t="s">
        <v>20</v>
      </c>
      <c r="AA34" s="100" t="s">
        <v>16</v>
      </c>
      <c r="AB34" s="100" t="s">
        <v>7</v>
      </c>
      <c r="AC34" s="100" t="s">
        <v>16</v>
      </c>
      <c r="AD34" s="100" t="s">
        <v>7</v>
      </c>
      <c r="AE34" s="100" t="s">
        <v>20</v>
      </c>
      <c r="AF34" s="100" t="s">
        <v>16</v>
      </c>
      <c r="AG34" s="100" t="s">
        <v>7</v>
      </c>
      <c r="AH34" s="100" t="s">
        <v>16</v>
      </c>
      <c r="AI34" s="100" t="s">
        <v>7</v>
      </c>
      <c r="AJ34" s="100" t="s">
        <v>20</v>
      </c>
      <c r="AK34" s="100" t="s">
        <v>16</v>
      </c>
      <c r="AL34" s="100" t="s">
        <v>7</v>
      </c>
      <c r="AM34" s="100" t="s">
        <v>16</v>
      </c>
      <c r="AN34" s="100" t="s">
        <v>7</v>
      </c>
      <c r="AO34" s="100" t="s">
        <v>20</v>
      </c>
      <c r="AP34" s="100" t="s">
        <v>16</v>
      </c>
      <c r="AQ34" s="100" t="s">
        <v>7</v>
      </c>
      <c r="AR34" s="100" t="s">
        <v>16</v>
      </c>
      <c r="AS34" s="100" t="s">
        <v>7</v>
      </c>
      <c r="AT34" s="100" t="s">
        <v>20</v>
      </c>
      <c r="AU34" s="100" t="s">
        <v>16</v>
      </c>
      <c r="AV34" s="100" t="s">
        <v>7</v>
      </c>
      <c r="AW34" s="100" t="s">
        <v>16</v>
      </c>
      <c r="AX34" s="100" t="s">
        <v>7</v>
      </c>
      <c r="AY34" s="100" t="s">
        <v>20</v>
      </c>
      <c r="AZ34" s="100" t="s">
        <v>16</v>
      </c>
      <c r="BA34" s="100" t="s">
        <v>7</v>
      </c>
      <c r="BB34" s="100" t="s">
        <v>16</v>
      </c>
      <c r="BC34" s="100" t="s">
        <v>7</v>
      </c>
      <c r="BD34" s="100" t="s">
        <v>20</v>
      </c>
      <c r="BE34" s="100" t="s">
        <v>16</v>
      </c>
      <c r="BF34" s="100" t="s">
        <v>7</v>
      </c>
      <c r="BG34" s="100" t="s">
        <v>16</v>
      </c>
      <c r="BH34" s="100" t="s">
        <v>7</v>
      </c>
      <c r="BI34" s="100" t="s">
        <v>20</v>
      </c>
      <c r="BJ34" s="100" t="s">
        <v>16</v>
      </c>
      <c r="BK34" s="107">
        <f>COUNTIFS(J34:BJ34,"M1")+COUNTIFS(J34:BJ34,"N")</f>
        <v>21</v>
      </c>
      <c r="BL34" s="107">
        <f t="shared" si="6"/>
        <v>21</v>
      </c>
    </row>
    <row r="35" spans="7:64" x14ac:dyDescent="0.35">
      <c r="G35" s="97" t="s">
        <v>183</v>
      </c>
      <c r="H35" s="108">
        <f>COUNTIFS(J35:BJ35,"T")*40+COUNTIFS(J35:BJ35,"M1")*64+COUNTIFS(J35:BJ35,"N")*64-24-8</f>
        <v>1752</v>
      </c>
      <c r="I35" s="108">
        <f t="shared" si="7"/>
        <v>48</v>
      </c>
      <c r="J35" s="100" t="s">
        <v>54</v>
      </c>
      <c r="K35" s="100" t="s">
        <v>7</v>
      </c>
      <c r="L35" s="100" t="s">
        <v>20</v>
      </c>
      <c r="M35" s="100" t="s">
        <v>16</v>
      </c>
      <c r="N35" s="100" t="s">
        <v>7</v>
      </c>
      <c r="O35" s="100" t="s">
        <v>16</v>
      </c>
      <c r="P35" s="100" t="s">
        <v>7</v>
      </c>
      <c r="Q35" s="100" t="s">
        <v>20</v>
      </c>
      <c r="R35" s="100" t="s">
        <v>16</v>
      </c>
      <c r="S35" s="100" t="s">
        <v>7</v>
      </c>
      <c r="T35" s="100" t="s">
        <v>16</v>
      </c>
      <c r="U35" s="100" t="s">
        <v>7</v>
      </c>
      <c r="V35" s="100" t="s">
        <v>20</v>
      </c>
      <c r="W35" s="100" t="s">
        <v>16</v>
      </c>
      <c r="X35" s="100" t="s">
        <v>7</v>
      </c>
      <c r="Y35" s="100" t="s">
        <v>16</v>
      </c>
      <c r="Z35" s="100" t="s">
        <v>7</v>
      </c>
      <c r="AA35" s="100" t="s">
        <v>20</v>
      </c>
      <c r="AB35" s="100" t="s">
        <v>16</v>
      </c>
      <c r="AC35" s="100" t="s">
        <v>7</v>
      </c>
      <c r="AD35" s="100" t="s">
        <v>16</v>
      </c>
      <c r="AE35" s="100" t="s">
        <v>7</v>
      </c>
      <c r="AF35" s="100" t="s">
        <v>20</v>
      </c>
      <c r="AG35" s="100" t="s">
        <v>16</v>
      </c>
      <c r="AH35" s="100" t="s">
        <v>7</v>
      </c>
      <c r="AI35" s="100" t="s">
        <v>16</v>
      </c>
      <c r="AJ35" s="100" t="s">
        <v>7</v>
      </c>
      <c r="AK35" s="100" t="s">
        <v>20</v>
      </c>
      <c r="AL35" s="100" t="s">
        <v>16</v>
      </c>
      <c r="AM35" s="100" t="s">
        <v>7</v>
      </c>
      <c r="AN35" s="100" t="s">
        <v>16</v>
      </c>
      <c r="AO35" s="100" t="s">
        <v>7</v>
      </c>
      <c r="AP35" s="100" t="s">
        <v>20</v>
      </c>
      <c r="AQ35" s="100" t="s">
        <v>16</v>
      </c>
      <c r="AR35" s="100" t="s">
        <v>7</v>
      </c>
      <c r="AS35" s="100" t="s">
        <v>16</v>
      </c>
      <c r="AT35" s="100" t="s">
        <v>7</v>
      </c>
      <c r="AU35" s="100" t="s">
        <v>20</v>
      </c>
      <c r="AV35" s="100" t="s">
        <v>16</v>
      </c>
      <c r="AW35" s="100" t="s">
        <v>7</v>
      </c>
      <c r="AX35" s="100" t="s">
        <v>16</v>
      </c>
      <c r="AY35" s="100" t="s">
        <v>7</v>
      </c>
      <c r="AZ35" s="100" t="s">
        <v>20</v>
      </c>
      <c r="BA35" s="100" t="s">
        <v>16</v>
      </c>
      <c r="BB35" s="100" t="s">
        <v>7</v>
      </c>
      <c r="BC35" s="100" t="s">
        <v>16</v>
      </c>
      <c r="BD35" s="100" t="s">
        <v>7</v>
      </c>
      <c r="BE35" s="100" t="s">
        <v>20</v>
      </c>
      <c r="BF35" s="100" t="s">
        <v>16</v>
      </c>
      <c r="BG35" s="100" t="s">
        <v>7</v>
      </c>
      <c r="BH35" s="100" t="s">
        <v>16</v>
      </c>
      <c r="BI35" s="100" t="s">
        <v>7</v>
      </c>
      <c r="BJ35" s="100" t="s">
        <v>20</v>
      </c>
      <c r="BK35" s="107">
        <f>COUNTIFS(J35:BJ35,"M1")+COUNTIFS(J35:BJ35,"N")</f>
        <v>21</v>
      </c>
      <c r="BL35" s="107">
        <f t="shared" si="6"/>
        <v>21</v>
      </c>
    </row>
    <row r="36" spans="7:64" x14ac:dyDescent="0.35">
      <c r="G36" s="97" t="s">
        <v>184</v>
      </c>
      <c r="H36" s="108">
        <f t="shared" si="4"/>
        <v>1720</v>
      </c>
      <c r="I36" s="108">
        <f t="shared" si="7"/>
        <v>80</v>
      </c>
      <c r="J36" s="100" t="s">
        <v>7</v>
      </c>
      <c r="K36" s="100" t="s">
        <v>54</v>
      </c>
      <c r="L36" s="100" t="s">
        <v>7</v>
      </c>
      <c r="M36" s="100" t="s">
        <v>20</v>
      </c>
      <c r="N36" s="100" t="s">
        <v>16</v>
      </c>
      <c r="O36" s="100" t="s">
        <v>7</v>
      </c>
      <c r="P36" s="100" t="s">
        <v>16</v>
      </c>
      <c r="Q36" s="100" t="s">
        <v>7</v>
      </c>
      <c r="R36" s="100" t="s">
        <v>20</v>
      </c>
      <c r="S36" s="100" t="s">
        <v>16</v>
      </c>
      <c r="T36" s="100" t="s">
        <v>7</v>
      </c>
      <c r="U36" s="100" t="s">
        <v>16</v>
      </c>
      <c r="V36" s="100" t="s">
        <v>7</v>
      </c>
      <c r="W36" s="100" t="s">
        <v>20</v>
      </c>
      <c r="X36" s="100" t="s">
        <v>16</v>
      </c>
      <c r="Y36" s="100" t="s">
        <v>7</v>
      </c>
      <c r="Z36" s="100" t="s">
        <v>16</v>
      </c>
      <c r="AA36" s="100" t="s">
        <v>7</v>
      </c>
      <c r="AB36" s="100" t="s">
        <v>20</v>
      </c>
      <c r="AC36" s="100" t="s">
        <v>16</v>
      </c>
      <c r="AD36" s="100" t="s">
        <v>7</v>
      </c>
      <c r="AE36" s="100" t="s">
        <v>16</v>
      </c>
      <c r="AF36" s="100" t="s">
        <v>7</v>
      </c>
      <c r="AG36" s="100" t="s">
        <v>20</v>
      </c>
      <c r="AH36" s="100" t="s">
        <v>16</v>
      </c>
      <c r="AI36" s="100" t="s">
        <v>7</v>
      </c>
      <c r="AJ36" s="100" t="s">
        <v>16</v>
      </c>
      <c r="AK36" s="100" t="s">
        <v>7</v>
      </c>
      <c r="AL36" s="100" t="s">
        <v>20</v>
      </c>
      <c r="AM36" s="100" t="s">
        <v>16</v>
      </c>
      <c r="AN36" s="100" t="s">
        <v>7</v>
      </c>
      <c r="AO36" s="100" t="s">
        <v>16</v>
      </c>
      <c r="AP36" s="100" t="s">
        <v>7</v>
      </c>
      <c r="AQ36" s="100" t="s">
        <v>20</v>
      </c>
      <c r="AR36" s="100" t="s">
        <v>16</v>
      </c>
      <c r="AS36" s="100" t="s">
        <v>7</v>
      </c>
      <c r="AT36" s="100" t="s">
        <v>16</v>
      </c>
      <c r="AU36" s="100" t="s">
        <v>7</v>
      </c>
      <c r="AV36" s="100" t="s">
        <v>20</v>
      </c>
      <c r="AW36" s="100" t="s">
        <v>16</v>
      </c>
      <c r="AX36" s="100" t="s">
        <v>7</v>
      </c>
      <c r="AY36" s="100" t="s">
        <v>16</v>
      </c>
      <c r="AZ36" s="100" t="s">
        <v>7</v>
      </c>
      <c r="BA36" s="100" t="s">
        <v>20</v>
      </c>
      <c r="BB36" s="100" t="s">
        <v>16</v>
      </c>
      <c r="BC36" s="100" t="s">
        <v>7</v>
      </c>
      <c r="BD36" s="100" t="s">
        <v>16</v>
      </c>
      <c r="BE36" s="100" t="s">
        <v>7</v>
      </c>
      <c r="BF36" s="100" t="s">
        <v>20</v>
      </c>
      <c r="BG36" s="100" t="s">
        <v>16</v>
      </c>
      <c r="BH36" s="100" t="s">
        <v>7</v>
      </c>
      <c r="BI36" s="100" t="s">
        <v>16</v>
      </c>
      <c r="BJ36" s="100" t="s">
        <v>7</v>
      </c>
      <c r="BK36" s="107">
        <f>COUNTIFS(J36:BJ36,"M1")+COUNTIFS(J36:BJ36,"N")</f>
        <v>21</v>
      </c>
      <c r="BL36" s="107">
        <f t="shared" si="6"/>
        <v>22</v>
      </c>
    </row>
    <row r="37" spans="7:64" x14ac:dyDescent="0.35">
      <c r="G37" s="97" t="s">
        <v>185</v>
      </c>
      <c r="H37" s="108">
        <f>COUNTIFS(J37:BJ37,"T")*40+COUNTIFS(J37:BJ37,"M1")*64+COUNTIFS(J37:BJ37,"N")*64-24-32</f>
        <v>1752</v>
      </c>
      <c r="I37" s="108">
        <f t="shared" si="7"/>
        <v>48</v>
      </c>
      <c r="J37" s="100" t="s">
        <v>16</v>
      </c>
      <c r="K37" s="100" t="s">
        <v>7</v>
      </c>
      <c r="L37" s="100" t="s">
        <v>16</v>
      </c>
      <c r="M37" s="100" t="s">
        <v>7</v>
      </c>
      <c r="N37" s="100" t="s">
        <v>20</v>
      </c>
      <c r="O37" s="100" t="s">
        <v>16</v>
      </c>
      <c r="P37" s="100" t="s">
        <v>7</v>
      </c>
      <c r="Q37" s="100" t="s">
        <v>16</v>
      </c>
      <c r="R37" s="100" t="s">
        <v>7</v>
      </c>
      <c r="S37" s="100" t="s">
        <v>20</v>
      </c>
      <c r="T37" s="100" t="s">
        <v>16</v>
      </c>
      <c r="U37" s="100" t="s">
        <v>7</v>
      </c>
      <c r="V37" s="100" t="s">
        <v>16</v>
      </c>
      <c r="W37" s="100" t="s">
        <v>7</v>
      </c>
      <c r="X37" s="100" t="s">
        <v>20</v>
      </c>
      <c r="Y37" s="100" t="s">
        <v>16</v>
      </c>
      <c r="Z37" s="100" t="s">
        <v>7</v>
      </c>
      <c r="AA37" s="100" t="s">
        <v>16</v>
      </c>
      <c r="AB37" s="100" t="s">
        <v>7</v>
      </c>
      <c r="AC37" s="100" t="s">
        <v>20</v>
      </c>
      <c r="AD37" s="100" t="s">
        <v>16</v>
      </c>
      <c r="AE37" s="100" t="s">
        <v>7</v>
      </c>
      <c r="AF37" s="100" t="s">
        <v>16</v>
      </c>
      <c r="AG37" s="100" t="s">
        <v>7</v>
      </c>
      <c r="AH37" s="100" t="s">
        <v>20</v>
      </c>
      <c r="AI37" s="100" t="s">
        <v>16</v>
      </c>
      <c r="AJ37" s="100" t="s">
        <v>7</v>
      </c>
      <c r="AK37" s="100" t="s">
        <v>16</v>
      </c>
      <c r="AL37" s="100" t="s">
        <v>7</v>
      </c>
      <c r="AM37" s="100" t="s">
        <v>20</v>
      </c>
      <c r="AN37" s="100" t="s">
        <v>16</v>
      </c>
      <c r="AO37" s="100" t="s">
        <v>7</v>
      </c>
      <c r="AP37" s="100" t="s">
        <v>16</v>
      </c>
      <c r="AQ37" s="100" t="s">
        <v>7</v>
      </c>
      <c r="AR37" s="100" t="s">
        <v>20</v>
      </c>
      <c r="AS37" s="100" t="s">
        <v>16</v>
      </c>
      <c r="AT37" s="100" t="s">
        <v>7</v>
      </c>
      <c r="AU37" s="100" t="s">
        <v>16</v>
      </c>
      <c r="AV37" s="100" t="s">
        <v>7</v>
      </c>
      <c r="AW37" s="100" t="s">
        <v>20</v>
      </c>
      <c r="AX37" s="100" t="s">
        <v>16</v>
      </c>
      <c r="AY37" s="100" t="s">
        <v>7</v>
      </c>
      <c r="AZ37" s="100" t="s">
        <v>16</v>
      </c>
      <c r="BA37" s="100" t="s">
        <v>7</v>
      </c>
      <c r="BB37" s="100" t="s">
        <v>20</v>
      </c>
      <c r="BC37" s="100" t="s">
        <v>16</v>
      </c>
      <c r="BD37" s="100" t="s">
        <v>7</v>
      </c>
      <c r="BE37" s="100" t="s">
        <v>16</v>
      </c>
      <c r="BF37" s="100" t="s">
        <v>7</v>
      </c>
      <c r="BG37" s="100" t="s">
        <v>20</v>
      </c>
      <c r="BH37" s="100" t="s">
        <v>16</v>
      </c>
      <c r="BI37" s="100" t="s">
        <v>7</v>
      </c>
      <c r="BJ37" s="100" t="s">
        <v>16</v>
      </c>
      <c r="BK37" s="107">
        <f>COUNTIFS(J37:BJ37,"M1")+COUNTIFS(J37:BJ37,"N")</f>
        <v>22</v>
      </c>
      <c r="BL37" s="107">
        <f t="shared" si="6"/>
        <v>21</v>
      </c>
    </row>
    <row r="38" spans="7:64" x14ac:dyDescent="0.35">
      <c r="G38" s="97" t="s">
        <v>186</v>
      </c>
      <c r="H38" s="108">
        <f t="shared" si="4"/>
        <v>1760</v>
      </c>
      <c r="I38" s="108">
        <f t="shared" si="7"/>
        <v>40</v>
      </c>
      <c r="J38" s="100" t="s">
        <v>20</v>
      </c>
      <c r="K38" s="100" t="s">
        <v>16</v>
      </c>
      <c r="L38" s="100" t="s">
        <v>7</v>
      </c>
      <c r="M38" s="100" t="s">
        <v>16</v>
      </c>
      <c r="N38" s="100" t="s">
        <v>7</v>
      </c>
      <c r="O38" s="100" t="s">
        <v>20</v>
      </c>
      <c r="P38" s="100" t="s">
        <v>16</v>
      </c>
      <c r="Q38" s="100" t="s">
        <v>7</v>
      </c>
      <c r="R38" s="100" t="s">
        <v>16</v>
      </c>
      <c r="S38" s="100" t="s">
        <v>7</v>
      </c>
      <c r="T38" s="100" t="s">
        <v>20</v>
      </c>
      <c r="U38" s="100" t="s">
        <v>16</v>
      </c>
      <c r="V38" s="100" t="s">
        <v>7</v>
      </c>
      <c r="W38" s="100" t="s">
        <v>16</v>
      </c>
      <c r="X38" s="100" t="s">
        <v>7</v>
      </c>
      <c r="Y38" s="100" t="s">
        <v>20</v>
      </c>
      <c r="Z38" s="100" t="s">
        <v>16</v>
      </c>
      <c r="AA38" s="100" t="s">
        <v>7</v>
      </c>
      <c r="AB38" s="100" t="s">
        <v>16</v>
      </c>
      <c r="AC38" s="100" t="s">
        <v>7</v>
      </c>
      <c r="AD38" s="100" t="s">
        <v>20</v>
      </c>
      <c r="AE38" s="100" t="s">
        <v>16</v>
      </c>
      <c r="AF38" s="100" t="s">
        <v>7</v>
      </c>
      <c r="AG38" s="100" t="s">
        <v>16</v>
      </c>
      <c r="AH38" s="100" t="s">
        <v>7</v>
      </c>
      <c r="AI38" s="100" t="s">
        <v>20</v>
      </c>
      <c r="AJ38" s="100" t="s">
        <v>16</v>
      </c>
      <c r="AK38" s="100" t="s">
        <v>7</v>
      </c>
      <c r="AL38" s="100" t="s">
        <v>16</v>
      </c>
      <c r="AM38" s="100" t="s">
        <v>7</v>
      </c>
      <c r="AN38" s="100" t="s">
        <v>20</v>
      </c>
      <c r="AO38" s="100" t="s">
        <v>16</v>
      </c>
      <c r="AP38" s="100" t="s">
        <v>7</v>
      </c>
      <c r="AQ38" s="100" t="s">
        <v>16</v>
      </c>
      <c r="AR38" s="100" t="s">
        <v>7</v>
      </c>
      <c r="AS38" s="100" t="s">
        <v>20</v>
      </c>
      <c r="AT38" s="100" t="s">
        <v>16</v>
      </c>
      <c r="AU38" s="100" t="s">
        <v>7</v>
      </c>
      <c r="AV38" s="100" t="s">
        <v>16</v>
      </c>
      <c r="AW38" s="100" t="s">
        <v>7</v>
      </c>
      <c r="AX38" s="100" t="s">
        <v>20</v>
      </c>
      <c r="AY38" s="100" t="s">
        <v>16</v>
      </c>
      <c r="AZ38" s="100" t="s">
        <v>7</v>
      </c>
      <c r="BA38" s="100" t="s">
        <v>16</v>
      </c>
      <c r="BB38" s="100" t="s">
        <v>7</v>
      </c>
      <c r="BC38" s="100" t="s">
        <v>20</v>
      </c>
      <c r="BD38" s="100" t="s">
        <v>16</v>
      </c>
      <c r="BE38" s="100" t="s">
        <v>7</v>
      </c>
      <c r="BF38" s="100" t="s">
        <v>16</v>
      </c>
      <c r="BG38" s="100" t="s">
        <v>7</v>
      </c>
      <c r="BH38" s="100" t="s">
        <v>20</v>
      </c>
      <c r="BI38" s="100" t="s">
        <v>16</v>
      </c>
      <c r="BJ38" s="100" t="s">
        <v>7</v>
      </c>
      <c r="BK38" s="107">
        <f>COUNTIFS(J38:BJ38,"M1")+COUNTIFS(J38:BJ38,"N")</f>
        <v>21</v>
      </c>
      <c r="BL38" s="107">
        <f t="shared" si="6"/>
        <v>21</v>
      </c>
    </row>
    <row r="40" spans="7:64" x14ac:dyDescent="0.35">
      <c r="G40" s="101" t="s">
        <v>187</v>
      </c>
      <c r="H40">
        <f>SUM(H28:H38)</f>
        <v>17424</v>
      </c>
    </row>
    <row r="41" spans="7:64" x14ac:dyDescent="0.35">
      <c r="G41" s="101" t="s">
        <v>188</v>
      </c>
      <c r="H41">
        <f>AVERAGE(H28:H38)</f>
        <v>1742.4</v>
      </c>
      <c r="K41" s="104" t="s">
        <v>189</v>
      </c>
    </row>
    <row r="48" spans="7:64" x14ac:dyDescent="0.35"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</row>
    <row r="71" spans="9:11" x14ac:dyDescent="0.35">
      <c r="I71">
        <f>23*10</f>
        <v>230</v>
      </c>
    </row>
    <row r="72" spans="9:11" x14ac:dyDescent="0.35">
      <c r="I72">
        <f>8*52</f>
        <v>416</v>
      </c>
    </row>
    <row r="74" spans="9:11" x14ac:dyDescent="0.35">
      <c r="I74">
        <f>I72-I71</f>
        <v>186</v>
      </c>
      <c r="K74" s="116">
        <f>I74/10</f>
        <v>18.600000000000001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30438C2F04CD439CBEDC1DD9129E08" ma:contentTypeVersion="14" ma:contentTypeDescription="Crear nuevo documento." ma:contentTypeScope="" ma:versionID="ac626b0c91a9797b14e7426e0a6f10bf">
  <xsd:schema xmlns:xsd="http://www.w3.org/2001/XMLSchema" xmlns:xs="http://www.w3.org/2001/XMLSchema" xmlns:p="http://schemas.microsoft.com/office/2006/metadata/properties" xmlns:ns2="341ddf62-fc1b-4dec-9a40-da059184f445" xmlns:ns3="49346060-42a8-4e71-a884-66c74e310596" targetNamespace="http://schemas.microsoft.com/office/2006/metadata/properties" ma:root="true" ma:fieldsID="b8cefd15ae0c155823e9482943c987c1" ns2:_="" ns3:_="">
    <xsd:import namespace="341ddf62-fc1b-4dec-9a40-da059184f445"/>
    <xsd:import namespace="49346060-42a8-4e71-a884-66c74e3105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ddf62-fc1b-4dec-9a40-da059184f4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cf0cb4a-ca56-4c0c-ae08-78cd448b0a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46060-42a8-4e71-a884-66c74e3105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83508c8-b520-460a-8834-c57d3b8a332d}" ma:internalName="TaxCatchAll" ma:showField="CatchAllData" ma:web="49346060-42a8-4e71-a884-66c74e3105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1ddf62-fc1b-4dec-9a40-da059184f445">
      <Terms xmlns="http://schemas.microsoft.com/office/infopath/2007/PartnerControls"/>
    </lcf76f155ced4ddcb4097134ff3c332f>
    <TaxCatchAll xmlns="49346060-42a8-4e71-a884-66c74e310596" xsi:nil="true"/>
  </documentManagement>
</p:properties>
</file>

<file path=customXml/itemProps1.xml><?xml version="1.0" encoding="utf-8"?>
<ds:datastoreItem xmlns:ds="http://schemas.openxmlformats.org/officeDocument/2006/customXml" ds:itemID="{7E9FB4A4-E808-43DF-9411-1A70C5B42D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1ddf62-fc1b-4dec-9a40-da059184f445"/>
    <ds:schemaRef ds:uri="49346060-42a8-4e71-a884-66c74e3105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ECE65D-B437-4372-9E5B-6949431F5E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55FA03-0D71-42C1-B384-265EE4FF1786}">
  <ds:schemaRefs>
    <ds:schemaRef ds:uri="http://schemas.microsoft.com/office/2006/metadata/properties"/>
    <ds:schemaRef ds:uri="341ddf62-fc1b-4dec-9a40-da059184f445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49346060-42a8-4e71-a884-66c74e310596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Julio</vt:lpstr>
      <vt:lpstr>Agosto </vt:lpstr>
      <vt:lpstr>Septiembre</vt:lpstr>
      <vt:lpstr>Octubre</vt:lpstr>
      <vt:lpstr>Noviembre </vt:lpstr>
      <vt:lpstr>Diciembre</vt:lpstr>
      <vt:lpstr>Enero-2026</vt:lpstr>
      <vt:lpstr>Febrero-2026</vt:lpstr>
      <vt:lpstr>Marzo-2026</vt:lpstr>
      <vt:lpstr>Abril-2026</vt:lpstr>
      <vt:lpstr>Mayo-2026</vt:lpstr>
      <vt:lpstr>Junio-2026</vt:lpstr>
      <vt:lpstr>Julio-2026</vt:lpstr>
      <vt:lpstr>Agosto-2026</vt:lpstr>
      <vt:lpstr>Septiembre-2026</vt:lpstr>
      <vt:lpstr>Octubre-2026</vt:lpstr>
      <vt:lpstr>Noviembre-2026</vt:lpstr>
      <vt:lpstr>Diciembre-2026</vt:lpstr>
      <vt:lpstr>Análisis Cuadrante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Inmaculada Benitez Gonzalez</dc:creator>
  <cp:keywords/>
  <dc:description/>
  <cp:lastModifiedBy>Benitez Gonzalez Inmaculada</cp:lastModifiedBy>
  <cp:revision/>
  <dcterms:created xsi:type="dcterms:W3CDTF">2025-06-10T09:39:58Z</dcterms:created>
  <dcterms:modified xsi:type="dcterms:W3CDTF">2026-03-30T07:37:19Z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2025-06-17T11:00:22Z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235b7f7c-cc2e-4a10-8338-e8cb40e8ab89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0x0101009130438C2F04CD439CBEDC1DD9129E08</vt:lpwstr>
  </property>
  <property fmtid="{D5CDD505-2E9C-101B-9397-08002B2CF9AE}" pid="11" name="MediaServiceImageTags">
    <vt:lpwstr/>
  </property>
</Properties>
</file>