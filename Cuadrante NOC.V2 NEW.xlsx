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751446_santanderglobaltech_com/Documents/Documentos/Misoperativas/"/>
    </mc:Choice>
  </mc:AlternateContent>
  <xr:revisionPtr revIDLastSave="0" documentId="8_{68E200FF-A1BB-414D-889B-1000FD3186DF}" xr6:coauthVersionLast="47" xr6:coauthVersionMax="47" xr10:uidLastSave="{00000000-0000-0000-0000-000000000000}"/>
  <bookViews>
    <workbookView xWindow="28680" yWindow="-6345" windowWidth="29040" windowHeight="15720" firstSheet="3" activeTab="4" xr2:uid="{C392B3CA-FABA-4D09-BE79-B7ACC26FBDB5}"/>
  </bookViews>
  <sheets>
    <sheet name="Hoja1" sheetId="1" r:id="rId1"/>
    <sheet name="Hoja2" sheetId="2" r:id="rId2"/>
    <sheet name="Hoja4" sheetId="4" r:id="rId3"/>
    <sheet name="Junio2026" sheetId="5" r:id="rId4"/>
    <sheet name="Julio2026" sheetId="6" r:id="rId5"/>
    <sheet name="Agosto2026" sheetId="7" r:id="rId6"/>
    <sheet name="Septiembre2026" sheetId="8" r:id="rId7"/>
    <sheet name="Octubre2026" sheetId="9" r:id="rId8"/>
    <sheet name="Noviembre2026" sheetId="10" r:id="rId9"/>
    <sheet name="Diciembre2026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0" i="11" l="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AH16" i="11"/>
  <c r="AG16" i="11"/>
  <c r="AF16" i="11"/>
  <c r="AE16" i="11"/>
  <c r="AD16" i="11"/>
  <c r="AC16" i="11"/>
  <c r="AB16" i="11"/>
  <c r="AB13" i="11" s="1"/>
  <c r="AA16" i="11"/>
  <c r="AA13" i="11" s="1"/>
  <c r="Z16" i="11"/>
  <c r="Y16" i="11"/>
  <c r="X16" i="11"/>
  <c r="W16" i="11"/>
  <c r="V16" i="11"/>
  <c r="U16" i="11"/>
  <c r="T16" i="11"/>
  <c r="S16" i="11"/>
  <c r="R16" i="11"/>
  <c r="Q16" i="11"/>
  <c r="P16" i="11"/>
  <c r="P13" i="11" s="1"/>
  <c r="O16" i="11"/>
  <c r="O13" i="11" s="1"/>
  <c r="N16" i="11"/>
  <c r="M16" i="11"/>
  <c r="L16" i="11"/>
  <c r="K16" i="11"/>
  <c r="J16" i="11"/>
  <c r="I16" i="11"/>
  <c r="H16" i="11"/>
  <c r="G16" i="11"/>
  <c r="F16" i="11"/>
  <c r="E16" i="11"/>
  <c r="D16" i="11"/>
  <c r="D13" i="11" s="1"/>
  <c r="AH15" i="11"/>
  <c r="AH13" i="11" s="1"/>
  <c r="AG15" i="11"/>
  <c r="AF15" i="11"/>
  <c r="AE15" i="11"/>
  <c r="AD15" i="11"/>
  <c r="AC15" i="11"/>
  <c r="AB15" i="11"/>
  <c r="AA15" i="11"/>
  <c r="Z15" i="11"/>
  <c r="Y15" i="11"/>
  <c r="Y13" i="11" s="1"/>
  <c r="X15" i="11"/>
  <c r="X13" i="11" s="1"/>
  <c r="W15" i="11"/>
  <c r="W13" i="11" s="1"/>
  <c r="V15" i="11"/>
  <c r="U15" i="11"/>
  <c r="T15" i="11"/>
  <c r="S15" i="11"/>
  <c r="R15" i="11"/>
  <c r="Q15" i="11"/>
  <c r="P15" i="11"/>
  <c r="O15" i="11"/>
  <c r="N15" i="11"/>
  <c r="M15" i="11"/>
  <c r="M13" i="11" s="1"/>
  <c r="L15" i="11"/>
  <c r="L13" i="11" s="1"/>
  <c r="K15" i="11"/>
  <c r="K13" i="11" s="1"/>
  <c r="J15" i="11"/>
  <c r="J13" i="11" s="1"/>
  <c r="I15" i="11"/>
  <c r="H15" i="11"/>
  <c r="G15" i="11"/>
  <c r="F15" i="11"/>
  <c r="E15" i="11"/>
  <c r="D15" i="11"/>
  <c r="AH14" i="11"/>
  <c r="AG14" i="11"/>
  <c r="AG13" i="11" s="1"/>
  <c r="AF14" i="11"/>
  <c r="AF13" i="11" s="1"/>
  <c r="AE14" i="11"/>
  <c r="AD14" i="11"/>
  <c r="AD13" i="11" s="1"/>
  <c r="AC14" i="11"/>
  <c r="AC13" i="11" s="1"/>
  <c r="AB14" i="11"/>
  <c r="AA14" i="11"/>
  <c r="Z14" i="11"/>
  <c r="Y14" i="11"/>
  <c r="X14" i="11"/>
  <c r="W14" i="11"/>
  <c r="V14" i="11"/>
  <c r="U14" i="11"/>
  <c r="U13" i="11" s="1"/>
  <c r="T14" i="11"/>
  <c r="T13" i="11" s="1"/>
  <c r="S14" i="11"/>
  <c r="S13" i="11" s="1"/>
  <c r="R14" i="11"/>
  <c r="R13" i="11" s="1"/>
  <c r="Q14" i="11"/>
  <c r="Q13" i="11" s="1"/>
  <c r="P14" i="11"/>
  <c r="O14" i="11"/>
  <c r="N14" i="11"/>
  <c r="M14" i="11"/>
  <c r="L14" i="11"/>
  <c r="K14" i="11"/>
  <c r="J14" i="11"/>
  <c r="I14" i="11"/>
  <c r="H14" i="11"/>
  <c r="H13" i="11" s="1"/>
  <c r="G14" i="11"/>
  <c r="F14" i="11"/>
  <c r="F13" i="11" s="1"/>
  <c r="E14" i="11"/>
  <c r="E13" i="11" s="1"/>
  <c r="D14" i="11"/>
  <c r="I13" i="11"/>
  <c r="G13" i="11"/>
  <c r="AM10" i="11"/>
  <c r="AL10" i="11"/>
  <c r="AK10" i="11"/>
  <c r="AJ10" i="11"/>
  <c r="AO10" i="11" s="1"/>
  <c r="AM9" i="11"/>
  <c r="AL9" i="11"/>
  <c r="AK9" i="11"/>
  <c r="AJ9" i="11"/>
  <c r="AM8" i="11"/>
  <c r="AL8" i="11"/>
  <c r="AK8" i="11"/>
  <c r="AJ8" i="11"/>
  <c r="AO8" i="11" s="1"/>
  <c r="AM7" i="11"/>
  <c r="AL7" i="11"/>
  <c r="AK7" i="11"/>
  <c r="AJ7" i="11"/>
  <c r="AO7" i="11" s="1"/>
  <c r="AM6" i="11"/>
  <c r="AL6" i="11"/>
  <c r="AK6" i="11"/>
  <c r="AJ6" i="11"/>
  <c r="AM5" i="11"/>
  <c r="AL5" i="11"/>
  <c r="AK5" i="11"/>
  <c r="AJ5" i="11"/>
  <c r="AO5" i="11" s="1"/>
  <c r="AM4" i="11"/>
  <c r="AL4" i="11"/>
  <c r="AK4" i="11"/>
  <c r="AJ4" i="11"/>
  <c r="AO4" i="11" s="1"/>
  <c r="AM3" i="11"/>
  <c r="AL3" i="11"/>
  <c r="AK3" i="11"/>
  <c r="AJ3" i="11"/>
  <c r="AO3" i="11" s="1"/>
  <c r="D13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AG15" i="10"/>
  <c r="AF15" i="10"/>
  <c r="AE15" i="10"/>
  <c r="AD15" i="10"/>
  <c r="AD13" i="10" s="1"/>
  <c r="AC15" i="10"/>
  <c r="AC13" i="10" s="1"/>
  <c r="AB15" i="10"/>
  <c r="AB13" i="10" s="1"/>
  <c r="AA15" i="10"/>
  <c r="Z15" i="10"/>
  <c r="Y15" i="10"/>
  <c r="X15" i="10"/>
  <c r="W15" i="10"/>
  <c r="V15" i="10"/>
  <c r="U15" i="10"/>
  <c r="T15" i="10"/>
  <c r="S15" i="10"/>
  <c r="R15" i="10"/>
  <c r="R13" i="10" s="1"/>
  <c r="Q15" i="10"/>
  <c r="P15" i="10"/>
  <c r="P13" i="10" s="1"/>
  <c r="O15" i="10"/>
  <c r="N15" i="10"/>
  <c r="M15" i="10"/>
  <c r="L15" i="10"/>
  <c r="K15" i="10"/>
  <c r="J15" i="10"/>
  <c r="I15" i="10"/>
  <c r="I13" i="10" s="1"/>
  <c r="H15" i="10"/>
  <c r="G15" i="10"/>
  <c r="F15" i="10"/>
  <c r="F13" i="10" s="1"/>
  <c r="E15" i="10"/>
  <c r="D15" i="10"/>
  <c r="AG14" i="10"/>
  <c r="AG13" i="10" s="1"/>
  <c r="AF14" i="10"/>
  <c r="AE14" i="10"/>
  <c r="AE13" i="10" s="1"/>
  <c r="AD14" i="10"/>
  <c r="AC14" i="10"/>
  <c r="AB14" i="10"/>
  <c r="AA14" i="10"/>
  <c r="Z14" i="10"/>
  <c r="Z13" i="10" s="1"/>
  <c r="Y14" i="10"/>
  <c r="X14" i="10"/>
  <c r="X13" i="10" s="1"/>
  <c r="W14" i="10"/>
  <c r="W13" i="10" s="1"/>
  <c r="V14" i="10"/>
  <c r="V13" i="10" s="1"/>
  <c r="U14" i="10"/>
  <c r="T14" i="10"/>
  <c r="S14" i="10"/>
  <c r="S13" i="10" s="1"/>
  <c r="R14" i="10"/>
  <c r="Q14" i="10"/>
  <c r="Q13" i="10" s="1"/>
  <c r="P14" i="10"/>
  <c r="O14" i="10"/>
  <c r="O13" i="10" s="1"/>
  <c r="N14" i="10"/>
  <c r="N13" i="10" s="1"/>
  <c r="M14" i="10"/>
  <c r="M13" i="10" s="1"/>
  <c r="L14" i="10"/>
  <c r="L13" i="10" s="1"/>
  <c r="K14" i="10"/>
  <c r="J14" i="10"/>
  <c r="J13" i="10" s="1"/>
  <c r="I14" i="10"/>
  <c r="H14" i="10"/>
  <c r="G14" i="10"/>
  <c r="F14" i="10"/>
  <c r="E14" i="10"/>
  <c r="D14" i="10"/>
  <c r="AF13" i="10"/>
  <c r="U13" i="10"/>
  <c r="T13" i="10"/>
  <c r="H13" i="10"/>
  <c r="G13" i="10"/>
  <c r="AM10" i="10"/>
  <c r="AL10" i="10"/>
  <c r="AK10" i="10"/>
  <c r="AJ10" i="10"/>
  <c r="AO10" i="10" s="1"/>
  <c r="AM9" i="10"/>
  <c r="AL9" i="10"/>
  <c r="AK9" i="10"/>
  <c r="AJ9" i="10"/>
  <c r="AO9" i="10" s="1"/>
  <c r="AM8" i="10"/>
  <c r="AL8" i="10"/>
  <c r="AK8" i="10"/>
  <c r="AJ8" i="10"/>
  <c r="AO8" i="10" s="1"/>
  <c r="AM7" i="10"/>
  <c r="AL7" i="10"/>
  <c r="AK7" i="10"/>
  <c r="AJ7" i="10"/>
  <c r="AO7" i="10" s="1"/>
  <c r="AM6" i="10"/>
  <c r="AL6" i="10"/>
  <c r="AK6" i="10"/>
  <c r="AJ6" i="10"/>
  <c r="AO6" i="10" s="1"/>
  <c r="AM5" i="10"/>
  <c r="AL5" i="10"/>
  <c r="AK5" i="10"/>
  <c r="AJ5" i="10"/>
  <c r="AO5" i="10" s="1"/>
  <c r="AM4" i="10"/>
  <c r="AL4" i="10"/>
  <c r="AK4" i="10"/>
  <c r="AJ4" i="10"/>
  <c r="AO4" i="10" s="1"/>
  <c r="AM3" i="10"/>
  <c r="AL3" i="10"/>
  <c r="AK3" i="10"/>
  <c r="AJ3" i="10"/>
  <c r="AO3" i="10" s="1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AH19" i="9"/>
  <c r="AG19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AH16" i="9"/>
  <c r="AG16" i="9"/>
  <c r="AF16" i="9"/>
  <c r="AE16" i="9"/>
  <c r="AD16" i="9"/>
  <c r="AC16" i="9"/>
  <c r="AB16" i="9"/>
  <c r="AB13" i="9" s="1"/>
  <c r="AA16" i="9"/>
  <c r="Z16" i="9"/>
  <c r="Y16" i="9"/>
  <c r="X16" i="9"/>
  <c r="W16" i="9"/>
  <c r="V16" i="9"/>
  <c r="U16" i="9"/>
  <c r="T16" i="9"/>
  <c r="S16" i="9"/>
  <c r="R16" i="9"/>
  <c r="Q16" i="9"/>
  <c r="P16" i="9"/>
  <c r="P13" i="9" s="1"/>
  <c r="O16" i="9"/>
  <c r="N16" i="9"/>
  <c r="M16" i="9"/>
  <c r="L16" i="9"/>
  <c r="K16" i="9"/>
  <c r="J16" i="9"/>
  <c r="I16" i="9"/>
  <c r="H16" i="9"/>
  <c r="G16" i="9"/>
  <c r="F16" i="9"/>
  <c r="E16" i="9"/>
  <c r="D16" i="9"/>
  <c r="D13" i="9" s="1"/>
  <c r="AH15" i="9"/>
  <c r="AG15" i="9"/>
  <c r="AF15" i="9"/>
  <c r="AE15" i="9"/>
  <c r="AD15" i="9"/>
  <c r="AC15" i="9"/>
  <c r="AB15" i="9"/>
  <c r="AA15" i="9"/>
  <c r="Z15" i="9"/>
  <c r="Y15" i="9"/>
  <c r="Y13" i="9" s="1"/>
  <c r="X15" i="9"/>
  <c r="W15" i="9"/>
  <c r="W13" i="9" s="1"/>
  <c r="V15" i="9"/>
  <c r="U15" i="9"/>
  <c r="T15" i="9"/>
  <c r="S15" i="9"/>
  <c r="R15" i="9"/>
  <c r="Q15" i="9"/>
  <c r="P15" i="9"/>
  <c r="O15" i="9"/>
  <c r="N15" i="9"/>
  <c r="N13" i="9" s="1"/>
  <c r="M15" i="9"/>
  <c r="L15" i="9"/>
  <c r="K15" i="9"/>
  <c r="K13" i="9" s="1"/>
  <c r="J15" i="9"/>
  <c r="I15" i="9"/>
  <c r="H15" i="9"/>
  <c r="G15" i="9"/>
  <c r="F15" i="9"/>
  <c r="E15" i="9"/>
  <c r="D15" i="9"/>
  <c r="AH14" i="9"/>
  <c r="AG14" i="9"/>
  <c r="AG13" i="9" s="1"/>
  <c r="AF14" i="9"/>
  <c r="AE14" i="9"/>
  <c r="AE13" i="9" s="1"/>
  <c r="AD14" i="9"/>
  <c r="AD13" i="9" s="1"/>
  <c r="AC14" i="9"/>
  <c r="AC13" i="9" s="1"/>
  <c r="AB14" i="9"/>
  <c r="AA14" i="9"/>
  <c r="Z14" i="9"/>
  <c r="Y14" i="9"/>
  <c r="X14" i="9"/>
  <c r="W14" i="9"/>
  <c r="V14" i="9"/>
  <c r="U14" i="9"/>
  <c r="U13" i="9" s="1"/>
  <c r="T14" i="9"/>
  <c r="T13" i="9" s="1"/>
  <c r="S14" i="9"/>
  <c r="S13" i="9" s="1"/>
  <c r="R14" i="9"/>
  <c r="R13" i="9" s="1"/>
  <c r="Q14" i="9"/>
  <c r="Q13" i="9" s="1"/>
  <c r="P14" i="9"/>
  <c r="O14" i="9"/>
  <c r="N14" i="9"/>
  <c r="M14" i="9"/>
  <c r="L14" i="9"/>
  <c r="K14" i="9"/>
  <c r="J14" i="9"/>
  <c r="I14" i="9"/>
  <c r="H14" i="9"/>
  <c r="H13" i="9" s="1"/>
  <c r="G14" i="9"/>
  <c r="G13" i="9" s="1"/>
  <c r="F14" i="9"/>
  <c r="F13" i="9" s="1"/>
  <c r="E14" i="9"/>
  <c r="E13" i="9" s="1"/>
  <c r="D14" i="9"/>
  <c r="M13" i="9"/>
  <c r="I13" i="9"/>
  <c r="AM10" i="9"/>
  <c r="AL10" i="9"/>
  <c r="AK10" i="9"/>
  <c r="AJ10" i="9"/>
  <c r="AO10" i="9" s="1"/>
  <c r="AM9" i="9"/>
  <c r="AL9" i="9"/>
  <c r="AK9" i="9"/>
  <c r="AJ9" i="9"/>
  <c r="AO9" i="9" s="1"/>
  <c r="AM8" i="9"/>
  <c r="AL8" i="9"/>
  <c r="AK8" i="9"/>
  <c r="AJ8" i="9"/>
  <c r="AO8" i="9" s="1"/>
  <c r="AM7" i="9"/>
  <c r="AL7" i="9"/>
  <c r="AK7" i="9"/>
  <c r="AJ7" i="9"/>
  <c r="AO7" i="9" s="1"/>
  <c r="AM6" i="9"/>
  <c r="AL6" i="9"/>
  <c r="AK6" i="9"/>
  <c r="AJ6" i="9"/>
  <c r="AO6" i="9" s="1"/>
  <c r="AM5" i="9"/>
  <c r="AL5" i="9"/>
  <c r="AK5" i="9"/>
  <c r="AJ5" i="9"/>
  <c r="AO5" i="9" s="1"/>
  <c r="AM4" i="9"/>
  <c r="AL4" i="9"/>
  <c r="AK4" i="9"/>
  <c r="AJ4" i="9"/>
  <c r="AO4" i="9" s="1"/>
  <c r="AM3" i="9"/>
  <c r="AL3" i="9"/>
  <c r="AK3" i="9"/>
  <c r="AJ3" i="9"/>
  <c r="AO3" i="9" s="1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AG16" i="8"/>
  <c r="AF16" i="8"/>
  <c r="AE16" i="8"/>
  <c r="AD16" i="8"/>
  <c r="AC16" i="8"/>
  <c r="AB16" i="8"/>
  <c r="AB13" i="8" s="1"/>
  <c r="AA16" i="8"/>
  <c r="AA13" i="8" s="1"/>
  <c r="Z16" i="8"/>
  <c r="Y16" i="8"/>
  <c r="X16" i="8"/>
  <c r="W16" i="8"/>
  <c r="V16" i="8"/>
  <c r="U16" i="8"/>
  <c r="T16" i="8"/>
  <c r="S16" i="8"/>
  <c r="R16" i="8"/>
  <c r="Q16" i="8"/>
  <c r="P16" i="8"/>
  <c r="P13" i="8" s="1"/>
  <c r="O16" i="8"/>
  <c r="O13" i="8" s="1"/>
  <c r="N16" i="8"/>
  <c r="M16" i="8"/>
  <c r="L16" i="8"/>
  <c r="K16" i="8"/>
  <c r="J16" i="8"/>
  <c r="I16" i="8"/>
  <c r="H16" i="8"/>
  <c r="G16" i="8"/>
  <c r="F16" i="8"/>
  <c r="E16" i="8"/>
  <c r="D16" i="8"/>
  <c r="D13" i="8" s="1"/>
  <c r="AG15" i="8"/>
  <c r="AF15" i="8"/>
  <c r="AE15" i="8"/>
  <c r="AD15" i="8"/>
  <c r="AC15" i="8"/>
  <c r="AB15" i="8"/>
  <c r="AA15" i="8"/>
  <c r="Z15" i="8"/>
  <c r="Z13" i="8" s="1"/>
  <c r="Y15" i="8"/>
  <c r="X15" i="8"/>
  <c r="X13" i="8" s="1"/>
  <c r="W15" i="8"/>
  <c r="W13" i="8" s="1"/>
  <c r="V15" i="8"/>
  <c r="V13" i="8" s="1"/>
  <c r="U15" i="8"/>
  <c r="T15" i="8"/>
  <c r="S15" i="8"/>
  <c r="R15" i="8"/>
  <c r="Q15" i="8"/>
  <c r="P15" i="8"/>
  <c r="O15" i="8"/>
  <c r="N15" i="8"/>
  <c r="M15" i="8"/>
  <c r="L15" i="8"/>
  <c r="L13" i="8" s="1"/>
  <c r="K15" i="8"/>
  <c r="K13" i="8" s="1"/>
  <c r="J15" i="8"/>
  <c r="J13" i="8" s="1"/>
  <c r="I15" i="8"/>
  <c r="H15" i="8"/>
  <c r="G15" i="8"/>
  <c r="F15" i="8"/>
  <c r="E15" i="8"/>
  <c r="D15" i="8"/>
  <c r="AG14" i="8"/>
  <c r="AG13" i="8" s="1"/>
  <c r="AF14" i="8"/>
  <c r="AE14" i="8"/>
  <c r="AE13" i="8" s="1"/>
  <c r="AD14" i="8"/>
  <c r="AC14" i="8"/>
  <c r="AB14" i="8"/>
  <c r="AA14" i="8"/>
  <c r="Z14" i="8"/>
  <c r="Y14" i="8"/>
  <c r="X14" i="8"/>
  <c r="W14" i="8"/>
  <c r="V14" i="8"/>
  <c r="U14" i="8"/>
  <c r="U13" i="8" s="1"/>
  <c r="T14" i="8"/>
  <c r="S14" i="8"/>
  <c r="S13" i="8" s="1"/>
  <c r="R14" i="8"/>
  <c r="R13" i="8" s="1"/>
  <c r="Q14" i="8"/>
  <c r="Q13" i="8" s="1"/>
  <c r="P14" i="8"/>
  <c r="O14" i="8"/>
  <c r="N14" i="8"/>
  <c r="M14" i="8"/>
  <c r="L14" i="8"/>
  <c r="K14" i="8"/>
  <c r="J14" i="8"/>
  <c r="I14" i="8"/>
  <c r="I13" i="8" s="1"/>
  <c r="H14" i="8"/>
  <c r="G14" i="8"/>
  <c r="G13" i="8" s="1"/>
  <c r="F14" i="8"/>
  <c r="F13" i="8" s="1"/>
  <c r="E14" i="8"/>
  <c r="E13" i="8" s="1"/>
  <c r="D14" i="8"/>
  <c r="AM10" i="8"/>
  <c r="AL10" i="8"/>
  <c r="AK10" i="8"/>
  <c r="AJ10" i="8"/>
  <c r="AO10" i="8" s="1"/>
  <c r="AM9" i="8"/>
  <c r="AL9" i="8"/>
  <c r="AK9" i="8"/>
  <c r="AJ9" i="8"/>
  <c r="AO9" i="8" s="1"/>
  <c r="AM8" i="8"/>
  <c r="AL8" i="8"/>
  <c r="AK8" i="8"/>
  <c r="AJ8" i="8"/>
  <c r="AO8" i="8" s="1"/>
  <c r="AM7" i="8"/>
  <c r="AL7" i="8"/>
  <c r="AK7" i="8"/>
  <c r="AJ7" i="8"/>
  <c r="AO7" i="8" s="1"/>
  <c r="AM6" i="8"/>
  <c r="AL6" i="8"/>
  <c r="AK6" i="8"/>
  <c r="AJ6" i="8"/>
  <c r="AO6" i="8" s="1"/>
  <c r="AM5" i="8"/>
  <c r="AL5" i="8"/>
  <c r="AK5" i="8"/>
  <c r="AJ5" i="8"/>
  <c r="AO5" i="8" s="1"/>
  <c r="AM4" i="8"/>
  <c r="AL4" i="8"/>
  <c r="AK4" i="8"/>
  <c r="AJ4" i="8"/>
  <c r="AO4" i="8" s="1"/>
  <c r="AM3" i="8"/>
  <c r="AL3" i="8"/>
  <c r="AK3" i="8"/>
  <c r="AJ3" i="8"/>
  <c r="AO3" i="8" s="1"/>
  <c r="E12" i="1"/>
  <c r="F24" i="2"/>
  <c r="D24" i="2"/>
  <c r="E24" i="2"/>
  <c r="E16" i="2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N13" i="7" s="1"/>
  <c r="M15" i="7"/>
  <c r="L15" i="7"/>
  <c r="L13" i="7" s="1"/>
  <c r="K15" i="7"/>
  <c r="J15" i="7"/>
  <c r="I15" i="7"/>
  <c r="H15" i="7"/>
  <c r="G15" i="7"/>
  <c r="F15" i="7"/>
  <c r="E15" i="7"/>
  <c r="D15" i="7"/>
  <c r="AH14" i="7"/>
  <c r="AG14" i="7"/>
  <c r="AF14" i="7"/>
  <c r="AE14" i="7"/>
  <c r="AD14" i="7"/>
  <c r="AD13" i="7" s="1"/>
  <c r="AC14" i="7"/>
  <c r="AC13" i="7" s="1"/>
  <c r="AB14" i="7"/>
  <c r="AA14" i="7"/>
  <c r="Z14" i="7"/>
  <c r="Y14" i="7"/>
  <c r="X14" i="7"/>
  <c r="X13" i="7" s="1"/>
  <c r="W14" i="7"/>
  <c r="V14" i="7"/>
  <c r="U14" i="7"/>
  <c r="T14" i="7"/>
  <c r="S14" i="7"/>
  <c r="S13" i="7" s="1"/>
  <c r="R14" i="7"/>
  <c r="R13" i="7" s="1"/>
  <c r="Q14" i="7"/>
  <c r="Q13" i="7" s="1"/>
  <c r="P14" i="7"/>
  <c r="O14" i="7"/>
  <c r="N14" i="7"/>
  <c r="M14" i="7"/>
  <c r="L14" i="7"/>
  <c r="K14" i="7"/>
  <c r="J14" i="7"/>
  <c r="I14" i="7"/>
  <c r="H14" i="7"/>
  <c r="G14" i="7"/>
  <c r="G13" i="7" s="1"/>
  <c r="F14" i="7"/>
  <c r="F13" i="7" s="1"/>
  <c r="E14" i="7"/>
  <c r="D14" i="7"/>
  <c r="AM10" i="7"/>
  <c r="AL10" i="7"/>
  <c r="AK10" i="7"/>
  <c r="AJ10" i="7"/>
  <c r="AO10" i="7" s="1"/>
  <c r="AM9" i="7"/>
  <c r="AL9" i="7"/>
  <c r="AK9" i="7"/>
  <c r="AJ9" i="7"/>
  <c r="AO9" i="7" s="1"/>
  <c r="AO8" i="7"/>
  <c r="AM8" i="7"/>
  <c r="AL8" i="7"/>
  <c r="AK8" i="7"/>
  <c r="AJ8" i="7"/>
  <c r="AM7" i="7"/>
  <c r="AL7" i="7"/>
  <c r="AK7" i="7"/>
  <c r="AJ7" i="7"/>
  <c r="AO7" i="7" s="1"/>
  <c r="AM6" i="7"/>
  <c r="AL6" i="7"/>
  <c r="AK6" i="7"/>
  <c r="AJ6" i="7"/>
  <c r="AN6" i="7" s="1"/>
  <c r="AM5" i="7"/>
  <c r="AL5" i="7"/>
  <c r="AK5" i="7"/>
  <c r="AJ5" i="7"/>
  <c r="AO5" i="7" s="1"/>
  <c r="AM4" i="7"/>
  <c r="AL4" i="7"/>
  <c r="AK4" i="7"/>
  <c r="AJ4" i="7"/>
  <c r="AO4" i="7" s="1"/>
  <c r="AM3" i="7"/>
  <c r="AL3" i="7"/>
  <c r="AK3" i="7"/>
  <c r="AJ3" i="7"/>
  <c r="AO3" i="7" s="1"/>
  <c r="V13" i="11" l="1"/>
  <c r="Y13" i="10"/>
  <c r="AD13" i="8"/>
  <c r="AC13" i="8"/>
  <c r="Z13" i="9"/>
  <c r="AE13" i="11"/>
  <c r="AN6" i="11"/>
  <c r="AN9" i="11"/>
  <c r="AO6" i="11"/>
  <c r="AO9" i="11"/>
  <c r="AN10" i="11"/>
  <c r="N13" i="11"/>
  <c r="Z13" i="11"/>
  <c r="AN8" i="11"/>
  <c r="AN4" i="11"/>
  <c r="AN3" i="11"/>
  <c r="AN5" i="11"/>
  <c r="AN7" i="11"/>
  <c r="E13" i="10"/>
  <c r="O13" i="9"/>
  <c r="AA13" i="10"/>
  <c r="K13" i="10"/>
  <c r="AN3" i="10"/>
  <c r="AN5" i="10"/>
  <c r="AN7" i="10"/>
  <c r="AN9" i="10"/>
  <c r="AN4" i="10"/>
  <c r="AN6" i="10"/>
  <c r="AN8" i="10"/>
  <c r="AN10" i="10"/>
  <c r="AF13" i="9"/>
  <c r="AA13" i="9"/>
  <c r="AN10" i="9"/>
  <c r="AH13" i="9"/>
  <c r="X13" i="9"/>
  <c r="J13" i="9"/>
  <c r="AN4" i="9"/>
  <c r="AN8" i="9"/>
  <c r="AN6" i="9"/>
  <c r="L13" i="9"/>
  <c r="V13" i="9"/>
  <c r="AN3" i="9"/>
  <c r="AN5" i="9"/>
  <c r="AN7" i="9"/>
  <c r="AN9" i="9"/>
  <c r="H13" i="8"/>
  <c r="T13" i="8"/>
  <c r="AF13" i="8"/>
  <c r="M13" i="8"/>
  <c r="Y13" i="8"/>
  <c r="N13" i="8"/>
  <c r="AN3" i="8"/>
  <c r="AN6" i="8"/>
  <c r="AN5" i="8"/>
  <c r="AN4" i="8"/>
  <c r="AN9" i="8"/>
  <c r="AN8" i="8"/>
  <c r="AN7" i="8"/>
  <c r="AN10" i="8"/>
  <c r="AG13" i="7"/>
  <c r="Z13" i="7"/>
  <c r="E13" i="7"/>
  <c r="AF13" i="7"/>
  <c r="AH13" i="7"/>
  <c r="AN9" i="7"/>
  <c r="AB13" i="7"/>
  <c r="AN3" i="7"/>
  <c r="O13" i="7"/>
  <c r="H13" i="7"/>
  <c r="W13" i="7"/>
  <c r="P13" i="7"/>
  <c r="I13" i="7"/>
  <c r="AN7" i="7"/>
  <c r="M13" i="7"/>
  <c r="Y13" i="7"/>
  <c r="J13" i="7"/>
  <c r="T13" i="7"/>
  <c r="AO6" i="7"/>
  <c r="D13" i="7"/>
  <c r="U13" i="7"/>
  <c r="AA13" i="7"/>
  <c r="AE13" i="7"/>
  <c r="V13" i="7"/>
  <c r="K13" i="7"/>
  <c r="AN5" i="7"/>
  <c r="AN8" i="7"/>
  <c r="AN4" i="7"/>
  <c r="AN10" i="7"/>
  <c r="AM10" i="6" l="1"/>
  <c r="AM9" i="6"/>
  <c r="AM8" i="6"/>
  <c r="AM7" i="6"/>
  <c r="AM6" i="6"/>
  <c r="AM5" i="6"/>
  <c r="AM3" i="6"/>
  <c r="AM4" i="6"/>
  <c r="AL9" i="6"/>
  <c r="AL8" i="6"/>
  <c r="AL10" i="6"/>
  <c r="AL7" i="6"/>
  <c r="AL3" i="6"/>
  <c r="AJ6" i="6"/>
  <c r="AJ5" i="6"/>
  <c r="AO5" i="6" s="1"/>
  <c r="AJ4" i="6"/>
  <c r="AO4" i="6" s="1"/>
  <c r="AJ3" i="6"/>
  <c r="AH14" i="6"/>
  <c r="AH15" i="6"/>
  <c r="AH16" i="6"/>
  <c r="AH17" i="6"/>
  <c r="AH18" i="6"/>
  <c r="AH19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G13" i="6" s="1"/>
  <c r="F15" i="6"/>
  <c r="E15" i="6"/>
  <c r="D15" i="6"/>
  <c r="AG14" i="6"/>
  <c r="AF14" i="6"/>
  <c r="AE14" i="6"/>
  <c r="AD14" i="6"/>
  <c r="AC14" i="6"/>
  <c r="AB14" i="6"/>
  <c r="AA14" i="6"/>
  <c r="Z14" i="6"/>
  <c r="Y14" i="6"/>
  <c r="X14" i="6"/>
  <c r="W14" i="6"/>
  <c r="V14" i="6"/>
  <c r="V13" i="6" s="1"/>
  <c r="U14" i="6"/>
  <c r="T14" i="6"/>
  <c r="S14" i="6"/>
  <c r="R14" i="6"/>
  <c r="Q14" i="6"/>
  <c r="P14" i="6"/>
  <c r="O14" i="6"/>
  <c r="N14" i="6"/>
  <c r="M14" i="6"/>
  <c r="M13" i="6" s="1"/>
  <c r="L14" i="6"/>
  <c r="L13" i="6" s="1"/>
  <c r="K14" i="6"/>
  <c r="K13" i="6" s="1"/>
  <c r="J14" i="6"/>
  <c r="J13" i="6" s="1"/>
  <c r="I14" i="6"/>
  <c r="H14" i="6"/>
  <c r="G14" i="6"/>
  <c r="F14" i="6"/>
  <c r="E14" i="6"/>
  <c r="D14" i="6"/>
  <c r="AK10" i="6"/>
  <c r="AJ10" i="6"/>
  <c r="AO10" i="6" s="1"/>
  <c r="AK9" i="6"/>
  <c r="AJ9" i="6"/>
  <c r="AO9" i="6" s="1"/>
  <c r="AK8" i="6"/>
  <c r="AJ8" i="6"/>
  <c r="AO8" i="6" s="1"/>
  <c r="AK7" i="6"/>
  <c r="AJ7" i="6"/>
  <c r="AO7" i="6" s="1"/>
  <c r="AL6" i="6"/>
  <c r="AK6" i="6"/>
  <c r="AL5" i="6"/>
  <c r="AK5" i="6"/>
  <c r="AL4" i="6"/>
  <c r="AK4" i="6"/>
  <c r="AK3" i="6"/>
  <c r="X13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I19" i="5"/>
  <c r="H19" i="5"/>
  <c r="G19" i="5"/>
  <c r="D19" i="5"/>
  <c r="E19" i="5"/>
  <c r="F19" i="5"/>
  <c r="E14" i="5"/>
  <c r="AN6" i="5"/>
  <c r="AN4" i="5"/>
  <c r="AN3" i="5"/>
  <c r="D17" i="5"/>
  <c r="AI3" i="5"/>
  <c r="AJ3" i="5"/>
  <c r="AK3" i="5"/>
  <c r="AL3" i="5"/>
  <c r="AI4" i="5"/>
  <c r="AJ4" i="5"/>
  <c r="AK4" i="5"/>
  <c r="AL4" i="5"/>
  <c r="AI5" i="5"/>
  <c r="AN5" i="5" s="1"/>
  <c r="AJ5" i="5"/>
  <c r="AK5" i="5"/>
  <c r="AL5" i="5"/>
  <c r="AI6" i="5"/>
  <c r="AJ6" i="5"/>
  <c r="AK6" i="5"/>
  <c r="AL6" i="5"/>
  <c r="AI7" i="5"/>
  <c r="AN7" i="5" s="1"/>
  <c r="AJ7" i="5"/>
  <c r="AK7" i="5"/>
  <c r="AL7" i="5"/>
  <c r="AI8" i="5"/>
  <c r="AN8" i="5" s="1"/>
  <c r="AJ8" i="5"/>
  <c r="AK8" i="5"/>
  <c r="AL8" i="5"/>
  <c r="AI9" i="5"/>
  <c r="AN9" i="5" s="1"/>
  <c r="AJ9" i="5"/>
  <c r="AK9" i="5"/>
  <c r="AL9" i="5"/>
  <c r="AI10" i="5"/>
  <c r="AN10" i="5" s="1"/>
  <c r="AJ10" i="5"/>
  <c r="AK10" i="5"/>
  <c r="AL1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O13" i="5" s="1"/>
  <c r="N15" i="5"/>
  <c r="M15" i="5"/>
  <c r="L15" i="5"/>
  <c r="K15" i="5"/>
  <c r="J15" i="5"/>
  <c r="I15" i="5"/>
  <c r="H15" i="5"/>
  <c r="G15" i="5"/>
  <c r="F15" i="5"/>
  <c r="E15" i="5"/>
  <c r="D15" i="5"/>
  <c r="AG14" i="5"/>
  <c r="AG13" i="5" s="1"/>
  <c r="AF14" i="5"/>
  <c r="AE14" i="5"/>
  <c r="AE13" i="5" s="1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G13" i="5" s="1"/>
  <c r="F14" i="5"/>
  <c r="D14" i="5"/>
  <c r="G23" i="2"/>
  <c r="F23" i="2"/>
  <c r="E23" i="2"/>
  <c r="D23" i="2"/>
  <c r="D22" i="2"/>
  <c r="G22" i="2"/>
  <c r="F22" i="2"/>
  <c r="E22" i="2"/>
  <c r="D21" i="2"/>
  <c r="G21" i="2"/>
  <c r="F21" i="2"/>
  <c r="E21" i="2"/>
  <c r="D20" i="2"/>
  <c r="G20" i="2"/>
  <c r="F20" i="2"/>
  <c r="E20" i="2"/>
  <c r="D19" i="2"/>
  <c r="G19" i="2"/>
  <c r="F19" i="2"/>
  <c r="E19" i="2"/>
  <c r="D18" i="2"/>
  <c r="G18" i="2"/>
  <c r="F18" i="2"/>
  <c r="E18" i="2"/>
  <c r="D17" i="2"/>
  <c r="G17" i="2"/>
  <c r="F17" i="2"/>
  <c r="E17" i="2"/>
  <c r="D16" i="2"/>
  <c r="G16" i="2"/>
  <c r="F16" i="2"/>
  <c r="AJ3" i="1"/>
  <c r="AM10" i="1"/>
  <c r="AM9" i="1"/>
  <c r="AM8" i="1"/>
  <c r="AM7" i="1"/>
  <c r="AM6" i="1"/>
  <c r="AM5" i="1"/>
  <c r="AM4" i="1"/>
  <c r="AM3" i="1"/>
  <c r="AL9" i="1"/>
  <c r="AL10" i="1"/>
  <c r="AL7" i="1"/>
  <c r="AL8" i="1"/>
  <c r="AL3" i="1"/>
  <c r="AK10" i="1"/>
  <c r="AK9" i="1"/>
  <c r="AK8" i="1"/>
  <c r="AK7" i="1"/>
  <c r="AK6" i="1"/>
  <c r="AK4" i="1"/>
  <c r="AK3" i="1"/>
  <c r="AK5" i="1"/>
  <c r="AJ8" i="1"/>
  <c r="AJ9" i="1"/>
  <c r="AJ10" i="1"/>
  <c r="AJ7" i="1"/>
  <c r="AJ6" i="1"/>
  <c r="AJ5" i="1"/>
  <c r="AL6" i="1"/>
  <c r="AL5" i="1"/>
  <c r="AL4" i="1"/>
  <c r="AJ4" i="1"/>
  <c r="D12" i="1"/>
  <c r="D15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P17" i="1"/>
  <c r="E18" i="1"/>
  <c r="E17" i="1" s="1"/>
  <c r="F18" i="1"/>
  <c r="F17" i="1" s="1"/>
  <c r="G18" i="1"/>
  <c r="G17" i="1" s="1"/>
  <c r="H18" i="1"/>
  <c r="H17" i="1" s="1"/>
  <c r="I18" i="1"/>
  <c r="I17" i="1" s="1"/>
  <c r="J18" i="1"/>
  <c r="J17" i="1" s="1"/>
  <c r="K18" i="1"/>
  <c r="K17" i="1" s="1"/>
  <c r="L18" i="1"/>
  <c r="L17" i="1" s="1"/>
  <c r="M18" i="1"/>
  <c r="M17" i="1" s="1"/>
  <c r="N18" i="1"/>
  <c r="N17" i="1" s="1"/>
  <c r="O18" i="1"/>
  <c r="O17" i="1" s="1"/>
  <c r="P18" i="1"/>
  <c r="Q18" i="1"/>
  <c r="Q17" i="1" s="1"/>
  <c r="R18" i="1"/>
  <c r="R17" i="1" s="1"/>
  <c r="S18" i="1"/>
  <c r="S17" i="1" s="1"/>
  <c r="T18" i="1"/>
  <c r="T17" i="1" s="1"/>
  <c r="U18" i="1"/>
  <c r="U17" i="1" s="1"/>
  <c r="V18" i="1"/>
  <c r="V17" i="1" s="1"/>
  <c r="W18" i="1"/>
  <c r="W17" i="1" s="1"/>
  <c r="X18" i="1"/>
  <c r="X17" i="1" s="1"/>
  <c r="Y18" i="1"/>
  <c r="Y17" i="1" s="1"/>
  <c r="Z18" i="1"/>
  <c r="Z17" i="1" s="1"/>
  <c r="AA18" i="1"/>
  <c r="AA17" i="1" s="1"/>
  <c r="AB18" i="1"/>
  <c r="AB17" i="1" s="1"/>
  <c r="AC18" i="1"/>
  <c r="AC17" i="1" s="1"/>
  <c r="AD18" i="1"/>
  <c r="AD17" i="1" s="1"/>
  <c r="AE18" i="1"/>
  <c r="AE17" i="1" s="1"/>
  <c r="AF18" i="1"/>
  <c r="AF17" i="1" s="1"/>
  <c r="AG18" i="1"/>
  <c r="AG17" i="1" s="1"/>
  <c r="AH18" i="1"/>
  <c r="AH17" i="1" s="1"/>
  <c r="D18" i="1"/>
  <c r="D17" i="1" s="1"/>
  <c r="D16" i="1"/>
  <c r="D14" i="1"/>
  <c r="D13" i="1"/>
  <c r="AN5" i="1" l="1"/>
  <c r="AN6" i="1"/>
  <c r="AN7" i="1"/>
  <c r="AN8" i="1"/>
  <c r="AN9" i="1"/>
  <c r="AN10" i="1"/>
  <c r="X13" i="6"/>
  <c r="U13" i="6"/>
  <c r="I13" i="6"/>
  <c r="Z13" i="6"/>
  <c r="AA13" i="6"/>
  <c r="Y13" i="6"/>
  <c r="AF13" i="6"/>
  <c r="W13" i="6"/>
  <c r="S13" i="6"/>
  <c r="N13" i="6"/>
  <c r="AG13" i="6"/>
  <c r="AH13" i="6"/>
  <c r="O13" i="6"/>
  <c r="AN6" i="6"/>
  <c r="AN3" i="6"/>
  <c r="AE13" i="6"/>
  <c r="H13" i="6"/>
  <c r="T13" i="6"/>
  <c r="AN5" i="6"/>
  <c r="AN9" i="6"/>
  <c r="F13" i="6"/>
  <c r="R13" i="6"/>
  <c r="AD13" i="6"/>
  <c r="Q13" i="6"/>
  <c r="AO3" i="6"/>
  <c r="P13" i="6"/>
  <c r="AC13" i="6"/>
  <c r="D13" i="6"/>
  <c r="AB13" i="6"/>
  <c r="E13" i="6"/>
  <c r="AN7" i="6"/>
  <c r="AN4" i="6"/>
  <c r="AN10" i="6"/>
  <c r="AO6" i="6"/>
  <c r="AN8" i="6"/>
  <c r="F13" i="5"/>
  <c r="U13" i="5"/>
  <c r="V13" i="5"/>
  <c r="E13" i="5"/>
  <c r="AC13" i="5"/>
  <c r="D13" i="5"/>
  <c r="H13" i="5"/>
  <c r="AA13" i="5"/>
  <c r="AB13" i="5"/>
  <c r="AD13" i="5"/>
  <c r="Z13" i="5"/>
  <c r="T13" i="5"/>
  <c r="AF13" i="5"/>
  <c r="R13" i="5"/>
  <c r="L13" i="5"/>
  <c r="W13" i="5"/>
  <c r="AM6" i="5"/>
  <c r="S13" i="5"/>
  <c r="M13" i="5"/>
  <c r="K13" i="5"/>
  <c r="AM10" i="5"/>
  <c r="AM5" i="5"/>
  <c r="I13" i="5"/>
  <c r="AM8" i="5"/>
  <c r="AM7" i="5"/>
  <c r="J13" i="5"/>
  <c r="AM9" i="5"/>
  <c r="Y13" i="5"/>
  <c r="AM3" i="5"/>
  <c r="Q13" i="5"/>
  <c r="AM4" i="5"/>
  <c r="P13" i="5"/>
  <c r="N13" i="5"/>
  <c r="H23" i="2"/>
  <c r="H22" i="2"/>
  <c r="H20" i="2"/>
  <c r="H19" i="2"/>
  <c r="H18" i="2"/>
  <c r="H17" i="2"/>
  <c r="H21" i="2"/>
  <c r="H16" i="2"/>
  <c r="AN4" i="1"/>
  <c r="AN3" i="1"/>
  <c r="P11" i="1"/>
  <c r="V11" i="1"/>
  <c r="J11" i="1"/>
  <c r="AA11" i="1"/>
  <c r="O11" i="1"/>
  <c r="AG11" i="1"/>
  <c r="U11" i="1"/>
  <c r="I11" i="1"/>
  <c r="Y11" i="1"/>
  <c r="M11" i="1"/>
  <c r="AE11" i="1"/>
  <c r="S11" i="1"/>
  <c r="X11" i="1"/>
  <c r="L11" i="1"/>
  <c r="AD11" i="1"/>
  <c r="R11" i="1"/>
  <c r="AF11" i="1"/>
  <c r="H11" i="1"/>
  <c r="W11" i="1"/>
  <c r="K11" i="1"/>
  <c r="AC11" i="1"/>
  <c r="Q11" i="1"/>
  <c r="AH11" i="1"/>
  <c r="Z11" i="1"/>
  <c r="AB11" i="1"/>
  <c r="T11" i="1"/>
  <c r="N11" i="1"/>
  <c r="E11" i="1"/>
  <c r="F11" i="1"/>
  <c r="G11" i="1"/>
  <c r="D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Dirube Roll Jesus</author>
  </authors>
  <commentList>
    <comment ref="H4" authorId="0" shapeId="0" xr:uid="{63FED790-2554-4341-88F9-CBA2CC86579F}">
      <text>
        <r>
          <rPr>
            <b/>
            <sz val="9"/>
            <color indexed="81"/>
            <rFont val="Tahoma"/>
            <family val="2"/>
          </rPr>
          <t>Dirube Roll Jesus:</t>
        </r>
        <r>
          <rPr>
            <sz val="9"/>
            <color indexed="81"/>
            <rFont val="Tahoma"/>
            <family val="2"/>
          </rPr>
          <t xml:space="preserve">
Cambio entre Javier y Alexandre, el fin de semana 4/5 de Julio por 25/25 de Julio</t>
        </r>
      </text>
    </comment>
    <comment ref="AC5" authorId="0" shapeId="0" xr:uid="{99D3BF6F-90F5-47D3-9D25-A97EFA4BD7B1}">
      <text>
        <r>
          <rPr>
            <b/>
            <sz val="9"/>
            <color indexed="81"/>
            <rFont val="Tahoma"/>
            <family val="2"/>
          </rPr>
          <t>Dirube Roll Jesus:</t>
        </r>
        <r>
          <rPr>
            <sz val="9"/>
            <color indexed="81"/>
            <rFont val="Tahoma"/>
            <family val="2"/>
          </rPr>
          <t xml:space="preserve">
Cambio entre Javier y Alexandre, el fin de semana 4/5 de Julio por 25/25 de Julio</t>
        </r>
      </text>
    </comment>
  </commentList>
</comments>
</file>

<file path=xl/sharedStrings.xml><?xml version="1.0" encoding="utf-8"?>
<sst xmlns="http://schemas.openxmlformats.org/spreadsheetml/2006/main" count="5652" uniqueCount="49">
  <si>
    <t>Nombre</t>
  </si>
  <si>
    <t>L</t>
  </si>
  <si>
    <t>M</t>
  </si>
  <si>
    <t>X</t>
  </si>
  <si>
    <t>J</t>
  </si>
  <si>
    <t>V</t>
  </si>
  <si>
    <t>S</t>
  </si>
  <si>
    <t>D</t>
  </si>
  <si>
    <t>T</t>
  </si>
  <si>
    <t>N</t>
  </si>
  <si>
    <t>TOTAL</t>
  </si>
  <si>
    <t>JESUS DIRUBE ROLL</t>
  </si>
  <si>
    <t>E1</t>
  </si>
  <si>
    <t>LG</t>
  </si>
  <si>
    <t>MG</t>
  </si>
  <si>
    <t>TG</t>
  </si>
  <si>
    <t>DG</t>
  </si>
  <si>
    <t>JAVIER COLL BAENA</t>
  </si>
  <si>
    <t>E2</t>
  </si>
  <si>
    <t>ALEXANDRE DIZ</t>
  </si>
  <si>
    <t>E3</t>
  </si>
  <si>
    <t>BORJA FRANCES FUSTER</t>
  </si>
  <si>
    <t>E4</t>
  </si>
  <si>
    <t>CHRISTOPHER MENDOZA</t>
  </si>
  <si>
    <t>M5</t>
  </si>
  <si>
    <t>NADIA LOPEZ</t>
  </si>
  <si>
    <t>M6</t>
  </si>
  <si>
    <t xml:space="preserve">JOSE ALFREDO SOTO </t>
  </si>
  <si>
    <t>M7</t>
  </si>
  <si>
    <t>ANGEL AGNI LANDEROS</t>
  </si>
  <si>
    <t>M8</t>
  </si>
  <si>
    <t>OP</t>
  </si>
  <si>
    <t>G</t>
  </si>
  <si>
    <t>Opcion A</t>
  </si>
  <si>
    <t>Opcion B</t>
  </si>
  <si>
    <t>- Vacaciones (23)</t>
  </si>
  <si>
    <t>=&gt;</t>
  </si>
  <si>
    <t>x8</t>
  </si>
  <si>
    <t>Faltan 7 días disponibles</t>
  </si>
  <si>
    <t>Faltan 6 días disponibles</t>
  </si>
  <si>
    <t>- Vacaciones (20)</t>
  </si>
  <si>
    <t>Faltan 4 días disponibles</t>
  </si>
  <si>
    <t>Faltan 3 días disponibles</t>
  </si>
  <si>
    <t>Faltan 5 días disponibles</t>
  </si>
  <si>
    <t>TOTAL:</t>
  </si>
  <si>
    <t>Faltan en total 43 Días</t>
  </si>
  <si>
    <t>Se pueden utilizar los Lunes, hay 45 Lunes</t>
  </si>
  <si>
    <t>Hay 2 Lunes al año sin disponible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</si>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</sst>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name val="Calibri"/>
      <family val="2"/>
    </font>
    <font>
      <b/>
      <sz val="8"/>
      <color rgb="FF00B0F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9"/>
      <name val="Century Gothic"/>
      <family val="2"/>
    </font>
    <font>
      <sz val="8"/>
      <color rgb="FF000000"/>
      <name val="Calibri"/>
      <family val="2"/>
    </font>
    <font>
      <sz val="8"/>
      <color rgb="FFFFFFFF"/>
      <name val="Calibri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sz val="8"/>
      <name val="Calibri"/>
      <family val="2"/>
    </font>
    <font>
      <b/>
      <sz val="8"/>
      <color rgb="FFFF0000"/>
      <name val="Arial"/>
      <family val="2"/>
    </font>
    <font>
      <b/>
      <sz val="10"/>
      <color rgb="FFFF0000"/>
      <name val="Aptos Narrow"/>
      <family val="2"/>
      <scheme val="minor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i/>
      <sz val="8"/>
      <color rgb="FF0D0D0D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rgb="FFFFFFFF"/>
      <name val="Arial"/>
      <family val="2"/>
    </font>
    <font>
      <b/>
      <sz val="8"/>
      <color rgb="FFFFFFFF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5D5D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FFA1A1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FF00"/>
        <bgColor indexed="64"/>
      </patternFill>
    </fill>
  </fills>
  <borders count="7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FF00"/>
      </left>
      <right style="thick">
        <color rgb="FFFFFF00"/>
      </right>
      <top style="thick">
        <color rgb="FFFFFF00"/>
      </top>
      <bottom style="thick">
        <color rgb="FFFFFF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69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12" borderId="0" xfId="0" applyFont="1" applyFill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10" fillId="12" borderId="0" xfId="0" applyFont="1" applyFill="1" applyAlignment="1">
      <alignment horizontal="center"/>
    </xf>
    <xf numFmtId="0" fontId="0" fillId="13" borderId="0" xfId="0" applyFill="1"/>
    <xf numFmtId="0" fontId="0" fillId="14" borderId="0" xfId="0" applyFill="1"/>
    <xf numFmtId="0" fontId="0" fillId="15" borderId="0" xfId="0" applyFill="1"/>
    <xf numFmtId="0" fontId="4" fillId="16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13" fillId="15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0" fontId="14" fillId="18" borderId="2" xfId="0" applyFont="1" applyFill="1" applyBorder="1" applyAlignment="1">
      <alignment horizontal="center"/>
    </xf>
    <xf numFmtId="0" fontId="15" fillId="17" borderId="2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/>
    </xf>
    <xf numFmtId="0" fontId="18" fillId="11" borderId="2" xfId="0" applyFont="1" applyFill="1" applyBorder="1" applyAlignment="1">
      <alignment horizontal="center"/>
    </xf>
    <xf numFmtId="0" fontId="19" fillId="18" borderId="2" xfId="0" applyFont="1" applyFill="1" applyBorder="1" applyAlignment="1">
      <alignment horizontal="center"/>
    </xf>
    <xf numFmtId="0" fontId="4" fillId="0" borderId="2" xfId="0" applyFont="1" applyBorder="1"/>
    <xf numFmtId="0" fontId="20" fillId="19" borderId="11" xfId="0" applyFont="1" applyFill="1" applyBorder="1" applyAlignment="1">
      <alignment horizontal="center" vertical="center"/>
    </xf>
    <xf numFmtId="0" fontId="4" fillId="0" borderId="12" xfId="0" applyFont="1" applyBorder="1"/>
    <xf numFmtId="0" fontId="4" fillId="20" borderId="13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7" fillId="11" borderId="1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12" fillId="12" borderId="12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14" borderId="12" xfId="0" applyFont="1" applyFill="1" applyBorder="1" applyAlignment="1">
      <alignment horizontal="center" vertical="center"/>
    </xf>
    <xf numFmtId="0" fontId="13" fillId="13" borderId="12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/>
    </xf>
    <xf numFmtId="0" fontId="13" fillId="1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4" fillId="18" borderId="19" xfId="0" applyFont="1" applyFill="1" applyBorder="1" applyAlignment="1">
      <alignment horizontal="center"/>
    </xf>
    <xf numFmtId="0" fontId="14" fillId="18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13" fillId="13" borderId="21" xfId="0" applyFont="1" applyFill="1" applyBorder="1" applyAlignment="1">
      <alignment horizontal="center" vertical="center"/>
    </xf>
    <xf numFmtId="0" fontId="13" fillId="13" borderId="22" xfId="0" applyFont="1" applyFill="1" applyBorder="1" applyAlignment="1">
      <alignment horizontal="center" vertical="center"/>
    </xf>
    <xf numFmtId="0" fontId="13" fillId="14" borderId="21" xfId="0" applyFont="1" applyFill="1" applyBorder="1" applyAlignment="1">
      <alignment horizontal="center" vertical="center"/>
    </xf>
    <xf numFmtId="0" fontId="13" fillId="14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20" fillId="19" borderId="25" xfId="0" applyFont="1" applyFill="1" applyBorder="1" applyAlignment="1">
      <alignment horizontal="center" vertical="center"/>
    </xf>
    <xf numFmtId="0" fontId="4" fillId="20" borderId="26" xfId="0" applyFont="1" applyFill="1" applyBorder="1" applyAlignment="1">
      <alignment horizontal="center" vertical="center"/>
    </xf>
    <xf numFmtId="0" fontId="4" fillId="9" borderId="27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20" fillId="19" borderId="30" xfId="0" applyFont="1" applyFill="1" applyBorder="1" applyAlignment="1">
      <alignment horizontal="center" vertical="center"/>
    </xf>
    <xf numFmtId="0" fontId="20" fillId="19" borderId="31" xfId="0" applyFont="1" applyFill="1" applyBorder="1" applyAlignment="1">
      <alignment horizontal="center" vertical="center"/>
    </xf>
    <xf numFmtId="0" fontId="4" fillId="20" borderId="32" xfId="0" applyFont="1" applyFill="1" applyBorder="1" applyAlignment="1">
      <alignment horizontal="center" vertical="center"/>
    </xf>
    <xf numFmtId="0" fontId="4" fillId="20" borderId="20" xfId="0" applyFont="1" applyFill="1" applyBorder="1" applyAlignment="1">
      <alignment horizontal="center" vertical="center"/>
    </xf>
    <xf numFmtId="0" fontId="4" fillId="9" borderId="33" xfId="0" applyFont="1" applyFill="1" applyBorder="1" applyAlignment="1">
      <alignment horizontal="center" vertical="center"/>
    </xf>
    <xf numFmtId="0" fontId="4" fillId="9" borderId="22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horizontal="center" vertical="center"/>
    </xf>
    <xf numFmtId="0" fontId="4" fillId="8" borderId="24" xfId="0" applyFont="1" applyFill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/>
    </xf>
    <xf numFmtId="0" fontId="4" fillId="6" borderId="2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21" fillId="15" borderId="0" xfId="0" applyFont="1" applyFill="1"/>
    <xf numFmtId="0" fontId="12" fillId="15" borderId="6" xfId="0" applyFont="1" applyFill="1" applyBorder="1" applyAlignment="1">
      <alignment horizontal="right"/>
    </xf>
    <xf numFmtId="0" fontId="4" fillId="0" borderId="18" xfId="0" applyFont="1" applyBorder="1"/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21" borderId="1" xfId="0" applyFont="1" applyFill="1" applyBorder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0" fillId="0" borderId="0" xfId="0" quotePrefix="1"/>
    <xf numFmtId="0" fontId="21" fillId="15" borderId="15" xfId="0" applyFont="1" applyFill="1" applyBorder="1"/>
    <xf numFmtId="0" fontId="12" fillId="15" borderId="1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13" fillId="14" borderId="39" xfId="0" applyFont="1" applyFill="1" applyBorder="1" applyAlignment="1">
      <alignment horizontal="center" vertical="center"/>
    </xf>
    <xf numFmtId="0" fontId="2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0" fillId="4" borderId="2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/>
    </xf>
    <xf numFmtId="0" fontId="10" fillId="4" borderId="40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5" borderId="2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10" fillId="16" borderId="2" xfId="0" applyFont="1" applyFill="1" applyBorder="1" applyAlignment="1">
      <alignment horizontal="center" vertical="center"/>
    </xf>
    <xf numFmtId="0" fontId="10" fillId="16" borderId="12" xfId="0" applyFon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center" vertical="center"/>
    </xf>
    <xf numFmtId="0" fontId="10" fillId="5" borderId="2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0" fillId="19" borderId="38" xfId="0" applyFont="1" applyFill="1" applyBorder="1" applyAlignment="1">
      <alignment horizontal="center" vertical="center"/>
    </xf>
    <xf numFmtId="0" fontId="20" fillId="19" borderId="42" xfId="0" applyFont="1" applyFill="1" applyBorder="1" applyAlignment="1">
      <alignment horizontal="center" vertical="center"/>
    </xf>
    <xf numFmtId="0" fontId="20" fillId="19" borderId="43" xfId="0" applyFont="1" applyFill="1" applyBorder="1" applyAlignment="1">
      <alignment horizontal="center" vertical="center"/>
    </xf>
    <xf numFmtId="0" fontId="20" fillId="19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8" fillId="23" borderId="44" xfId="0" applyFont="1" applyFill="1" applyBorder="1" applyAlignment="1">
      <alignment horizontal="center"/>
    </xf>
    <xf numFmtId="0" fontId="8" fillId="23" borderId="45" xfId="0" applyFont="1" applyFill="1" applyBorder="1" applyAlignment="1">
      <alignment horizontal="center"/>
    </xf>
    <xf numFmtId="0" fontId="8" fillId="23" borderId="46" xfId="0" applyFont="1" applyFill="1" applyBorder="1" applyAlignment="1">
      <alignment horizontal="center"/>
    </xf>
    <xf numFmtId="0" fontId="8" fillId="23" borderId="47" xfId="0" applyFont="1" applyFill="1" applyBorder="1" applyAlignment="1">
      <alignment horizontal="center"/>
    </xf>
    <xf numFmtId="0" fontId="26" fillId="8" borderId="2" xfId="0" applyFont="1" applyFill="1" applyBorder="1" applyAlignment="1">
      <alignment horizontal="center" vertical="center"/>
    </xf>
    <xf numFmtId="0" fontId="12" fillId="15" borderId="50" xfId="0" applyFont="1" applyFill="1" applyBorder="1" applyAlignment="1">
      <alignment horizontal="right"/>
    </xf>
    <xf numFmtId="0" fontId="4" fillId="0" borderId="25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8" fillId="23" borderId="48" xfId="0" applyFont="1" applyFill="1" applyBorder="1" applyAlignment="1">
      <alignment horizontal="center"/>
    </xf>
    <xf numFmtId="0" fontId="8" fillId="23" borderId="49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0" fontId="10" fillId="24" borderId="20" xfId="0" applyFont="1" applyFill="1" applyBorder="1" applyAlignment="1">
      <alignment horizontal="center" vertical="center"/>
    </xf>
    <xf numFmtId="0" fontId="10" fillId="16" borderId="51" xfId="0" applyFont="1" applyFill="1" applyBorder="1" applyAlignment="1">
      <alignment horizontal="center" vertical="center"/>
    </xf>
    <xf numFmtId="0" fontId="10" fillId="16" borderId="40" xfId="0" applyFont="1" applyFill="1" applyBorder="1" applyAlignment="1">
      <alignment horizontal="center" vertical="center"/>
    </xf>
    <xf numFmtId="0" fontId="10" fillId="16" borderId="13" xfId="0" applyFont="1" applyFill="1" applyBorder="1" applyAlignment="1">
      <alignment horizontal="center"/>
    </xf>
    <xf numFmtId="0" fontId="10" fillId="15" borderId="51" xfId="0" applyFont="1" applyFill="1" applyBorder="1" applyAlignment="1">
      <alignment horizontal="center" vertical="center"/>
    </xf>
    <xf numFmtId="0" fontId="10" fillId="15" borderId="13" xfId="0" applyFont="1" applyFill="1" applyBorder="1" applyAlignment="1">
      <alignment horizontal="center" vertical="center"/>
    </xf>
    <xf numFmtId="0" fontId="10" fillId="7" borderId="19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10" fillId="7" borderId="21" xfId="0" applyFont="1" applyFill="1" applyBorder="1" applyAlignment="1">
      <alignment horizontal="center" vertical="center"/>
    </xf>
    <xf numFmtId="0" fontId="27" fillId="8" borderId="2" xfId="0" applyFont="1" applyFill="1" applyBorder="1" applyAlignment="1">
      <alignment horizontal="center" vertical="center"/>
    </xf>
    <xf numFmtId="0" fontId="10" fillId="16" borderId="22" xfId="0" applyFont="1" applyFill="1" applyBorder="1" applyAlignment="1">
      <alignment horizontal="center" vertical="center"/>
    </xf>
    <xf numFmtId="0" fontId="10" fillId="24" borderId="22" xfId="0" applyFont="1" applyFill="1" applyBorder="1" applyAlignment="1">
      <alignment horizontal="center" vertical="center"/>
    </xf>
    <xf numFmtId="0" fontId="10" fillId="7" borderId="57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0" fillId="15" borderId="22" xfId="0" applyFont="1" applyFill="1" applyBorder="1" applyAlignment="1">
      <alignment horizontal="center" vertical="center"/>
    </xf>
    <xf numFmtId="0" fontId="10" fillId="16" borderId="4" xfId="0" applyFont="1" applyFill="1" applyBorder="1" applyAlignment="1">
      <alignment horizontal="center" vertical="center"/>
    </xf>
    <xf numFmtId="0" fontId="10" fillId="16" borderId="11" xfId="0" applyFont="1" applyFill="1" applyBorder="1" applyAlignment="1">
      <alignment horizontal="center" vertical="center"/>
    </xf>
    <xf numFmtId="0" fontId="10" fillId="7" borderId="41" xfId="0" applyFont="1" applyFill="1" applyBorder="1" applyAlignment="1">
      <alignment horizontal="center" vertical="center"/>
    </xf>
    <xf numFmtId="0" fontId="10" fillId="7" borderId="31" xfId="0" applyFont="1" applyFill="1" applyBorder="1" applyAlignment="1">
      <alignment horizontal="center" vertical="center"/>
    </xf>
    <xf numFmtId="0" fontId="10" fillId="5" borderId="41" xfId="0" applyFont="1" applyFill="1" applyBorder="1" applyAlignment="1">
      <alignment horizontal="center" vertical="center"/>
    </xf>
    <xf numFmtId="0" fontId="10" fillId="24" borderId="31" xfId="0" applyFont="1" applyFill="1" applyBorder="1" applyAlignment="1">
      <alignment horizontal="center" vertical="center"/>
    </xf>
    <xf numFmtId="0" fontId="10" fillId="16" borderId="5" xfId="0" applyFont="1" applyFill="1" applyBorder="1" applyAlignment="1">
      <alignment horizontal="center" vertical="center"/>
    </xf>
    <xf numFmtId="0" fontId="10" fillId="15" borderId="5" xfId="0" applyFont="1" applyFill="1" applyBorder="1" applyAlignment="1">
      <alignment horizontal="center" vertical="center"/>
    </xf>
    <xf numFmtId="0" fontId="10" fillId="15" borderId="4" xfId="0" applyFont="1" applyFill="1" applyBorder="1" applyAlignment="1">
      <alignment horizontal="center" vertical="center"/>
    </xf>
    <xf numFmtId="0" fontId="10" fillId="7" borderId="30" xfId="0" applyFont="1" applyFill="1" applyBorder="1" applyAlignment="1">
      <alignment horizontal="center" vertical="center"/>
    </xf>
    <xf numFmtId="0" fontId="10" fillId="16" borderId="31" xfId="0" applyFont="1" applyFill="1" applyBorder="1" applyAlignment="1">
      <alignment horizontal="center" vertical="center"/>
    </xf>
    <xf numFmtId="0" fontId="10" fillId="16" borderId="13" xfId="0" applyFont="1" applyFill="1" applyBorder="1" applyAlignment="1">
      <alignment horizontal="center" vertical="center"/>
    </xf>
    <xf numFmtId="0" fontId="10" fillId="15" borderId="40" xfId="0" applyFont="1" applyFill="1" applyBorder="1" applyAlignment="1">
      <alignment horizontal="center" vertical="center"/>
    </xf>
    <xf numFmtId="0" fontId="10" fillId="15" borderId="20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15" borderId="12" xfId="0" applyFont="1" applyFill="1" applyBorder="1" applyAlignment="1">
      <alignment horizontal="center" vertical="center"/>
    </xf>
    <xf numFmtId="0" fontId="10" fillId="15" borderId="52" xfId="0" applyFont="1" applyFill="1" applyBorder="1" applyAlignment="1">
      <alignment horizontal="center" vertical="center"/>
    </xf>
    <xf numFmtId="0" fontId="10" fillId="15" borderId="14" xfId="0" applyFont="1" applyFill="1" applyBorder="1" applyAlignment="1">
      <alignment horizontal="center" vertical="center"/>
    </xf>
    <xf numFmtId="0" fontId="10" fillId="24" borderId="24" xfId="0" applyFont="1" applyFill="1" applyBorder="1" applyAlignment="1">
      <alignment horizontal="center" vertical="center"/>
    </xf>
    <xf numFmtId="0" fontId="10" fillId="16" borderId="53" xfId="0" applyFont="1" applyFill="1" applyBorder="1" applyAlignment="1">
      <alignment horizontal="center" vertical="center"/>
    </xf>
    <xf numFmtId="0" fontId="10" fillId="16" borderId="52" xfId="0" applyFont="1" applyFill="1" applyBorder="1" applyAlignment="1">
      <alignment horizontal="center" vertical="center"/>
    </xf>
    <xf numFmtId="0" fontId="10" fillId="16" borderId="14" xfId="0" applyFont="1" applyFill="1" applyBorder="1" applyAlignment="1">
      <alignment horizontal="center" vertical="center"/>
    </xf>
    <xf numFmtId="0" fontId="10" fillId="15" borderId="53" xfId="0" applyFont="1" applyFill="1" applyBorder="1" applyAlignment="1">
      <alignment horizontal="center" vertical="center"/>
    </xf>
    <xf numFmtId="0" fontId="10" fillId="7" borderId="23" xfId="0" applyFont="1" applyFill="1" applyBorder="1" applyAlignment="1">
      <alignment horizontal="center" vertical="center"/>
    </xf>
    <xf numFmtId="0" fontId="10" fillId="7" borderId="54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27" fillId="8" borderId="21" xfId="0" applyFont="1" applyFill="1" applyBorder="1" applyAlignment="1">
      <alignment horizontal="center" vertical="center"/>
    </xf>
    <xf numFmtId="0" fontId="10" fillId="16" borderId="41" xfId="0" applyFont="1" applyFill="1" applyBorder="1" applyAlignment="1">
      <alignment horizontal="center" vertical="center"/>
    </xf>
    <xf numFmtId="0" fontId="10" fillId="16" borderId="19" xfId="0" applyFont="1" applyFill="1" applyBorder="1" applyAlignment="1">
      <alignment horizontal="center" vertical="center"/>
    </xf>
    <xf numFmtId="0" fontId="10" fillId="15" borderId="21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7" borderId="52" xfId="0" applyFont="1" applyFill="1" applyBorder="1" applyAlignment="1">
      <alignment horizontal="center" vertical="center"/>
    </xf>
    <xf numFmtId="0" fontId="8" fillId="23" borderId="58" xfId="0" applyFont="1" applyFill="1" applyBorder="1" applyAlignment="1">
      <alignment horizontal="center"/>
    </xf>
    <xf numFmtId="0" fontId="8" fillId="23" borderId="59" xfId="0" applyFont="1" applyFill="1" applyBorder="1" applyAlignment="1">
      <alignment horizontal="center"/>
    </xf>
    <xf numFmtId="0" fontId="2" fillId="2" borderId="60" xfId="0" applyFont="1" applyFill="1" applyBorder="1" applyAlignment="1">
      <alignment horizontal="center"/>
    </xf>
    <xf numFmtId="0" fontId="2" fillId="2" borderId="61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10" fillId="7" borderId="22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16" borderId="20" xfId="0" applyFont="1" applyFill="1" applyBorder="1" applyAlignment="1">
      <alignment horizontal="center" vertical="center"/>
    </xf>
    <xf numFmtId="0" fontId="10" fillId="15" borderId="23" xfId="0" applyFont="1" applyFill="1" applyBorder="1" applyAlignment="1">
      <alignment horizontal="center" vertical="center"/>
    </xf>
    <xf numFmtId="0" fontId="10" fillId="15" borderId="24" xfId="0" applyFont="1" applyFill="1" applyBorder="1" applyAlignment="1">
      <alignment horizontal="center" vertical="center"/>
    </xf>
    <xf numFmtId="0" fontId="10" fillId="9" borderId="21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10" fillId="9" borderId="41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4" fillId="0" borderId="19" xfId="0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14" xfId="0" applyFont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20" fillId="19" borderId="40" xfId="0" applyFont="1" applyFill="1" applyBorder="1" applyAlignment="1">
      <alignment horizontal="center" vertical="center"/>
    </xf>
    <xf numFmtId="0" fontId="20" fillId="19" borderId="20" xfId="0" applyFont="1" applyFill="1" applyBorder="1" applyAlignment="1">
      <alignment horizontal="center" vertical="center"/>
    </xf>
    <xf numFmtId="0" fontId="4" fillId="20" borderId="22" xfId="0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20" fillId="19" borderId="13" xfId="0" applyFont="1" applyFill="1" applyBorder="1" applyAlignment="1">
      <alignment horizontal="center" vertical="center"/>
    </xf>
    <xf numFmtId="0" fontId="4" fillId="20" borderId="12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20" fillId="19" borderId="5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20" fillId="19" borderId="19" xfId="0" applyFont="1" applyFill="1" applyBorder="1" applyAlignment="1">
      <alignment horizontal="center" vertical="center"/>
    </xf>
    <xf numFmtId="0" fontId="4" fillId="20" borderId="21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10" fillId="24" borderId="63" xfId="0" applyFont="1" applyFill="1" applyBorder="1" applyAlignment="1">
      <alignment horizontal="center" vertical="center"/>
    </xf>
    <xf numFmtId="0" fontId="10" fillId="4" borderId="39" xfId="0" applyFont="1" applyFill="1" applyBorder="1" applyAlignment="1">
      <alignment horizontal="center" vertical="center"/>
    </xf>
    <xf numFmtId="0" fontId="10" fillId="24" borderId="39" xfId="0" applyFont="1" applyFill="1" applyBorder="1" applyAlignment="1">
      <alignment horizontal="center" vertical="center"/>
    </xf>
    <xf numFmtId="0" fontId="10" fillId="24" borderId="64" xfId="0" applyFont="1" applyFill="1" applyBorder="1" applyAlignment="1">
      <alignment horizontal="center" vertical="center"/>
    </xf>
    <xf numFmtId="0" fontId="10" fillId="24" borderId="65" xfId="0" applyFont="1" applyFill="1" applyBorder="1" applyAlignment="1">
      <alignment horizontal="center" vertical="center"/>
    </xf>
    <xf numFmtId="0" fontId="2" fillId="2" borderId="66" xfId="0" applyFont="1" applyFill="1" applyBorder="1" applyAlignment="1">
      <alignment horizontal="center"/>
    </xf>
    <xf numFmtId="0" fontId="10" fillId="5" borderId="66" xfId="0" applyFont="1" applyFill="1" applyBorder="1" applyAlignment="1">
      <alignment horizontal="center" vertical="center"/>
    </xf>
    <xf numFmtId="0" fontId="10" fillId="4" borderId="66" xfId="0" applyFont="1" applyFill="1" applyBorder="1" applyAlignment="1">
      <alignment horizontal="center" vertical="center"/>
    </xf>
    <xf numFmtId="0" fontId="14" fillId="9" borderId="66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0" fillId="24" borderId="56" xfId="0" applyFont="1" applyFill="1" applyBorder="1" applyAlignment="1">
      <alignment horizontal="center" vertical="center"/>
    </xf>
    <xf numFmtId="0" fontId="20" fillId="19" borderId="2" xfId="0" applyFont="1" applyFill="1" applyBorder="1" applyAlignment="1">
      <alignment horizontal="center" vertical="center"/>
    </xf>
    <xf numFmtId="0" fontId="4" fillId="0" borderId="32" xfId="0" applyFont="1" applyBorder="1"/>
    <xf numFmtId="0" fontId="4" fillId="0" borderId="33" xfId="0" applyFont="1" applyBorder="1"/>
    <xf numFmtId="0" fontId="4" fillId="0" borderId="34" xfId="0" applyFont="1" applyBorder="1"/>
    <xf numFmtId="0" fontId="20" fillId="19" borderId="64" xfId="0" applyFont="1" applyFill="1" applyBorder="1" applyAlignment="1">
      <alignment horizontal="center" vertical="center"/>
    </xf>
    <xf numFmtId="0" fontId="4" fillId="20" borderId="39" xfId="0" applyFont="1" applyFill="1" applyBorder="1" applyAlignment="1">
      <alignment horizontal="center" vertical="center"/>
    </xf>
    <xf numFmtId="0" fontId="4" fillId="9" borderId="39" xfId="0" applyFont="1" applyFill="1" applyBorder="1" applyAlignment="1">
      <alignment horizontal="center" vertical="center"/>
    </xf>
    <xf numFmtId="0" fontId="4" fillId="5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4" borderId="39" xfId="0" applyFont="1" applyFill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8" fillId="23" borderId="68" xfId="0" applyFont="1" applyFill="1" applyBorder="1" applyAlignment="1">
      <alignment horizontal="center"/>
    </xf>
    <xf numFmtId="0" fontId="10" fillId="24" borderId="13" xfId="0" applyFont="1" applyFill="1" applyBorder="1" applyAlignment="1">
      <alignment horizontal="center" vertical="center"/>
    </xf>
    <xf numFmtId="0" fontId="10" fillId="24" borderId="12" xfId="0" applyFont="1" applyFill="1" applyBorder="1" applyAlignment="1">
      <alignment horizontal="center" vertical="center"/>
    </xf>
    <xf numFmtId="0" fontId="10" fillId="24" borderId="14" xfId="0" applyFont="1" applyFill="1" applyBorder="1" applyAlignment="1">
      <alignment horizontal="center" vertical="center"/>
    </xf>
    <xf numFmtId="0" fontId="7" fillId="16" borderId="0" xfId="0" applyFont="1" applyFill="1" applyAlignment="1">
      <alignment horizontal="center"/>
    </xf>
    <xf numFmtId="0" fontId="2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7" fillId="10" borderId="68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 vertical="center"/>
    </xf>
    <xf numFmtId="0" fontId="10" fillId="16" borderId="43" xfId="0" applyFont="1" applyFill="1" applyBorder="1" applyAlignment="1">
      <alignment horizontal="center" vertical="center"/>
    </xf>
    <xf numFmtId="0" fontId="10" fillId="16" borderId="3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/>
    </xf>
    <xf numFmtId="0" fontId="20" fillId="19" borderId="1" xfId="0" applyFont="1" applyFill="1" applyBorder="1" applyAlignment="1">
      <alignment horizontal="center" vertical="center"/>
    </xf>
    <xf numFmtId="0" fontId="20" fillId="19" borderId="12" xfId="0" applyFont="1" applyFill="1" applyBorder="1" applyAlignment="1">
      <alignment horizontal="center" vertical="center"/>
    </xf>
    <xf numFmtId="0" fontId="20" fillId="19" borderId="69" xfId="0" applyFont="1" applyFill="1" applyBorder="1" applyAlignment="1">
      <alignment horizontal="center" vertical="center"/>
    </xf>
    <xf numFmtId="0" fontId="4" fillId="20" borderId="57" xfId="0" applyFont="1" applyFill="1" applyBorder="1" applyAlignment="1">
      <alignment horizontal="center" vertical="center"/>
    </xf>
    <xf numFmtId="0" fontId="4" fillId="9" borderId="57" xfId="0" applyFont="1" applyFill="1" applyBorder="1" applyAlignment="1">
      <alignment horizontal="center" vertical="center"/>
    </xf>
    <xf numFmtId="0" fontId="4" fillId="5" borderId="57" xfId="0" applyFont="1" applyFill="1" applyBorder="1" applyAlignment="1">
      <alignment horizontal="center" vertical="center"/>
    </xf>
    <xf numFmtId="0" fontId="4" fillId="8" borderId="57" xfId="0" applyFont="1" applyFill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4" borderId="57" xfId="0" applyFont="1" applyFill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10" fillId="24" borderId="25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24" borderId="27" xfId="0" applyFont="1" applyFill="1" applyBorder="1" applyAlignment="1">
      <alignment horizontal="center" vertical="center"/>
    </xf>
    <xf numFmtId="0" fontId="10" fillId="24" borderId="26" xfId="0" applyFont="1" applyFill="1" applyBorder="1" applyAlignment="1">
      <alignment horizontal="center" vertical="center"/>
    </xf>
    <xf numFmtId="0" fontId="10" fillId="24" borderId="28" xfId="0" applyFont="1" applyFill="1" applyBorder="1" applyAlignment="1">
      <alignment horizontal="center" vertical="center"/>
    </xf>
    <xf numFmtId="0" fontId="10" fillId="16" borderId="70" xfId="0" applyFont="1" applyFill="1" applyBorder="1" applyAlignment="1">
      <alignment horizontal="center" vertical="center"/>
    </xf>
    <xf numFmtId="0" fontId="10" fillId="7" borderId="51" xfId="0" applyFont="1" applyFill="1" applyBorder="1" applyAlignment="1">
      <alignment horizontal="center" vertical="center"/>
    </xf>
    <xf numFmtId="0" fontId="20" fillId="19" borderId="66" xfId="0" applyFont="1" applyFill="1" applyBorder="1" applyAlignment="1">
      <alignment horizontal="center" vertical="center"/>
    </xf>
    <xf numFmtId="0" fontId="4" fillId="20" borderId="66" xfId="0" applyFont="1" applyFill="1" applyBorder="1" applyAlignment="1">
      <alignment horizontal="center" vertical="center"/>
    </xf>
    <xf numFmtId="0" fontId="4" fillId="9" borderId="66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horizontal="center" vertical="center"/>
    </xf>
    <xf numFmtId="0" fontId="4" fillId="8" borderId="66" xfId="0" applyFont="1" applyFill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4" borderId="66" xfId="0" applyFont="1" applyFill="1" applyBorder="1" applyAlignment="1">
      <alignment horizontal="center" vertical="center"/>
    </xf>
    <xf numFmtId="0" fontId="7" fillId="9" borderId="66" xfId="0" applyFont="1" applyFill="1" applyBorder="1" applyAlignment="1">
      <alignment horizontal="center"/>
    </xf>
    <xf numFmtId="0" fontId="10" fillId="16" borderId="66" xfId="0" applyFont="1" applyFill="1" applyBorder="1" applyAlignment="1">
      <alignment horizontal="center" vertical="center"/>
    </xf>
    <xf numFmtId="0" fontId="10" fillId="15" borderId="66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/>
    </xf>
    <xf numFmtId="0" fontId="10" fillId="24" borderId="11" xfId="0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/>
    </xf>
    <xf numFmtId="0" fontId="2" fillId="2" borderId="68" xfId="0" applyFont="1" applyFill="1" applyBorder="1" applyAlignment="1">
      <alignment horizontal="center"/>
    </xf>
    <xf numFmtId="0" fontId="10" fillId="16" borderId="63" xfId="0" applyFont="1" applyFill="1" applyBorder="1" applyAlignment="1">
      <alignment horizontal="center" vertical="center"/>
    </xf>
    <xf numFmtId="0" fontId="10" fillId="7" borderId="66" xfId="0" applyFont="1" applyFill="1" applyBorder="1" applyAlignment="1">
      <alignment horizontal="center" vertical="center"/>
    </xf>
    <xf numFmtId="0" fontId="20" fillId="19" borderId="32" xfId="0" applyFont="1" applyFill="1" applyBorder="1" applyAlignment="1">
      <alignment horizontal="center" vertical="center"/>
    </xf>
    <xf numFmtId="0" fontId="4" fillId="20" borderId="33" xfId="0" applyFont="1" applyFill="1" applyBorder="1" applyAlignment="1">
      <alignment horizontal="center" vertical="center"/>
    </xf>
    <xf numFmtId="0" fontId="4" fillId="8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8" fillId="23" borderId="71" xfId="0" applyFont="1" applyFill="1" applyBorder="1" applyAlignment="1">
      <alignment horizontal="center"/>
    </xf>
    <xf numFmtId="0" fontId="10" fillId="7" borderId="53" xfId="0" applyFont="1" applyFill="1" applyBorder="1" applyAlignment="1">
      <alignment horizontal="center" vertical="center"/>
    </xf>
    <xf numFmtId="0" fontId="10" fillId="7" borderId="32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5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53" xfId="0" applyFont="1" applyFill="1" applyBorder="1" applyAlignment="1">
      <alignment horizontal="center" vertical="center"/>
    </xf>
    <xf numFmtId="0" fontId="10" fillId="16" borderId="66" xfId="0" applyFont="1" applyFill="1" applyBorder="1" applyAlignment="1">
      <alignment horizontal="center"/>
    </xf>
    <xf numFmtId="0" fontId="10" fillId="25" borderId="19" xfId="0" applyFont="1" applyFill="1" applyBorder="1" applyAlignment="1">
      <alignment horizontal="center" vertical="center"/>
    </xf>
    <xf numFmtId="0" fontId="10" fillId="25" borderId="21" xfId="0" applyFont="1" applyFill="1" applyBorder="1" applyAlignment="1">
      <alignment horizontal="center" vertical="center"/>
    </xf>
    <xf numFmtId="0" fontId="10" fillId="25" borderId="13" xfId="0" applyFont="1" applyFill="1" applyBorder="1" applyAlignment="1">
      <alignment horizontal="center" vertical="center"/>
    </xf>
    <xf numFmtId="0" fontId="10" fillId="25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16" borderId="38" xfId="0" applyFont="1" applyFill="1" applyBorder="1" applyAlignment="1">
      <alignment horizontal="center"/>
    </xf>
    <xf numFmtId="0" fontId="22" fillId="16" borderId="0" xfId="0" applyFont="1" applyFill="1" applyAlignment="1">
      <alignment horizontal="center"/>
    </xf>
    <xf numFmtId="0" fontId="22" fillId="16" borderId="15" xfId="0" applyFont="1" applyFill="1" applyBorder="1" applyAlignment="1">
      <alignment horizontal="center"/>
    </xf>
    <xf numFmtId="0" fontId="22" fillId="16" borderId="29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9" xfId="0" applyBorder="1" applyAlignment="1">
      <alignment horizontal="center"/>
    </xf>
    <xf numFmtId="0" fontId="6" fillId="8" borderId="0" xfId="0" applyFont="1" applyFill="1" applyAlignment="1">
      <alignment horizontal="center"/>
    </xf>
    <xf numFmtId="0" fontId="6" fillId="8" borderId="10" xfId="0" applyFont="1" applyFill="1" applyBorder="1" applyAlignment="1">
      <alignment horizontal="center"/>
    </xf>
    <xf numFmtId="0" fontId="12" fillId="15" borderId="11" xfId="0" applyFont="1" applyFill="1" applyBorder="1" applyAlignment="1">
      <alignment horizontal="center"/>
    </xf>
    <xf numFmtId="0" fontId="12" fillId="15" borderId="25" xfId="0" applyFont="1" applyFill="1" applyBorder="1" applyAlignment="1">
      <alignment horizontal="center"/>
    </xf>
    <xf numFmtId="0" fontId="12" fillId="15" borderId="38" xfId="0" applyFont="1" applyFill="1" applyBorder="1" applyAlignment="1">
      <alignment horizontal="center"/>
    </xf>
    <xf numFmtId="0" fontId="12" fillId="15" borderId="0" xfId="0" applyFont="1" applyFill="1" applyAlignment="1">
      <alignment horizontal="center"/>
    </xf>
    <xf numFmtId="0" fontId="22" fillId="16" borderId="11" xfId="0" applyFont="1" applyFill="1" applyBorder="1" applyAlignment="1">
      <alignment horizontal="center"/>
    </xf>
    <xf numFmtId="0" fontId="22" fillId="16" borderId="25" xfId="0" applyFont="1" applyFill="1" applyBorder="1" applyAlignment="1">
      <alignment horizontal="center"/>
    </xf>
    <xf numFmtId="0" fontId="22" fillId="16" borderId="10" xfId="0" applyFont="1" applyFill="1" applyBorder="1" applyAlignment="1">
      <alignment horizontal="center"/>
    </xf>
    <xf numFmtId="0" fontId="22" fillId="16" borderId="17" xfId="0" applyFont="1" applyFill="1" applyBorder="1" applyAlignment="1">
      <alignment horizontal="center"/>
    </xf>
    <xf numFmtId="0" fontId="12" fillId="15" borderId="5" xfId="0" applyFont="1" applyFill="1" applyBorder="1" applyAlignment="1">
      <alignment horizontal="center"/>
    </xf>
    <xf numFmtId="0" fontId="12" fillId="15" borderId="10" xfId="0" applyFont="1" applyFill="1" applyBorder="1" applyAlignment="1">
      <alignment horizontal="center"/>
    </xf>
    <xf numFmtId="0" fontId="22" fillId="16" borderId="5" xfId="0" applyFont="1" applyFill="1" applyBorder="1" applyAlignment="1">
      <alignment horizontal="center"/>
    </xf>
    <xf numFmtId="0" fontId="20" fillId="1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1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5190-8097-488D-A535-19FE3E5B624A}">
  <dimension ref="A1:AN63"/>
  <sheetViews>
    <sheetView topLeftCell="G1" zoomScale="130" zoomScaleNormal="130" workbookViewId="0">
      <selection activeCell="T52" sqref="T52"/>
    </sheetView>
  </sheetViews>
  <sheetFormatPr defaultColWidth="11.42578125" defaultRowHeight="14.45"/>
  <cols>
    <col min="1" max="1" width="15.140625" customWidth="1"/>
  </cols>
  <sheetData>
    <row r="1" spans="1:40">
      <c r="A1" s="355" t="s">
        <v>0</v>
      </c>
      <c r="B1" s="355"/>
      <c r="C1" s="356"/>
      <c r="D1" s="30" t="s">
        <v>1</v>
      </c>
      <c r="E1" s="30" t="s">
        <v>2</v>
      </c>
      <c r="F1" s="31" t="s">
        <v>3</v>
      </c>
      <c r="G1" s="30" t="s">
        <v>4</v>
      </c>
      <c r="H1" s="49" t="s">
        <v>5</v>
      </c>
      <c r="I1" s="62" t="s">
        <v>6</v>
      </c>
      <c r="J1" s="63" t="s">
        <v>7</v>
      </c>
      <c r="K1" s="58" t="s">
        <v>1</v>
      </c>
      <c r="L1" s="30" t="s">
        <v>2</v>
      </c>
      <c r="M1" s="31" t="s">
        <v>3</v>
      </c>
      <c r="N1" s="30" t="s">
        <v>4</v>
      </c>
      <c r="O1" s="49" t="s">
        <v>5</v>
      </c>
      <c r="P1" s="62" t="s">
        <v>6</v>
      </c>
      <c r="Q1" s="63" t="s">
        <v>7</v>
      </c>
      <c r="R1" s="58" t="s">
        <v>1</v>
      </c>
      <c r="S1" s="30" t="s">
        <v>2</v>
      </c>
      <c r="T1" s="31" t="s">
        <v>3</v>
      </c>
      <c r="U1" s="30" t="s">
        <v>4</v>
      </c>
      <c r="V1" s="49" t="s">
        <v>5</v>
      </c>
      <c r="W1" s="62" t="s">
        <v>6</v>
      </c>
      <c r="X1" s="63" t="s">
        <v>7</v>
      </c>
      <c r="Y1" s="58" t="s">
        <v>1</v>
      </c>
      <c r="Z1" s="30" t="s">
        <v>2</v>
      </c>
      <c r="AA1" s="31" t="s">
        <v>3</v>
      </c>
      <c r="AB1" s="30" t="s">
        <v>4</v>
      </c>
      <c r="AC1" s="49" t="s">
        <v>5</v>
      </c>
      <c r="AD1" s="62" t="s">
        <v>6</v>
      </c>
      <c r="AE1" s="63" t="s">
        <v>7</v>
      </c>
      <c r="AF1" s="58" t="s">
        <v>1</v>
      </c>
      <c r="AG1" s="30" t="s">
        <v>2</v>
      </c>
      <c r="AH1" s="31" t="s">
        <v>3</v>
      </c>
    </row>
    <row r="2" spans="1:40">
      <c r="A2" s="355"/>
      <c r="B2" s="355"/>
      <c r="C2" s="356"/>
      <c r="D2" s="2">
        <v>1</v>
      </c>
      <c r="E2" s="2">
        <v>2</v>
      </c>
      <c r="F2" s="2">
        <v>3</v>
      </c>
      <c r="G2" s="2">
        <v>4</v>
      </c>
      <c r="H2" s="50">
        <v>5</v>
      </c>
      <c r="I2" s="64">
        <v>6</v>
      </c>
      <c r="J2" s="65">
        <v>7</v>
      </c>
      <c r="K2" s="1">
        <v>8</v>
      </c>
      <c r="L2" s="2">
        <v>9</v>
      </c>
      <c r="M2" s="2">
        <v>10</v>
      </c>
      <c r="N2" s="2">
        <v>11</v>
      </c>
      <c r="O2" s="50">
        <v>12</v>
      </c>
      <c r="P2" s="64">
        <v>13</v>
      </c>
      <c r="Q2" s="65">
        <v>14</v>
      </c>
      <c r="R2" s="1">
        <v>15</v>
      </c>
      <c r="S2" s="2">
        <v>16</v>
      </c>
      <c r="T2" s="2">
        <v>17</v>
      </c>
      <c r="U2" s="2">
        <v>18</v>
      </c>
      <c r="V2" s="50">
        <v>19</v>
      </c>
      <c r="W2" s="64">
        <v>20</v>
      </c>
      <c r="X2" s="65">
        <v>21</v>
      </c>
      <c r="Y2" s="1">
        <v>22</v>
      </c>
      <c r="Z2" s="2">
        <v>23</v>
      </c>
      <c r="AA2" s="2">
        <v>24</v>
      </c>
      <c r="AB2" s="2">
        <v>25</v>
      </c>
      <c r="AC2" s="50">
        <v>26</v>
      </c>
      <c r="AD2" s="64">
        <v>27</v>
      </c>
      <c r="AE2" s="65">
        <v>28</v>
      </c>
      <c r="AF2" s="1">
        <v>29</v>
      </c>
      <c r="AG2" s="2">
        <v>30</v>
      </c>
      <c r="AH2" s="2">
        <v>31</v>
      </c>
      <c r="AJ2" s="113" t="s">
        <v>2</v>
      </c>
      <c r="AK2" s="75" t="s">
        <v>8</v>
      </c>
      <c r="AL2" s="73" t="s">
        <v>9</v>
      </c>
      <c r="AM2" s="70" t="s">
        <v>7</v>
      </c>
      <c r="AN2" s="114" t="s">
        <v>10</v>
      </c>
    </row>
    <row r="3" spans="1:40">
      <c r="A3" s="360" t="s">
        <v>11</v>
      </c>
      <c r="B3" s="360"/>
      <c r="C3" s="109" t="s">
        <v>12</v>
      </c>
      <c r="D3" s="3" t="s">
        <v>13</v>
      </c>
      <c r="E3" s="3" t="s">
        <v>13</v>
      </c>
      <c r="F3" s="3" t="s">
        <v>14</v>
      </c>
      <c r="G3" s="3" t="s">
        <v>14</v>
      </c>
      <c r="H3" s="51" t="s">
        <v>14</v>
      </c>
      <c r="I3" s="66" t="s">
        <v>1</v>
      </c>
      <c r="J3" s="67" t="s">
        <v>1</v>
      </c>
      <c r="K3" s="113" t="s">
        <v>2</v>
      </c>
      <c r="L3" s="113" t="s">
        <v>2</v>
      </c>
      <c r="M3" s="4" t="s">
        <v>1</v>
      </c>
      <c r="N3" s="4" t="s">
        <v>1</v>
      </c>
      <c r="O3" s="102" t="s">
        <v>1</v>
      </c>
      <c r="P3" s="68" t="s">
        <v>14</v>
      </c>
      <c r="Q3" s="69" t="s">
        <v>14</v>
      </c>
      <c r="R3" s="5" t="s">
        <v>15</v>
      </c>
      <c r="S3" s="3" t="s">
        <v>15</v>
      </c>
      <c r="T3" s="3" t="s">
        <v>15</v>
      </c>
      <c r="U3" s="35" t="s">
        <v>15</v>
      </c>
      <c r="V3" s="53" t="s">
        <v>16</v>
      </c>
      <c r="W3" s="103" t="s">
        <v>1</v>
      </c>
      <c r="X3" s="67" t="s">
        <v>1</v>
      </c>
      <c r="Y3" s="113" t="s">
        <v>2</v>
      </c>
      <c r="Z3" s="113" t="s">
        <v>2</v>
      </c>
      <c r="AA3" s="113" t="s">
        <v>2</v>
      </c>
      <c r="AB3" s="113" t="s">
        <v>2</v>
      </c>
      <c r="AC3" s="113" t="s">
        <v>2</v>
      </c>
      <c r="AD3" s="70" t="s">
        <v>16</v>
      </c>
      <c r="AE3" s="71" t="s">
        <v>16</v>
      </c>
      <c r="AF3" s="105" t="s">
        <v>13</v>
      </c>
      <c r="AG3" s="20" t="s">
        <v>13</v>
      </c>
      <c r="AH3" s="113" t="s">
        <v>14</v>
      </c>
      <c r="AJ3">
        <f>COUNTIFS(D$3:AH$3,"M")+COUNTIFS(D$3:AH$3,"MG")</f>
        <v>13</v>
      </c>
      <c r="AK3">
        <f>COUNTIFS(D$3:AI$3,"T")+COUNTIFS(D$3:AI$3,"TG")</f>
        <v>4</v>
      </c>
      <c r="AL3">
        <f>COUNTIFS(D$3:AH$3,"N")+COUNTIFS(D$3:AH$3,"NG")</f>
        <v>0</v>
      </c>
      <c r="AM3">
        <f>COUNTIFS(D$3:AH$3,"D")+COUNTIFS(D$3:AH$3,"DG")</f>
        <v>3</v>
      </c>
      <c r="AN3">
        <f>SUM(AJ3:AM3)</f>
        <v>20</v>
      </c>
    </row>
    <row r="4" spans="1:40">
      <c r="A4" s="360" t="s">
        <v>17</v>
      </c>
      <c r="B4" s="360"/>
      <c r="C4" s="110" t="s">
        <v>18</v>
      </c>
      <c r="D4" s="4" t="s">
        <v>2</v>
      </c>
      <c r="E4" s="4" t="s">
        <v>2</v>
      </c>
      <c r="F4" s="4" t="s">
        <v>1</v>
      </c>
      <c r="G4" s="4" t="s">
        <v>1</v>
      </c>
      <c r="H4" s="52" t="s">
        <v>1</v>
      </c>
      <c r="I4" s="68" t="s">
        <v>14</v>
      </c>
      <c r="J4" s="69" t="s">
        <v>14</v>
      </c>
      <c r="K4" s="5" t="s">
        <v>15</v>
      </c>
      <c r="L4" s="3" t="s">
        <v>15</v>
      </c>
      <c r="M4" s="3" t="s">
        <v>15</v>
      </c>
      <c r="N4" s="35" t="s">
        <v>15</v>
      </c>
      <c r="O4" s="53" t="s">
        <v>16</v>
      </c>
      <c r="P4" s="66" t="s">
        <v>1</v>
      </c>
      <c r="Q4" s="67" t="s">
        <v>1</v>
      </c>
      <c r="R4" s="113" t="s">
        <v>2</v>
      </c>
      <c r="S4" s="113" t="s">
        <v>2</v>
      </c>
      <c r="T4" s="113" t="s">
        <v>2</v>
      </c>
      <c r="U4" s="113" t="s">
        <v>2</v>
      </c>
      <c r="V4" s="113" t="s">
        <v>2</v>
      </c>
      <c r="W4" s="70" t="s">
        <v>16</v>
      </c>
      <c r="X4" s="71" t="s">
        <v>16</v>
      </c>
      <c r="Y4" s="5" t="s">
        <v>13</v>
      </c>
      <c r="Z4" s="3" t="s">
        <v>13</v>
      </c>
      <c r="AA4" s="3" t="s">
        <v>14</v>
      </c>
      <c r="AB4" s="3" t="s">
        <v>14</v>
      </c>
      <c r="AC4" s="51" t="s">
        <v>14</v>
      </c>
      <c r="AD4" s="66" t="s">
        <v>1</v>
      </c>
      <c r="AE4" s="67" t="s">
        <v>1</v>
      </c>
      <c r="AF4" s="113" t="s">
        <v>2</v>
      </c>
      <c r="AG4" s="113" t="s">
        <v>2</v>
      </c>
      <c r="AH4" s="19" t="s">
        <v>1</v>
      </c>
      <c r="AJ4">
        <f>COUNTIFS(D$4:AH$4,"M")+COUNTIFS(D$4:AH$4,"MG")</f>
        <v>14</v>
      </c>
      <c r="AK4">
        <f>COUNTIFS(D$4:AI$4,"T")+COUNTIFS(D$4:AI$4,"TG")</f>
        <v>4</v>
      </c>
      <c r="AL4">
        <f>COUNTIFS(F$4:AH$4,"N")+COUNTIFS(F$4:AH$4,"NG")</f>
        <v>0</v>
      </c>
      <c r="AM4">
        <f>COUNTIFS(D$4:AH$4,"D")+COUNTIFS(D$4:AH$4,"DG")</f>
        <v>3</v>
      </c>
      <c r="AN4">
        <f t="shared" ref="AN4:AN10" si="0">SUM(AJ4:AM4)</f>
        <v>21</v>
      </c>
    </row>
    <row r="5" spans="1:40">
      <c r="A5" s="360" t="s">
        <v>19</v>
      </c>
      <c r="B5" s="360"/>
      <c r="C5" s="110" t="s">
        <v>20</v>
      </c>
      <c r="D5" s="75" t="s">
        <v>8</v>
      </c>
      <c r="E5" s="75" t="s">
        <v>8</v>
      </c>
      <c r="F5" s="75" t="s">
        <v>8</v>
      </c>
      <c r="G5" s="33" t="s">
        <v>8</v>
      </c>
      <c r="H5" s="53" t="s">
        <v>7</v>
      </c>
      <c r="I5" s="66" t="s">
        <v>1</v>
      </c>
      <c r="J5" s="67" t="s">
        <v>1</v>
      </c>
      <c r="K5" s="113" t="s">
        <v>2</v>
      </c>
      <c r="L5" s="113" t="s">
        <v>2</v>
      </c>
      <c r="M5" s="113" t="s">
        <v>2</v>
      </c>
      <c r="N5" s="113" t="s">
        <v>2</v>
      </c>
      <c r="O5" s="113" t="s">
        <v>2</v>
      </c>
      <c r="P5" s="70" t="s">
        <v>7</v>
      </c>
      <c r="Q5" s="71" t="s">
        <v>7</v>
      </c>
      <c r="R5" s="6" t="s">
        <v>1</v>
      </c>
      <c r="S5" s="4" t="s">
        <v>1</v>
      </c>
      <c r="T5" s="113" t="s">
        <v>2</v>
      </c>
      <c r="U5" s="113" t="s">
        <v>2</v>
      </c>
      <c r="V5" s="113" t="s">
        <v>2</v>
      </c>
      <c r="W5" s="103" t="s">
        <v>1</v>
      </c>
      <c r="X5" s="67" t="s">
        <v>1</v>
      </c>
      <c r="Y5" s="113" t="s">
        <v>2</v>
      </c>
      <c r="Z5" s="113" t="s">
        <v>2</v>
      </c>
      <c r="AA5" s="4" t="s">
        <v>1</v>
      </c>
      <c r="AB5" s="4" t="s">
        <v>1</v>
      </c>
      <c r="AC5" s="52" t="s">
        <v>1</v>
      </c>
      <c r="AD5" s="113" t="s">
        <v>2</v>
      </c>
      <c r="AE5" s="113" t="s">
        <v>2</v>
      </c>
      <c r="AF5" s="75" t="s">
        <v>8</v>
      </c>
      <c r="AG5" s="75" t="s">
        <v>8</v>
      </c>
      <c r="AH5" s="75" t="s">
        <v>8</v>
      </c>
      <c r="AJ5">
        <f>COUNTIFS(D$5:AH$5,"M")+COUNTIFS(D$5:AH$5,"MG")</f>
        <v>12</v>
      </c>
      <c r="AK5">
        <f>COUNTIFS(D$5:AI$5,"T")+COUNTIFS(E$5:AI$5,"TG")</f>
        <v>7</v>
      </c>
      <c r="AL5">
        <f>COUNTIFS(F$5:AH$5,"N")+COUNTIFS(F$5:AH$5,"NG")</f>
        <v>0</v>
      </c>
      <c r="AM5">
        <f>COUNTIFS(D$5:AH$5,"D")+COUNTIFS(D$5:AH$5,"DG")</f>
        <v>3</v>
      </c>
      <c r="AN5">
        <f t="shared" si="0"/>
        <v>22</v>
      </c>
    </row>
    <row r="6" spans="1:40" ht="15" thickBot="1">
      <c r="A6" s="106"/>
      <c r="B6" s="107" t="s">
        <v>21</v>
      </c>
      <c r="C6" s="110" t="s">
        <v>22</v>
      </c>
      <c r="D6" s="113" t="s">
        <v>2</v>
      </c>
      <c r="E6" s="113" t="s">
        <v>2</v>
      </c>
      <c r="F6" s="113" t="s">
        <v>2</v>
      </c>
      <c r="G6" s="113" t="s">
        <v>2</v>
      </c>
      <c r="H6" s="113" t="s">
        <v>2</v>
      </c>
      <c r="I6" s="70" t="s">
        <v>7</v>
      </c>
      <c r="J6" s="71" t="s">
        <v>7</v>
      </c>
      <c r="K6" s="6" t="s">
        <v>1</v>
      </c>
      <c r="L6" s="4" t="s">
        <v>1</v>
      </c>
      <c r="M6" s="113" t="s">
        <v>2</v>
      </c>
      <c r="N6" s="113" t="s">
        <v>2</v>
      </c>
      <c r="O6" s="113" t="s">
        <v>2</v>
      </c>
      <c r="P6" s="66" t="s">
        <v>1</v>
      </c>
      <c r="Q6" s="67" t="s">
        <v>1</v>
      </c>
      <c r="R6" s="113" t="s">
        <v>2</v>
      </c>
      <c r="S6" s="113" t="s">
        <v>2</v>
      </c>
      <c r="T6" s="4" t="s">
        <v>1</v>
      </c>
      <c r="U6" s="4" t="s">
        <v>1</v>
      </c>
      <c r="V6" s="52" t="s">
        <v>1</v>
      </c>
      <c r="W6" s="113" t="s">
        <v>2</v>
      </c>
      <c r="X6" s="113" t="s">
        <v>2</v>
      </c>
      <c r="Y6" s="75" t="s">
        <v>8</v>
      </c>
      <c r="Z6" s="75" t="s">
        <v>8</v>
      </c>
      <c r="AA6" s="75" t="s">
        <v>8</v>
      </c>
      <c r="AB6" s="33" t="s">
        <v>8</v>
      </c>
      <c r="AC6" s="104" t="s">
        <v>7</v>
      </c>
      <c r="AD6" s="66" t="s">
        <v>1</v>
      </c>
      <c r="AE6" s="67" t="s">
        <v>1</v>
      </c>
      <c r="AF6" s="113" t="s">
        <v>2</v>
      </c>
      <c r="AG6" s="113" t="s">
        <v>2</v>
      </c>
      <c r="AH6" s="113" t="s">
        <v>2</v>
      </c>
      <c r="AJ6">
        <f>COUNTIFS(D$6:AH$6,"M")+COUNTIFS(D$6:AH$6,"MG")</f>
        <v>15</v>
      </c>
      <c r="AK6">
        <f>COUNTIFS(D$6:AI$6,"T")+COUNTIFS(D$6:AI$6,"TG")</f>
        <v>4</v>
      </c>
      <c r="AL6">
        <f>COUNTIFS(F$6:AH$6,"N")+COUNTIFS(F$6:AH$6,"NG")</f>
        <v>0</v>
      </c>
      <c r="AM6">
        <f>COUNTIFS(D$6:AH$6,"D")+COUNTIFS(D$6:AH$6,"DG")</f>
        <v>3</v>
      </c>
      <c r="AN6">
        <f t="shared" si="0"/>
        <v>22</v>
      </c>
    </row>
    <row r="7" spans="1:40">
      <c r="A7" s="347" t="s">
        <v>23</v>
      </c>
      <c r="B7" s="347"/>
      <c r="C7" s="111" t="s">
        <v>24</v>
      </c>
      <c r="D7" s="26" t="s">
        <v>9</v>
      </c>
      <c r="E7" s="26" t="s">
        <v>9</v>
      </c>
      <c r="F7" s="26" t="s">
        <v>9</v>
      </c>
      <c r="G7" s="26" t="s">
        <v>9</v>
      </c>
      <c r="H7" s="54" t="s">
        <v>9</v>
      </c>
      <c r="I7" s="66" t="s">
        <v>1</v>
      </c>
      <c r="J7" s="67" t="s">
        <v>1</v>
      </c>
      <c r="K7" s="59" t="s">
        <v>9</v>
      </c>
      <c r="L7" s="28" t="s">
        <v>9</v>
      </c>
      <c r="M7" s="27" t="s">
        <v>1</v>
      </c>
      <c r="N7" s="70" t="s">
        <v>7</v>
      </c>
      <c r="O7" s="55" t="s">
        <v>1</v>
      </c>
      <c r="P7" s="72" t="s">
        <v>9</v>
      </c>
      <c r="Q7" s="73" t="s">
        <v>9</v>
      </c>
      <c r="R7" s="60" t="s">
        <v>1</v>
      </c>
      <c r="S7" s="27" t="s">
        <v>1</v>
      </c>
      <c r="T7" s="70" t="s">
        <v>7</v>
      </c>
      <c r="U7" s="34" t="s">
        <v>8</v>
      </c>
      <c r="V7" s="56" t="s">
        <v>8</v>
      </c>
      <c r="W7" s="74" t="s">
        <v>8</v>
      </c>
      <c r="X7" s="75" t="s">
        <v>8</v>
      </c>
      <c r="Y7" s="60" t="s">
        <v>1</v>
      </c>
      <c r="Z7" s="70" t="s">
        <v>7</v>
      </c>
      <c r="AA7" s="28" t="s">
        <v>9</v>
      </c>
      <c r="AB7" s="28" t="s">
        <v>9</v>
      </c>
      <c r="AC7" s="57" t="s">
        <v>9</v>
      </c>
      <c r="AD7" s="66" t="s">
        <v>1</v>
      </c>
      <c r="AE7" s="67" t="s">
        <v>1</v>
      </c>
      <c r="AF7" s="73" t="s">
        <v>9</v>
      </c>
      <c r="AG7" s="73" t="s">
        <v>9</v>
      </c>
      <c r="AH7" s="73" t="s">
        <v>9</v>
      </c>
      <c r="AJ7">
        <f>COUNTIFS(D$7:AH$7,"M")+COUNTIFS(D$7:AH$7,"MG")</f>
        <v>0</v>
      </c>
      <c r="AK7">
        <f>COUNTIFS(D$7:AI$7,"T")+COUNTIFS(D$7:AI$7,"TG")</f>
        <v>4</v>
      </c>
      <c r="AL7">
        <f>COUNTIFS(D$7:AH$7,"N")+COUNTIFS(D$7:AH$7,"NG")</f>
        <v>15</v>
      </c>
      <c r="AM7">
        <f>COUNTIFS(D$7:AH$7,"D")+COUNTIFS(D$7:AH$7,"DG")</f>
        <v>3</v>
      </c>
      <c r="AN7">
        <f t="shared" si="0"/>
        <v>22</v>
      </c>
    </row>
    <row r="8" spans="1:40">
      <c r="A8" s="347" t="s">
        <v>25</v>
      </c>
      <c r="B8" s="347"/>
      <c r="C8" s="110" t="s">
        <v>26</v>
      </c>
      <c r="D8" s="28" t="s">
        <v>9</v>
      </c>
      <c r="E8" s="28" t="s">
        <v>9</v>
      </c>
      <c r="F8" s="27" t="s">
        <v>1</v>
      </c>
      <c r="G8" s="70" t="s">
        <v>7</v>
      </c>
      <c r="H8" s="55" t="s">
        <v>1</v>
      </c>
      <c r="I8" s="72" t="s">
        <v>9</v>
      </c>
      <c r="J8" s="73" t="s">
        <v>9</v>
      </c>
      <c r="K8" s="60" t="s">
        <v>1</v>
      </c>
      <c r="L8" s="27" t="s">
        <v>1</v>
      </c>
      <c r="M8" s="70" t="s">
        <v>7</v>
      </c>
      <c r="N8" s="34" t="s">
        <v>8</v>
      </c>
      <c r="O8" s="56" t="s">
        <v>8</v>
      </c>
      <c r="P8" s="74" t="s">
        <v>8</v>
      </c>
      <c r="Q8" s="75" t="s">
        <v>8</v>
      </c>
      <c r="R8" s="60" t="s">
        <v>1</v>
      </c>
      <c r="S8" s="70" t="s">
        <v>7</v>
      </c>
      <c r="T8" s="28" t="s">
        <v>9</v>
      </c>
      <c r="U8" s="28" t="s">
        <v>9</v>
      </c>
      <c r="V8" s="57" t="s">
        <v>9</v>
      </c>
      <c r="W8" s="66" t="s">
        <v>1</v>
      </c>
      <c r="X8" s="67" t="s">
        <v>1</v>
      </c>
      <c r="Y8" s="61" t="s">
        <v>9</v>
      </c>
      <c r="Z8" s="26" t="s">
        <v>9</v>
      </c>
      <c r="AA8" s="26" t="s">
        <v>9</v>
      </c>
      <c r="AB8" s="26" t="s">
        <v>9</v>
      </c>
      <c r="AC8" s="54" t="s">
        <v>9</v>
      </c>
      <c r="AD8" s="66" t="s">
        <v>1</v>
      </c>
      <c r="AE8" s="67" t="s">
        <v>1</v>
      </c>
      <c r="AF8" s="59" t="s">
        <v>9</v>
      </c>
      <c r="AG8" s="28" t="s">
        <v>9</v>
      </c>
      <c r="AH8" s="29" t="s">
        <v>1</v>
      </c>
      <c r="AJ8">
        <f t="shared" ref="AJ8:AJ10" si="1">COUNTIFS(D$7:AH$7,"M")+COUNTIFS(D$7:AH$7,"MG")</f>
        <v>0</v>
      </c>
      <c r="AK8">
        <f>COUNTIFS(D$8:AI$8,"T")+COUNTIFS(D$8:AI$8,"TG")</f>
        <v>4</v>
      </c>
      <c r="AL8">
        <f>COUNTIFS(D$8:AH$8,"N")+COUNTIFS(D$8:AH$8,"NG")</f>
        <v>14</v>
      </c>
      <c r="AM8">
        <f>COUNTIFS(D$8:AH$8,"D")+COUNTIFS(D$8:AH$8,"DG")</f>
        <v>3</v>
      </c>
      <c r="AN8">
        <f t="shared" si="0"/>
        <v>21</v>
      </c>
    </row>
    <row r="9" spans="1:40">
      <c r="A9" s="347" t="s">
        <v>27</v>
      </c>
      <c r="B9" s="347"/>
      <c r="C9" s="110" t="s">
        <v>28</v>
      </c>
      <c r="D9" s="27" t="s">
        <v>1</v>
      </c>
      <c r="E9" s="27" t="s">
        <v>1</v>
      </c>
      <c r="F9" s="70" t="s">
        <v>7</v>
      </c>
      <c r="G9" s="34" t="s">
        <v>8</v>
      </c>
      <c r="H9" s="56" t="s">
        <v>8</v>
      </c>
      <c r="I9" s="74" t="s">
        <v>8</v>
      </c>
      <c r="J9" s="75" t="s">
        <v>8</v>
      </c>
      <c r="K9" s="60" t="s">
        <v>1</v>
      </c>
      <c r="L9" s="70" t="s">
        <v>7</v>
      </c>
      <c r="M9" s="28" t="s">
        <v>9</v>
      </c>
      <c r="N9" s="28" t="s">
        <v>9</v>
      </c>
      <c r="O9" s="57" t="s">
        <v>9</v>
      </c>
      <c r="P9" s="66" t="s">
        <v>1</v>
      </c>
      <c r="Q9" s="67" t="s">
        <v>1</v>
      </c>
      <c r="R9" s="61" t="s">
        <v>9</v>
      </c>
      <c r="S9" s="26" t="s">
        <v>9</v>
      </c>
      <c r="T9" s="26" t="s">
        <v>9</v>
      </c>
      <c r="U9" s="26" t="s">
        <v>9</v>
      </c>
      <c r="V9" s="54" t="s">
        <v>9</v>
      </c>
      <c r="W9" s="66" t="s">
        <v>1</v>
      </c>
      <c r="X9" s="67" t="s">
        <v>1</v>
      </c>
      <c r="Y9" s="59" t="s">
        <v>9</v>
      </c>
      <c r="Z9" s="28" t="s">
        <v>9</v>
      </c>
      <c r="AA9" s="27" t="s">
        <v>1</v>
      </c>
      <c r="AB9" s="70" t="s">
        <v>7</v>
      </c>
      <c r="AC9" s="55" t="s">
        <v>1</v>
      </c>
      <c r="AD9" s="72" t="s">
        <v>9</v>
      </c>
      <c r="AE9" s="73" t="s">
        <v>9</v>
      </c>
      <c r="AF9" s="60" t="s">
        <v>1</v>
      </c>
      <c r="AG9" s="27" t="s">
        <v>1</v>
      </c>
      <c r="AH9" s="70" t="s">
        <v>7</v>
      </c>
      <c r="AJ9">
        <f t="shared" si="1"/>
        <v>0</v>
      </c>
      <c r="AK9">
        <f>COUNTIFS(D$9:AI$9,"T")+COUNTIFS(D$9:AI$9,"TG")</f>
        <v>4</v>
      </c>
      <c r="AL9">
        <f>COUNTIFS(D$9:AH$9,"N")+COUNTIFS(D$9:AH$9,"NG")</f>
        <v>12</v>
      </c>
      <c r="AM9">
        <f>COUNTIFS(D$9:AH$9,"D")+COUNTIFS(D$9:AH$9,"DG")</f>
        <v>4</v>
      </c>
      <c r="AN9">
        <f t="shared" si="0"/>
        <v>20</v>
      </c>
    </row>
    <row r="10" spans="1:40" ht="15" thickBot="1">
      <c r="A10" s="347" t="s">
        <v>29</v>
      </c>
      <c r="B10" s="347"/>
      <c r="C10" s="112" t="s">
        <v>30</v>
      </c>
      <c r="D10" s="27" t="s">
        <v>1</v>
      </c>
      <c r="E10" s="70" t="s">
        <v>7</v>
      </c>
      <c r="F10" s="28" t="s">
        <v>9</v>
      </c>
      <c r="G10" s="28" t="s">
        <v>9</v>
      </c>
      <c r="H10" s="57" t="s">
        <v>9</v>
      </c>
      <c r="I10" s="76" t="s">
        <v>1</v>
      </c>
      <c r="J10" s="77" t="s">
        <v>1</v>
      </c>
      <c r="K10" s="61" t="s">
        <v>9</v>
      </c>
      <c r="L10" s="26" t="s">
        <v>9</v>
      </c>
      <c r="M10" s="26" t="s">
        <v>9</v>
      </c>
      <c r="N10" s="26" t="s">
        <v>9</v>
      </c>
      <c r="O10" s="54" t="s">
        <v>9</v>
      </c>
      <c r="P10" s="66" t="s">
        <v>1</v>
      </c>
      <c r="Q10" s="67" t="s">
        <v>1</v>
      </c>
      <c r="R10" s="59" t="s">
        <v>9</v>
      </c>
      <c r="S10" s="28" t="s">
        <v>9</v>
      </c>
      <c r="T10" s="27" t="s">
        <v>1</v>
      </c>
      <c r="U10" s="70" t="s">
        <v>7</v>
      </c>
      <c r="V10" s="55" t="s">
        <v>1</v>
      </c>
      <c r="W10" s="72" t="s">
        <v>9</v>
      </c>
      <c r="X10" s="73" t="s">
        <v>9</v>
      </c>
      <c r="Y10" s="60" t="s">
        <v>1</v>
      </c>
      <c r="Z10" s="27" t="s">
        <v>1</v>
      </c>
      <c r="AA10" s="70" t="s">
        <v>7</v>
      </c>
      <c r="AB10" s="34" t="s">
        <v>8</v>
      </c>
      <c r="AC10" s="56" t="s">
        <v>8</v>
      </c>
      <c r="AD10" s="74" t="s">
        <v>8</v>
      </c>
      <c r="AE10" s="75" t="s">
        <v>8</v>
      </c>
      <c r="AF10" s="60" t="s">
        <v>1</v>
      </c>
      <c r="AG10" s="70" t="s">
        <v>7</v>
      </c>
      <c r="AH10" s="28" t="s">
        <v>9</v>
      </c>
      <c r="AJ10">
        <f t="shared" si="1"/>
        <v>0</v>
      </c>
      <c r="AK10">
        <f>COUNTIFS(D$10:AI$10,"T")+COUNTIFS(D$10:AI$10,"TG")</f>
        <v>4</v>
      </c>
      <c r="AL10">
        <f>COUNTIFS(D$10:AH$10,"N")+COUNTIFS(D$10:AH$10,"NG")</f>
        <v>13</v>
      </c>
      <c r="AM10">
        <f>COUNTIFS(D$10:AH$10,"D")+COUNTIFS(D$10:AH$10,"DG")</f>
        <v>4</v>
      </c>
      <c r="AN10">
        <f t="shared" si="0"/>
        <v>21</v>
      </c>
    </row>
    <row r="11" spans="1:40" ht="15" thickBot="1">
      <c r="C11" s="108" t="s">
        <v>31</v>
      </c>
      <c r="D11" s="40">
        <f>SUM(D12:D14)</f>
        <v>5</v>
      </c>
      <c r="E11" s="40">
        <f t="shared" ref="E11:AH11" si="2">SUM(E12:E14)</f>
        <v>5</v>
      </c>
      <c r="F11" s="40">
        <f t="shared" si="2"/>
        <v>5</v>
      </c>
      <c r="G11" s="40">
        <f t="shared" si="2"/>
        <v>6</v>
      </c>
      <c r="H11" s="40">
        <f t="shared" si="2"/>
        <v>5</v>
      </c>
      <c r="I11" s="86">
        <f t="shared" si="2"/>
        <v>3</v>
      </c>
      <c r="J11" s="87">
        <f t="shared" si="2"/>
        <v>3</v>
      </c>
      <c r="K11" s="78">
        <f t="shared" si="2"/>
        <v>5</v>
      </c>
      <c r="L11" s="40">
        <f t="shared" si="2"/>
        <v>5</v>
      </c>
      <c r="M11" s="40">
        <f t="shared" si="2"/>
        <v>5</v>
      </c>
      <c r="N11" s="40">
        <f t="shared" si="2"/>
        <v>6</v>
      </c>
      <c r="O11" s="40">
        <f t="shared" si="2"/>
        <v>5</v>
      </c>
      <c r="P11" s="86">
        <f t="shared" si="2"/>
        <v>3</v>
      </c>
      <c r="Q11" s="87">
        <f t="shared" si="2"/>
        <v>3</v>
      </c>
      <c r="R11" s="78">
        <f t="shared" si="2"/>
        <v>5</v>
      </c>
      <c r="S11" s="40">
        <f t="shared" si="2"/>
        <v>5</v>
      </c>
      <c r="T11" s="40">
        <f t="shared" si="2"/>
        <v>5</v>
      </c>
      <c r="U11" s="40">
        <f t="shared" si="2"/>
        <v>6</v>
      </c>
      <c r="V11" s="40">
        <f t="shared" si="2"/>
        <v>5</v>
      </c>
      <c r="W11" s="86">
        <f t="shared" si="2"/>
        <v>3</v>
      </c>
      <c r="X11" s="87">
        <f t="shared" si="2"/>
        <v>3</v>
      </c>
      <c r="Y11" s="78">
        <f t="shared" si="2"/>
        <v>5</v>
      </c>
      <c r="Z11" s="40">
        <f t="shared" si="2"/>
        <v>5</v>
      </c>
      <c r="AA11" s="40">
        <f t="shared" si="2"/>
        <v>5</v>
      </c>
      <c r="AB11" s="40">
        <f t="shared" si="2"/>
        <v>6</v>
      </c>
      <c r="AC11" s="40">
        <f t="shared" si="2"/>
        <v>5</v>
      </c>
      <c r="AD11" s="86">
        <f t="shared" si="2"/>
        <v>3</v>
      </c>
      <c r="AE11" s="87">
        <f t="shared" si="2"/>
        <v>3</v>
      </c>
      <c r="AF11" s="78">
        <f t="shared" si="2"/>
        <v>5</v>
      </c>
      <c r="AG11" s="40">
        <f t="shared" si="2"/>
        <v>5</v>
      </c>
      <c r="AH11" s="40">
        <f t="shared" si="2"/>
        <v>5</v>
      </c>
    </row>
    <row r="12" spans="1:40">
      <c r="C12" s="41" t="s">
        <v>2</v>
      </c>
      <c r="D12" s="42">
        <f>COUNTIFS(D$3:D$10,"M")+COUNTIFS(D$3:D$10,"MG")</f>
        <v>2</v>
      </c>
      <c r="E12" s="42">
        <f>COUNTIFS(E$3:E$10,"M")+COUNTIFS(E$3:E$10,"MG")</f>
        <v>2</v>
      </c>
      <c r="F12" s="42">
        <f t="shared" ref="F12:AH12" si="3">COUNTIFS(F$3:F$10,"M")+COUNTIFS(F$3:F$10,"MG")</f>
        <v>2</v>
      </c>
      <c r="G12" s="42">
        <f t="shared" si="3"/>
        <v>2</v>
      </c>
      <c r="H12" s="42">
        <f t="shared" si="3"/>
        <v>2</v>
      </c>
      <c r="I12" s="88">
        <f t="shared" si="3"/>
        <v>1</v>
      </c>
      <c r="J12" s="89">
        <f t="shared" si="3"/>
        <v>1</v>
      </c>
      <c r="K12" s="79">
        <f t="shared" si="3"/>
        <v>2</v>
      </c>
      <c r="L12" s="42">
        <f t="shared" si="3"/>
        <v>2</v>
      </c>
      <c r="M12" s="42">
        <f t="shared" si="3"/>
        <v>2</v>
      </c>
      <c r="N12" s="42">
        <f t="shared" si="3"/>
        <v>2</v>
      </c>
      <c r="O12" s="42">
        <f t="shared" si="3"/>
        <v>2</v>
      </c>
      <c r="P12" s="88">
        <f t="shared" si="3"/>
        <v>1</v>
      </c>
      <c r="Q12" s="89">
        <f t="shared" si="3"/>
        <v>1</v>
      </c>
      <c r="R12" s="79">
        <f t="shared" si="3"/>
        <v>2</v>
      </c>
      <c r="S12" s="42">
        <f t="shared" si="3"/>
        <v>2</v>
      </c>
      <c r="T12" s="42">
        <f t="shared" si="3"/>
        <v>2</v>
      </c>
      <c r="U12" s="42">
        <f t="shared" si="3"/>
        <v>2</v>
      </c>
      <c r="V12" s="42">
        <f t="shared" si="3"/>
        <v>2</v>
      </c>
      <c r="W12" s="88">
        <f t="shared" si="3"/>
        <v>1</v>
      </c>
      <c r="X12" s="89">
        <f t="shared" si="3"/>
        <v>1</v>
      </c>
      <c r="Y12" s="79">
        <f t="shared" si="3"/>
        <v>2</v>
      </c>
      <c r="Z12" s="42">
        <f t="shared" si="3"/>
        <v>2</v>
      </c>
      <c r="AA12" s="42">
        <f t="shared" si="3"/>
        <v>2</v>
      </c>
      <c r="AB12" s="42">
        <f t="shared" si="3"/>
        <v>2</v>
      </c>
      <c r="AC12" s="42">
        <f t="shared" si="3"/>
        <v>2</v>
      </c>
      <c r="AD12" s="88">
        <f t="shared" si="3"/>
        <v>1</v>
      </c>
      <c r="AE12" s="89">
        <f t="shared" si="3"/>
        <v>1</v>
      </c>
      <c r="AF12" s="79">
        <f t="shared" si="3"/>
        <v>2</v>
      </c>
      <c r="AG12" s="42">
        <f t="shared" si="3"/>
        <v>2</v>
      </c>
      <c r="AH12" s="42">
        <f t="shared" si="3"/>
        <v>2</v>
      </c>
    </row>
    <row r="13" spans="1:40">
      <c r="C13" s="41" t="s">
        <v>8</v>
      </c>
      <c r="D13" s="43">
        <f>COUNTIFS(D$3:D$10,"T")+COUNTIFS(D$3:D$10,"TG")</f>
        <v>1</v>
      </c>
      <c r="E13" s="43">
        <f t="shared" ref="E13:AH13" si="4">COUNTIFS(E$3:E$10,"T")+COUNTIFS(E$3:E$10,"TG")</f>
        <v>1</v>
      </c>
      <c r="F13" s="43">
        <f t="shared" si="4"/>
        <v>1</v>
      </c>
      <c r="G13" s="43">
        <f t="shared" si="4"/>
        <v>2</v>
      </c>
      <c r="H13" s="43">
        <f t="shared" si="4"/>
        <v>1</v>
      </c>
      <c r="I13" s="90">
        <f t="shared" si="4"/>
        <v>1</v>
      </c>
      <c r="J13" s="91">
        <f t="shared" si="4"/>
        <v>1</v>
      </c>
      <c r="K13" s="80">
        <f t="shared" si="4"/>
        <v>1</v>
      </c>
      <c r="L13" s="43">
        <f t="shared" si="4"/>
        <v>1</v>
      </c>
      <c r="M13" s="43">
        <f t="shared" si="4"/>
        <v>1</v>
      </c>
      <c r="N13" s="43">
        <f t="shared" si="4"/>
        <v>2</v>
      </c>
      <c r="O13" s="43">
        <f t="shared" si="4"/>
        <v>1</v>
      </c>
      <c r="P13" s="90">
        <f t="shared" si="4"/>
        <v>1</v>
      </c>
      <c r="Q13" s="91">
        <f t="shared" si="4"/>
        <v>1</v>
      </c>
      <c r="R13" s="80">
        <f t="shared" si="4"/>
        <v>1</v>
      </c>
      <c r="S13" s="43">
        <f t="shared" si="4"/>
        <v>1</v>
      </c>
      <c r="T13" s="43">
        <f t="shared" si="4"/>
        <v>1</v>
      </c>
      <c r="U13" s="43">
        <f t="shared" si="4"/>
        <v>2</v>
      </c>
      <c r="V13" s="43">
        <f t="shared" si="4"/>
        <v>1</v>
      </c>
      <c r="W13" s="90">
        <f t="shared" si="4"/>
        <v>1</v>
      </c>
      <c r="X13" s="91">
        <f t="shared" si="4"/>
        <v>1</v>
      </c>
      <c r="Y13" s="80">
        <f t="shared" si="4"/>
        <v>1</v>
      </c>
      <c r="Z13" s="43">
        <f t="shared" si="4"/>
        <v>1</v>
      </c>
      <c r="AA13" s="43">
        <f t="shared" si="4"/>
        <v>1</v>
      </c>
      <c r="AB13" s="43">
        <f t="shared" si="4"/>
        <v>2</v>
      </c>
      <c r="AC13" s="43">
        <f t="shared" si="4"/>
        <v>1</v>
      </c>
      <c r="AD13" s="90">
        <f t="shared" si="4"/>
        <v>1</v>
      </c>
      <c r="AE13" s="91">
        <f t="shared" si="4"/>
        <v>1</v>
      </c>
      <c r="AF13" s="80">
        <f t="shared" si="4"/>
        <v>1</v>
      </c>
      <c r="AG13" s="43">
        <f t="shared" si="4"/>
        <v>1</v>
      </c>
      <c r="AH13" s="43">
        <f t="shared" si="4"/>
        <v>1</v>
      </c>
    </row>
    <row r="14" spans="1:40">
      <c r="C14" s="41" t="s">
        <v>9</v>
      </c>
      <c r="D14" s="44">
        <f>COUNTIFS(D$3:D$10,"N")+COUNTIFS(D$3:D$10,"NG")</f>
        <v>2</v>
      </c>
      <c r="E14" s="44">
        <f t="shared" ref="E14:AH14" si="5">COUNTIFS(E$3:E$10,"N")+COUNTIFS(E$3:E$10,"NG")</f>
        <v>2</v>
      </c>
      <c r="F14" s="44">
        <f t="shared" si="5"/>
        <v>2</v>
      </c>
      <c r="G14" s="44">
        <f t="shared" si="5"/>
        <v>2</v>
      </c>
      <c r="H14" s="44">
        <f t="shared" si="5"/>
        <v>2</v>
      </c>
      <c r="I14" s="92">
        <f t="shared" si="5"/>
        <v>1</v>
      </c>
      <c r="J14" s="93">
        <f t="shared" si="5"/>
        <v>1</v>
      </c>
      <c r="K14" s="81">
        <f t="shared" si="5"/>
        <v>2</v>
      </c>
      <c r="L14" s="44">
        <f t="shared" si="5"/>
        <v>2</v>
      </c>
      <c r="M14" s="44">
        <f t="shared" si="5"/>
        <v>2</v>
      </c>
      <c r="N14" s="44">
        <f t="shared" si="5"/>
        <v>2</v>
      </c>
      <c r="O14" s="44">
        <f t="shared" si="5"/>
        <v>2</v>
      </c>
      <c r="P14" s="92">
        <f t="shared" si="5"/>
        <v>1</v>
      </c>
      <c r="Q14" s="93">
        <f t="shared" si="5"/>
        <v>1</v>
      </c>
      <c r="R14" s="81">
        <f t="shared" si="5"/>
        <v>2</v>
      </c>
      <c r="S14" s="44">
        <f t="shared" si="5"/>
        <v>2</v>
      </c>
      <c r="T14" s="44">
        <f t="shared" si="5"/>
        <v>2</v>
      </c>
      <c r="U14" s="44">
        <f t="shared" si="5"/>
        <v>2</v>
      </c>
      <c r="V14" s="44">
        <f t="shared" si="5"/>
        <v>2</v>
      </c>
      <c r="W14" s="92">
        <f t="shared" si="5"/>
        <v>1</v>
      </c>
      <c r="X14" s="93">
        <f t="shared" si="5"/>
        <v>1</v>
      </c>
      <c r="Y14" s="81">
        <f t="shared" si="5"/>
        <v>2</v>
      </c>
      <c r="Z14" s="44">
        <f t="shared" si="5"/>
        <v>2</v>
      </c>
      <c r="AA14" s="44">
        <f t="shared" si="5"/>
        <v>2</v>
      </c>
      <c r="AB14" s="44">
        <f t="shared" si="5"/>
        <v>2</v>
      </c>
      <c r="AC14" s="44">
        <f t="shared" si="5"/>
        <v>2</v>
      </c>
      <c r="AD14" s="92">
        <f t="shared" si="5"/>
        <v>1</v>
      </c>
      <c r="AE14" s="93">
        <f t="shared" si="5"/>
        <v>1</v>
      </c>
      <c r="AF14" s="81">
        <f t="shared" si="5"/>
        <v>2</v>
      </c>
      <c r="AG14" s="44">
        <f t="shared" si="5"/>
        <v>2</v>
      </c>
      <c r="AH14" s="44">
        <f t="shared" si="5"/>
        <v>2</v>
      </c>
    </row>
    <row r="15" spans="1:40" ht="15" thickBot="1">
      <c r="C15" s="41" t="s">
        <v>7</v>
      </c>
      <c r="D15" s="45">
        <f>COUNTIFS(D$3:AH$3,"D")+COUNTIFS(D$3:D$10,"DG")</f>
        <v>0</v>
      </c>
      <c r="E15" s="45">
        <f t="shared" ref="E15:AH15" si="6">COUNTIFS(E$3:E$10,"D")+COUNTIFS(E$3:E$10,"DG")</f>
        <v>1</v>
      </c>
      <c r="F15" s="45">
        <f t="shared" si="6"/>
        <v>1</v>
      </c>
      <c r="G15" s="45">
        <f t="shared" si="6"/>
        <v>1</v>
      </c>
      <c r="H15" s="45">
        <f t="shared" si="6"/>
        <v>1</v>
      </c>
      <c r="I15" s="94">
        <f t="shared" si="6"/>
        <v>1</v>
      </c>
      <c r="J15" s="95">
        <f t="shared" si="6"/>
        <v>1</v>
      </c>
      <c r="K15" s="82">
        <f t="shared" si="6"/>
        <v>0</v>
      </c>
      <c r="L15" s="45">
        <f t="shared" si="6"/>
        <v>1</v>
      </c>
      <c r="M15" s="45">
        <f t="shared" si="6"/>
        <v>1</v>
      </c>
      <c r="N15" s="45">
        <f t="shared" si="6"/>
        <v>1</v>
      </c>
      <c r="O15" s="45">
        <f t="shared" si="6"/>
        <v>1</v>
      </c>
      <c r="P15" s="94">
        <f t="shared" si="6"/>
        <v>1</v>
      </c>
      <c r="Q15" s="95">
        <f t="shared" si="6"/>
        <v>1</v>
      </c>
      <c r="R15" s="82">
        <f t="shared" si="6"/>
        <v>0</v>
      </c>
      <c r="S15" s="45">
        <f t="shared" si="6"/>
        <v>1</v>
      </c>
      <c r="T15" s="45">
        <f t="shared" si="6"/>
        <v>1</v>
      </c>
      <c r="U15" s="45">
        <f t="shared" si="6"/>
        <v>1</v>
      </c>
      <c r="V15" s="45">
        <f t="shared" si="6"/>
        <v>1</v>
      </c>
      <c r="W15" s="94">
        <f t="shared" si="6"/>
        <v>1</v>
      </c>
      <c r="X15" s="95">
        <f t="shared" si="6"/>
        <v>1</v>
      </c>
      <c r="Y15" s="82">
        <f t="shared" si="6"/>
        <v>0</v>
      </c>
      <c r="Z15" s="45">
        <f t="shared" si="6"/>
        <v>1</v>
      </c>
      <c r="AA15" s="45">
        <f t="shared" si="6"/>
        <v>1</v>
      </c>
      <c r="AB15" s="45">
        <f t="shared" si="6"/>
        <v>1</v>
      </c>
      <c r="AC15" s="45">
        <f t="shared" si="6"/>
        <v>1</v>
      </c>
      <c r="AD15" s="94">
        <f t="shared" si="6"/>
        <v>1</v>
      </c>
      <c r="AE15" s="95">
        <f t="shared" si="6"/>
        <v>1</v>
      </c>
      <c r="AF15" s="82">
        <f t="shared" si="6"/>
        <v>0</v>
      </c>
      <c r="AG15" s="45">
        <f t="shared" si="6"/>
        <v>1</v>
      </c>
      <c r="AH15" s="45">
        <f t="shared" si="6"/>
        <v>1</v>
      </c>
    </row>
    <row r="16" spans="1:40">
      <c r="C16" s="39" t="s">
        <v>1</v>
      </c>
      <c r="D16" s="46">
        <f>COUNTIFS(D$3:D$10,"L")+COUNTIFS(D$3:D$10,"LG")</f>
        <v>3</v>
      </c>
      <c r="E16" s="46">
        <f t="shared" ref="E16:AH16" si="7">COUNTIFS(E$3:E$10,"L")+COUNTIFS(E$3:E$10,"LG")</f>
        <v>2</v>
      </c>
      <c r="F16" s="46">
        <f t="shared" si="7"/>
        <v>2</v>
      </c>
      <c r="G16" s="46">
        <f t="shared" si="7"/>
        <v>1</v>
      </c>
      <c r="H16" s="46">
        <f t="shared" si="7"/>
        <v>2</v>
      </c>
      <c r="I16" s="96">
        <f t="shared" si="7"/>
        <v>4</v>
      </c>
      <c r="J16" s="97">
        <f t="shared" si="7"/>
        <v>4</v>
      </c>
      <c r="K16" s="83">
        <f t="shared" si="7"/>
        <v>3</v>
      </c>
      <c r="L16" s="46">
        <f t="shared" si="7"/>
        <v>2</v>
      </c>
      <c r="M16" s="46">
        <f t="shared" si="7"/>
        <v>2</v>
      </c>
      <c r="N16" s="46">
        <f t="shared" si="7"/>
        <v>1</v>
      </c>
      <c r="O16" s="46">
        <f t="shared" si="7"/>
        <v>2</v>
      </c>
      <c r="P16" s="96">
        <f t="shared" si="7"/>
        <v>4</v>
      </c>
      <c r="Q16" s="97">
        <f t="shared" si="7"/>
        <v>4</v>
      </c>
      <c r="R16" s="83">
        <f t="shared" si="7"/>
        <v>3</v>
      </c>
      <c r="S16" s="46">
        <f t="shared" si="7"/>
        <v>2</v>
      </c>
      <c r="T16" s="46">
        <f t="shared" si="7"/>
        <v>2</v>
      </c>
      <c r="U16" s="46">
        <f t="shared" si="7"/>
        <v>1</v>
      </c>
      <c r="V16" s="46">
        <f t="shared" si="7"/>
        <v>2</v>
      </c>
      <c r="W16" s="96">
        <f t="shared" si="7"/>
        <v>4</v>
      </c>
      <c r="X16" s="97">
        <f t="shared" si="7"/>
        <v>4</v>
      </c>
      <c r="Y16" s="83">
        <f t="shared" si="7"/>
        <v>3</v>
      </c>
      <c r="Z16" s="46">
        <f t="shared" si="7"/>
        <v>2</v>
      </c>
      <c r="AA16" s="46">
        <f t="shared" si="7"/>
        <v>2</v>
      </c>
      <c r="AB16" s="46">
        <f t="shared" si="7"/>
        <v>1</v>
      </c>
      <c r="AC16" s="46">
        <f t="shared" si="7"/>
        <v>2</v>
      </c>
      <c r="AD16" s="96">
        <f t="shared" si="7"/>
        <v>4</v>
      </c>
      <c r="AE16" s="97">
        <f t="shared" si="7"/>
        <v>4</v>
      </c>
      <c r="AF16" s="83">
        <f t="shared" si="7"/>
        <v>3</v>
      </c>
      <c r="AG16" s="46">
        <f t="shared" si="7"/>
        <v>2</v>
      </c>
      <c r="AH16" s="46">
        <f t="shared" si="7"/>
        <v>2</v>
      </c>
    </row>
    <row r="17" spans="3:34">
      <c r="C17" s="39" t="s">
        <v>32</v>
      </c>
      <c r="D17" s="47">
        <f>COUNTIFS(D18,"MG")+COUNTIFS(D$3:D$10,"TG")+COUNTIFS(D$3:D$10,"LG")+COUNTIFS(D$3:D$10,"DG")</f>
        <v>1</v>
      </c>
      <c r="E17" s="47">
        <f t="shared" ref="E17:AH17" si="8">COUNTIFS(E18,"MG")+COUNTIFS(E$3:E$10,"TG")+COUNTIFS(E$3:E$10,"LG")+COUNTIFS(E$3:E$10,"DG")</f>
        <v>1</v>
      </c>
      <c r="F17" s="47">
        <f t="shared" si="8"/>
        <v>0</v>
      </c>
      <c r="G17" s="47">
        <f t="shared" si="8"/>
        <v>0</v>
      </c>
      <c r="H17" s="47">
        <f t="shared" si="8"/>
        <v>0</v>
      </c>
      <c r="I17" s="98">
        <f t="shared" si="8"/>
        <v>0</v>
      </c>
      <c r="J17" s="99">
        <f t="shared" si="8"/>
        <v>0</v>
      </c>
      <c r="K17" s="84">
        <f t="shared" si="8"/>
        <v>1</v>
      </c>
      <c r="L17" s="47">
        <f t="shared" si="8"/>
        <v>1</v>
      </c>
      <c r="M17" s="47">
        <f t="shared" si="8"/>
        <v>1</v>
      </c>
      <c r="N17" s="47">
        <f t="shared" si="8"/>
        <v>1</v>
      </c>
      <c r="O17" s="47">
        <f t="shared" si="8"/>
        <v>1</v>
      </c>
      <c r="P17" s="98">
        <f t="shared" si="8"/>
        <v>0</v>
      </c>
      <c r="Q17" s="99">
        <f t="shared" si="8"/>
        <v>0</v>
      </c>
      <c r="R17" s="84">
        <f t="shared" si="8"/>
        <v>1</v>
      </c>
      <c r="S17" s="47">
        <f t="shared" si="8"/>
        <v>1</v>
      </c>
      <c r="T17" s="47">
        <f t="shared" si="8"/>
        <v>1</v>
      </c>
      <c r="U17" s="47">
        <f t="shared" si="8"/>
        <v>1</v>
      </c>
      <c r="V17" s="47">
        <f t="shared" si="8"/>
        <v>1</v>
      </c>
      <c r="W17" s="98">
        <f t="shared" si="8"/>
        <v>1</v>
      </c>
      <c r="X17" s="99">
        <f t="shared" si="8"/>
        <v>1</v>
      </c>
      <c r="Y17" s="84">
        <f t="shared" si="8"/>
        <v>1</v>
      </c>
      <c r="Z17" s="47">
        <f t="shared" si="8"/>
        <v>1</v>
      </c>
      <c r="AA17" s="47">
        <f t="shared" si="8"/>
        <v>0</v>
      </c>
      <c r="AB17" s="47">
        <f t="shared" si="8"/>
        <v>0</v>
      </c>
      <c r="AC17" s="47">
        <f t="shared" si="8"/>
        <v>0</v>
      </c>
      <c r="AD17" s="98">
        <f t="shared" si="8"/>
        <v>1</v>
      </c>
      <c r="AE17" s="99">
        <f t="shared" si="8"/>
        <v>1</v>
      </c>
      <c r="AF17" s="84">
        <f t="shared" si="8"/>
        <v>1</v>
      </c>
      <c r="AG17" s="47">
        <f t="shared" si="8"/>
        <v>1</v>
      </c>
      <c r="AH17" s="47">
        <f t="shared" si="8"/>
        <v>0</v>
      </c>
    </row>
    <row r="18" spans="3:34" ht="15" thickBot="1">
      <c r="C18" s="39" t="s">
        <v>5</v>
      </c>
      <c r="D18" s="48">
        <f>COUNTIFS(D$3:D$10,"V")</f>
        <v>0</v>
      </c>
      <c r="E18" s="48">
        <f t="shared" ref="E18:AH18" si="9">COUNTIFS(E$3:E$10,"V")</f>
        <v>0</v>
      </c>
      <c r="F18" s="48">
        <f t="shared" si="9"/>
        <v>0</v>
      </c>
      <c r="G18" s="48">
        <f t="shared" si="9"/>
        <v>0</v>
      </c>
      <c r="H18" s="48">
        <f t="shared" si="9"/>
        <v>0</v>
      </c>
      <c r="I18" s="100">
        <f t="shared" si="9"/>
        <v>0</v>
      </c>
      <c r="J18" s="101">
        <f t="shared" si="9"/>
        <v>0</v>
      </c>
      <c r="K18" s="85">
        <f t="shared" si="9"/>
        <v>0</v>
      </c>
      <c r="L18" s="48">
        <f t="shared" si="9"/>
        <v>0</v>
      </c>
      <c r="M18" s="48">
        <f t="shared" si="9"/>
        <v>0</v>
      </c>
      <c r="N18" s="48">
        <f t="shared" si="9"/>
        <v>0</v>
      </c>
      <c r="O18" s="48">
        <f t="shared" si="9"/>
        <v>0</v>
      </c>
      <c r="P18" s="100">
        <f t="shared" si="9"/>
        <v>0</v>
      </c>
      <c r="Q18" s="101">
        <f t="shared" si="9"/>
        <v>0</v>
      </c>
      <c r="R18" s="85">
        <f t="shared" si="9"/>
        <v>0</v>
      </c>
      <c r="S18" s="48">
        <f t="shared" si="9"/>
        <v>0</v>
      </c>
      <c r="T18" s="48">
        <f t="shared" si="9"/>
        <v>0</v>
      </c>
      <c r="U18" s="48">
        <f t="shared" si="9"/>
        <v>0</v>
      </c>
      <c r="V18" s="48">
        <f t="shared" si="9"/>
        <v>0</v>
      </c>
      <c r="W18" s="100">
        <f t="shared" si="9"/>
        <v>0</v>
      </c>
      <c r="X18" s="101">
        <f t="shared" si="9"/>
        <v>0</v>
      </c>
      <c r="Y18" s="85">
        <f t="shared" si="9"/>
        <v>0</v>
      </c>
      <c r="Z18" s="48">
        <f t="shared" si="9"/>
        <v>0</v>
      </c>
      <c r="AA18" s="48">
        <f t="shared" si="9"/>
        <v>0</v>
      </c>
      <c r="AB18" s="48">
        <f t="shared" si="9"/>
        <v>0</v>
      </c>
      <c r="AC18" s="48">
        <f t="shared" si="9"/>
        <v>0</v>
      </c>
      <c r="AD18" s="100">
        <f t="shared" si="9"/>
        <v>0</v>
      </c>
      <c r="AE18" s="101">
        <f t="shared" si="9"/>
        <v>0</v>
      </c>
      <c r="AF18" s="85">
        <f t="shared" si="9"/>
        <v>0</v>
      </c>
      <c r="AG18" s="48">
        <f t="shared" si="9"/>
        <v>0</v>
      </c>
      <c r="AH18" s="48">
        <f t="shared" si="9"/>
        <v>0</v>
      </c>
    </row>
    <row r="40" spans="2:26">
      <c r="I40" s="350" t="s">
        <v>33</v>
      </c>
      <c r="J40" s="351"/>
      <c r="K40" s="351"/>
      <c r="L40" s="351"/>
      <c r="M40" s="351"/>
      <c r="N40" s="351"/>
      <c r="O40" s="352"/>
    </row>
    <row r="41" spans="2:26">
      <c r="B41">
        <v>20</v>
      </c>
      <c r="C41">
        <v>10</v>
      </c>
    </row>
    <row r="42" spans="2:26" ht="15" thickBot="1">
      <c r="I42" s="36" t="s">
        <v>1</v>
      </c>
      <c r="J42" s="36" t="s">
        <v>2</v>
      </c>
      <c r="K42" s="37" t="s">
        <v>3</v>
      </c>
      <c r="L42" s="36" t="s">
        <v>4</v>
      </c>
      <c r="M42" s="36" t="s">
        <v>5</v>
      </c>
      <c r="N42" s="38" t="s">
        <v>6</v>
      </c>
      <c r="O42" s="38" t="s">
        <v>7</v>
      </c>
      <c r="T42" s="30" t="s">
        <v>1</v>
      </c>
      <c r="U42" s="30" t="s">
        <v>2</v>
      </c>
      <c r="V42" s="31" t="s">
        <v>3</v>
      </c>
      <c r="W42" s="30" t="s">
        <v>4</v>
      </c>
      <c r="X42" s="30" t="s">
        <v>5</v>
      </c>
      <c r="Y42" s="32" t="s">
        <v>6</v>
      </c>
      <c r="Z42" s="32" t="s">
        <v>7</v>
      </c>
    </row>
    <row r="43" spans="2:26">
      <c r="G43" s="8" t="s">
        <v>23</v>
      </c>
      <c r="H43" s="10" t="s">
        <v>24</v>
      </c>
      <c r="I43" s="21" t="s">
        <v>9</v>
      </c>
      <c r="J43" s="21" t="s">
        <v>9</v>
      </c>
      <c r="K43" s="21" t="s">
        <v>9</v>
      </c>
      <c r="L43" s="21" t="s">
        <v>9</v>
      </c>
      <c r="M43" s="21" t="s">
        <v>9</v>
      </c>
      <c r="N43" s="22" t="s">
        <v>1</v>
      </c>
      <c r="O43" s="22" t="s">
        <v>1</v>
      </c>
      <c r="R43" s="8" t="s">
        <v>23</v>
      </c>
      <c r="S43" s="10" t="s">
        <v>24</v>
      </c>
      <c r="T43" s="21" t="s">
        <v>9</v>
      </c>
      <c r="U43" s="21" t="s">
        <v>9</v>
      </c>
      <c r="V43" s="21" t="s">
        <v>9</v>
      </c>
      <c r="W43" s="21" t="s">
        <v>9</v>
      </c>
      <c r="X43" s="21" t="s">
        <v>9</v>
      </c>
      <c r="Y43" s="22" t="s">
        <v>1</v>
      </c>
      <c r="Z43" s="22" t="s">
        <v>1</v>
      </c>
    </row>
    <row r="44" spans="2:26">
      <c r="G44" s="8" t="s">
        <v>25</v>
      </c>
      <c r="H44" s="9" t="s">
        <v>26</v>
      </c>
      <c r="I44" s="23" t="s">
        <v>9</v>
      </c>
      <c r="J44" s="23" t="s">
        <v>9</v>
      </c>
      <c r="K44" s="22" t="s">
        <v>1</v>
      </c>
      <c r="L44" s="22" t="s">
        <v>1</v>
      </c>
      <c r="M44" s="22" t="s">
        <v>1</v>
      </c>
      <c r="N44" s="23" t="s">
        <v>9</v>
      </c>
      <c r="O44" s="23" t="s">
        <v>9</v>
      </c>
      <c r="R44" s="8" t="s">
        <v>25</v>
      </c>
      <c r="S44" s="9" t="s">
        <v>26</v>
      </c>
      <c r="T44" s="23" t="s">
        <v>9</v>
      </c>
      <c r="U44" s="23" t="s">
        <v>9</v>
      </c>
      <c r="V44" s="22" t="s">
        <v>1</v>
      </c>
      <c r="W44" s="7" t="s">
        <v>7</v>
      </c>
      <c r="X44" s="22" t="s">
        <v>1</v>
      </c>
      <c r="Y44" s="23" t="s">
        <v>9</v>
      </c>
      <c r="Z44" s="23" t="s">
        <v>9</v>
      </c>
    </row>
    <row r="45" spans="2:26">
      <c r="G45" s="8" t="s">
        <v>27</v>
      </c>
      <c r="H45" s="9" t="s">
        <v>28</v>
      </c>
      <c r="I45" s="22" t="s">
        <v>1</v>
      </c>
      <c r="J45" s="22" t="s">
        <v>1</v>
      </c>
      <c r="K45" s="22" t="s">
        <v>1</v>
      </c>
      <c r="L45" s="24" t="s">
        <v>8</v>
      </c>
      <c r="M45" s="24" t="s">
        <v>8</v>
      </c>
      <c r="N45" s="24" t="s">
        <v>8</v>
      </c>
      <c r="O45" s="24" t="s">
        <v>8</v>
      </c>
      <c r="R45" s="8" t="s">
        <v>27</v>
      </c>
      <c r="S45" s="9" t="s">
        <v>28</v>
      </c>
      <c r="T45" s="22" t="s">
        <v>1</v>
      </c>
      <c r="U45" s="22" t="s">
        <v>1</v>
      </c>
      <c r="V45" s="7" t="s">
        <v>7</v>
      </c>
      <c r="W45" s="24" t="s">
        <v>8</v>
      </c>
      <c r="X45" s="24" t="s">
        <v>8</v>
      </c>
      <c r="Y45" s="24" t="s">
        <v>8</v>
      </c>
      <c r="Z45" s="24" t="s">
        <v>8</v>
      </c>
    </row>
    <row r="46" spans="2:26" ht="15" thickBot="1">
      <c r="G46" s="8" t="s">
        <v>29</v>
      </c>
      <c r="H46" s="11" t="s">
        <v>30</v>
      </c>
      <c r="I46" s="22" t="s">
        <v>1</v>
      </c>
      <c r="J46" s="22" t="s">
        <v>1</v>
      </c>
      <c r="K46" s="23" t="s">
        <v>9</v>
      </c>
      <c r="L46" s="23" t="s">
        <v>9</v>
      </c>
      <c r="M46" s="23" t="s">
        <v>9</v>
      </c>
      <c r="N46" s="25" t="s">
        <v>1</v>
      </c>
      <c r="O46" s="25" t="s">
        <v>1</v>
      </c>
      <c r="R46" s="8" t="s">
        <v>29</v>
      </c>
      <c r="S46" s="11" t="s">
        <v>30</v>
      </c>
      <c r="T46" s="22" t="s">
        <v>1</v>
      </c>
      <c r="U46" s="7" t="s">
        <v>7</v>
      </c>
      <c r="V46" s="23" t="s">
        <v>9</v>
      </c>
      <c r="W46" s="23" t="s">
        <v>9</v>
      </c>
      <c r="X46" s="23" t="s">
        <v>9</v>
      </c>
      <c r="Y46" s="25" t="s">
        <v>1</v>
      </c>
      <c r="Z46" s="25" t="s">
        <v>1</v>
      </c>
    </row>
    <row r="57" spans="7:15">
      <c r="I57" s="350" t="s">
        <v>34</v>
      </c>
      <c r="J57" s="351"/>
      <c r="K57" s="351"/>
      <c r="L57" s="351"/>
      <c r="M57" s="351"/>
      <c r="N57" s="351"/>
      <c r="O57" s="352"/>
    </row>
    <row r="59" spans="7:15" ht="15" thickBot="1">
      <c r="I59" s="36" t="s">
        <v>1</v>
      </c>
      <c r="J59" s="36" t="s">
        <v>2</v>
      </c>
      <c r="K59" s="37" t="s">
        <v>3</v>
      </c>
      <c r="L59" s="36" t="s">
        <v>4</v>
      </c>
      <c r="M59" s="36" t="s">
        <v>5</v>
      </c>
      <c r="N59" s="38" t="s">
        <v>6</v>
      </c>
      <c r="O59" s="38" t="s">
        <v>7</v>
      </c>
    </row>
    <row r="60" spans="7:15">
      <c r="G60" s="8" t="s">
        <v>23</v>
      </c>
      <c r="H60" s="10" t="s">
        <v>24</v>
      </c>
      <c r="I60" s="15" t="s">
        <v>9</v>
      </c>
      <c r="J60" s="15" t="s">
        <v>9</v>
      </c>
      <c r="K60" s="12" t="s">
        <v>9</v>
      </c>
      <c r="L60" s="13" t="s">
        <v>9</v>
      </c>
      <c r="M60" s="14" t="s">
        <v>9</v>
      </c>
      <c r="N60" t="s">
        <v>1</v>
      </c>
      <c r="O60" t="s">
        <v>1</v>
      </c>
    </row>
    <row r="61" spans="7:15">
      <c r="G61" s="8" t="s">
        <v>25</v>
      </c>
      <c r="H61" s="9" t="s">
        <v>26</v>
      </c>
      <c r="I61" s="18" t="s">
        <v>1</v>
      </c>
      <c r="J61" s="18" t="s">
        <v>1</v>
      </c>
      <c r="K61" s="18" t="s">
        <v>1</v>
      </c>
      <c r="L61" s="17" t="s">
        <v>8</v>
      </c>
      <c r="M61" s="17" t="s">
        <v>8</v>
      </c>
      <c r="N61" s="17" t="s">
        <v>8</v>
      </c>
      <c r="O61" s="17" t="s">
        <v>8</v>
      </c>
    </row>
    <row r="62" spans="7:15">
      <c r="G62" s="8" t="s">
        <v>27</v>
      </c>
      <c r="H62" s="9" t="s">
        <v>28</v>
      </c>
      <c r="I62" s="16" t="s">
        <v>9</v>
      </c>
      <c r="J62" s="16" t="s">
        <v>9</v>
      </c>
      <c r="K62" t="s">
        <v>1</v>
      </c>
      <c r="L62" t="s">
        <v>1</v>
      </c>
      <c r="M62" t="s">
        <v>1</v>
      </c>
      <c r="N62" s="16" t="s">
        <v>9</v>
      </c>
      <c r="O62" s="16" t="s">
        <v>9</v>
      </c>
    </row>
    <row r="63" spans="7:15" ht="15" thickBot="1">
      <c r="G63" s="8" t="s">
        <v>29</v>
      </c>
      <c r="H63" s="11" t="s">
        <v>30</v>
      </c>
      <c r="I63" t="s">
        <v>1</v>
      </c>
      <c r="J63" t="s">
        <v>1</v>
      </c>
      <c r="K63" s="16" t="s">
        <v>9</v>
      </c>
      <c r="L63" s="16" t="s">
        <v>9</v>
      </c>
      <c r="M63" s="16" t="s">
        <v>9</v>
      </c>
      <c r="N63" s="18" t="s">
        <v>1</v>
      </c>
      <c r="O63" s="18" t="s">
        <v>1</v>
      </c>
    </row>
  </sheetData>
  <mergeCells count="10">
    <mergeCell ref="I40:O40"/>
    <mergeCell ref="I57:O57"/>
    <mergeCell ref="A1:C2"/>
    <mergeCell ref="A10:B10"/>
    <mergeCell ref="A9:B9"/>
    <mergeCell ref="A8:B8"/>
    <mergeCell ref="A7:B7"/>
    <mergeCell ref="A3:B3"/>
    <mergeCell ref="A4:B4"/>
    <mergeCell ref="A5:B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8975D-5320-4E9E-B17A-50E033302FFC}">
  <dimension ref="B2:ND30"/>
  <sheetViews>
    <sheetView topLeftCell="A21" workbookViewId="0">
      <selection activeCell="K24" sqref="K24"/>
    </sheetView>
  </sheetViews>
  <sheetFormatPr defaultColWidth="11.42578125" defaultRowHeight="14.45"/>
  <cols>
    <col min="1" max="1" width="9.28515625" customWidth="1"/>
    <col min="3" max="3" width="14.85546875" customWidth="1"/>
  </cols>
  <sheetData>
    <row r="2" spans="2:368">
      <c r="D2" s="2">
        <v>1</v>
      </c>
      <c r="E2" s="2">
        <v>2</v>
      </c>
      <c r="F2" s="2">
        <v>3</v>
      </c>
      <c r="G2" s="2">
        <v>4</v>
      </c>
      <c r="H2" s="50">
        <v>5</v>
      </c>
      <c r="I2" s="64">
        <v>6</v>
      </c>
      <c r="J2" s="65">
        <v>7</v>
      </c>
      <c r="K2" s="1">
        <v>8</v>
      </c>
      <c r="L2" s="2">
        <v>9</v>
      </c>
      <c r="M2" s="2">
        <v>10</v>
      </c>
      <c r="N2" s="2">
        <v>11</v>
      </c>
      <c r="O2" s="50">
        <v>12</v>
      </c>
      <c r="P2" s="64">
        <v>13</v>
      </c>
      <c r="Q2" s="65">
        <v>14</v>
      </c>
      <c r="R2" s="1">
        <v>15</v>
      </c>
      <c r="S2" s="2">
        <v>16</v>
      </c>
      <c r="T2" s="2">
        <v>17</v>
      </c>
      <c r="U2" s="2">
        <v>18</v>
      </c>
      <c r="V2" s="50">
        <v>19</v>
      </c>
      <c r="W2" s="64">
        <v>20</v>
      </c>
      <c r="X2" s="65">
        <v>21</v>
      </c>
      <c r="Y2" s="1">
        <v>22</v>
      </c>
      <c r="Z2" s="2">
        <v>23</v>
      </c>
      <c r="AA2" s="2">
        <v>24</v>
      </c>
      <c r="AB2" s="2">
        <v>25</v>
      </c>
      <c r="AC2" s="50">
        <v>26</v>
      </c>
      <c r="AD2" s="64">
        <v>27</v>
      </c>
      <c r="AE2" s="65">
        <v>28</v>
      </c>
      <c r="AF2" s="1">
        <v>29</v>
      </c>
      <c r="AG2" s="2">
        <v>30</v>
      </c>
      <c r="AH2" s="2">
        <v>31</v>
      </c>
      <c r="AI2" s="2">
        <v>32</v>
      </c>
      <c r="AJ2" s="2">
        <v>33</v>
      </c>
      <c r="AK2" s="2">
        <v>34</v>
      </c>
      <c r="AL2" s="2">
        <v>35</v>
      </c>
      <c r="AM2" s="50">
        <v>36</v>
      </c>
      <c r="AN2" s="64">
        <v>37</v>
      </c>
      <c r="AO2" s="65">
        <v>38</v>
      </c>
      <c r="AP2" s="1">
        <v>39</v>
      </c>
      <c r="AQ2" s="2">
        <v>40</v>
      </c>
      <c r="AR2" s="2">
        <v>41</v>
      </c>
      <c r="AS2" s="2">
        <v>42</v>
      </c>
      <c r="AT2" s="50">
        <v>43</v>
      </c>
      <c r="AU2" s="64">
        <v>44</v>
      </c>
      <c r="AV2" s="65">
        <v>45</v>
      </c>
      <c r="AW2" s="1">
        <v>46</v>
      </c>
      <c r="AX2" s="2">
        <v>47</v>
      </c>
      <c r="AY2" s="2">
        <v>48</v>
      </c>
      <c r="AZ2" s="2">
        <v>49</v>
      </c>
      <c r="BA2" s="50">
        <v>50</v>
      </c>
      <c r="BB2" s="64">
        <v>51</v>
      </c>
      <c r="BC2" s="65">
        <v>52</v>
      </c>
      <c r="BD2" s="1">
        <v>53</v>
      </c>
      <c r="BE2" s="2">
        <v>54</v>
      </c>
      <c r="BF2" s="2">
        <v>55</v>
      </c>
      <c r="BG2" s="2">
        <v>56</v>
      </c>
      <c r="BH2" s="50">
        <v>57</v>
      </c>
      <c r="BI2" s="64">
        <v>58</v>
      </c>
      <c r="BJ2" s="65">
        <v>59</v>
      </c>
      <c r="BK2" s="1">
        <v>60</v>
      </c>
      <c r="BL2" s="2">
        <v>61</v>
      </c>
      <c r="BM2" s="2">
        <v>62</v>
      </c>
      <c r="BN2" s="2">
        <v>63</v>
      </c>
      <c r="BO2" s="2">
        <v>64</v>
      </c>
      <c r="BP2" s="2">
        <v>65</v>
      </c>
      <c r="BQ2" s="2">
        <v>66</v>
      </c>
      <c r="BR2" s="50">
        <v>67</v>
      </c>
      <c r="BS2" s="64">
        <v>68</v>
      </c>
      <c r="BT2" s="65">
        <v>69</v>
      </c>
      <c r="BU2" s="1">
        <v>70</v>
      </c>
      <c r="BV2" s="2">
        <v>71</v>
      </c>
      <c r="BW2" s="2">
        <v>72</v>
      </c>
      <c r="BX2" s="2">
        <v>73</v>
      </c>
      <c r="BY2" s="50">
        <v>74</v>
      </c>
      <c r="BZ2" s="64">
        <v>75</v>
      </c>
      <c r="CA2" s="65">
        <v>76</v>
      </c>
      <c r="CB2" s="1">
        <v>77</v>
      </c>
      <c r="CC2" s="2">
        <v>78</v>
      </c>
      <c r="CD2" s="2">
        <v>79</v>
      </c>
      <c r="CE2" s="2">
        <v>80</v>
      </c>
      <c r="CF2" s="50">
        <v>81</v>
      </c>
      <c r="CG2" s="64">
        <v>82</v>
      </c>
      <c r="CH2" s="65">
        <v>83</v>
      </c>
      <c r="CI2" s="1">
        <v>84</v>
      </c>
      <c r="CJ2" s="2">
        <v>85</v>
      </c>
      <c r="CK2" s="2">
        <v>86</v>
      </c>
      <c r="CL2" s="2">
        <v>87</v>
      </c>
      <c r="CM2" s="50">
        <v>88</v>
      </c>
      <c r="CN2" s="64">
        <v>89</v>
      </c>
      <c r="CO2" s="65">
        <v>90</v>
      </c>
      <c r="CP2" s="1">
        <v>91</v>
      </c>
      <c r="CQ2" s="2">
        <v>92</v>
      </c>
      <c r="CR2" s="2">
        <v>93</v>
      </c>
      <c r="CS2" s="2">
        <v>94</v>
      </c>
      <c r="CT2" s="2">
        <v>95</v>
      </c>
      <c r="CU2" s="2">
        <v>96</v>
      </c>
      <c r="CV2" s="2">
        <v>97</v>
      </c>
      <c r="CW2" s="50">
        <v>98</v>
      </c>
      <c r="CX2" s="64">
        <v>99</v>
      </c>
      <c r="CY2" s="65">
        <v>100</v>
      </c>
      <c r="CZ2" s="1">
        <v>101</v>
      </c>
      <c r="DA2" s="2">
        <v>102</v>
      </c>
      <c r="DB2" s="2">
        <v>103</v>
      </c>
      <c r="DC2" s="2">
        <v>104</v>
      </c>
      <c r="DD2" s="50">
        <v>105</v>
      </c>
      <c r="DE2" s="64">
        <v>106</v>
      </c>
      <c r="DF2" s="65">
        <v>107</v>
      </c>
      <c r="DG2" s="1">
        <v>108</v>
      </c>
      <c r="DH2" s="2">
        <v>109</v>
      </c>
      <c r="DI2" s="2">
        <v>110</v>
      </c>
      <c r="DJ2" s="2">
        <v>111</v>
      </c>
      <c r="DK2" s="50">
        <v>112</v>
      </c>
      <c r="DL2" s="64">
        <v>113</v>
      </c>
      <c r="DM2" s="65">
        <v>114</v>
      </c>
      <c r="DN2" s="1">
        <v>115</v>
      </c>
      <c r="DO2" s="2">
        <v>116</v>
      </c>
      <c r="DP2" s="2">
        <v>117</v>
      </c>
      <c r="DQ2" s="2">
        <v>118</v>
      </c>
      <c r="DR2" s="50">
        <v>119</v>
      </c>
      <c r="DS2" s="64">
        <v>120</v>
      </c>
      <c r="DT2" s="65">
        <v>121</v>
      </c>
      <c r="DU2" s="1">
        <v>122</v>
      </c>
      <c r="DV2" s="2">
        <v>123</v>
      </c>
      <c r="DW2" s="2">
        <v>124</v>
      </c>
      <c r="DX2" s="2">
        <v>125</v>
      </c>
      <c r="DY2" s="2">
        <v>126</v>
      </c>
      <c r="DZ2" s="2">
        <v>127</v>
      </c>
      <c r="EA2" s="2">
        <v>128</v>
      </c>
      <c r="EB2" s="50">
        <v>129</v>
      </c>
      <c r="EC2" s="64">
        <v>130</v>
      </c>
      <c r="ED2" s="65">
        <v>131</v>
      </c>
      <c r="EE2" s="1">
        <v>132</v>
      </c>
      <c r="EF2" s="2">
        <v>133</v>
      </c>
      <c r="EG2" s="2">
        <v>134</v>
      </c>
      <c r="EH2" s="2">
        <v>135</v>
      </c>
      <c r="EI2" s="50">
        <v>136</v>
      </c>
      <c r="EJ2" s="64">
        <v>137</v>
      </c>
      <c r="EK2" s="65">
        <v>138</v>
      </c>
      <c r="EL2" s="1">
        <v>139</v>
      </c>
      <c r="EM2" s="2">
        <v>140</v>
      </c>
      <c r="EN2" s="2">
        <v>141</v>
      </c>
      <c r="EO2" s="2">
        <v>142</v>
      </c>
      <c r="EP2" s="50">
        <v>143</v>
      </c>
      <c r="EQ2" s="64">
        <v>144</v>
      </c>
      <c r="ER2" s="65">
        <v>145</v>
      </c>
      <c r="ES2" s="1">
        <v>146</v>
      </c>
      <c r="ET2" s="2">
        <v>147</v>
      </c>
      <c r="EU2" s="2">
        <v>148</v>
      </c>
      <c r="EV2" s="2">
        <v>149</v>
      </c>
      <c r="EW2" s="50">
        <v>150</v>
      </c>
      <c r="EX2" s="64">
        <v>151</v>
      </c>
      <c r="EY2" s="65">
        <v>152</v>
      </c>
      <c r="EZ2" s="1">
        <v>153</v>
      </c>
      <c r="FA2" s="2">
        <v>154</v>
      </c>
      <c r="FB2" s="2">
        <v>155</v>
      </c>
      <c r="FC2" s="2">
        <v>156</v>
      </c>
      <c r="FD2" s="2">
        <v>157</v>
      </c>
      <c r="FE2" s="2">
        <v>158</v>
      </c>
      <c r="FF2" s="2">
        <v>159</v>
      </c>
      <c r="FG2" s="50">
        <v>160</v>
      </c>
      <c r="FH2" s="64">
        <v>161</v>
      </c>
      <c r="FI2" s="65">
        <v>162</v>
      </c>
      <c r="FJ2" s="1">
        <v>163</v>
      </c>
      <c r="FK2" s="2">
        <v>164</v>
      </c>
      <c r="FL2" s="2">
        <v>165</v>
      </c>
      <c r="FM2" s="2">
        <v>166</v>
      </c>
      <c r="FN2" s="50">
        <v>167</v>
      </c>
      <c r="FO2" s="64">
        <v>168</v>
      </c>
      <c r="FP2" s="65">
        <v>169</v>
      </c>
      <c r="FQ2" s="1">
        <v>170</v>
      </c>
      <c r="FR2" s="2">
        <v>171</v>
      </c>
      <c r="FS2" s="2">
        <v>172</v>
      </c>
      <c r="FT2" s="2">
        <v>173</v>
      </c>
      <c r="FU2" s="50">
        <v>174</v>
      </c>
      <c r="FV2" s="64">
        <v>175</v>
      </c>
      <c r="FW2" s="65">
        <v>176</v>
      </c>
      <c r="FX2" s="1">
        <v>177</v>
      </c>
      <c r="FY2" s="2">
        <v>178</v>
      </c>
      <c r="FZ2" s="2">
        <v>179</v>
      </c>
      <c r="GA2" s="2">
        <v>180</v>
      </c>
      <c r="GB2" s="50">
        <v>181</v>
      </c>
      <c r="GC2" s="64">
        <v>182</v>
      </c>
      <c r="GD2" s="65">
        <v>183</v>
      </c>
      <c r="GE2" s="1">
        <v>184</v>
      </c>
      <c r="GF2" s="2">
        <v>185</v>
      </c>
      <c r="GG2" s="2">
        <v>186</v>
      </c>
      <c r="GH2" s="2">
        <v>187</v>
      </c>
      <c r="GI2" s="2">
        <v>188</v>
      </c>
      <c r="GJ2" s="2">
        <v>189</v>
      </c>
      <c r="GK2" s="2">
        <v>190</v>
      </c>
      <c r="GL2" s="50">
        <v>191</v>
      </c>
      <c r="GM2" s="64">
        <v>192</v>
      </c>
      <c r="GN2" s="65">
        <v>193</v>
      </c>
      <c r="GO2" s="1">
        <v>194</v>
      </c>
      <c r="GP2" s="2">
        <v>195</v>
      </c>
      <c r="GQ2" s="2">
        <v>196</v>
      </c>
      <c r="GR2" s="2">
        <v>197</v>
      </c>
      <c r="GS2" s="50">
        <v>198</v>
      </c>
      <c r="GT2" s="64">
        <v>199</v>
      </c>
      <c r="GU2" s="65">
        <v>200</v>
      </c>
      <c r="GV2" s="1">
        <v>201</v>
      </c>
      <c r="GW2" s="2">
        <v>202</v>
      </c>
      <c r="GX2" s="2">
        <v>203</v>
      </c>
      <c r="GY2" s="2">
        <v>204</v>
      </c>
      <c r="GZ2" s="50">
        <v>205</v>
      </c>
      <c r="HA2" s="64">
        <v>206</v>
      </c>
      <c r="HB2" s="65">
        <v>207</v>
      </c>
      <c r="HC2" s="1">
        <v>208</v>
      </c>
      <c r="HD2" s="2">
        <v>209</v>
      </c>
      <c r="HE2" s="2">
        <v>210</v>
      </c>
      <c r="HF2" s="2">
        <v>211</v>
      </c>
      <c r="HG2" s="50">
        <v>212</v>
      </c>
      <c r="HH2" s="64">
        <v>213</v>
      </c>
      <c r="HI2" s="65">
        <v>214</v>
      </c>
      <c r="HJ2" s="1">
        <v>215</v>
      </c>
      <c r="HK2" s="2">
        <v>216</v>
      </c>
      <c r="HL2" s="2">
        <v>217</v>
      </c>
      <c r="HM2" s="2">
        <v>218</v>
      </c>
      <c r="HN2" s="2">
        <v>219</v>
      </c>
      <c r="HO2" s="2">
        <v>220</v>
      </c>
      <c r="HP2" s="2">
        <v>221</v>
      </c>
      <c r="HQ2" s="50">
        <v>222</v>
      </c>
      <c r="HR2" s="64">
        <v>223</v>
      </c>
      <c r="HS2" s="65">
        <v>224</v>
      </c>
      <c r="HT2" s="1">
        <v>225</v>
      </c>
      <c r="HU2" s="2">
        <v>226</v>
      </c>
      <c r="HV2" s="2">
        <v>227</v>
      </c>
      <c r="HW2" s="2">
        <v>228</v>
      </c>
      <c r="HX2" s="50">
        <v>229</v>
      </c>
      <c r="HY2" s="64">
        <v>230</v>
      </c>
      <c r="HZ2" s="65">
        <v>231</v>
      </c>
      <c r="IA2" s="1">
        <v>232</v>
      </c>
      <c r="IB2" s="2">
        <v>233</v>
      </c>
      <c r="IC2" s="2">
        <v>234</v>
      </c>
      <c r="ID2" s="2">
        <v>235</v>
      </c>
      <c r="IE2" s="50">
        <v>236</v>
      </c>
      <c r="IF2" s="64">
        <v>237</v>
      </c>
      <c r="IG2" s="65">
        <v>238</v>
      </c>
      <c r="IH2" s="1">
        <v>239</v>
      </c>
      <c r="II2" s="2">
        <v>240</v>
      </c>
      <c r="IJ2" s="2">
        <v>241</v>
      </c>
      <c r="IK2" s="2">
        <v>242</v>
      </c>
      <c r="IL2" s="50">
        <v>243</v>
      </c>
      <c r="IM2" s="64">
        <v>244</v>
      </c>
      <c r="IN2" s="65">
        <v>245</v>
      </c>
      <c r="IO2" s="1">
        <v>246</v>
      </c>
      <c r="IP2" s="2">
        <v>247</v>
      </c>
      <c r="IQ2" s="2">
        <v>248</v>
      </c>
      <c r="IR2" s="2">
        <v>249</v>
      </c>
      <c r="IS2" s="2">
        <v>250</v>
      </c>
      <c r="IT2" s="2">
        <v>251</v>
      </c>
      <c r="IU2" s="2">
        <v>252</v>
      </c>
      <c r="IV2" s="50">
        <v>253</v>
      </c>
      <c r="IW2" s="64">
        <v>254</v>
      </c>
      <c r="IX2" s="65">
        <v>255</v>
      </c>
      <c r="IY2" s="1">
        <v>256</v>
      </c>
      <c r="IZ2" s="2">
        <v>257</v>
      </c>
      <c r="JA2" s="2">
        <v>258</v>
      </c>
      <c r="JB2" s="2">
        <v>259</v>
      </c>
      <c r="JC2" s="50">
        <v>260</v>
      </c>
      <c r="JD2" s="64">
        <v>261</v>
      </c>
      <c r="JE2" s="65">
        <v>262</v>
      </c>
      <c r="JF2" s="1">
        <v>263</v>
      </c>
      <c r="JG2" s="2">
        <v>264</v>
      </c>
      <c r="JH2" s="2">
        <v>265</v>
      </c>
      <c r="JI2" s="2">
        <v>266</v>
      </c>
      <c r="JJ2" s="50">
        <v>267</v>
      </c>
      <c r="JK2" s="64">
        <v>268</v>
      </c>
      <c r="JL2" s="65">
        <v>269</v>
      </c>
      <c r="JM2" s="1">
        <v>270</v>
      </c>
      <c r="JN2" s="2">
        <v>271</v>
      </c>
      <c r="JO2" s="2">
        <v>272</v>
      </c>
      <c r="JP2" s="2">
        <v>273</v>
      </c>
      <c r="JQ2" s="50">
        <v>274</v>
      </c>
      <c r="JR2" s="64">
        <v>275</v>
      </c>
      <c r="JS2" s="65">
        <v>276</v>
      </c>
      <c r="JT2" s="1">
        <v>277</v>
      </c>
      <c r="JU2" s="2">
        <v>278</v>
      </c>
      <c r="JV2" s="2">
        <v>279</v>
      </c>
      <c r="JW2" s="2">
        <v>280</v>
      </c>
      <c r="JX2" s="2">
        <v>281</v>
      </c>
      <c r="JY2" s="2">
        <v>282</v>
      </c>
      <c r="JZ2" s="2">
        <v>283</v>
      </c>
      <c r="KA2" s="50">
        <v>284</v>
      </c>
      <c r="KB2" s="64">
        <v>285</v>
      </c>
      <c r="KC2" s="65">
        <v>286</v>
      </c>
      <c r="KD2" s="1">
        <v>287</v>
      </c>
      <c r="KE2" s="2">
        <v>288</v>
      </c>
      <c r="KF2" s="2">
        <v>289</v>
      </c>
      <c r="KG2" s="2">
        <v>290</v>
      </c>
      <c r="KH2" s="50">
        <v>291</v>
      </c>
      <c r="KI2" s="64">
        <v>292</v>
      </c>
      <c r="KJ2" s="65">
        <v>293</v>
      </c>
      <c r="KK2" s="1">
        <v>294</v>
      </c>
      <c r="KL2" s="2">
        <v>295</v>
      </c>
      <c r="KM2" s="2">
        <v>296</v>
      </c>
      <c r="KN2" s="2">
        <v>297</v>
      </c>
      <c r="KO2" s="50">
        <v>298</v>
      </c>
      <c r="KP2" s="64">
        <v>299</v>
      </c>
      <c r="KQ2" s="65">
        <v>300</v>
      </c>
      <c r="KR2" s="1">
        <v>301</v>
      </c>
      <c r="KS2" s="2">
        <v>302</v>
      </c>
      <c r="KT2" s="2">
        <v>303</v>
      </c>
      <c r="KU2" s="2">
        <v>304</v>
      </c>
      <c r="KV2" s="50">
        <v>305</v>
      </c>
      <c r="KW2" s="64">
        <v>306</v>
      </c>
      <c r="KX2" s="65">
        <v>307</v>
      </c>
      <c r="KY2" s="1">
        <v>308</v>
      </c>
      <c r="KZ2" s="2">
        <v>309</v>
      </c>
      <c r="LA2" s="2">
        <v>310</v>
      </c>
      <c r="LB2" s="2">
        <v>311</v>
      </c>
      <c r="LC2" s="2">
        <v>312</v>
      </c>
      <c r="LD2" s="2">
        <v>313</v>
      </c>
      <c r="LE2" s="2">
        <v>314</v>
      </c>
      <c r="LF2" s="50">
        <v>315</v>
      </c>
      <c r="LG2" s="64">
        <v>316</v>
      </c>
      <c r="LH2" s="65">
        <v>317</v>
      </c>
      <c r="LI2" s="1">
        <v>318</v>
      </c>
      <c r="LJ2" s="2">
        <v>319</v>
      </c>
      <c r="LK2" s="2">
        <v>320</v>
      </c>
      <c r="LL2" s="2">
        <v>321</v>
      </c>
      <c r="LM2" s="50">
        <v>322</v>
      </c>
      <c r="LN2" s="64">
        <v>323</v>
      </c>
      <c r="LO2" s="65">
        <v>324</v>
      </c>
      <c r="LP2" s="1">
        <v>325</v>
      </c>
      <c r="LQ2" s="2">
        <v>326</v>
      </c>
      <c r="LR2" s="2">
        <v>327</v>
      </c>
      <c r="LS2" s="2">
        <v>328</v>
      </c>
      <c r="LT2" s="50">
        <v>329</v>
      </c>
      <c r="LU2" s="64">
        <v>330</v>
      </c>
      <c r="LV2" s="65">
        <v>331</v>
      </c>
      <c r="LW2" s="1">
        <v>332</v>
      </c>
      <c r="LX2" s="2">
        <v>333</v>
      </c>
      <c r="LY2" s="2">
        <v>334</v>
      </c>
      <c r="LZ2" s="2">
        <v>335</v>
      </c>
      <c r="MA2" s="50">
        <v>336</v>
      </c>
      <c r="MB2" s="64">
        <v>337</v>
      </c>
      <c r="MC2" s="65">
        <v>338</v>
      </c>
      <c r="MD2" s="1">
        <v>339</v>
      </c>
      <c r="ME2" s="2">
        <v>340</v>
      </c>
      <c r="MF2" s="2">
        <v>341</v>
      </c>
      <c r="MG2" s="2">
        <v>342</v>
      </c>
      <c r="MH2" s="2">
        <v>343</v>
      </c>
      <c r="MI2" s="2">
        <v>344</v>
      </c>
      <c r="MJ2" s="2">
        <v>345</v>
      </c>
      <c r="MK2" s="50">
        <v>346</v>
      </c>
      <c r="ML2" s="64">
        <v>347</v>
      </c>
      <c r="MM2" s="65">
        <v>348</v>
      </c>
      <c r="MN2" s="1">
        <v>349</v>
      </c>
      <c r="MO2" s="2">
        <v>350</v>
      </c>
      <c r="MP2" s="2">
        <v>351</v>
      </c>
      <c r="MQ2" s="2">
        <v>352</v>
      </c>
      <c r="MR2" s="50">
        <v>353</v>
      </c>
      <c r="MS2" s="64">
        <v>354</v>
      </c>
      <c r="MT2" s="65">
        <v>355</v>
      </c>
      <c r="MU2" s="1">
        <v>356</v>
      </c>
      <c r="MV2" s="2">
        <v>357</v>
      </c>
      <c r="MW2" s="2">
        <v>358</v>
      </c>
      <c r="MX2" s="2">
        <v>359</v>
      </c>
      <c r="MY2" s="50">
        <v>360</v>
      </c>
      <c r="MZ2" s="64">
        <v>361</v>
      </c>
      <c r="NA2" s="65">
        <v>362</v>
      </c>
      <c r="NB2" s="1">
        <v>363</v>
      </c>
      <c r="NC2" s="2">
        <v>364</v>
      </c>
      <c r="ND2" s="2">
        <v>365</v>
      </c>
    </row>
    <row r="3" spans="2:368">
      <c r="B3" s="357" t="s">
        <v>11</v>
      </c>
      <c r="C3" s="365"/>
      <c r="D3" s="5" t="s">
        <v>13</v>
      </c>
      <c r="E3" s="3" t="s">
        <v>13</v>
      </c>
      <c r="F3" s="3" t="s">
        <v>14</v>
      </c>
      <c r="G3" s="3" t="s">
        <v>14</v>
      </c>
      <c r="H3" s="51" t="s">
        <v>14</v>
      </c>
      <c r="I3" s="66" t="s">
        <v>1</v>
      </c>
      <c r="J3" s="67" t="s">
        <v>1</v>
      </c>
      <c r="K3" s="113" t="s">
        <v>2</v>
      </c>
      <c r="L3" s="113" t="s">
        <v>2</v>
      </c>
      <c r="M3" s="4" t="s">
        <v>1</v>
      </c>
      <c r="N3" s="4" t="s">
        <v>1</v>
      </c>
      <c r="O3" s="102" t="s">
        <v>1</v>
      </c>
      <c r="P3" s="68" t="s">
        <v>14</v>
      </c>
      <c r="Q3" s="69" t="s">
        <v>14</v>
      </c>
      <c r="R3" s="5" t="s">
        <v>15</v>
      </c>
      <c r="S3" s="3" t="s">
        <v>15</v>
      </c>
      <c r="T3" s="3" t="s">
        <v>15</v>
      </c>
      <c r="U3" s="35" t="s">
        <v>32</v>
      </c>
      <c r="V3" s="53" t="s">
        <v>16</v>
      </c>
      <c r="W3" s="103" t="s">
        <v>1</v>
      </c>
      <c r="X3" s="67" t="s">
        <v>1</v>
      </c>
      <c r="Y3" s="113" t="s">
        <v>2</v>
      </c>
      <c r="Z3" s="113" t="s">
        <v>2</v>
      </c>
      <c r="AA3" s="113" t="s">
        <v>2</v>
      </c>
      <c r="AB3" s="113" t="s">
        <v>2</v>
      </c>
      <c r="AC3" s="113" t="s">
        <v>2</v>
      </c>
      <c r="AD3" s="70" t="s">
        <v>16</v>
      </c>
      <c r="AE3" s="71" t="s">
        <v>16</v>
      </c>
      <c r="AF3" s="3" t="s">
        <v>13</v>
      </c>
      <c r="AG3" s="3" t="s">
        <v>13</v>
      </c>
      <c r="AH3" s="3" t="s">
        <v>14</v>
      </c>
      <c r="AI3" s="3" t="s">
        <v>14</v>
      </c>
      <c r="AJ3" s="51" t="s">
        <v>14</v>
      </c>
      <c r="AK3" s="66" t="s">
        <v>1</v>
      </c>
      <c r="AL3" s="67" t="s">
        <v>1</v>
      </c>
      <c r="AM3" s="113" t="s">
        <v>2</v>
      </c>
      <c r="AN3" s="113" t="s">
        <v>2</v>
      </c>
      <c r="AO3" s="4" t="s">
        <v>1</v>
      </c>
      <c r="AP3" s="4" t="s">
        <v>1</v>
      </c>
      <c r="AQ3" s="102" t="s">
        <v>1</v>
      </c>
      <c r="AR3" s="68" t="s">
        <v>14</v>
      </c>
      <c r="AS3" s="69" t="s">
        <v>14</v>
      </c>
      <c r="AT3" s="5" t="s">
        <v>15</v>
      </c>
      <c r="AU3" s="3" t="s">
        <v>15</v>
      </c>
      <c r="AV3" s="3" t="s">
        <v>15</v>
      </c>
      <c r="AW3" s="35" t="s">
        <v>32</v>
      </c>
      <c r="AX3" s="53" t="s">
        <v>16</v>
      </c>
      <c r="AY3" s="103" t="s">
        <v>1</v>
      </c>
      <c r="AZ3" s="67" t="s">
        <v>1</v>
      </c>
      <c r="BA3" s="113" t="s">
        <v>2</v>
      </c>
      <c r="BB3" s="113" t="s">
        <v>2</v>
      </c>
      <c r="BC3" s="113" t="s">
        <v>2</v>
      </c>
      <c r="BD3" s="113" t="s">
        <v>2</v>
      </c>
      <c r="BE3" s="113" t="s">
        <v>2</v>
      </c>
      <c r="BF3" s="70" t="s">
        <v>16</v>
      </c>
      <c r="BG3" s="71" t="s">
        <v>16</v>
      </c>
      <c r="BH3" s="3" t="s">
        <v>13</v>
      </c>
      <c r="BI3" s="3" t="s">
        <v>13</v>
      </c>
      <c r="BJ3" s="3" t="s">
        <v>14</v>
      </c>
      <c r="BK3" s="3" t="s">
        <v>14</v>
      </c>
      <c r="BL3" s="51" t="s">
        <v>14</v>
      </c>
      <c r="BM3" s="66" t="s">
        <v>1</v>
      </c>
      <c r="BN3" s="67" t="s">
        <v>1</v>
      </c>
      <c r="BO3" s="113" t="s">
        <v>2</v>
      </c>
      <c r="BP3" s="113" t="s">
        <v>2</v>
      </c>
      <c r="BQ3" s="4" t="s">
        <v>1</v>
      </c>
      <c r="BR3" s="4" t="s">
        <v>1</v>
      </c>
      <c r="BS3" s="102" t="s">
        <v>1</v>
      </c>
      <c r="BT3" s="68" t="s">
        <v>14</v>
      </c>
      <c r="BU3" s="69" t="s">
        <v>14</v>
      </c>
      <c r="BV3" s="5" t="s">
        <v>15</v>
      </c>
      <c r="BW3" s="3" t="s">
        <v>15</v>
      </c>
      <c r="BX3" s="3" t="s">
        <v>15</v>
      </c>
      <c r="BY3" s="35" t="s">
        <v>32</v>
      </c>
      <c r="BZ3" s="53" t="s">
        <v>16</v>
      </c>
      <c r="CA3" s="103" t="s">
        <v>1</v>
      </c>
      <c r="CB3" s="67" t="s">
        <v>1</v>
      </c>
      <c r="CC3" s="113" t="s">
        <v>2</v>
      </c>
      <c r="CD3" s="113" t="s">
        <v>2</v>
      </c>
      <c r="CE3" s="113" t="s">
        <v>2</v>
      </c>
      <c r="CF3" s="113" t="s">
        <v>2</v>
      </c>
      <c r="CG3" s="113" t="s">
        <v>2</v>
      </c>
      <c r="CH3" s="70" t="s">
        <v>16</v>
      </c>
      <c r="CI3" s="71" t="s">
        <v>16</v>
      </c>
      <c r="CJ3" s="3" t="s">
        <v>13</v>
      </c>
      <c r="CK3" s="3" t="s">
        <v>13</v>
      </c>
      <c r="CL3" s="3" t="s">
        <v>14</v>
      </c>
      <c r="CM3" s="3" t="s">
        <v>14</v>
      </c>
      <c r="CN3" s="51" t="s">
        <v>14</v>
      </c>
      <c r="CO3" s="66" t="s">
        <v>1</v>
      </c>
      <c r="CP3" s="67" t="s">
        <v>1</v>
      </c>
      <c r="CQ3" s="113" t="s">
        <v>2</v>
      </c>
      <c r="CR3" s="113" t="s">
        <v>2</v>
      </c>
      <c r="CS3" s="4" t="s">
        <v>1</v>
      </c>
      <c r="CT3" s="4" t="s">
        <v>1</v>
      </c>
      <c r="CU3" s="102" t="s">
        <v>1</v>
      </c>
      <c r="CV3" s="68" t="s">
        <v>14</v>
      </c>
      <c r="CW3" s="69" t="s">
        <v>14</v>
      </c>
      <c r="CX3" s="5" t="s">
        <v>15</v>
      </c>
      <c r="CY3" s="3" t="s">
        <v>15</v>
      </c>
      <c r="CZ3" s="3" t="s">
        <v>15</v>
      </c>
      <c r="DA3" s="35" t="s">
        <v>32</v>
      </c>
      <c r="DB3" s="53" t="s">
        <v>16</v>
      </c>
      <c r="DC3" s="103" t="s">
        <v>1</v>
      </c>
      <c r="DD3" s="67" t="s">
        <v>1</v>
      </c>
      <c r="DE3" s="113" t="s">
        <v>2</v>
      </c>
      <c r="DF3" s="113" t="s">
        <v>2</v>
      </c>
      <c r="DG3" s="113" t="s">
        <v>2</v>
      </c>
      <c r="DH3" s="113" t="s">
        <v>2</v>
      </c>
      <c r="DI3" s="113" t="s">
        <v>2</v>
      </c>
      <c r="DJ3" s="70" t="s">
        <v>16</v>
      </c>
      <c r="DK3" s="71" t="s">
        <v>16</v>
      </c>
      <c r="DL3" s="3" t="s">
        <v>13</v>
      </c>
      <c r="DM3" s="3" t="s">
        <v>13</v>
      </c>
      <c r="DN3" s="3" t="s">
        <v>14</v>
      </c>
      <c r="DO3" s="3" t="s">
        <v>14</v>
      </c>
      <c r="DP3" s="51" t="s">
        <v>14</v>
      </c>
      <c r="DQ3" s="66" t="s">
        <v>1</v>
      </c>
      <c r="DR3" s="67" t="s">
        <v>1</v>
      </c>
      <c r="DS3" s="113" t="s">
        <v>2</v>
      </c>
      <c r="DT3" s="113" t="s">
        <v>2</v>
      </c>
      <c r="DU3" s="4" t="s">
        <v>1</v>
      </c>
      <c r="DV3" s="4" t="s">
        <v>1</v>
      </c>
      <c r="DW3" s="102" t="s">
        <v>1</v>
      </c>
      <c r="DX3" s="68" t="s">
        <v>14</v>
      </c>
      <c r="DY3" s="69" t="s">
        <v>14</v>
      </c>
      <c r="DZ3" s="5" t="s">
        <v>15</v>
      </c>
      <c r="EA3" s="3" t="s">
        <v>15</v>
      </c>
      <c r="EB3" s="3" t="s">
        <v>15</v>
      </c>
      <c r="EC3" s="35" t="s">
        <v>32</v>
      </c>
      <c r="ED3" s="53" t="s">
        <v>16</v>
      </c>
      <c r="EE3" s="103" t="s">
        <v>1</v>
      </c>
      <c r="EF3" s="67" t="s">
        <v>1</v>
      </c>
      <c r="EG3" s="113" t="s">
        <v>2</v>
      </c>
      <c r="EH3" s="113" t="s">
        <v>2</v>
      </c>
      <c r="EI3" s="113" t="s">
        <v>2</v>
      </c>
      <c r="EJ3" s="113" t="s">
        <v>2</v>
      </c>
      <c r="EK3" s="113" t="s">
        <v>2</v>
      </c>
      <c r="EL3" s="70" t="s">
        <v>16</v>
      </c>
      <c r="EM3" s="71" t="s">
        <v>16</v>
      </c>
      <c r="EN3" s="3" t="s">
        <v>13</v>
      </c>
      <c r="EO3" s="3" t="s">
        <v>13</v>
      </c>
      <c r="EP3" s="3" t="s">
        <v>14</v>
      </c>
      <c r="EQ3" s="3" t="s">
        <v>14</v>
      </c>
      <c r="ER3" s="51" t="s">
        <v>14</v>
      </c>
      <c r="ES3" s="66" t="s">
        <v>1</v>
      </c>
      <c r="ET3" s="67" t="s">
        <v>1</v>
      </c>
      <c r="EU3" s="113" t="s">
        <v>2</v>
      </c>
      <c r="EV3" s="113" t="s">
        <v>2</v>
      </c>
      <c r="EW3" s="4" t="s">
        <v>1</v>
      </c>
      <c r="EX3" s="4" t="s">
        <v>1</v>
      </c>
      <c r="EY3" s="102" t="s">
        <v>1</v>
      </c>
      <c r="EZ3" s="68" t="s">
        <v>14</v>
      </c>
      <c r="FA3" s="69" t="s">
        <v>14</v>
      </c>
      <c r="FB3" s="5" t="s">
        <v>15</v>
      </c>
      <c r="FC3" s="3" t="s">
        <v>15</v>
      </c>
      <c r="FD3" s="3" t="s">
        <v>15</v>
      </c>
      <c r="FE3" s="35" t="s">
        <v>32</v>
      </c>
      <c r="FF3" s="53" t="s">
        <v>16</v>
      </c>
      <c r="FG3" s="103" t="s">
        <v>1</v>
      </c>
      <c r="FH3" s="67" t="s">
        <v>1</v>
      </c>
      <c r="FI3" s="113" t="s">
        <v>2</v>
      </c>
      <c r="FJ3" s="113" t="s">
        <v>2</v>
      </c>
      <c r="FK3" s="113" t="s">
        <v>2</v>
      </c>
      <c r="FL3" s="113" t="s">
        <v>2</v>
      </c>
      <c r="FM3" s="113" t="s">
        <v>2</v>
      </c>
      <c r="FN3" s="70" t="s">
        <v>16</v>
      </c>
      <c r="FO3" s="71" t="s">
        <v>16</v>
      </c>
      <c r="FP3" s="3" t="s">
        <v>13</v>
      </c>
      <c r="FQ3" s="3" t="s">
        <v>13</v>
      </c>
      <c r="FR3" s="3" t="s">
        <v>14</v>
      </c>
      <c r="FS3" s="3" t="s">
        <v>14</v>
      </c>
      <c r="FT3" s="51" t="s">
        <v>14</v>
      </c>
      <c r="FU3" s="66" t="s">
        <v>1</v>
      </c>
      <c r="FV3" s="67" t="s">
        <v>1</v>
      </c>
      <c r="FW3" s="113" t="s">
        <v>2</v>
      </c>
      <c r="FX3" s="113" t="s">
        <v>2</v>
      </c>
      <c r="FY3" s="4" t="s">
        <v>1</v>
      </c>
      <c r="FZ3" s="4" t="s">
        <v>1</v>
      </c>
      <c r="GA3" s="102" t="s">
        <v>1</v>
      </c>
      <c r="GB3" s="68" t="s">
        <v>14</v>
      </c>
      <c r="GC3" s="69" t="s">
        <v>14</v>
      </c>
      <c r="GD3" s="5" t="s">
        <v>15</v>
      </c>
      <c r="GE3" s="3" t="s">
        <v>15</v>
      </c>
      <c r="GF3" s="3" t="s">
        <v>15</v>
      </c>
      <c r="GG3" s="35" t="s">
        <v>15</v>
      </c>
      <c r="GH3" s="53" t="s">
        <v>16</v>
      </c>
      <c r="GI3" s="103" t="s">
        <v>1</v>
      </c>
      <c r="GJ3" s="67" t="s">
        <v>1</v>
      </c>
      <c r="GK3" s="113" t="s">
        <v>2</v>
      </c>
      <c r="GL3" s="113" t="s">
        <v>2</v>
      </c>
      <c r="GM3" s="113" t="s">
        <v>2</v>
      </c>
      <c r="GN3" s="113" t="s">
        <v>2</v>
      </c>
      <c r="GO3" s="113" t="s">
        <v>2</v>
      </c>
      <c r="GP3" s="70" t="s">
        <v>16</v>
      </c>
      <c r="GQ3" s="71" t="s">
        <v>16</v>
      </c>
      <c r="GR3" s="3" t="s">
        <v>13</v>
      </c>
      <c r="GS3" s="3" t="s">
        <v>13</v>
      </c>
      <c r="GT3" s="3" t="s">
        <v>14</v>
      </c>
      <c r="GU3" s="3" t="s">
        <v>14</v>
      </c>
      <c r="GV3" s="51" t="s">
        <v>14</v>
      </c>
      <c r="GW3" s="66" t="s">
        <v>1</v>
      </c>
      <c r="GX3" s="67" t="s">
        <v>1</v>
      </c>
      <c r="GY3" s="113" t="s">
        <v>2</v>
      </c>
      <c r="GZ3" s="113" t="s">
        <v>2</v>
      </c>
      <c r="HA3" s="4" t="s">
        <v>1</v>
      </c>
      <c r="HB3" s="4" t="s">
        <v>1</v>
      </c>
      <c r="HC3" s="102" t="s">
        <v>1</v>
      </c>
      <c r="HD3" s="68" t="s">
        <v>14</v>
      </c>
      <c r="HE3" s="69" t="s">
        <v>14</v>
      </c>
      <c r="HF3" s="5" t="s">
        <v>15</v>
      </c>
      <c r="HG3" s="3" t="s">
        <v>15</v>
      </c>
      <c r="HH3" s="3" t="s">
        <v>15</v>
      </c>
      <c r="HI3" s="35" t="s">
        <v>15</v>
      </c>
      <c r="HJ3" s="53" t="s">
        <v>16</v>
      </c>
      <c r="HK3" s="103" t="s">
        <v>1</v>
      </c>
      <c r="HL3" s="67" t="s">
        <v>1</v>
      </c>
      <c r="HM3" s="113" t="s">
        <v>2</v>
      </c>
      <c r="HN3" s="113" t="s">
        <v>2</v>
      </c>
      <c r="HO3" s="113" t="s">
        <v>2</v>
      </c>
      <c r="HP3" s="113" t="s">
        <v>2</v>
      </c>
      <c r="HQ3" s="113" t="s">
        <v>2</v>
      </c>
      <c r="HR3" s="70" t="s">
        <v>16</v>
      </c>
      <c r="HS3" s="71" t="s">
        <v>16</v>
      </c>
      <c r="HT3" s="3" t="s">
        <v>13</v>
      </c>
      <c r="HU3" s="3" t="s">
        <v>13</v>
      </c>
      <c r="HV3" s="3" t="s">
        <v>14</v>
      </c>
      <c r="HW3" s="3" t="s">
        <v>14</v>
      </c>
      <c r="HX3" s="51" t="s">
        <v>14</v>
      </c>
      <c r="HY3" s="66" t="s">
        <v>1</v>
      </c>
      <c r="HZ3" s="67" t="s">
        <v>1</v>
      </c>
      <c r="IA3" s="113" t="s">
        <v>2</v>
      </c>
      <c r="IB3" s="113" t="s">
        <v>2</v>
      </c>
      <c r="IC3" s="4" t="s">
        <v>1</v>
      </c>
      <c r="ID3" s="4" t="s">
        <v>1</v>
      </c>
      <c r="IE3" s="102" t="s">
        <v>1</v>
      </c>
      <c r="IF3" s="68" t="s">
        <v>14</v>
      </c>
      <c r="IG3" s="69" t="s">
        <v>14</v>
      </c>
      <c r="IH3" s="5" t="s">
        <v>15</v>
      </c>
      <c r="II3" s="3" t="s">
        <v>15</v>
      </c>
      <c r="IJ3" s="3" t="s">
        <v>15</v>
      </c>
      <c r="IK3" s="35" t="s">
        <v>15</v>
      </c>
      <c r="IL3" s="53" t="s">
        <v>16</v>
      </c>
      <c r="IM3" s="103" t="s">
        <v>1</v>
      </c>
      <c r="IN3" s="67" t="s">
        <v>1</v>
      </c>
      <c r="IO3" s="113" t="s">
        <v>2</v>
      </c>
      <c r="IP3" s="113" t="s">
        <v>2</v>
      </c>
      <c r="IQ3" s="113" t="s">
        <v>2</v>
      </c>
      <c r="IR3" s="113" t="s">
        <v>2</v>
      </c>
      <c r="IS3" s="113" t="s">
        <v>2</v>
      </c>
      <c r="IT3" s="70" t="s">
        <v>16</v>
      </c>
      <c r="IU3" s="71" t="s">
        <v>16</v>
      </c>
      <c r="IV3" s="3" t="s">
        <v>13</v>
      </c>
      <c r="IW3" s="3" t="s">
        <v>13</v>
      </c>
      <c r="IX3" s="3" t="s">
        <v>14</v>
      </c>
      <c r="IY3" s="3" t="s">
        <v>14</v>
      </c>
      <c r="IZ3" s="51" t="s">
        <v>14</v>
      </c>
      <c r="JA3" s="66" t="s">
        <v>1</v>
      </c>
      <c r="JB3" s="67" t="s">
        <v>1</v>
      </c>
      <c r="JC3" s="113" t="s">
        <v>2</v>
      </c>
      <c r="JD3" s="113" t="s">
        <v>2</v>
      </c>
      <c r="JE3" s="4" t="s">
        <v>1</v>
      </c>
      <c r="JF3" s="4" t="s">
        <v>1</v>
      </c>
      <c r="JG3" s="102" t="s">
        <v>1</v>
      </c>
      <c r="JH3" s="68" t="s">
        <v>14</v>
      </c>
      <c r="JI3" s="69" t="s">
        <v>14</v>
      </c>
      <c r="JJ3" s="5" t="s">
        <v>15</v>
      </c>
      <c r="JK3" s="3" t="s">
        <v>15</v>
      </c>
      <c r="JL3" s="3" t="s">
        <v>15</v>
      </c>
      <c r="JM3" s="35" t="s">
        <v>15</v>
      </c>
      <c r="JN3" s="53" t="s">
        <v>16</v>
      </c>
      <c r="JO3" s="103" t="s">
        <v>1</v>
      </c>
      <c r="JP3" s="67" t="s">
        <v>1</v>
      </c>
      <c r="JQ3" s="113" t="s">
        <v>2</v>
      </c>
      <c r="JR3" s="113" t="s">
        <v>2</v>
      </c>
      <c r="JS3" s="113" t="s">
        <v>2</v>
      </c>
      <c r="JT3" s="113" t="s">
        <v>2</v>
      </c>
      <c r="JU3" s="113" t="s">
        <v>2</v>
      </c>
      <c r="JV3" s="70" t="s">
        <v>16</v>
      </c>
      <c r="JW3" s="71" t="s">
        <v>16</v>
      </c>
      <c r="JX3" s="3" t="s">
        <v>13</v>
      </c>
      <c r="JY3" s="3" t="s">
        <v>13</v>
      </c>
      <c r="JZ3" s="3" t="s">
        <v>14</v>
      </c>
      <c r="KA3" s="3" t="s">
        <v>14</v>
      </c>
      <c r="KB3" s="51" t="s">
        <v>14</v>
      </c>
      <c r="KC3" s="66" t="s">
        <v>1</v>
      </c>
      <c r="KD3" s="67" t="s">
        <v>1</v>
      </c>
      <c r="KE3" s="113" t="s">
        <v>2</v>
      </c>
      <c r="KF3" s="113" t="s">
        <v>2</v>
      </c>
      <c r="KG3" s="4" t="s">
        <v>1</v>
      </c>
      <c r="KH3" s="4" t="s">
        <v>1</v>
      </c>
      <c r="KI3" s="102" t="s">
        <v>1</v>
      </c>
      <c r="KJ3" s="68" t="s">
        <v>14</v>
      </c>
      <c r="KK3" s="69" t="s">
        <v>14</v>
      </c>
      <c r="KL3" s="5" t="s">
        <v>15</v>
      </c>
      <c r="KM3" s="3" t="s">
        <v>15</v>
      </c>
      <c r="KN3" s="3" t="s">
        <v>15</v>
      </c>
      <c r="KO3" s="35" t="s">
        <v>15</v>
      </c>
      <c r="KP3" s="53" t="s">
        <v>16</v>
      </c>
      <c r="KQ3" s="103" t="s">
        <v>1</v>
      </c>
      <c r="KR3" s="67" t="s">
        <v>1</v>
      </c>
      <c r="KS3" s="113" t="s">
        <v>2</v>
      </c>
      <c r="KT3" s="113" t="s">
        <v>2</v>
      </c>
      <c r="KU3" s="113" t="s">
        <v>2</v>
      </c>
      <c r="KV3" s="113" t="s">
        <v>2</v>
      </c>
      <c r="KW3" s="113" t="s">
        <v>2</v>
      </c>
      <c r="KX3" s="70" t="s">
        <v>16</v>
      </c>
      <c r="KY3" s="71" t="s">
        <v>16</v>
      </c>
      <c r="KZ3" s="3" t="s">
        <v>13</v>
      </c>
      <c r="LA3" s="3" t="s">
        <v>13</v>
      </c>
      <c r="LB3" s="3" t="s">
        <v>14</v>
      </c>
      <c r="LC3" s="3" t="s">
        <v>14</v>
      </c>
      <c r="LD3" s="51" t="s">
        <v>14</v>
      </c>
      <c r="LE3" s="66" t="s">
        <v>1</v>
      </c>
      <c r="LF3" s="67" t="s">
        <v>1</v>
      </c>
      <c r="LG3" s="113" t="s">
        <v>2</v>
      </c>
      <c r="LH3" s="113" t="s">
        <v>2</v>
      </c>
      <c r="LI3" s="4" t="s">
        <v>1</v>
      </c>
      <c r="LJ3" s="4" t="s">
        <v>1</v>
      </c>
      <c r="LK3" s="102" t="s">
        <v>1</v>
      </c>
      <c r="LL3" s="68" t="s">
        <v>14</v>
      </c>
      <c r="LM3" s="69" t="s">
        <v>14</v>
      </c>
      <c r="LN3" s="5" t="s">
        <v>15</v>
      </c>
      <c r="LO3" s="3" t="s">
        <v>15</v>
      </c>
      <c r="LP3" s="3" t="s">
        <v>15</v>
      </c>
      <c r="LQ3" s="35" t="s">
        <v>15</v>
      </c>
      <c r="LR3" s="53" t="s">
        <v>16</v>
      </c>
      <c r="LS3" s="103" t="s">
        <v>1</v>
      </c>
      <c r="LT3" s="67" t="s">
        <v>1</v>
      </c>
      <c r="LU3" s="113" t="s">
        <v>2</v>
      </c>
      <c r="LV3" s="113" t="s">
        <v>2</v>
      </c>
      <c r="LW3" s="113" t="s">
        <v>2</v>
      </c>
      <c r="LX3" s="113" t="s">
        <v>2</v>
      </c>
      <c r="LY3" s="113" t="s">
        <v>2</v>
      </c>
      <c r="LZ3" s="70" t="s">
        <v>16</v>
      </c>
      <c r="MA3" s="71" t="s">
        <v>16</v>
      </c>
      <c r="MB3" s="3" t="s">
        <v>13</v>
      </c>
      <c r="MC3" s="3" t="s">
        <v>13</v>
      </c>
      <c r="MD3" s="3" t="s">
        <v>14</v>
      </c>
      <c r="ME3" s="3" t="s">
        <v>14</v>
      </c>
      <c r="MF3" s="51" t="s">
        <v>14</v>
      </c>
      <c r="MG3" s="66" t="s">
        <v>1</v>
      </c>
      <c r="MH3" s="67" t="s">
        <v>1</v>
      </c>
      <c r="MI3" s="113" t="s">
        <v>2</v>
      </c>
      <c r="MJ3" s="113" t="s">
        <v>2</v>
      </c>
      <c r="MK3" s="4" t="s">
        <v>1</v>
      </c>
      <c r="ML3" s="4" t="s">
        <v>1</v>
      </c>
      <c r="MM3" s="102" t="s">
        <v>1</v>
      </c>
      <c r="MN3" s="68" t="s">
        <v>14</v>
      </c>
      <c r="MO3" s="69" t="s">
        <v>14</v>
      </c>
      <c r="MP3" s="5" t="s">
        <v>15</v>
      </c>
      <c r="MQ3" s="3" t="s">
        <v>15</v>
      </c>
      <c r="MR3" s="3" t="s">
        <v>15</v>
      </c>
      <c r="MS3" s="35" t="s">
        <v>15</v>
      </c>
      <c r="MT3" s="53" t="s">
        <v>16</v>
      </c>
      <c r="MU3" s="103" t="s">
        <v>1</v>
      </c>
      <c r="MV3" s="67" t="s">
        <v>1</v>
      </c>
      <c r="MW3" s="113" t="s">
        <v>2</v>
      </c>
      <c r="MX3" s="113" t="s">
        <v>2</v>
      </c>
      <c r="MY3" s="113" t="s">
        <v>2</v>
      </c>
      <c r="MZ3" s="113" t="s">
        <v>2</v>
      </c>
      <c r="NA3" s="113" t="s">
        <v>2</v>
      </c>
      <c r="NB3" s="70" t="s">
        <v>16</v>
      </c>
      <c r="NC3" s="71" t="s">
        <v>16</v>
      </c>
      <c r="ND3" s="3" t="s">
        <v>13</v>
      </c>
    </row>
    <row r="4" spans="2:368">
      <c r="B4" s="359" t="s">
        <v>17</v>
      </c>
      <c r="C4" s="366"/>
      <c r="D4" s="6" t="s">
        <v>2</v>
      </c>
      <c r="E4" s="4" t="s">
        <v>2</v>
      </c>
      <c r="F4" s="4" t="s">
        <v>1</v>
      </c>
      <c r="G4" s="4" t="s">
        <v>1</v>
      </c>
      <c r="H4" s="52" t="s">
        <v>1</v>
      </c>
      <c r="I4" s="68" t="s">
        <v>14</v>
      </c>
      <c r="J4" s="69" t="s">
        <v>14</v>
      </c>
      <c r="K4" s="5" t="s">
        <v>15</v>
      </c>
      <c r="L4" s="3" t="s">
        <v>15</v>
      </c>
      <c r="M4" s="3" t="s">
        <v>15</v>
      </c>
      <c r="N4" s="35" t="s">
        <v>32</v>
      </c>
      <c r="O4" s="53" t="s">
        <v>16</v>
      </c>
      <c r="P4" s="66" t="s">
        <v>1</v>
      </c>
      <c r="Q4" s="67" t="s">
        <v>1</v>
      </c>
      <c r="R4" s="113" t="s">
        <v>2</v>
      </c>
      <c r="S4" s="113" t="s">
        <v>2</v>
      </c>
      <c r="T4" s="113" t="s">
        <v>2</v>
      </c>
      <c r="U4" s="113" t="s">
        <v>2</v>
      </c>
      <c r="V4" s="113" t="s">
        <v>2</v>
      </c>
      <c r="W4" s="70" t="s">
        <v>16</v>
      </c>
      <c r="X4" s="71" t="s">
        <v>16</v>
      </c>
      <c r="Y4" s="5" t="s">
        <v>13</v>
      </c>
      <c r="Z4" s="3" t="s">
        <v>13</v>
      </c>
      <c r="AA4" s="3" t="s">
        <v>14</v>
      </c>
      <c r="AB4" s="3" t="s">
        <v>14</v>
      </c>
      <c r="AC4" s="51" t="s">
        <v>14</v>
      </c>
      <c r="AD4" s="66" t="s">
        <v>1</v>
      </c>
      <c r="AE4" s="67" t="s">
        <v>1</v>
      </c>
      <c r="AF4" s="4" t="s">
        <v>2</v>
      </c>
      <c r="AG4" s="4" t="s">
        <v>2</v>
      </c>
      <c r="AH4" s="4" t="s">
        <v>1</v>
      </c>
      <c r="AI4" s="4" t="s">
        <v>1</v>
      </c>
      <c r="AJ4" s="52" t="s">
        <v>1</v>
      </c>
      <c r="AK4" s="68" t="s">
        <v>14</v>
      </c>
      <c r="AL4" s="69" t="s">
        <v>14</v>
      </c>
      <c r="AM4" s="5" t="s">
        <v>15</v>
      </c>
      <c r="AN4" s="3" t="s">
        <v>15</v>
      </c>
      <c r="AO4" s="3" t="s">
        <v>15</v>
      </c>
      <c r="AP4" s="35" t="s">
        <v>32</v>
      </c>
      <c r="AQ4" s="53" t="s">
        <v>16</v>
      </c>
      <c r="AR4" s="66" t="s">
        <v>1</v>
      </c>
      <c r="AS4" s="67" t="s">
        <v>1</v>
      </c>
      <c r="AT4" s="113" t="s">
        <v>2</v>
      </c>
      <c r="AU4" s="113" t="s">
        <v>2</v>
      </c>
      <c r="AV4" s="113" t="s">
        <v>2</v>
      </c>
      <c r="AW4" s="113" t="s">
        <v>2</v>
      </c>
      <c r="AX4" s="113" t="s">
        <v>2</v>
      </c>
      <c r="AY4" s="70" t="s">
        <v>16</v>
      </c>
      <c r="AZ4" s="71" t="s">
        <v>16</v>
      </c>
      <c r="BA4" s="5" t="s">
        <v>13</v>
      </c>
      <c r="BB4" s="3" t="s">
        <v>13</v>
      </c>
      <c r="BC4" s="3" t="s">
        <v>14</v>
      </c>
      <c r="BD4" s="3" t="s">
        <v>14</v>
      </c>
      <c r="BE4" s="51" t="s">
        <v>14</v>
      </c>
      <c r="BF4" s="66" t="s">
        <v>1</v>
      </c>
      <c r="BG4" s="67" t="s">
        <v>1</v>
      </c>
      <c r="BH4" s="4" t="s">
        <v>2</v>
      </c>
      <c r="BI4" s="4" t="s">
        <v>2</v>
      </c>
      <c r="BJ4" s="4" t="s">
        <v>1</v>
      </c>
      <c r="BK4" s="4" t="s">
        <v>1</v>
      </c>
      <c r="BL4" s="52" t="s">
        <v>1</v>
      </c>
      <c r="BM4" s="68" t="s">
        <v>14</v>
      </c>
      <c r="BN4" s="69" t="s">
        <v>14</v>
      </c>
      <c r="BO4" s="5" t="s">
        <v>15</v>
      </c>
      <c r="BP4" s="3" t="s">
        <v>15</v>
      </c>
      <c r="BQ4" s="3" t="s">
        <v>15</v>
      </c>
      <c r="BR4" s="35" t="s">
        <v>32</v>
      </c>
      <c r="BS4" s="53" t="s">
        <v>16</v>
      </c>
      <c r="BT4" s="66" t="s">
        <v>1</v>
      </c>
      <c r="BU4" s="67" t="s">
        <v>1</v>
      </c>
      <c r="BV4" s="113" t="s">
        <v>2</v>
      </c>
      <c r="BW4" s="113" t="s">
        <v>2</v>
      </c>
      <c r="BX4" s="113" t="s">
        <v>2</v>
      </c>
      <c r="BY4" s="113" t="s">
        <v>2</v>
      </c>
      <c r="BZ4" s="113" t="s">
        <v>2</v>
      </c>
      <c r="CA4" s="70" t="s">
        <v>16</v>
      </c>
      <c r="CB4" s="71" t="s">
        <v>16</v>
      </c>
      <c r="CC4" s="5" t="s">
        <v>13</v>
      </c>
      <c r="CD4" s="3" t="s">
        <v>13</v>
      </c>
      <c r="CE4" s="3" t="s">
        <v>14</v>
      </c>
      <c r="CF4" s="3" t="s">
        <v>14</v>
      </c>
      <c r="CG4" s="51" t="s">
        <v>14</v>
      </c>
      <c r="CH4" s="66" t="s">
        <v>1</v>
      </c>
      <c r="CI4" s="67" t="s">
        <v>1</v>
      </c>
      <c r="CJ4" s="4" t="s">
        <v>2</v>
      </c>
      <c r="CK4" s="4" t="s">
        <v>2</v>
      </c>
      <c r="CL4" s="4" t="s">
        <v>1</v>
      </c>
      <c r="CM4" s="4" t="s">
        <v>1</v>
      </c>
      <c r="CN4" s="52" t="s">
        <v>1</v>
      </c>
      <c r="CO4" s="68" t="s">
        <v>14</v>
      </c>
      <c r="CP4" s="69" t="s">
        <v>14</v>
      </c>
      <c r="CQ4" s="5" t="s">
        <v>15</v>
      </c>
      <c r="CR4" s="3" t="s">
        <v>15</v>
      </c>
      <c r="CS4" s="3" t="s">
        <v>15</v>
      </c>
      <c r="CT4" s="35" t="s">
        <v>32</v>
      </c>
      <c r="CU4" s="53" t="s">
        <v>16</v>
      </c>
      <c r="CV4" s="66" t="s">
        <v>1</v>
      </c>
      <c r="CW4" s="67" t="s">
        <v>1</v>
      </c>
      <c r="CX4" s="113" t="s">
        <v>2</v>
      </c>
      <c r="CY4" s="113" t="s">
        <v>2</v>
      </c>
      <c r="CZ4" s="113" t="s">
        <v>2</v>
      </c>
      <c r="DA4" s="113" t="s">
        <v>2</v>
      </c>
      <c r="DB4" s="113" t="s">
        <v>2</v>
      </c>
      <c r="DC4" s="70" t="s">
        <v>16</v>
      </c>
      <c r="DD4" s="71" t="s">
        <v>16</v>
      </c>
      <c r="DE4" s="5" t="s">
        <v>13</v>
      </c>
      <c r="DF4" s="3" t="s">
        <v>13</v>
      </c>
      <c r="DG4" s="3" t="s">
        <v>14</v>
      </c>
      <c r="DH4" s="3" t="s">
        <v>14</v>
      </c>
      <c r="DI4" s="51" t="s">
        <v>14</v>
      </c>
      <c r="DJ4" s="66" t="s">
        <v>1</v>
      </c>
      <c r="DK4" s="67" t="s">
        <v>1</v>
      </c>
      <c r="DL4" s="4" t="s">
        <v>2</v>
      </c>
      <c r="DM4" s="4" t="s">
        <v>2</v>
      </c>
      <c r="DN4" s="4" t="s">
        <v>1</v>
      </c>
      <c r="DO4" s="4" t="s">
        <v>1</v>
      </c>
      <c r="DP4" s="52" t="s">
        <v>1</v>
      </c>
      <c r="DQ4" s="68" t="s">
        <v>14</v>
      </c>
      <c r="DR4" s="69" t="s">
        <v>14</v>
      </c>
      <c r="DS4" s="5" t="s">
        <v>15</v>
      </c>
      <c r="DT4" s="3" t="s">
        <v>15</v>
      </c>
      <c r="DU4" s="3" t="s">
        <v>15</v>
      </c>
      <c r="DV4" s="35" t="s">
        <v>32</v>
      </c>
      <c r="DW4" s="53" t="s">
        <v>16</v>
      </c>
      <c r="DX4" s="66" t="s">
        <v>1</v>
      </c>
      <c r="DY4" s="67" t="s">
        <v>1</v>
      </c>
      <c r="DZ4" s="113" t="s">
        <v>2</v>
      </c>
      <c r="EA4" s="113" t="s">
        <v>2</v>
      </c>
      <c r="EB4" s="113" t="s">
        <v>2</v>
      </c>
      <c r="EC4" s="113" t="s">
        <v>2</v>
      </c>
      <c r="ED4" s="113" t="s">
        <v>2</v>
      </c>
      <c r="EE4" s="70" t="s">
        <v>16</v>
      </c>
      <c r="EF4" s="71" t="s">
        <v>16</v>
      </c>
      <c r="EG4" s="5" t="s">
        <v>13</v>
      </c>
      <c r="EH4" s="3" t="s">
        <v>13</v>
      </c>
      <c r="EI4" s="3" t="s">
        <v>14</v>
      </c>
      <c r="EJ4" s="3" t="s">
        <v>14</v>
      </c>
      <c r="EK4" s="51" t="s">
        <v>14</v>
      </c>
      <c r="EL4" s="66" t="s">
        <v>1</v>
      </c>
      <c r="EM4" s="67" t="s">
        <v>1</v>
      </c>
      <c r="EN4" s="4" t="s">
        <v>2</v>
      </c>
      <c r="EO4" s="4" t="s">
        <v>2</v>
      </c>
      <c r="EP4" s="4" t="s">
        <v>1</v>
      </c>
      <c r="EQ4" s="4" t="s">
        <v>1</v>
      </c>
      <c r="ER4" s="52" t="s">
        <v>1</v>
      </c>
      <c r="ES4" s="68" t="s">
        <v>14</v>
      </c>
      <c r="ET4" s="69" t="s">
        <v>14</v>
      </c>
      <c r="EU4" s="5" t="s">
        <v>15</v>
      </c>
      <c r="EV4" s="3" t="s">
        <v>15</v>
      </c>
      <c r="EW4" s="3" t="s">
        <v>15</v>
      </c>
      <c r="EX4" s="35" t="s">
        <v>32</v>
      </c>
      <c r="EY4" s="53" t="s">
        <v>16</v>
      </c>
      <c r="EZ4" s="66" t="s">
        <v>1</v>
      </c>
      <c r="FA4" s="67" t="s">
        <v>1</v>
      </c>
      <c r="FB4" s="113" t="s">
        <v>2</v>
      </c>
      <c r="FC4" s="113" t="s">
        <v>2</v>
      </c>
      <c r="FD4" s="113" t="s">
        <v>2</v>
      </c>
      <c r="FE4" s="113" t="s">
        <v>2</v>
      </c>
      <c r="FF4" s="113" t="s">
        <v>2</v>
      </c>
      <c r="FG4" s="70" t="s">
        <v>16</v>
      </c>
      <c r="FH4" s="71" t="s">
        <v>16</v>
      </c>
      <c r="FI4" s="5" t="s">
        <v>13</v>
      </c>
      <c r="FJ4" s="3" t="s">
        <v>13</v>
      </c>
      <c r="FK4" s="3" t="s">
        <v>14</v>
      </c>
      <c r="FL4" s="3" t="s">
        <v>14</v>
      </c>
      <c r="FM4" s="51" t="s">
        <v>14</v>
      </c>
      <c r="FN4" s="66" t="s">
        <v>1</v>
      </c>
      <c r="FO4" s="67" t="s">
        <v>1</v>
      </c>
      <c r="FP4" s="4" t="s">
        <v>2</v>
      </c>
      <c r="FQ4" s="4" t="s">
        <v>2</v>
      </c>
      <c r="FR4" s="4" t="s">
        <v>1</v>
      </c>
      <c r="FS4" s="4" t="s">
        <v>1</v>
      </c>
      <c r="FT4" s="52" t="s">
        <v>1</v>
      </c>
      <c r="FU4" s="68" t="s">
        <v>14</v>
      </c>
      <c r="FV4" s="69" t="s">
        <v>14</v>
      </c>
      <c r="FW4" s="5" t="s">
        <v>15</v>
      </c>
      <c r="FX4" s="3" t="s">
        <v>15</v>
      </c>
      <c r="FY4" s="3" t="s">
        <v>15</v>
      </c>
      <c r="FZ4" s="35" t="s">
        <v>32</v>
      </c>
      <c r="GA4" s="53" t="s">
        <v>16</v>
      </c>
      <c r="GB4" s="66" t="s">
        <v>1</v>
      </c>
      <c r="GC4" s="67" t="s">
        <v>1</v>
      </c>
      <c r="GD4" s="113" t="s">
        <v>2</v>
      </c>
      <c r="GE4" s="113" t="s">
        <v>2</v>
      </c>
      <c r="GF4" s="113" t="s">
        <v>2</v>
      </c>
      <c r="GG4" s="113" t="s">
        <v>2</v>
      </c>
      <c r="GH4" s="113" t="s">
        <v>2</v>
      </c>
      <c r="GI4" s="70" t="s">
        <v>16</v>
      </c>
      <c r="GJ4" s="71" t="s">
        <v>16</v>
      </c>
      <c r="GK4" s="5" t="s">
        <v>13</v>
      </c>
      <c r="GL4" s="3" t="s">
        <v>13</v>
      </c>
      <c r="GM4" s="3" t="s">
        <v>14</v>
      </c>
      <c r="GN4" s="3" t="s">
        <v>14</v>
      </c>
      <c r="GO4" s="51" t="s">
        <v>14</v>
      </c>
      <c r="GP4" s="66" t="s">
        <v>1</v>
      </c>
      <c r="GQ4" s="67" t="s">
        <v>1</v>
      </c>
      <c r="GR4" s="4" t="s">
        <v>2</v>
      </c>
      <c r="GS4" s="4" t="s">
        <v>2</v>
      </c>
      <c r="GT4" s="4" t="s">
        <v>1</v>
      </c>
      <c r="GU4" s="4" t="s">
        <v>1</v>
      </c>
      <c r="GV4" s="52" t="s">
        <v>1</v>
      </c>
      <c r="GW4" s="68" t="s">
        <v>14</v>
      </c>
      <c r="GX4" s="69" t="s">
        <v>14</v>
      </c>
      <c r="GY4" s="5" t="s">
        <v>15</v>
      </c>
      <c r="GZ4" s="3" t="s">
        <v>15</v>
      </c>
      <c r="HA4" s="3" t="s">
        <v>15</v>
      </c>
      <c r="HB4" s="35" t="s">
        <v>15</v>
      </c>
      <c r="HC4" s="53" t="s">
        <v>16</v>
      </c>
      <c r="HD4" s="66" t="s">
        <v>1</v>
      </c>
      <c r="HE4" s="67" t="s">
        <v>1</v>
      </c>
      <c r="HF4" s="113" t="s">
        <v>2</v>
      </c>
      <c r="HG4" s="113" t="s">
        <v>2</v>
      </c>
      <c r="HH4" s="113" t="s">
        <v>2</v>
      </c>
      <c r="HI4" s="113" t="s">
        <v>2</v>
      </c>
      <c r="HJ4" s="113" t="s">
        <v>2</v>
      </c>
      <c r="HK4" s="70" t="s">
        <v>16</v>
      </c>
      <c r="HL4" s="71" t="s">
        <v>16</v>
      </c>
      <c r="HM4" s="5" t="s">
        <v>13</v>
      </c>
      <c r="HN4" s="3" t="s">
        <v>13</v>
      </c>
      <c r="HO4" s="3" t="s">
        <v>14</v>
      </c>
      <c r="HP4" s="3" t="s">
        <v>14</v>
      </c>
      <c r="HQ4" s="51" t="s">
        <v>14</v>
      </c>
      <c r="HR4" s="66" t="s">
        <v>1</v>
      </c>
      <c r="HS4" s="67" t="s">
        <v>1</v>
      </c>
      <c r="HT4" s="4" t="s">
        <v>2</v>
      </c>
      <c r="HU4" s="4" t="s">
        <v>2</v>
      </c>
      <c r="HV4" s="4" t="s">
        <v>1</v>
      </c>
      <c r="HW4" s="4" t="s">
        <v>1</v>
      </c>
      <c r="HX4" s="52" t="s">
        <v>1</v>
      </c>
      <c r="HY4" s="68" t="s">
        <v>14</v>
      </c>
      <c r="HZ4" s="69" t="s">
        <v>14</v>
      </c>
      <c r="IA4" s="5" t="s">
        <v>15</v>
      </c>
      <c r="IB4" s="3" t="s">
        <v>15</v>
      </c>
      <c r="IC4" s="3" t="s">
        <v>15</v>
      </c>
      <c r="ID4" s="35" t="s">
        <v>15</v>
      </c>
      <c r="IE4" s="53" t="s">
        <v>16</v>
      </c>
      <c r="IF4" s="66" t="s">
        <v>1</v>
      </c>
      <c r="IG4" s="67" t="s">
        <v>1</v>
      </c>
      <c r="IH4" s="113" t="s">
        <v>2</v>
      </c>
      <c r="II4" s="113" t="s">
        <v>2</v>
      </c>
      <c r="IJ4" s="113" t="s">
        <v>2</v>
      </c>
      <c r="IK4" s="113" t="s">
        <v>2</v>
      </c>
      <c r="IL4" s="113" t="s">
        <v>2</v>
      </c>
      <c r="IM4" s="70" t="s">
        <v>16</v>
      </c>
      <c r="IN4" s="71" t="s">
        <v>16</v>
      </c>
      <c r="IO4" s="5" t="s">
        <v>13</v>
      </c>
      <c r="IP4" s="3" t="s">
        <v>13</v>
      </c>
      <c r="IQ4" s="3" t="s">
        <v>14</v>
      </c>
      <c r="IR4" s="3" t="s">
        <v>14</v>
      </c>
      <c r="IS4" s="51" t="s">
        <v>14</v>
      </c>
      <c r="IT4" s="66" t="s">
        <v>1</v>
      </c>
      <c r="IU4" s="67" t="s">
        <v>1</v>
      </c>
      <c r="IV4" s="4" t="s">
        <v>2</v>
      </c>
      <c r="IW4" s="4" t="s">
        <v>2</v>
      </c>
      <c r="IX4" s="4" t="s">
        <v>1</v>
      </c>
      <c r="IY4" s="4" t="s">
        <v>1</v>
      </c>
      <c r="IZ4" s="52" t="s">
        <v>1</v>
      </c>
      <c r="JA4" s="68" t="s">
        <v>14</v>
      </c>
      <c r="JB4" s="69" t="s">
        <v>14</v>
      </c>
      <c r="JC4" s="5" t="s">
        <v>15</v>
      </c>
      <c r="JD4" s="3" t="s">
        <v>15</v>
      </c>
      <c r="JE4" s="3" t="s">
        <v>15</v>
      </c>
      <c r="JF4" s="35" t="s">
        <v>15</v>
      </c>
      <c r="JG4" s="53" t="s">
        <v>16</v>
      </c>
      <c r="JH4" s="66" t="s">
        <v>1</v>
      </c>
      <c r="JI4" s="67" t="s">
        <v>1</v>
      </c>
      <c r="JJ4" s="113" t="s">
        <v>2</v>
      </c>
      <c r="JK4" s="113" t="s">
        <v>2</v>
      </c>
      <c r="JL4" s="113" t="s">
        <v>2</v>
      </c>
      <c r="JM4" s="113" t="s">
        <v>2</v>
      </c>
      <c r="JN4" s="113" t="s">
        <v>2</v>
      </c>
      <c r="JO4" s="70" t="s">
        <v>16</v>
      </c>
      <c r="JP4" s="71" t="s">
        <v>16</v>
      </c>
      <c r="JQ4" s="5" t="s">
        <v>13</v>
      </c>
      <c r="JR4" s="3" t="s">
        <v>13</v>
      </c>
      <c r="JS4" s="3" t="s">
        <v>14</v>
      </c>
      <c r="JT4" s="3" t="s">
        <v>14</v>
      </c>
      <c r="JU4" s="51" t="s">
        <v>14</v>
      </c>
      <c r="JV4" s="66" t="s">
        <v>1</v>
      </c>
      <c r="JW4" s="67" t="s">
        <v>1</v>
      </c>
      <c r="JX4" s="4" t="s">
        <v>2</v>
      </c>
      <c r="JY4" s="4" t="s">
        <v>2</v>
      </c>
      <c r="JZ4" s="4" t="s">
        <v>1</v>
      </c>
      <c r="KA4" s="4" t="s">
        <v>1</v>
      </c>
      <c r="KB4" s="52" t="s">
        <v>1</v>
      </c>
      <c r="KC4" s="68" t="s">
        <v>14</v>
      </c>
      <c r="KD4" s="69" t="s">
        <v>14</v>
      </c>
      <c r="KE4" s="5" t="s">
        <v>15</v>
      </c>
      <c r="KF4" s="3" t="s">
        <v>15</v>
      </c>
      <c r="KG4" s="3" t="s">
        <v>15</v>
      </c>
      <c r="KH4" s="35" t="s">
        <v>15</v>
      </c>
      <c r="KI4" s="53" t="s">
        <v>16</v>
      </c>
      <c r="KJ4" s="66" t="s">
        <v>1</v>
      </c>
      <c r="KK4" s="67" t="s">
        <v>1</v>
      </c>
      <c r="KL4" s="113" t="s">
        <v>2</v>
      </c>
      <c r="KM4" s="113" t="s">
        <v>2</v>
      </c>
      <c r="KN4" s="113" t="s">
        <v>2</v>
      </c>
      <c r="KO4" s="113" t="s">
        <v>2</v>
      </c>
      <c r="KP4" s="113" t="s">
        <v>2</v>
      </c>
      <c r="KQ4" s="70" t="s">
        <v>16</v>
      </c>
      <c r="KR4" s="71" t="s">
        <v>16</v>
      </c>
      <c r="KS4" s="5" t="s">
        <v>13</v>
      </c>
      <c r="KT4" s="3" t="s">
        <v>13</v>
      </c>
      <c r="KU4" s="3" t="s">
        <v>14</v>
      </c>
      <c r="KV4" s="3" t="s">
        <v>14</v>
      </c>
      <c r="KW4" s="51" t="s">
        <v>14</v>
      </c>
      <c r="KX4" s="66" t="s">
        <v>1</v>
      </c>
      <c r="KY4" s="67" t="s">
        <v>1</v>
      </c>
      <c r="KZ4" s="4" t="s">
        <v>2</v>
      </c>
      <c r="LA4" s="4" t="s">
        <v>2</v>
      </c>
      <c r="LB4" s="4" t="s">
        <v>1</v>
      </c>
      <c r="LC4" s="4" t="s">
        <v>1</v>
      </c>
      <c r="LD4" s="52" t="s">
        <v>1</v>
      </c>
      <c r="LE4" s="68" t="s">
        <v>14</v>
      </c>
      <c r="LF4" s="69" t="s">
        <v>14</v>
      </c>
      <c r="LG4" s="5" t="s">
        <v>15</v>
      </c>
      <c r="LH4" s="3" t="s">
        <v>15</v>
      </c>
      <c r="LI4" s="3" t="s">
        <v>15</v>
      </c>
      <c r="LJ4" s="35" t="s">
        <v>15</v>
      </c>
      <c r="LK4" s="53" t="s">
        <v>16</v>
      </c>
      <c r="LL4" s="66" t="s">
        <v>1</v>
      </c>
      <c r="LM4" s="67" t="s">
        <v>1</v>
      </c>
      <c r="LN4" s="113" t="s">
        <v>2</v>
      </c>
      <c r="LO4" s="113" t="s">
        <v>2</v>
      </c>
      <c r="LP4" s="113" t="s">
        <v>2</v>
      </c>
      <c r="LQ4" s="113" t="s">
        <v>2</v>
      </c>
      <c r="LR4" s="113" t="s">
        <v>2</v>
      </c>
      <c r="LS4" s="70" t="s">
        <v>16</v>
      </c>
      <c r="LT4" s="71" t="s">
        <v>16</v>
      </c>
      <c r="LU4" s="5" t="s">
        <v>13</v>
      </c>
      <c r="LV4" s="3" t="s">
        <v>13</v>
      </c>
      <c r="LW4" s="3" t="s">
        <v>14</v>
      </c>
      <c r="LX4" s="3" t="s">
        <v>14</v>
      </c>
      <c r="LY4" s="51" t="s">
        <v>14</v>
      </c>
      <c r="LZ4" s="66" t="s">
        <v>1</v>
      </c>
      <c r="MA4" s="67" t="s">
        <v>1</v>
      </c>
      <c r="MB4" s="4" t="s">
        <v>2</v>
      </c>
      <c r="MC4" s="4" t="s">
        <v>2</v>
      </c>
      <c r="MD4" s="4" t="s">
        <v>1</v>
      </c>
      <c r="ME4" s="4" t="s">
        <v>1</v>
      </c>
      <c r="MF4" s="52" t="s">
        <v>1</v>
      </c>
      <c r="MG4" s="68" t="s">
        <v>14</v>
      </c>
      <c r="MH4" s="69" t="s">
        <v>14</v>
      </c>
      <c r="MI4" s="5" t="s">
        <v>15</v>
      </c>
      <c r="MJ4" s="3" t="s">
        <v>15</v>
      </c>
      <c r="MK4" s="3" t="s">
        <v>15</v>
      </c>
      <c r="ML4" s="35" t="s">
        <v>15</v>
      </c>
      <c r="MM4" s="53" t="s">
        <v>16</v>
      </c>
      <c r="MN4" s="66" t="s">
        <v>1</v>
      </c>
      <c r="MO4" s="67" t="s">
        <v>1</v>
      </c>
      <c r="MP4" s="113" t="s">
        <v>2</v>
      </c>
      <c r="MQ4" s="113" t="s">
        <v>2</v>
      </c>
      <c r="MR4" s="113" t="s">
        <v>2</v>
      </c>
      <c r="MS4" s="113" t="s">
        <v>2</v>
      </c>
      <c r="MT4" s="113" t="s">
        <v>2</v>
      </c>
      <c r="MU4" s="70" t="s">
        <v>16</v>
      </c>
      <c r="MV4" s="71" t="s">
        <v>16</v>
      </c>
      <c r="MW4" s="5" t="s">
        <v>13</v>
      </c>
      <c r="MX4" s="3" t="s">
        <v>13</v>
      </c>
      <c r="MY4" s="3" t="s">
        <v>14</v>
      </c>
      <c r="MZ4" s="3" t="s">
        <v>14</v>
      </c>
      <c r="NA4" s="51" t="s">
        <v>14</v>
      </c>
      <c r="NB4" s="66" t="s">
        <v>1</v>
      </c>
      <c r="NC4" s="67" t="s">
        <v>1</v>
      </c>
      <c r="ND4" s="113" t="s">
        <v>2</v>
      </c>
    </row>
    <row r="5" spans="2:368">
      <c r="B5" s="359" t="s">
        <v>19</v>
      </c>
      <c r="C5" s="366"/>
      <c r="D5" s="119" t="s">
        <v>8</v>
      </c>
      <c r="E5" s="75" t="s">
        <v>8</v>
      </c>
      <c r="F5" s="75" t="s">
        <v>8</v>
      </c>
      <c r="G5" s="33"/>
      <c r="H5" s="53" t="s">
        <v>7</v>
      </c>
      <c r="I5" s="66" t="s">
        <v>1</v>
      </c>
      <c r="J5" s="67" t="s">
        <v>1</v>
      </c>
      <c r="K5" s="113" t="s">
        <v>2</v>
      </c>
      <c r="L5" s="113" t="s">
        <v>2</v>
      </c>
      <c r="M5" s="113" t="s">
        <v>2</v>
      </c>
      <c r="N5" s="113" t="s">
        <v>2</v>
      </c>
      <c r="O5" s="113" t="s">
        <v>2</v>
      </c>
      <c r="P5" s="70" t="s">
        <v>7</v>
      </c>
      <c r="Q5" s="71" t="s">
        <v>7</v>
      </c>
      <c r="R5" s="6" t="s">
        <v>1</v>
      </c>
      <c r="S5" s="4" t="s">
        <v>1</v>
      </c>
      <c r="T5" s="113" t="s">
        <v>2</v>
      </c>
      <c r="U5" s="113" t="s">
        <v>2</v>
      </c>
      <c r="V5" s="113" t="s">
        <v>2</v>
      </c>
      <c r="W5" s="103" t="s">
        <v>1</v>
      </c>
      <c r="X5" s="67" t="s">
        <v>1</v>
      </c>
      <c r="Y5" s="113" t="s">
        <v>2</v>
      </c>
      <c r="Z5" s="113" t="s">
        <v>2</v>
      </c>
      <c r="AA5" s="4" t="s">
        <v>1</v>
      </c>
      <c r="AB5" s="4" t="s">
        <v>1</v>
      </c>
      <c r="AC5" s="52" t="s">
        <v>1</v>
      </c>
      <c r="AD5" s="113" t="s">
        <v>2</v>
      </c>
      <c r="AE5" s="113" t="s">
        <v>2</v>
      </c>
      <c r="AF5" s="75" t="s">
        <v>8</v>
      </c>
      <c r="AG5" s="75" t="s">
        <v>8</v>
      </c>
      <c r="AH5" s="75" t="s">
        <v>8</v>
      </c>
      <c r="AI5" s="33"/>
      <c r="AJ5" s="53" t="s">
        <v>7</v>
      </c>
      <c r="AK5" s="66" t="s">
        <v>1</v>
      </c>
      <c r="AL5" s="67" t="s">
        <v>1</v>
      </c>
      <c r="AM5" s="113" t="s">
        <v>2</v>
      </c>
      <c r="AN5" s="113" t="s">
        <v>2</v>
      </c>
      <c r="AO5" s="113" t="s">
        <v>2</v>
      </c>
      <c r="AP5" s="113" t="s">
        <v>2</v>
      </c>
      <c r="AQ5" s="113" t="s">
        <v>2</v>
      </c>
      <c r="AR5" s="70" t="s">
        <v>7</v>
      </c>
      <c r="AS5" s="71" t="s">
        <v>7</v>
      </c>
      <c r="AT5" s="6" t="s">
        <v>1</v>
      </c>
      <c r="AU5" s="4" t="s">
        <v>1</v>
      </c>
      <c r="AV5" s="113" t="s">
        <v>2</v>
      </c>
      <c r="AW5" s="113" t="s">
        <v>2</v>
      </c>
      <c r="AX5" s="113" t="s">
        <v>2</v>
      </c>
      <c r="AY5" s="103" t="s">
        <v>1</v>
      </c>
      <c r="AZ5" s="67" t="s">
        <v>1</v>
      </c>
      <c r="BA5" s="113" t="s">
        <v>2</v>
      </c>
      <c r="BB5" s="113" t="s">
        <v>2</v>
      </c>
      <c r="BC5" s="4" t="s">
        <v>1</v>
      </c>
      <c r="BD5" s="4" t="s">
        <v>1</v>
      </c>
      <c r="BE5" s="52" t="s">
        <v>1</v>
      </c>
      <c r="BF5" s="113" t="s">
        <v>2</v>
      </c>
      <c r="BG5" s="113" t="s">
        <v>2</v>
      </c>
      <c r="BH5" s="75" t="s">
        <v>8</v>
      </c>
      <c r="BI5" s="75" t="s">
        <v>8</v>
      </c>
      <c r="BJ5" s="75" t="s">
        <v>8</v>
      </c>
      <c r="BK5" s="33"/>
      <c r="BL5" s="53" t="s">
        <v>7</v>
      </c>
      <c r="BM5" s="66" t="s">
        <v>1</v>
      </c>
      <c r="BN5" s="67" t="s">
        <v>1</v>
      </c>
      <c r="BO5" s="113" t="s">
        <v>2</v>
      </c>
      <c r="BP5" s="113" t="s">
        <v>2</v>
      </c>
      <c r="BQ5" s="113" t="s">
        <v>2</v>
      </c>
      <c r="BR5" s="113" t="s">
        <v>2</v>
      </c>
      <c r="BS5" s="113" t="s">
        <v>2</v>
      </c>
      <c r="BT5" s="70" t="s">
        <v>7</v>
      </c>
      <c r="BU5" s="71" t="s">
        <v>7</v>
      </c>
      <c r="BV5" s="6" t="s">
        <v>1</v>
      </c>
      <c r="BW5" s="4" t="s">
        <v>1</v>
      </c>
      <c r="BX5" s="113" t="s">
        <v>2</v>
      </c>
      <c r="BY5" s="113" t="s">
        <v>2</v>
      </c>
      <c r="BZ5" s="113" t="s">
        <v>2</v>
      </c>
      <c r="CA5" s="103" t="s">
        <v>1</v>
      </c>
      <c r="CB5" s="67" t="s">
        <v>1</v>
      </c>
      <c r="CC5" s="113" t="s">
        <v>2</v>
      </c>
      <c r="CD5" s="113" t="s">
        <v>2</v>
      </c>
      <c r="CE5" s="4" t="s">
        <v>1</v>
      </c>
      <c r="CF5" s="4" t="s">
        <v>1</v>
      </c>
      <c r="CG5" s="52" t="s">
        <v>1</v>
      </c>
      <c r="CH5" s="113" t="s">
        <v>2</v>
      </c>
      <c r="CI5" s="113" t="s">
        <v>2</v>
      </c>
      <c r="CJ5" s="75" t="s">
        <v>8</v>
      </c>
      <c r="CK5" s="75" t="s">
        <v>8</v>
      </c>
      <c r="CL5" s="75" t="s">
        <v>8</v>
      </c>
      <c r="CM5" s="33"/>
      <c r="CN5" s="53" t="s">
        <v>7</v>
      </c>
      <c r="CO5" s="66" t="s">
        <v>1</v>
      </c>
      <c r="CP5" s="67" t="s">
        <v>1</v>
      </c>
      <c r="CQ5" s="113" t="s">
        <v>2</v>
      </c>
      <c r="CR5" s="113" t="s">
        <v>2</v>
      </c>
      <c r="CS5" s="113" t="s">
        <v>2</v>
      </c>
      <c r="CT5" s="113" t="s">
        <v>2</v>
      </c>
      <c r="CU5" s="113" t="s">
        <v>2</v>
      </c>
      <c r="CV5" s="70" t="s">
        <v>7</v>
      </c>
      <c r="CW5" s="71" t="s">
        <v>7</v>
      </c>
      <c r="CX5" s="6" t="s">
        <v>1</v>
      </c>
      <c r="CY5" s="4" t="s">
        <v>1</v>
      </c>
      <c r="CZ5" s="113" t="s">
        <v>2</v>
      </c>
      <c r="DA5" s="113" t="s">
        <v>2</v>
      </c>
      <c r="DB5" s="113" t="s">
        <v>2</v>
      </c>
      <c r="DC5" s="103" t="s">
        <v>1</v>
      </c>
      <c r="DD5" s="67" t="s">
        <v>1</v>
      </c>
      <c r="DE5" s="113" t="s">
        <v>2</v>
      </c>
      <c r="DF5" s="113" t="s">
        <v>2</v>
      </c>
      <c r="DG5" s="4" t="s">
        <v>1</v>
      </c>
      <c r="DH5" s="4" t="s">
        <v>1</v>
      </c>
      <c r="DI5" s="52" t="s">
        <v>1</v>
      </c>
      <c r="DJ5" s="113" t="s">
        <v>2</v>
      </c>
      <c r="DK5" s="113" t="s">
        <v>2</v>
      </c>
      <c r="DL5" s="75" t="s">
        <v>8</v>
      </c>
      <c r="DM5" s="75" t="s">
        <v>8</v>
      </c>
      <c r="DN5" s="75" t="s">
        <v>8</v>
      </c>
      <c r="DO5" s="33"/>
      <c r="DP5" s="53" t="s">
        <v>7</v>
      </c>
      <c r="DQ5" s="66" t="s">
        <v>1</v>
      </c>
      <c r="DR5" s="67" t="s">
        <v>1</v>
      </c>
      <c r="DS5" s="113" t="s">
        <v>2</v>
      </c>
      <c r="DT5" s="113" t="s">
        <v>2</v>
      </c>
      <c r="DU5" s="113" t="s">
        <v>2</v>
      </c>
      <c r="DV5" s="113" t="s">
        <v>2</v>
      </c>
      <c r="DW5" s="113" t="s">
        <v>2</v>
      </c>
      <c r="DX5" s="70" t="s">
        <v>7</v>
      </c>
      <c r="DY5" s="71" t="s">
        <v>7</v>
      </c>
      <c r="DZ5" s="6" t="s">
        <v>1</v>
      </c>
      <c r="EA5" s="4" t="s">
        <v>1</v>
      </c>
      <c r="EB5" s="113" t="s">
        <v>2</v>
      </c>
      <c r="EC5" s="113" t="s">
        <v>2</v>
      </c>
      <c r="ED5" s="113" t="s">
        <v>2</v>
      </c>
      <c r="EE5" s="103" t="s">
        <v>1</v>
      </c>
      <c r="EF5" s="67" t="s">
        <v>1</v>
      </c>
      <c r="EG5" s="113" t="s">
        <v>2</v>
      </c>
      <c r="EH5" s="113" t="s">
        <v>2</v>
      </c>
      <c r="EI5" s="4" t="s">
        <v>1</v>
      </c>
      <c r="EJ5" s="4" t="s">
        <v>1</v>
      </c>
      <c r="EK5" s="52" t="s">
        <v>1</v>
      </c>
      <c r="EL5" s="113" t="s">
        <v>2</v>
      </c>
      <c r="EM5" s="113" t="s">
        <v>2</v>
      </c>
      <c r="EN5" s="75" t="s">
        <v>8</v>
      </c>
      <c r="EO5" s="75" t="s">
        <v>8</v>
      </c>
      <c r="EP5" s="75" t="s">
        <v>8</v>
      </c>
      <c r="EQ5" s="33"/>
      <c r="ER5" s="53" t="s">
        <v>7</v>
      </c>
      <c r="ES5" s="66" t="s">
        <v>1</v>
      </c>
      <c r="ET5" s="67" t="s">
        <v>1</v>
      </c>
      <c r="EU5" s="113" t="s">
        <v>2</v>
      </c>
      <c r="EV5" s="113" t="s">
        <v>2</v>
      </c>
      <c r="EW5" s="113" t="s">
        <v>2</v>
      </c>
      <c r="EX5" s="113" t="s">
        <v>2</v>
      </c>
      <c r="EY5" s="113" t="s">
        <v>2</v>
      </c>
      <c r="EZ5" s="70" t="s">
        <v>7</v>
      </c>
      <c r="FA5" s="71" t="s">
        <v>7</v>
      </c>
      <c r="FB5" s="6" t="s">
        <v>1</v>
      </c>
      <c r="FC5" s="4" t="s">
        <v>1</v>
      </c>
      <c r="FD5" s="113" t="s">
        <v>2</v>
      </c>
      <c r="FE5" s="113" t="s">
        <v>2</v>
      </c>
      <c r="FF5" s="113" t="s">
        <v>2</v>
      </c>
      <c r="FG5" s="103" t="s">
        <v>1</v>
      </c>
      <c r="FH5" s="67" t="s">
        <v>1</v>
      </c>
      <c r="FI5" s="113" t="s">
        <v>2</v>
      </c>
      <c r="FJ5" s="113" t="s">
        <v>2</v>
      </c>
      <c r="FK5" s="4" t="s">
        <v>1</v>
      </c>
      <c r="FL5" s="4" t="s">
        <v>1</v>
      </c>
      <c r="FM5" s="52" t="s">
        <v>1</v>
      </c>
      <c r="FN5" s="113" t="s">
        <v>2</v>
      </c>
      <c r="FO5" s="113" t="s">
        <v>2</v>
      </c>
      <c r="FP5" s="75" t="s">
        <v>8</v>
      </c>
      <c r="FQ5" s="75" t="s">
        <v>8</v>
      </c>
      <c r="FR5" s="75" t="s">
        <v>8</v>
      </c>
      <c r="FS5" s="33"/>
      <c r="FT5" s="53" t="s">
        <v>7</v>
      </c>
      <c r="FU5" s="66" t="s">
        <v>1</v>
      </c>
      <c r="FV5" s="67" t="s">
        <v>1</v>
      </c>
      <c r="FW5" s="113" t="s">
        <v>2</v>
      </c>
      <c r="FX5" s="113" t="s">
        <v>2</v>
      </c>
      <c r="FY5" s="113" t="s">
        <v>2</v>
      </c>
      <c r="FZ5" s="113" t="s">
        <v>2</v>
      </c>
      <c r="GA5" s="113" t="s">
        <v>2</v>
      </c>
      <c r="GB5" s="70" t="s">
        <v>7</v>
      </c>
      <c r="GC5" s="71" t="s">
        <v>7</v>
      </c>
      <c r="GD5" s="6" t="s">
        <v>1</v>
      </c>
      <c r="GE5" s="4" t="s">
        <v>1</v>
      </c>
      <c r="GF5" s="113" t="s">
        <v>2</v>
      </c>
      <c r="GG5" s="113" t="s">
        <v>2</v>
      </c>
      <c r="GH5" s="113" t="s">
        <v>2</v>
      </c>
      <c r="GI5" s="103" t="s">
        <v>1</v>
      </c>
      <c r="GJ5" s="67" t="s">
        <v>1</v>
      </c>
      <c r="GK5" s="113" t="s">
        <v>2</v>
      </c>
      <c r="GL5" s="113" t="s">
        <v>2</v>
      </c>
      <c r="GM5" s="4" t="s">
        <v>1</v>
      </c>
      <c r="GN5" s="4" t="s">
        <v>1</v>
      </c>
      <c r="GO5" s="52" t="s">
        <v>1</v>
      </c>
      <c r="GP5" s="113" t="s">
        <v>2</v>
      </c>
      <c r="GQ5" s="113" t="s">
        <v>2</v>
      </c>
      <c r="GR5" s="75" t="s">
        <v>8</v>
      </c>
      <c r="GS5" s="75" t="s">
        <v>8</v>
      </c>
      <c r="GT5" s="75" t="s">
        <v>8</v>
      </c>
      <c r="GU5" s="33" t="s">
        <v>8</v>
      </c>
      <c r="GV5" s="53" t="s">
        <v>7</v>
      </c>
      <c r="GW5" s="66" t="s">
        <v>1</v>
      </c>
      <c r="GX5" s="67" t="s">
        <v>1</v>
      </c>
      <c r="GY5" s="113" t="s">
        <v>2</v>
      </c>
      <c r="GZ5" s="113" t="s">
        <v>2</v>
      </c>
      <c r="HA5" s="113" t="s">
        <v>2</v>
      </c>
      <c r="HB5" s="113" t="s">
        <v>2</v>
      </c>
      <c r="HC5" s="113" t="s">
        <v>2</v>
      </c>
      <c r="HD5" s="70" t="s">
        <v>7</v>
      </c>
      <c r="HE5" s="71" t="s">
        <v>7</v>
      </c>
      <c r="HF5" s="6" t="s">
        <v>1</v>
      </c>
      <c r="HG5" s="4" t="s">
        <v>1</v>
      </c>
      <c r="HH5" s="113" t="s">
        <v>2</v>
      </c>
      <c r="HI5" s="113" t="s">
        <v>2</v>
      </c>
      <c r="HJ5" s="113" t="s">
        <v>2</v>
      </c>
      <c r="HK5" s="103" t="s">
        <v>1</v>
      </c>
      <c r="HL5" s="67" t="s">
        <v>1</v>
      </c>
      <c r="HM5" s="113" t="s">
        <v>2</v>
      </c>
      <c r="HN5" s="113" t="s">
        <v>2</v>
      </c>
      <c r="HO5" s="4" t="s">
        <v>1</v>
      </c>
      <c r="HP5" s="4" t="s">
        <v>1</v>
      </c>
      <c r="HQ5" s="52" t="s">
        <v>1</v>
      </c>
      <c r="HR5" s="113" t="s">
        <v>2</v>
      </c>
      <c r="HS5" s="113" t="s">
        <v>2</v>
      </c>
      <c r="HT5" s="75" t="s">
        <v>8</v>
      </c>
      <c r="HU5" s="75" t="s">
        <v>8</v>
      </c>
      <c r="HV5" s="75" t="s">
        <v>8</v>
      </c>
      <c r="HW5" s="33" t="s">
        <v>8</v>
      </c>
      <c r="HX5" s="53" t="s">
        <v>7</v>
      </c>
      <c r="HY5" s="66" t="s">
        <v>1</v>
      </c>
      <c r="HZ5" s="67" t="s">
        <v>1</v>
      </c>
      <c r="IA5" s="113" t="s">
        <v>2</v>
      </c>
      <c r="IB5" s="113" t="s">
        <v>2</v>
      </c>
      <c r="IC5" s="113" t="s">
        <v>2</v>
      </c>
      <c r="ID5" s="113" t="s">
        <v>2</v>
      </c>
      <c r="IE5" s="113" t="s">
        <v>2</v>
      </c>
      <c r="IF5" s="70" t="s">
        <v>7</v>
      </c>
      <c r="IG5" s="71" t="s">
        <v>7</v>
      </c>
      <c r="IH5" s="6" t="s">
        <v>1</v>
      </c>
      <c r="II5" s="4" t="s">
        <v>1</v>
      </c>
      <c r="IJ5" s="113" t="s">
        <v>2</v>
      </c>
      <c r="IK5" s="113" t="s">
        <v>2</v>
      </c>
      <c r="IL5" s="113" t="s">
        <v>2</v>
      </c>
      <c r="IM5" s="103" t="s">
        <v>1</v>
      </c>
      <c r="IN5" s="67" t="s">
        <v>1</v>
      </c>
      <c r="IO5" s="113" t="s">
        <v>2</v>
      </c>
      <c r="IP5" s="113" t="s">
        <v>2</v>
      </c>
      <c r="IQ5" s="4" t="s">
        <v>1</v>
      </c>
      <c r="IR5" s="4" t="s">
        <v>1</v>
      </c>
      <c r="IS5" s="52" t="s">
        <v>1</v>
      </c>
      <c r="IT5" s="113" t="s">
        <v>2</v>
      </c>
      <c r="IU5" s="113" t="s">
        <v>2</v>
      </c>
      <c r="IV5" s="75" t="s">
        <v>8</v>
      </c>
      <c r="IW5" s="75" t="s">
        <v>8</v>
      </c>
      <c r="IX5" s="75" t="s">
        <v>8</v>
      </c>
      <c r="IY5" s="33" t="s">
        <v>8</v>
      </c>
      <c r="IZ5" s="53" t="s">
        <v>7</v>
      </c>
      <c r="JA5" s="66" t="s">
        <v>1</v>
      </c>
      <c r="JB5" s="67" t="s">
        <v>1</v>
      </c>
      <c r="JC5" s="113" t="s">
        <v>2</v>
      </c>
      <c r="JD5" s="113" t="s">
        <v>2</v>
      </c>
      <c r="JE5" s="113" t="s">
        <v>2</v>
      </c>
      <c r="JF5" s="113" t="s">
        <v>2</v>
      </c>
      <c r="JG5" s="113" t="s">
        <v>2</v>
      </c>
      <c r="JH5" s="70" t="s">
        <v>7</v>
      </c>
      <c r="JI5" s="71" t="s">
        <v>7</v>
      </c>
      <c r="JJ5" s="6" t="s">
        <v>1</v>
      </c>
      <c r="JK5" s="4" t="s">
        <v>1</v>
      </c>
      <c r="JL5" s="113" t="s">
        <v>2</v>
      </c>
      <c r="JM5" s="113" t="s">
        <v>2</v>
      </c>
      <c r="JN5" s="113" t="s">
        <v>2</v>
      </c>
      <c r="JO5" s="103" t="s">
        <v>1</v>
      </c>
      <c r="JP5" s="67" t="s">
        <v>1</v>
      </c>
      <c r="JQ5" s="113" t="s">
        <v>2</v>
      </c>
      <c r="JR5" s="113" t="s">
        <v>2</v>
      </c>
      <c r="JS5" s="4" t="s">
        <v>1</v>
      </c>
      <c r="JT5" s="4" t="s">
        <v>1</v>
      </c>
      <c r="JU5" s="52" t="s">
        <v>1</v>
      </c>
      <c r="JV5" s="113" t="s">
        <v>2</v>
      </c>
      <c r="JW5" s="113" t="s">
        <v>2</v>
      </c>
      <c r="JX5" s="75" t="s">
        <v>8</v>
      </c>
      <c r="JY5" s="75" t="s">
        <v>8</v>
      </c>
      <c r="JZ5" s="75" t="s">
        <v>8</v>
      </c>
      <c r="KA5" s="33" t="s">
        <v>8</v>
      </c>
      <c r="KB5" s="53" t="s">
        <v>7</v>
      </c>
      <c r="KC5" s="66" t="s">
        <v>1</v>
      </c>
      <c r="KD5" s="67" t="s">
        <v>1</v>
      </c>
      <c r="KE5" s="113" t="s">
        <v>2</v>
      </c>
      <c r="KF5" s="113" t="s">
        <v>2</v>
      </c>
      <c r="KG5" s="113" t="s">
        <v>2</v>
      </c>
      <c r="KH5" s="113" t="s">
        <v>2</v>
      </c>
      <c r="KI5" s="113" t="s">
        <v>2</v>
      </c>
      <c r="KJ5" s="70" t="s">
        <v>7</v>
      </c>
      <c r="KK5" s="71" t="s">
        <v>7</v>
      </c>
      <c r="KL5" s="6" t="s">
        <v>1</v>
      </c>
      <c r="KM5" s="4" t="s">
        <v>1</v>
      </c>
      <c r="KN5" s="113" t="s">
        <v>2</v>
      </c>
      <c r="KO5" s="113" t="s">
        <v>2</v>
      </c>
      <c r="KP5" s="113" t="s">
        <v>2</v>
      </c>
      <c r="KQ5" s="103" t="s">
        <v>1</v>
      </c>
      <c r="KR5" s="67" t="s">
        <v>1</v>
      </c>
      <c r="KS5" s="113" t="s">
        <v>2</v>
      </c>
      <c r="KT5" s="113" t="s">
        <v>2</v>
      </c>
      <c r="KU5" s="4" t="s">
        <v>1</v>
      </c>
      <c r="KV5" s="4" t="s">
        <v>1</v>
      </c>
      <c r="KW5" s="52" t="s">
        <v>1</v>
      </c>
      <c r="KX5" s="113" t="s">
        <v>2</v>
      </c>
      <c r="KY5" s="113" t="s">
        <v>2</v>
      </c>
      <c r="KZ5" s="75" t="s">
        <v>8</v>
      </c>
      <c r="LA5" s="75" t="s">
        <v>8</v>
      </c>
      <c r="LB5" s="75" t="s">
        <v>8</v>
      </c>
      <c r="LC5" s="33" t="s">
        <v>8</v>
      </c>
      <c r="LD5" s="53" t="s">
        <v>7</v>
      </c>
      <c r="LE5" s="66" t="s">
        <v>1</v>
      </c>
      <c r="LF5" s="67" t="s">
        <v>1</v>
      </c>
      <c r="LG5" s="113" t="s">
        <v>2</v>
      </c>
      <c r="LH5" s="113" t="s">
        <v>2</v>
      </c>
      <c r="LI5" s="113" t="s">
        <v>2</v>
      </c>
      <c r="LJ5" s="113" t="s">
        <v>2</v>
      </c>
      <c r="LK5" s="113" t="s">
        <v>2</v>
      </c>
      <c r="LL5" s="70" t="s">
        <v>7</v>
      </c>
      <c r="LM5" s="71" t="s">
        <v>7</v>
      </c>
      <c r="LN5" s="6" t="s">
        <v>1</v>
      </c>
      <c r="LO5" s="4" t="s">
        <v>1</v>
      </c>
      <c r="LP5" s="113" t="s">
        <v>2</v>
      </c>
      <c r="LQ5" s="113" t="s">
        <v>2</v>
      </c>
      <c r="LR5" s="113" t="s">
        <v>2</v>
      </c>
      <c r="LS5" s="103" t="s">
        <v>1</v>
      </c>
      <c r="LT5" s="67" t="s">
        <v>1</v>
      </c>
      <c r="LU5" s="113" t="s">
        <v>2</v>
      </c>
      <c r="LV5" s="113" t="s">
        <v>2</v>
      </c>
      <c r="LW5" s="4" t="s">
        <v>1</v>
      </c>
      <c r="LX5" s="4" t="s">
        <v>1</v>
      </c>
      <c r="LY5" s="52" t="s">
        <v>1</v>
      </c>
      <c r="LZ5" s="113" t="s">
        <v>2</v>
      </c>
      <c r="MA5" s="113" t="s">
        <v>2</v>
      </c>
      <c r="MB5" s="75" t="s">
        <v>8</v>
      </c>
      <c r="MC5" s="75" t="s">
        <v>8</v>
      </c>
      <c r="MD5" s="75" t="s">
        <v>8</v>
      </c>
      <c r="ME5" s="33" t="s">
        <v>8</v>
      </c>
      <c r="MF5" s="53" t="s">
        <v>7</v>
      </c>
      <c r="MG5" s="66" t="s">
        <v>1</v>
      </c>
      <c r="MH5" s="67" t="s">
        <v>1</v>
      </c>
      <c r="MI5" s="113" t="s">
        <v>2</v>
      </c>
      <c r="MJ5" s="113" t="s">
        <v>2</v>
      </c>
      <c r="MK5" s="113" t="s">
        <v>2</v>
      </c>
      <c r="ML5" s="113" t="s">
        <v>2</v>
      </c>
      <c r="MM5" s="113" t="s">
        <v>2</v>
      </c>
      <c r="MN5" s="70" t="s">
        <v>7</v>
      </c>
      <c r="MO5" s="71" t="s">
        <v>7</v>
      </c>
      <c r="MP5" s="6" t="s">
        <v>1</v>
      </c>
      <c r="MQ5" s="4" t="s">
        <v>1</v>
      </c>
      <c r="MR5" s="113" t="s">
        <v>2</v>
      </c>
      <c r="MS5" s="113" t="s">
        <v>2</v>
      </c>
      <c r="MT5" s="113" t="s">
        <v>2</v>
      </c>
      <c r="MU5" s="103" t="s">
        <v>1</v>
      </c>
      <c r="MV5" s="67" t="s">
        <v>1</v>
      </c>
      <c r="MW5" s="113" t="s">
        <v>2</v>
      </c>
      <c r="MX5" s="113" t="s">
        <v>2</v>
      </c>
      <c r="MY5" s="4" t="s">
        <v>1</v>
      </c>
      <c r="MZ5" s="4" t="s">
        <v>1</v>
      </c>
      <c r="NA5" s="52" t="s">
        <v>1</v>
      </c>
      <c r="NB5" s="113" t="s">
        <v>2</v>
      </c>
      <c r="NC5" s="113" t="s">
        <v>2</v>
      </c>
      <c r="ND5" s="75" t="s">
        <v>8</v>
      </c>
    </row>
    <row r="6" spans="2:368">
      <c r="B6" s="116"/>
      <c r="C6" s="117" t="s">
        <v>21</v>
      </c>
      <c r="D6" s="113" t="s">
        <v>2</v>
      </c>
      <c r="E6" s="113" t="s">
        <v>2</v>
      </c>
      <c r="F6" s="113" t="s">
        <v>2</v>
      </c>
      <c r="G6" s="113" t="s">
        <v>2</v>
      </c>
      <c r="H6" s="113" t="s">
        <v>2</v>
      </c>
      <c r="I6" s="70" t="s">
        <v>7</v>
      </c>
      <c r="J6" s="71" t="s">
        <v>7</v>
      </c>
      <c r="K6" s="6" t="s">
        <v>1</v>
      </c>
      <c r="L6" s="4" t="s">
        <v>1</v>
      </c>
      <c r="M6" s="113" t="s">
        <v>2</v>
      </c>
      <c r="N6" s="113" t="s">
        <v>2</v>
      </c>
      <c r="O6" s="113" t="s">
        <v>2</v>
      </c>
      <c r="P6" s="66" t="s">
        <v>1</v>
      </c>
      <c r="Q6" s="67" t="s">
        <v>1</v>
      </c>
      <c r="R6" s="113" t="s">
        <v>2</v>
      </c>
      <c r="S6" s="113" t="s">
        <v>2</v>
      </c>
      <c r="T6" s="4" t="s">
        <v>1</v>
      </c>
      <c r="U6" s="4" t="s">
        <v>1</v>
      </c>
      <c r="V6" s="52" t="s">
        <v>1</v>
      </c>
      <c r="W6" s="113" t="s">
        <v>2</v>
      </c>
      <c r="X6" s="113" t="s">
        <v>2</v>
      </c>
      <c r="Y6" s="75" t="s">
        <v>8</v>
      </c>
      <c r="Z6" s="75" t="s">
        <v>8</v>
      </c>
      <c r="AA6" s="75" t="s">
        <v>8</v>
      </c>
      <c r="AB6" s="33"/>
      <c r="AC6" s="104" t="s">
        <v>7</v>
      </c>
      <c r="AD6" s="66" t="s">
        <v>1</v>
      </c>
      <c r="AE6" s="67" t="s">
        <v>1</v>
      </c>
      <c r="AF6" s="113" t="s">
        <v>2</v>
      </c>
      <c r="AG6" s="113" t="s">
        <v>2</v>
      </c>
      <c r="AH6" s="113" t="s">
        <v>2</v>
      </c>
      <c r="AI6" s="113" t="s">
        <v>2</v>
      </c>
      <c r="AJ6" s="113" t="s">
        <v>2</v>
      </c>
      <c r="AK6" s="70" t="s">
        <v>7</v>
      </c>
      <c r="AL6" s="71" t="s">
        <v>7</v>
      </c>
      <c r="AM6" s="6" t="s">
        <v>1</v>
      </c>
      <c r="AN6" s="4" t="s">
        <v>1</v>
      </c>
      <c r="AO6" s="113" t="s">
        <v>2</v>
      </c>
      <c r="AP6" s="113" t="s">
        <v>2</v>
      </c>
      <c r="AQ6" s="113" t="s">
        <v>2</v>
      </c>
      <c r="AR6" s="66" t="s">
        <v>1</v>
      </c>
      <c r="AS6" s="67" t="s">
        <v>1</v>
      </c>
      <c r="AT6" s="113" t="s">
        <v>2</v>
      </c>
      <c r="AU6" s="113" t="s">
        <v>2</v>
      </c>
      <c r="AV6" s="4" t="s">
        <v>1</v>
      </c>
      <c r="AW6" s="4" t="s">
        <v>1</v>
      </c>
      <c r="AX6" s="52" t="s">
        <v>1</v>
      </c>
      <c r="AY6" s="113" t="s">
        <v>2</v>
      </c>
      <c r="AZ6" s="113" t="s">
        <v>2</v>
      </c>
      <c r="BA6" s="75" t="s">
        <v>8</v>
      </c>
      <c r="BB6" s="75" t="s">
        <v>8</v>
      </c>
      <c r="BC6" s="75" t="s">
        <v>8</v>
      </c>
      <c r="BD6" s="33"/>
      <c r="BE6" s="104" t="s">
        <v>7</v>
      </c>
      <c r="BF6" s="66" t="s">
        <v>1</v>
      </c>
      <c r="BG6" s="67" t="s">
        <v>1</v>
      </c>
      <c r="BH6" s="113" t="s">
        <v>2</v>
      </c>
      <c r="BI6" s="113" t="s">
        <v>2</v>
      </c>
      <c r="BJ6" s="113" t="s">
        <v>2</v>
      </c>
      <c r="BK6" s="113" t="s">
        <v>2</v>
      </c>
      <c r="BL6" s="113" t="s">
        <v>2</v>
      </c>
      <c r="BM6" s="70" t="s">
        <v>7</v>
      </c>
      <c r="BN6" s="71" t="s">
        <v>7</v>
      </c>
      <c r="BO6" s="6" t="s">
        <v>1</v>
      </c>
      <c r="BP6" s="4" t="s">
        <v>1</v>
      </c>
      <c r="BQ6" s="113" t="s">
        <v>2</v>
      </c>
      <c r="BR6" s="113" t="s">
        <v>2</v>
      </c>
      <c r="BS6" s="113" t="s">
        <v>2</v>
      </c>
      <c r="BT6" s="66" t="s">
        <v>1</v>
      </c>
      <c r="BU6" s="67" t="s">
        <v>1</v>
      </c>
      <c r="BV6" s="113" t="s">
        <v>2</v>
      </c>
      <c r="BW6" s="113" t="s">
        <v>2</v>
      </c>
      <c r="BX6" s="4" t="s">
        <v>1</v>
      </c>
      <c r="BY6" s="4" t="s">
        <v>1</v>
      </c>
      <c r="BZ6" s="52" t="s">
        <v>1</v>
      </c>
      <c r="CA6" s="113" t="s">
        <v>2</v>
      </c>
      <c r="CB6" s="113" t="s">
        <v>2</v>
      </c>
      <c r="CC6" s="75" t="s">
        <v>8</v>
      </c>
      <c r="CD6" s="75" t="s">
        <v>8</v>
      </c>
      <c r="CE6" s="75" t="s">
        <v>8</v>
      </c>
      <c r="CF6" s="33"/>
      <c r="CG6" s="104" t="s">
        <v>7</v>
      </c>
      <c r="CH6" s="66" t="s">
        <v>1</v>
      </c>
      <c r="CI6" s="67" t="s">
        <v>1</v>
      </c>
      <c r="CJ6" s="113" t="s">
        <v>2</v>
      </c>
      <c r="CK6" s="113" t="s">
        <v>2</v>
      </c>
      <c r="CL6" s="113" t="s">
        <v>2</v>
      </c>
      <c r="CM6" s="113" t="s">
        <v>2</v>
      </c>
      <c r="CN6" s="113" t="s">
        <v>2</v>
      </c>
      <c r="CO6" s="70" t="s">
        <v>7</v>
      </c>
      <c r="CP6" s="71" t="s">
        <v>7</v>
      </c>
      <c r="CQ6" s="6" t="s">
        <v>1</v>
      </c>
      <c r="CR6" s="4" t="s">
        <v>1</v>
      </c>
      <c r="CS6" s="113" t="s">
        <v>2</v>
      </c>
      <c r="CT6" s="113" t="s">
        <v>2</v>
      </c>
      <c r="CU6" s="113" t="s">
        <v>2</v>
      </c>
      <c r="CV6" s="66" t="s">
        <v>1</v>
      </c>
      <c r="CW6" s="67" t="s">
        <v>1</v>
      </c>
      <c r="CX6" s="113" t="s">
        <v>2</v>
      </c>
      <c r="CY6" s="113" t="s">
        <v>2</v>
      </c>
      <c r="CZ6" s="4" t="s">
        <v>1</v>
      </c>
      <c r="DA6" s="4" t="s">
        <v>1</v>
      </c>
      <c r="DB6" s="52" t="s">
        <v>1</v>
      </c>
      <c r="DC6" s="113" t="s">
        <v>2</v>
      </c>
      <c r="DD6" s="113" t="s">
        <v>2</v>
      </c>
      <c r="DE6" s="75" t="s">
        <v>8</v>
      </c>
      <c r="DF6" s="75" t="s">
        <v>8</v>
      </c>
      <c r="DG6" s="75" t="s">
        <v>8</v>
      </c>
      <c r="DH6" s="33"/>
      <c r="DI6" s="104" t="s">
        <v>7</v>
      </c>
      <c r="DJ6" s="66" t="s">
        <v>1</v>
      </c>
      <c r="DK6" s="67" t="s">
        <v>1</v>
      </c>
      <c r="DL6" s="113" t="s">
        <v>2</v>
      </c>
      <c r="DM6" s="113" t="s">
        <v>2</v>
      </c>
      <c r="DN6" s="113" t="s">
        <v>2</v>
      </c>
      <c r="DO6" s="113" t="s">
        <v>2</v>
      </c>
      <c r="DP6" s="113" t="s">
        <v>2</v>
      </c>
      <c r="DQ6" s="70" t="s">
        <v>7</v>
      </c>
      <c r="DR6" s="71" t="s">
        <v>7</v>
      </c>
      <c r="DS6" s="6" t="s">
        <v>1</v>
      </c>
      <c r="DT6" s="4" t="s">
        <v>1</v>
      </c>
      <c r="DU6" s="113" t="s">
        <v>2</v>
      </c>
      <c r="DV6" s="113" t="s">
        <v>2</v>
      </c>
      <c r="DW6" s="113" t="s">
        <v>2</v>
      </c>
      <c r="DX6" s="66" t="s">
        <v>1</v>
      </c>
      <c r="DY6" s="67" t="s">
        <v>1</v>
      </c>
      <c r="DZ6" s="113" t="s">
        <v>2</v>
      </c>
      <c r="EA6" s="113" t="s">
        <v>2</v>
      </c>
      <c r="EB6" s="4" t="s">
        <v>1</v>
      </c>
      <c r="EC6" s="4" t="s">
        <v>1</v>
      </c>
      <c r="ED6" s="52" t="s">
        <v>1</v>
      </c>
      <c r="EE6" s="113" t="s">
        <v>2</v>
      </c>
      <c r="EF6" s="113" t="s">
        <v>2</v>
      </c>
      <c r="EG6" s="75" t="s">
        <v>8</v>
      </c>
      <c r="EH6" s="75" t="s">
        <v>8</v>
      </c>
      <c r="EI6" s="75" t="s">
        <v>8</v>
      </c>
      <c r="EJ6" s="33"/>
      <c r="EK6" s="104" t="s">
        <v>7</v>
      </c>
      <c r="EL6" s="66" t="s">
        <v>1</v>
      </c>
      <c r="EM6" s="67" t="s">
        <v>1</v>
      </c>
      <c r="EN6" s="113" t="s">
        <v>2</v>
      </c>
      <c r="EO6" s="113" t="s">
        <v>2</v>
      </c>
      <c r="EP6" s="113" t="s">
        <v>2</v>
      </c>
      <c r="EQ6" s="113" t="s">
        <v>2</v>
      </c>
      <c r="ER6" s="113" t="s">
        <v>2</v>
      </c>
      <c r="ES6" s="70" t="s">
        <v>7</v>
      </c>
      <c r="ET6" s="71" t="s">
        <v>7</v>
      </c>
      <c r="EU6" s="6" t="s">
        <v>1</v>
      </c>
      <c r="EV6" s="4" t="s">
        <v>1</v>
      </c>
      <c r="EW6" s="113" t="s">
        <v>2</v>
      </c>
      <c r="EX6" s="113" t="s">
        <v>2</v>
      </c>
      <c r="EY6" s="113" t="s">
        <v>2</v>
      </c>
      <c r="EZ6" s="66" t="s">
        <v>1</v>
      </c>
      <c r="FA6" s="67" t="s">
        <v>1</v>
      </c>
      <c r="FB6" s="113" t="s">
        <v>2</v>
      </c>
      <c r="FC6" s="113" t="s">
        <v>2</v>
      </c>
      <c r="FD6" s="4" t="s">
        <v>1</v>
      </c>
      <c r="FE6" s="4" t="s">
        <v>1</v>
      </c>
      <c r="FF6" s="52" t="s">
        <v>1</v>
      </c>
      <c r="FG6" s="113" t="s">
        <v>2</v>
      </c>
      <c r="FH6" s="113" t="s">
        <v>2</v>
      </c>
      <c r="FI6" s="75" t="s">
        <v>8</v>
      </c>
      <c r="FJ6" s="75" t="s">
        <v>8</v>
      </c>
      <c r="FK6" s="75" t="s">
        <v>8</v>
      </c>
      <c r="FL6" s="33"/>
      <c r="FM6" s="104" t="s">
        <v>7</v>
      </c>
      <c r="FN6" s="66" t="s">
        <v>1</v>
      </c>
      <c r="FO6" s="67" t="s">
        <v>1</v>
      </c>
      <c r="FP6" s="113" t="s">
        <v>2</v>
      </c>
      <c r="FQ6" s="113" t="s">
        <v>2</v>
      </c>
      <c r="FR6" s="113" t="s">
        <v>2</v>
      </c>
      <c r="FS6" s="113" t="s">
        <v>2</v>
      </c>
      <c r="FT6" s="113" t="s">
        <v>2</v>
      </c>
      <c r="FU6" s="70" t="s">
        <v>7</v>
      </c>
      <c r="FV6" s="71" t="s">
        <v>7</v>
      </c>
      <c r="FW6" s="6" t="s">
        <v>1</v>
      </c>
      <c r="FX6" s="4" t="s">
        <v>1</v>
      </c>
      <c r="FY6" s="113" t="s">
        <v>2</v>
      </c>
      <c r="FZ6" s="113" t="s">
        <v>2</v>
      </c>
      <c r="GA6" s="113" t="s">
        <v>2</v>
      </c>
      <c r="GB6" s="66" t="s">
        <v>1</v>
      </c>
      <c r="GC6" s="67" t="s">
        <v>1</v>
      </c>
      <c r="GD6" s="113" t="s">
        <v>2</v>
      </c>
      <c r="GE6" s="113" t="s">
        <v>2</v>
      </c>
      <c r="GF6" s="4" t="s">
        <v>1</v>
      </c>
      <c r="GG6" s="4" t="s">
        <v>1</v>
      </c>
      <c r="GH6" s="52" t="s">
        <v>1</v>
      </c>
      <c r="GI6" s="113" t="s">
        <v>2</v>
      </c>
      <c r="GJ6" s="113" t="s">
        <v>2</v>
      </c>
      <c r="GK6" s="75" t="s">
        <v>8</v>
      </c>
      <c r="GL6" s="75" t="s">
        <v>8</v>
      </c>
      <c r="GM6" s="75" t="s">
        <v>8</v>
      </c>
      <c r="GN6" s="33" t="s">
        <v>8</v>
      </c>
      <c r="GO6" s="104" t="s">
        <v>7</v>
      </c>
      <c r="GP6" s="66" t="s">
        <v>1</v>
      </c>
      <c r="GQ6" s="67" t="s">
        <v>1</v>
      </c>
      <c r="GR6" s="113" t="s">
        <v>2</v>
      </c>
      <c r="GS6" s="113" t="s">
        <v>2</v>
      </c>
      <c r="GT6" s="113" t="s">
        <v>2</v>
      </c>
      <c r="GU6" s="113" t="s">
        <v>2</v>
      </c>
      <c r="GV6" s="113" t="s">
        <v>2</v>
      </c>
      <c r="GW6" s="70" t="s">
        <v>7</v>
      </c>
      <c r="GX6" s="71" t="s">
        <v>7</v>
      </c>
      <c r="GY6" s="6" t="s">
        <v>1</v>
      </c>
      <c r="GZ6" s="4" t="s">
        <v>1</v>
      </c>
      <c r="HA6" s="113" t="s">
        <v>2</v>
      </c>
      <c r="HB6" s="113" t="s">
        <v>2</v>
      </c>
      <c r="HC6" s="113" t="s">
        <v>2</v>
      </c>
      <c r="HD6" s="66" t="s">
        <v>1</v>
      </c>
      <c r="HE6" s="67" t="s">
        <v>1</v>
      </c>
      <c r="HF6" s="113" t="s">
        <v>2</v>
      </c>
      <c r="HG6" s="113" t="s">
        <v>2</v>
      </c>
      <c r="HH6" s="4" t="s">
        <v>1</v>
      </c>
      <c r="HI6" s="4" t="s">
        <v>1</v>
      </c>
      <c r="HJ6" s="52" t="s">
        <v>1</v>
      </c>
      <c r="HK6" s="113" t="s">
        <v>2</v>
      </c>
      <c r="HL6" s="113" t="s">
        <v>2</v>
      </c>
      <c r="HM6" s="75" t="s">
        <v>8</v>
      </c>
      <c r="HN6" s="75" t="s">
        <v>8</v>
      </c>
      <c r="HO6" s="75" t="s">
        <v>8</v>
      </c>
      <c r="HP6" s="33" t="s">
        <v>8</v>
      </c>
      <c r="HQ6" s="104" t="s">
        <v>7</v>
      </c>
      <c r="HR6" s="66" t="s">
        <v>1</v>
      </c>
      <c r="HS6" s="67" t="s">
        <v>1</v>
      </c>
      <c r="HT6" s="113" t="s">
        <v>2</v>
      </c>
      <c r="HU6" s="113" t="s">
        <v>2</v>
      </c>
      <c r="HV6" s="113" t="s">
        <v>2</v>
      </c>
      <c r="HW6" s="113" t="s">
        <v>2</v>
      </c>
      <c r="HX6" s="113" t="s">
        <v>2</v>
      </c>
      <c r="HY6" s="70" t="s">
        <v>7</v>
      </c>
      <c r="HZ6" s="71" t="s">
        <v>7</v>
      </c>
      <c r="IA6" s="6" t="s">
        <v>1</v>
      </c>
      <c r="IB6" s="4" t="s">
        <v>1</v>
      </c>
      <c r="IC6" s="113" t="s">
        <v>2</v>
      </c>
      <c r="ID6" s="113" t="s">
        <v>2</v>
      </c>
      <c r="IE6" s="113" t="s">
        <v>2</v>
      </c>
      <c r="IF6" s="66" t="s">
        <v>1</v>
      </c>
      <c r="IG6" s="67" t="s">
        <v>1</v>
      </c>
      <c r="IH6" s="113" t="s">
        <v>2</v>
      </c>
      <c r="II6" s="113" t="s">
        <v>2</v>
      </c>
      <c r="IJ6" s="4" t="s">
        <v>1</v>
      </c>
      <c r="IK6" s="4" t="s">
        <v>1</v>
      </c>
      <c r="IL6" s="52" t="s">
        <v>1</v>
      </c>
      <c r="IM6" s="113" t="s">
        <v>2</v>
      </c>
      <c r="IN6" s="113" t="s">
        <v>2</v>
      </c>
      <c r="IO6" s="75" t="s">
        <v>8</v>
      </c>
      <c r="IP6" s="75" t="s">
        <v>8</v>
      </c>
      <c r="IQ6" s="75" t="s">
        <v>8</v>
      </c>
      <c r="IR6" s="33" t="s">
        <v>8</v>
      </c>
      <c r="IS6" s="104" t="s">
        <v>7</v>
      </c>
      <c r="IT6" s="66" t="s">
        <v>1</v>
      </c>
      <c r="IU6" s="67" t="s">
        <v>1</v>
      </c>
      <c r="IV6" s="113" t="s">
        <v>2</v>
      </c>
      <c r="IW6" s="113" t="s">
        <v>2</v>
      </c>
      <c r="IX6" s="113" t="s">
        <v>2</v>
      </c>
      <c r="IY6" s="113" t="s">
        <v>2</v>
      </c>
      <c r="IZ6" s="113" t="s">
        <v>2</v>
      </c>
      <c r="JA6" s="70" t="s">
        <v>7</v>
      </c>
      <c r="JB6" s="71" t="s">
        <v>7</v>
      </c>
      <c r="JC6" s="6" t="s">
        <v>1</v>
      </c>
      <c r="JD6" s="4" t="s">
        <v>1</v>
      </c>
      <c r="JE6" s="113" t="s">
        <v>2</v>
      </c>
      <c r="JF6" s="113" t="s">
        <v>2</v>
      </c>
      <c r="JG6" s="113" t="s">
        <v>2</v>
      </c>
      <c r="JH6" s="66" t="s">
        <v>1</v>
      </c>
      <c r="JI6" s="67" t="s">
        <v>1</v>
      </c>
      <c r="JJ6" s="113" t="s">
        <v>2</v>
      </c>
      <c r="JK6" s="113" t="s">
        <v>2</v>
      </c>
      <c r="JL6" s="4" t="s">
        <v>1</v>
      </c>
      <c r="JM6" s="4" t="s">
        <v>1</v>
      </c>
      <c r="JN6" s="52" t="s">
        <v>1</v>
      </c>
      <c r="JO6" s="113" t="s">
        <v>2</v>
      </c>
      <c r="JP6" s="113" t="s">
        <v>2</v>
      </c>
      <c r="JQ6" s="75" t="s">
        <v>8</v>
      </c>
      <c r="JR6" s="75" t="s">
        <v>8</v>
      </c>
      <c r="JS6" s="75" t="s">
        <v>8</v>
      </c>
      <c r="JT6" s="33" t="s">
        <v>8</v>
      </c>
      <c r="JU6" s="104" t="s">
        <v>7</v>
      </c>
      <c r="JV6" s="66" t="s">
        <v>1</v>
      </c>
      <c r="JW6" s="67" t="s">
        <v>1</v>
      </c>
      <c r="JX6" s="113" t="s">
        <v>2</v>
      </c>
      <c r="JY6" s="113" t="s">
        <v>2</v>
      </c>
      <c r="JZ6" s="113" t="s">
        <v>2</v>
      </c>
      <c r="KA6" s="113" t="s">
        <v>2</v>
      </c>
      <c r="KB6" s="113" t="s">
        <v>2</v>
      </c>
      <c r="KC6" s="70" t="s">
        <v>7</v>
      </c>
      <c r="KD6" s="71" t="s">
        <v>7</v>
      </c>
      <c r="KE6" s="6" t="s">
        <v>1</v>
      </c>
      <c r="KF6" s="4" t="s">
        <v>1</v>
      </c>
      <c r="KG6" s="113" t="s">
        <v>2</v>
      </c>
      <c r="KH6" s="113" t="s">
        <v>2</v>
      </c>
      <c r="KI6" s="113" t="s">
        <v>2</v>
      </c>
      <c r="KJ6" s="66" t="s">
        <v>1</v>
      </c>
      <c r="KK6" s="67" t="s">
        <v>1</v>
      </c>
      <c r="KL6" s="113" t="s">
        <v>2</v>
      </c>
      <c r="KM6" s="113" t="s">
        <v>2</v>
      </c>
      <c r="KN6" s="4" t="s">
        <v>1</v>
      </c>
      <c r="KO6" s="4" t="s">
        <v>1</v>
      </c>
      <c r="KP6" s="52" t="s">
        <v>1</v>
      </c>
      <c r="KQ6" s="113" t="s">
        <v>2</v>
      </c>
      <c r="KR6" s="113" t="s">
        <v>2</v>
      </c>
      <c r="KS6" s="75" t="s">
        <v>8</v>
      </c>
      <c r="KT6" s="75" t="s">
        <v>8</v>
      </c>
      <c r="KU6" s="75" t="s">
        <v>8</v>
      </c>
      <c r="KV6" s="33" t="s">
        <v>8</v>
      </c>
      <c r="KW6" s="104" t="s">
        <v>7</v>
      </c>
      <c r="KX6" s="66" t="s">
        <v>1</v>
      </c>
      <c r="KY6" s="67" t="s">
        <v>1</v>
      </c>
      <c r="KZ6" s="113" t="s">
        <v>2</v>
      </c>
      <c r="LA6" s="113" t="s">
        <v>2</v>
      </c>
      <c r="LB6" s="113" t="s">
        <v>2</v>
      </c>
      <c r="LC6" s="113" t="s">
        <v>2</v>
      </c>
      <c r="LD6" s="113" t="s">
        <v>2</v>
      </c>
      <c r="LE6" s="70" t="s">
        <v>7</v>
      </c>
      <c r="LF6" s="71" t="s">
        <v>7</v>
      </c>
      <c r="LG6" s="6" t="s">
        <v>1</v>
      </c>
      <c r="LH6" s="4" t="s">
        <v>1</v>
      </c>
      <c r="LI6" s="113" t="s">
        <v>2</v>
      </c>
      <c r="LJ6" s="113" t="s">
        <v>2</v>
      </c>
      <c r="LK6" s="113" t="s">
        <v>2</v>
      </c>
      <c r="LL6" s="66" t="s">
        <v>1</v>
      </c>
      <c r="LM6" s="67" t="s">
        <v>1</v>
      </c>
      <c r="LN6" s="113" t="s">
        <v>2</v>
      </c>
      <c r="LO6" s="113" t="s">
        <v>2</v>
      </c>
      <c r="LP6" s="4" t="s">
        <v>1</v>
      </c>
      <c r="LQ6" s="4" t="s">
        <v>1</v>
      </c>
      <c r="LR6" s="52" t="s">
        <v>1</v>
      </c>
      <c r="LS6" s="113" t="s">
        <v>2</v>
      </c>
      <c r="LT6" s="113" t="s">
        <v>2</v>
      </c>
      <c r="LU6" s="75" t="s">
        <v>8</v>
      </c>
      <c r="LV6" s="75" t="s">
        <v>8</v>
      </c>
      <c r="LW6" s="75" t="s">
        <v>8</v>
      </c>
      <c r="LX6" s="33" t="s">
        <v>8</v>
      </c>
      <c r="LY6" s="104" t="s">
        <v>7</v>
      </c>
      <c r="LZ6" s="66" t="s">
        <v>1</v>
      </c>
      <c r="MA6" s="67" t="s">
        <v>1</v>
      </c>
      <c r="MB6" s="113" t="s">
        <v>2</v>
      </c>
      <c r="MC6" s="113" t="s">
        <v>2</v>
      </c>
      <c r="MD6" s="113" t="s">
        <v>2</v>
      </c>
      <c r="ME6" s="113" t="s">
        <v>2</v>
      </c>
      <c r="MF6" s="113" t="s">
        <v>2</v>
      </c>
      <c r="MG6" s="70" t="s">
        <v>7</v>
      </c>
      <c r="MH6" s="71" t="s">
        <v>7</v>
      </c>
      <c r="MI6" s="6" t="s">
        <v>1</v>
      </c>
      <c r="MJ6" s="4" t="s">
        <v>1</v>
      </c>
      <c r="MK6" s="113" t="s">
        <v>2</v>
      </c>
      <c r="ML6" s="113" t="s">
        <v>2</v>
      </c>
      <c r="MM6" s="113" t="s">
        <v>2</v>
      </c>
      <c r="MN6" s="66" t="s">
        <v>1</v>
      </c>
      <c r="MO6" s="67" t="s">
        <v>1</v>
      </c>
      <c r="MP6" s="113" t="s">
        <v>2</v>
      </c>
      <c r="MQ6" s="113" t="s">
        <v>2</v>
      </c>
      <c r="MR6" s="4" t="s">
        <v>1</v>
      </c>
      <c r="MS6" s="4" t="s">
        <v>1</v>
      </c>
      <c r="MT6" s="52" t="s">
        <v>1</v>
      </c>
      <c r="MU6" s="113" t="s">
        <v>2</v>
      </c>
      <c r="MV6" s="113" t="s">
        <v>2</v>
      </c>
      <c r="MW6" s="75" t="s">
        <v>8</v>
      </c>
      <c r="MX6" s="75" t="s">
        <v>8</v>
      </c>
      <c r="MY6" s="75" t="s">
        <v>8</v>
      </c>
      <c r="MZ6" s="33" t="s">
        <v>8</v>
      </c>
      <c r="NA6" s="104" t="s">
        <v>7</v>
      </c>
      <c r="NB6" s="66" t="s">
        <v>1</v>
      </c>
      <c r="NC6" s="67" t="s">
        <v>1</v>
      </c>
      <c r="ND6" s="113" t="s">
        <v>2</v>
      </c>
    </row>
    <row r="7" spans="2:368">
      <c r="B7" s="346" t="s">
        <v>23</v>
      </c>
      <c r="C7" s="363"/>
      <c r="D7" s="61" t="s">
        <v>9</v>
      </c>
      <c r="E7" s="26" t="s">
        <v>9</v>
      </c>
      <c r="F7" s="26" t="s">
        <v>9</v>
      </c>
      <c r="G7" s="26" t="s">
        <v>9</v>
      </c>
      <c r="H7" s="54" t="s">
        <v>9</v>
      </c>
      <c r="I7" s="66" t="s">
        <v>1</v>
      </c>
      <c r="J7" s="67" t="s">
        <v>1</v>
      </c>
      <c r="K7" s="59" t="s">
        <v>9</v>
      </c>
      <c r="L7" s="28" t="s">
        <v>9</v>
      </c>
      <c r="M7" s="27" t="s">
        <v>1</v>
      </c>
      <c r="N7" s="70" t="s">
        <v>7</v>
      </c>
      <c r="O7" s="55" t="s">
        <v>1</v>
      </c>
      <c r="P7" s="72" t="s">
        <v>9</v>
      </c>
      <c r="Q7" s="73" t="s">
        <v>9</v>
      </c>
      <c r="R7" s="60" t="s">
        <v>1</v>
      </c>
      <c r="S7" s="27" t="s">
        <v>1</v>
      </c>
      <c r="T7" s="70" t="s">
        <v>7</v>
      </c>
      <c r="U7" s="34" t="s">
        <v>8</v>
      </c>
      <c r="V7" s="56" t="s">
        <v>8</v>
      </c>
      <c r="W7" s="74" t="s">
        <v>8</v>
      </c>
      <c r="X7" s="75" t="s">
        <v>8</v>
      </c>
      <c r="Y7" s="60" t="s">
        <v>1</v>
      </c>
      <c r="Z7" s="70" t="s">
        <v>7</v>
      </c>
      <c r="AA7" s="28" t="s">
        <v>9</v>
      </c>
      <c r="AB7" s="28" t="s">
        <v>9</v>
      </c>
      <c r="AC7" s="57" t="s">
        <v>9</v>
      </c>
      <c r="AD7" s="66" t="s">
        <v>1</v>
      </c>
      <c r="AE7" s="67" t="s">
        <v>1</v>
      </c>
      <c r="AF7" s="26" t="s">
        <v>9</v>
      </c>
      <c r="AG7" s="26" t="s">
        <v>9</v>
      </c>
      <c r="AH7" s="26" t="s">
        <v>9</v>
      </c>
      <c r="AI7" s="26" t="s">
        <v>9</v>
      </c>
      <c r="AJ7" s="54" t="s">
        <v>9</v>
      </c>
      <c r="AK7" s="66" t="s">
        <v>1</v>
      </c>
      <c r="AL7" s="67" t="s">
        <v>1</v>
      </c>
      <c r="AM7" s="59" t="s">
        <v>9</v>
      </c>
      <c r="AN7" s="28" t="s">
        <v>9</v>
      </c>
      <c r="AO7" s="27" t="s">
        <v>1</v>
      </c>
      <c r="AP7" s="70" t="s">
        <v>7</v>
      </c>
      <c r="AQ7" s="55" t="s">
        <v>1</v>
      </c>
      <c r="AR7" s="72" t="s">
        <v>9</v>
      </c>
      <c r="AS7" s="73" t="s">
        <v>9</v>
      </c>
      <c r="AT7" s="60" t="s">
        <v>1</v>
      </c>
      <c r="AU7" s="27" t="s">
        <v>1</v>
      </c>
      <c r="AV7" s="70" t="s">
        <v>7</v>
      </c>
      <c r="AW7" s="34" t="s">
        <v>8</v>
      </c>
      <c r="AX7" s="56" t="s">
        <v>8</v>
      </c>
      <c r="AY7" s="74" t="s">
        <v>8</v>
      </c>
      <c r="AZ7" s="75" t="s">
        <v>8</v>
      </c>
      <c r="BA7" s="60" t="s">
        <v>1</v>
      </c>
      <c r="BB7" s="70" t="s">
        <v>7</v>
      </c>
      <c r="BC7" s="28" t="s">
        <v>9</v>
      </c>
      <c r="BD7" s="28" t="s">
        <v>9</v>
      </c>
      <c r="BE7" s="57" t="s">
        <v>9</v>
      </c>
      <c r="BF7" s="66" t="s">
        <v>1</v>
      </c>
      <c r="BG7" s="67" t="s">
        <v>1</v>
      </c>
      <c r="BH7" s="26" t="s">
        <v>9</v>
      </c>
      <c r="BI7" s="26" t="s">
        <v>9</v>
      </c>
      <c r="BJ7" s="26" t="s">
        <v>9</v>
      </c>
      <c r="BK7" s="26" t="s">
        <v>9</v>
      </c>
      <c r="BL7" s="54" t="s">
        <v>9</v>
      </c>
      <c r="BM7" s="66" t="s">
        <v>1</v>
      </c>
      <c r="BN7" s="67" t="s">
        <v>1</v>
      </c>
      <c r="BO7" s="59" t="s">
        <v>9</v>
      </c>
      <c r="BP7" s="28" t="s">
        <v>9</v>
      </c>
      <c r="BQ7" s="27" t="s">
        <v>1</v>
      </c>
      <c r="BR7" s="70" t="s">
        <v>7</v>
      </c>
      <c r="BS7" s="55" t="s">
        <v>1</v>
      </c>
      <c r="BT7" s="72" t="s">
        <v>9</v>
      </c>
      <c r="BU7" s="73" t="s">
        <v>9</v>
      </c>
      <c r="BV7" s="60" t="s">
        <v>1</v>
      </c>
      <c r="BW7" s="27" t="s">
        <v>1</v>
      </c>
      <c r="BX7" s="70" t="s">
        <v>7</v>
      </c>
      <c r="BY7" s="34" t="s">
        <v>8</v>
      </c>
      <c r="BZ7" s="56" t="s">
        <v>8</v>
      </c>
      <c r="CA7" s="74" t="s">
        <v>8</v>
      </c>
      <c r="CB7" s="75" t="s">
        <v>8</v>
      </c>
      <c r="CC7" s="60" t="s">
        <v>1</v>
      </c>
      <c r="CD7" s="70" t="s">
        <v>7</v>
      </c>
      <c r="CE7" s="28" t="s">
        <v>9</v>
      </c>
      <c r="CF7" s="28" t="s">
        <v>9</v>
      </c>
      <c r="CG7" s="57" t="s">
        <v>9</v>
      </c>
      <c r="CH7" s="66" t="s">
        <v>1</v>
      </c>
      <c r="CI7" s="67" t="s">
        <v>1</v>
      </c>
      <c r="CJ7" s="26" t="s">
        <v>9</v>
      </c>
      <c r="CK7" s="26" t="s">
        <v>9</v>
      </c>
      <c r="CL7" s="26" t="s">
        <v>9</v>
      </c>
      <c r="CM7" s="26" t="s">
        <v>9</v>
      </c>
      <c r="CN7" s="54" t="s">
        <v>9</v>
      </c>
      <c r="CO7" s="66" t="s">
        <v>1</v>
      </c>
      <c r="CP7" s="67" t="s">
        <v>1</v>
      </c>
      <c r="CQ7" s="59" t="s">
        <v>9</v>
      </c>
      <c r="CR7" s="28" t="s">
        <v>9</v>
      </c>
      <c r="CS7" s="27" t="s">
        <v>1</v>
      </c>
      <c r="CT7" s="70" t="s">
        <v>7</v>
      </c>
      <c r="CU7" s="55" t="s">
        <v>1</v>
      </c>
      <c r="CV7" s="72" t="s">
        <v>9</v>
      </c>
      <c r="CW7" s="73" t="s">
        <v>9</v>
      </c>
      <c r="CX7" s="60" t="s">
        <v>1</v>
      </c>
      <c r="CY7" s="27" t="s">
        <v>1</v>
      </c>
      <c r="CZ7" s="70" t="s">
        <v>7</v>
      </c>
      <c r="DA7" s="34" t="s">
        <v>8</v>
      </c>
      <c r="DB7" s="56" t="s">
        <v>8</v>
      </c>
      <c r="DC7" s="74" t="s">
        <v>8</v>
      </c>
      <c r="DD7" s="75" t="s">
        <v>8</v>
      </c>
      <c r="DE7" s="60" t="s">
        <v>1</v>
      </c>
      <c r="DF7" s="70" t="s">
        <v>7</v>
      </c>
      <c r="DG7" s="28" t="s">
        <v>9</v>
      </c>
      <c r="DH7" s="28" t="s">
        <v>9</v>
      </c>
      <c r="DI7" s="57" t="s">
        <v>9</v>
      </c>
      <c r="DJ7" s="66" t="s">
        <v>1</v>
      </c>
      <c r="DK7" s="67" t="s">
        <v>1</v>
      </c>
      <c r="DL7" s="26" t="s">
        <v>9</v>
      </c>
      <c r="DM7" s="26" t="s">
        <v>9</v>
      </c>
      <c r="DN7" s="26" t="s">
        <v>9</v>
      </c>
      <c r="DO7" s="26" t="s">
        <v>9</v>
      </c>
      <c r="DP7" s="54" t="s">
        <v>9</v>
      </c>
      <c r="DQ7" s="66" t="s">
        <v>1</v>
      </c>
      <c r="DR7" s="67" t="s">
        <v>1</v>
      </c>
      <c r="DS7" s="59" t="s">
        <v>9</v>
      </c>
      <c r="DT7" s="28" t="s">
        <v>9</v>
      </c>
      <c r="DU7" s="27" t="s">
        <v>1</v>
      </c>
      <c r="DV7" s="70" t="s">
        <v>7</v>
      </c>
      <c r="DW7" s="55" t="s">
        <v>1</v>
      </c>
      <c r="DX7" s="72" t="s">
        <v>9</v>
      </c>
      <c r="DY7" s="73" t="s">
        <v>9</v>
      </c>
      <c r="DZ7" s="60" t="s">
        <v>1</v>
      </c>
      <c r="EA7" s="27" t="s">
        <v>1</v>
      </c>
      <c r="EB7" s="70" t="s">
        <v>7</v>
      </c>
      <c r="EC7" s="34" t="s">
        <v>8</v>
      </c>
      <c r="ED7" s="56" t="s">
        <v>8</v>
      </c>
      <c r="EE7" s="74" t="s">
        <v>8</v>
      </c>
      <c r="EF7" s="75" t="s">
        <v>8</v>
      </c>
      <c r="EG7" s="60" t="s">
        <v>1</v>
      </c>
      <c r="EH7" s="70" t="s">
        <v>7</v>
      </c>
      <c r="EI7" s="28" t="s">
        <v>9</v>
      </c>
      <c r="EJ7" s="28" t="s">
        <v>9</v>
      </c>
      <c r="EK7" s="57" t="s">
        <v>9</v>
      </c>
      <c r="EL7" s="66" t="s">
        <v>1</v>
      </c>
      <c r="EM7" s="67" t="s">
        <v>1</v>
      </c>
      <c r="EN7" s="26" t="s">
        <v>9</v>
      </c>
      <c r="EO7" s="26" t="s">
        <v>9</v>
      </c>
      <c r="EP7" s="26" t="s">
        <v>9</v>
      </c>
      <c r="EQ7" s="26" t="s">
        <v>9</v>
      </c>
      <c r="ER7" s="54" t="s">
        <v>9</v>
      </c>
      <c r="ES7" s="66" t="s">
        <v>1</v>
      </c>
      <c r="ET7" s="67" t="s">
        <v>1</v>
      </c>
      <c r="EU7" s="59" t="s">
        <v>9</v>
      </c>
      <c r="EV7" s="28" t="s">
        <v>9</v>
      </c>
      <c r="EW7" s="27" t="s">
        <v>1</v>
      </c>
      <c r="EX7" s="70" t="s">
        <v>7</v>
      </c>
      <c r="EY7" s="55" t="s">
        <v>1</v>
      </c>
      <c r="EZ7" s="72" t="s">
        <v>9</v>
      </c>
      <c r="FA7" s="73" t="s">
        <v>9</v>
      </c>
      <c r="FB7" s="60" t="s">
        <v>1</v>
      </c>
      <c r="FC7" s="27" t="s">
        <v>1</v>
      </c>
      <c r="FD7" s="70" t="s">
        <v>7</v>
      </c>
      <c r="FE7" s="34" t="s">
        <v>8</v>
      </c>
      <c r="FF7" s="56" t="s">
        <v>8</v>
      </c>
      <c r="FG7" s="74" t="s">
        <v>8</v>
      </c>
      <c r="FH7" s="75" t="s">
        <v>8</v>
      </c>
      <c r="FI7" s="60" t="s">
        <v>1</v>
      </c>
      <c r="FJ7" s="70" t="s">
        <v>7</v>
      </c>
      <c r="FK7" s="28" t="s">
        <v>9</v>
      </c>
      <c r="FL7" s="28" t="s">
        <v>9</v>
      </c>
      <c r="FM7" s="57" t="s">
        <v>9</v>
      </c>
      <c r="FN7" s="66" t="s">
        <v>1</v>
      </c>
      <c r="FO7" s="67" t="s">
        <v>1</v>
      </c>
      <c r="FP7" s="26" t="s">
        <v>9</v>
      </c>
      <c r="FQ7" s="26" t="s">
        <v>9</v>
      </c>
      <c r="FR7" s="26" t="s">
        <v>9</v>
      </c>
      <c r="FS7" s="26" t="s">
        <v>9</v>
      </c>
      <c r="FT7" s="54" t="s">
        <v>9</v>
      </c>
      <c r="FU7" s="66" t="s">
        <v>1</v>
      </c>
      <c r="FV7" s="67" t="s">
        <v>1</v>
      </c>
      <c r="FW7" s="59" t="s">
        <v>9</v>
      </c>
      <c r="FX7" s="28" t="s">
        <v>9</v>
      </c>
      <c r="FY7" s="27" t="s">
        <v>1</v>
      </c>
      <c r="FZ7" s="70" t="s">
        <v>7</v>
      </c>
      <c r="GA7" s="55" t="s">
        <v>1</v>
      </c>
      <c r="GB7" s="72" t="s">
        <v>9</v>
      </c>
      <c r="GC7" s="73" t="s">
        <v>9</v>
      </c>
      <c r="GD7" s="60" t="s">
        <v>1</v>
      </c>
      <c r="GE7" s="27" t="s">
        <v>1</v>
      </c>
      <c r="GF7" s="70" t="s">
        <v>7</v>
      </c>
      <c r="GG7" s="34"/>
      <c r="GH7" s="56" t="s">
        <v>8</v>
      </c>
      <c r="GI7" s="74" t="s">
        <v>8</v>
      </c>
      <c r="GJ7" s="75" t="s">
        <v>8</v>
      </c>
      <c r="GK7" s="60" t="s">
        <v>1</v>
      </c>
      <c r="GL7" s="70" t="s">
        <v>7</v>
      </c>
      <c r="GM7" s="28" t="s">
        <v>9</v>
      </c>
      <c r="GN7" s="28" t="s">
        <v>9</v>
      </c>
      <c r="GO7" s="57" t="s">
        <v>9</v>
      </c>
      <c r="GP7" s="66" t="s">
        <v>1</v>
      </c>
      <c r="GQ7" s="67" t="s">
        <v>1</v>
      </c>
      <c r="GR7" s="26" t="s">
        <v>9</v>
      </c>
      <c r="GS7" s="26" t="s">
        <v>9</v>
      </c>
      <c r="GT7" s="26" t="s">
        <v>9</v>
      </c>
      <c r="GU7" s="26" t="s">
        <v>9</v>
      </c>
      <c r="GV7" s="54" t="s">
        <v>9</v>
      </c>
      <c r="GW7" s="66" t="s">
        <v>1</v>
      </c>
      <c r="GX7" s="67" t="s">
        <v>1</v>
      </c>
      <c r="GY7" s="59" t="s">
        <v>9</v>
      </c>
      <c r="GZ7" s="28" t="s">
        <v>9</v>
      </c>
      <c r="HA7" s="27" t="s">
        <v>1</v>
      </c>
      <c r="HB7" s="70" t="s">
        <v>7</v>
      </c>
      <c r="HC7" s="55" t="s">
        <v>1</v>
      </c>
      <c r="HD7" s="72" t="s">
        <v>9</v>
      </c>
      <c r="HE7" s="73" t="s">
        <v>9</v>
      </c>
      <c r="HF7" s="60" t="s">
        <v>1</v>
      </c>
      <c r="HG7" s="27" t="s">
        <v>1</v>
      </c>
      <c r="HH7" s="70" t="s">
        <v>7</v>
      </c>
      <c r="HI7" s="34"/>
      <c r="HJ7" s="56" t="s">
        <v>8</v>
      </c>
      <c r="HK7" s="74" t="s">
        <v>8</v>
      </c>
      <c r="HL7" s="75" t="s">
        <v>8</v>
      </c>
      <c r="HM7" s="60" t="s">
        <v>1</v>
      </c>
      <c r="HN7" s="70" t="s">
        <v>7</v>
      </c>
      <c r="HO7" s="28" t="s">
        <v>9</v>
      </c>
      <c r="HP7" s="28" t="s">
        <v>9</v>
      </c>
      <c r="HQ7" s="57" t="s">
        <v>9</v>
      </c>
      <c r="HR7" s="66" t="s">
        <v>1</v>
      </c>
      <c r="HS7" s="67" t="s">
        <v>1</v>
      </c>
      <c r="HT7" s="26" t="s">
        <v>9</v>
      </c>
      <c r="HU7" s="26" t="s">
        <v>9</v>
      </c>
      <c r="HV7" s="26" t="s">
        <v>9</v>
      </c>
      <c r="HW7" s="26" t="s">
        <v>9</v>
      </c>
      <c r="HX7" s="54" t="s">
        <v>9</v>
      </c>
      <c r="HY7" s="66" t="s">
        <v>1</v>
      </c>
      <c r="HZ7" s="67" t="s">
        <v>1</v>
      </c>
      <c r="IA7" s="59" t="s">
        <v>9</v>
      </c>
      <c r="IB7" s="28" t="s">
        <v>9</v>
      </c>
      <c r="IC7" s="27" t="s">
        <v>1</v>
      </c>
      <c r="ID7" s="70" t="s">
        <v>7</v>
      </c>
      <c r="IE7" s="55" t="s">
        <v>1</v>
      </c>
      <c r="IF7" s="72" t="s">
        <v>9</v>
      </c>
      <c r="IG7" s="73" t="s">
        <v>9</v>
      </c>
      <c r="IH7" s="60" t="s">
        <v>1</v>
      </c>
      <c r="II7" s="27" t="s">
        <v>1</v>
      </c>
      <c r="IJ7" s="70" t="s">
        <v>7</v>
      </c>
      <c r="IK7" s="34"/>
      <c r="IL7" s="56" t="s">
        <v>8</v>
      </c>
      <c r="IM7" s="74" t="s">
        <v>8</v>
      </c>
      <c r="IN7" s="75" t="s">
        <v>8</v>
      </c>
      <c r="IO7" s="60" t="s">
        <v>1</v>
      </c>
      <c r="IP7" s="70" t="s">
        <v>7</v>
      </c>
      <c r="IQ7" s="28" t="s">
        <v>9</v>
      </c>
      <c r="IR7" s="28" t="s">
        <v>9</v>
      </c>
      <c r="IS7" s="57" t="s">
        <v>9</v>
      </c>
      <c r="IT7" s="66" t="s">
        <v>1</v>
      </c>
      <c r="IU7" s="67" t="s">
        <v>1</v>
      </c>
      <c r="IV7" s="26" t="s">
        <v>9</v>
      </c>
      <c r="IW7" s="26" t="s">
        <v>9</v>
      </c>
      <c r="IX7" s="26" t="s">
        <v>9</v>
      </c>
      <c r="IY7" s="26" t="s">
        <v>9</v>
      </c>
      <c r="IZ7" s="54" t="s">
        <v>9</v>
      </c>
      <c r="JA7" s="66" t="s">
        <v>1</v>
      </c>
      <c r="JB7" s="67" t="s">
        <v>1</v>
      </c>
      <c r="JC7" s="59" t="s">
        <v>9</v>
      </c>
      <c r="JD7" s="28" t="s">
        <v>9</v>
      </c>
      <c r="JE7" s="27" t="s">
        <v>1</v>
      </c>
      <c r="JF7" s="70" t="s">
        <v>7</v>
      </c>
      <c r="JG7" s="55" t="s">
        <v>1</v>
      </c>
      <c r="JH7" s="72" t="s">
        <v>9</v>
      </c>
      <c r="JI7" s="73" t="s">
        <v>9</v>
      </c>
      <c r="JJ7" s="60" t="s">
        <v>1</v>
      </c>
      <c r="JK7" s="27" t="s">
        <v>1</v>
      </c>
      <c r="JL7" s="70" t="s">
        <v>7</v>
      </c>
      <c r="JM7" s="34"/>
      <c r="JN7" s="56" t="s">
        <v>8</v>
      </c>
      <c r="JO7" s="74" t="s">
        <v>8</v>
      </c>
      <c r="JP7" s="75" t="s">
        <v>8</v>
      </c>
      <c r="JQ7" s="60" t="s">
        <v>1</v>
      </c>
      <c r="JR7" s="70" t="s">
        <v>7</v>
      </c>
      <c r="JS7" s="28" t="s">
        <v>9</v>
      </c>
      <c r="JT7" s="28" t="s">
        <v>9</v>
      </c>
      <c r="JU7" s="57" t="s">
        <v>9</v>
      </c>
      <c r="JV7" s="66" t="s">
        <v>1</v>
      </c>
      <c r="JW7" s="67" t="s">
        <v>1</v>
      </c>
      <c r="JX7" s="26" t="s">
        <v>9</v>
      </c>
      <c r="JY7" s="26" t="s">
        <v>9</v>
      </c>
      <c r="JZ7" s="26" t="s">
        <v>9</v>
      </c>
      <c r="KA7" s="26" t="s">
        <v>9</v>
      </c>
      <c r="KB7" s="54" t="s">
        <v>9</v>
      </c>
      <c r="KC7" s="66" t="s">
        <v>1</v>
      </c>
      <c r="KD7" s="67" t="s">
        <v>1</v>
      </c>
      <c r="KE7" s="59" t="s">
        <v>9</v>
      </c>
      <c r="KF7" s="28" t="s">
        <v>9</v>
      </c>
      <c r="KG7" s="27" t="s">
        <v>1</v>
      </c>
      <c r="KH7" s="70" t="s">
        <v>7</v>
      </c>
      <c r="KI7" s="55" t="s">
        <v>1</v>
      </c>
      <c r="KJ7" s="72" t="s">
        <v>9</v>
      </c>
      <c r="KK7" s="73" t="s">
        <v>9</v>
      </c>
      <c r="KL7" s="60" t="s">
        <v>1</v>
      </c>
      <c r="KM7" s="27" t="s">
        <v>1</v>
      </c>
      <c r="KN7" s="70" t="s">
        <v>7</v>
      </c>
      <c r="KO7" s="34"/>
      <c r="KP7" s="56" t="s">
        <v>8</v>
      </c>
      <c r="KQ7" s="74" t="s">
        <v>8</v>
      </c>
      <c r="KR7" s="75" t="s">
        <v>8</v>
      </c>
      <c r="KS7" s="60" t="s">
        <v>1</v>
      </c>
      <c r="KT7" s="70" t="s">
        <v>7</v>
      </c>
      <c r="KU7" s="28" t="s">
        <v>9</v>
      </c>
      <c r="KV7" s="28" t="s">
        <v>9</v>
      </c>
      <c r="KW7" s="57" t="s">
        <v>9</v>
      </c>
      <c r="KX7" s="66" t="s">
        <v>1</v>
      </c>
      <c r="KY7" s="67" t="s">
        <v>1</v>
      </c>
      <c r="KZ7" s="26" t="s">
        <v>9</v>
      </c>
      <c r="LA7" s="26" t="s">
        <v>9</v>
      </c>
      <c r="LB7" s="26" t="s">
        <v>9</v>
      </c>
      <c r="LC7" s="26" t="s">
        <v>9</v>
      </c>
      <c r="LD7" s="54" t="s">
        <v>9</v>
      </c>
      <c r="LE7" s="66" t="s">
        <v>1</v>
      </c>
      <c r="LF7" s="67" t="s">
        <v>1</v>
      </c>
      <c r="LG7" s="59" t="s">
        <v>9</v>
      </c>
      <c r="LH7" s="28" t="s">
        <v>9</v>
      </c>
      <c r="LI7" s="27" t="s">
        <v>1</v>
      </c>
      <c r="LJ7" s="70" t="s">
        <v>7</v>
      </c>
      <c r="LK7" s="55" t="s">
        <v>1</v>
      </c>
      <c r="LL7" s="72" t="s">
        <v>9</v>
      </c>
      <c r="LM7" s="73" t="s">
        <v>9</v>
      </c>
      <c r="LN7" s="60" t="s">
        <v>1</v>
      </c>
      <c r="LO7" s="27" t="s">
        <v>1</v>
      </c>
      <c r="LP7" s="70" t="s">
        <v>7</v>
      </c>
      <c r="LQ7" s="34"/>
      <c r="LR7" s="56" t="s">
        <v>8</v>
      </c>
      <c r="LS7" s="74" t="s">
        <v>8</v>
      </c>
      <c r="LT7" s="75" t="s">
        <v>8</v>
      </c>
      <c r="LU7" s="60" t="s">
        <v>1</v>
      </c>
      <c r="LV7" s="70" t="s">
        <v>7</v>
      </c>
      <c r="LW7" s="28" t="s">
        <v>9</v>
      </c>
      <c r="LX7" s="28" t="s">
        <v>9</v>
      </c>
      <c r="LY7" s="57" t="s">
        <v>9</v>
      </c>
      <c r="LZ7" s="66" t="s">
        <v>1</v>
      </c>
      <c r="MA7" s="67" t="s">
        <v>1</v>
      </c>
      <c r="MB7" s="26" t="s">
        <v>9</v>
      </c>
      <c r="MC7" s="26" t="s">
        <v>9</v>
      </c>
      <c r="MD7" s="26" t="s">
        <v>9</v>
      </c>
      <c r="ME7" s="26" t="s">
        <v>9</v>
      </c>
      <c r="MF7" s="54" t="s">
        <v>9</v>
      </c>
      <c r="MG7" s="66" t="s">
        <v>1</v>
      </c>
      <c r="MH7" s="67" t="s">
        <v>1</v>
      </c>
      <c r="MI7" s="59" t="s">
        <v>9</v>
      </c>
      <c r="MJ7" s="28" t="s">
        <v>9</v>
      </c>
      <c r="MK7" s="27" t="s">
        <v>1</v>
      </c>
      <c r="ML7" s="70" t="s">
        <v>7</v>
      </c>
      <c r="MM7" s="55" t="s">
        <v>1</v>
      </c>
      <c r="MN7" s="72" t="s">
        <v>9</v>
      </c>
      <c r="MO7" s="73" t="s">
        <v>9</v>
      </c>
      <c r="MP7" s="60" t="s">
        <v>1</v>
      </c>
      <c r="MQ7" s="27" t="s">
        <v>1</v>
      </c>
      <c r="MR7" s="70" t="s">
        <v>7</v>
      </c>
      <c r="MS7" s="34"/>
      <c r="MT7" s="56" t="s">
        <v>8</v>
      </c>
      <c r="MU7" s="74" t="s">
        <v>8</v>
      </c>
      <c r="MV7" s="75" t="s">
        <v>8</v>
      </c>
      <c r="MW7" s="60" t="s">
        <v>1</v>
      </c>
      <c r="MX7" s="70" t="s">
        <v>7</v>
      </c>
      <c r="MY7" s="28" t="s">
        <v>9</v>
      </c>
      <c r="MZ7" s="28" t="s">
        <v>9</v>
      </c>
      <c r="NA7" s="57" t="s">
        <v>9</v>
      </c>
      <c r="NB7" s="66" t="s">
        <v>1</v>
      </c>
      <c r="NC7" s="67" t="s">
        <v>1</v>
      </c>
      <c r="ND7" s="26" t="s">
        <v>9</v>
      </c>
    </row>
    <row r="8" spans="2:368">
      <c r="B8" s="346" t="s">
        <v>25</v>
      </c>
      <c r="C8" s="363"/>
      <c r="D8" s="59" t="s">
        <v>9</v>
      </c>
      <c r="E8" s="28" t="s">
        <v>9</v>
      </c>
      <c r="F8" s="27" t="s">
        <v>1</v>
      </c>
      <c r="G8" s="70" t="s">
        <v>7</v>
      </c>
      <c r="H8" s="55" t="s">
        <v>1</v>
      </c>
      <c r="I8" s="72" t="s">
        <v>9</v>
      </c>
      <c r="J8" s="73" t="s">
        <v>9</v>
      </c>
      <c r="K8" s="60" t="s">
        <v>1</v>
      </c>
      <c r="L8" s="27" t="s">
        <v>1</v>
      </c>
      <c r="M8" s="70" t="s">
        <v>7</v>
      </c>
      <c r="N8" s="34" t="s">
        <v>8</v>
      </c>
      <c r="O8" s="56" t="s">
        <v>8</v>
      </c>
      <c r="P8" s="74" t="s">
        <v>8</v>
      </c>
      <c r="Q8" s="75" t="s">
        <v>8</v>
      </c>
      <c r="R8" s="60" t="s">
        <v>1</v>
      </c>
      <c r="S8" s="70" t="s">
        <v>7</v>
      </c>
      <c r="T8" s="28" t="s">
        <v>9</v>
      </c>
      <c r="U8" s="28" t="s">
        <v>9</v>
      </c>
      <c r="V8" s="57" t="s">
        <v>9</v>
      </c>
      <c r="W8" s="66" t="s">
        <v>1</v>
      </c>
      <c r="X8" s="67" t="s">
        <v>1</v>
      </c>
      <c r="Y8" s="61" t="s">
        <v>9</v>
      </c>
      <c r="Z8" s="26" t="s">
        <v>9</v>
      </c>
      <c r="AA8" s="26" t="s">
        <v>9</v>
      </c>
      <c r="AB8" s="26" t="s">
        <v>9</v>
      </c>
      <c r="AC8" s="54" t="s">
        <v>9</v>
      </c>
      <c r="AD8" s="66" t="s">
        <v>1</v>
      </c>
      <c r="AE8" s="67" t="s">
        <v>1</v>
      </c>
      <c r="AF8" s="28" t="s">
        <v>9</v>
      </c>
      <c r="AG8" s="28" t="s">
        <v>9</v>
      </c>
      <c r="AH8" s="27" t="s">
        <v>1</v>
      </c>
      <c r="AI8" s="70" t="s">
        <v>7</v>
      </c>
      <c r="AJ8" s="55" t="s">
        <v>1</v>
      </c>
      <c r="AK8" s="72" t="s">
        <v>9</v>
      </c>
      <c r="AL8" s="73" t="s">
        <v>9</v>
      </c>
      <c r="AM8" s="60" t="s">
        <v>1</v>
      </c>
      <c r="AN8" s="27" t="s">
        <v>1</v>
      </c>
      <c r="AO8" s="70" t="s">
        <v>7</v>
      </c>
      <c r="AP8" s="34" t="s">
        <v>8</v>
      </c>
      <c r="AQ8" s="56" t="s">
        <v>8</v>
      </c>
      <c r="AR8" s="74" t="s">
        <v>8</v>
      </c>
      <c r="AS8" s="75" t="s">
        <v>8</v>
      </c>
      <c r="AT8" s="60" t="s">
        <v>1</v>
      </c>
      <c r="AU8" s="70" t="s">
        <v>7</v>
      </c>
      <c r="AV8" s="28" t="s">
        <v>9</v>
      </c>
      <c r="AW8" s="28" t="s">
        <v>9</v>
      </c>
      <c r="AX8" s="57" t="s">
        <v>9</v>
      </c>
      <c r="AY8" s="66" t="s">
        <v>1</v>
      </c>
      <c r="AZ8" s="67" t="s">
        <v>1</v>
      </c>
      <c r="BA8" s="61" t="s">
        <v>9</v>
      </c>
      <c r="BB8" s="26" t="s">
        <v>9</v>
      </c>
      <c r="BC8" s="26" t="s">
        <v>9</v>
      </c>
      <c r="BD8" s="26" t="s">
        <v>9</v>
      </c>
      <c r="BE8" s="54" t="s">
        <v>9</v>
      </c>
      <c r="BF8" s="66" t="s">
        <v>1</v>
      </c>
      <c r="BG8" s="67" t="s">
        <v>1</v>
      </c>
      <c r="BH8" s="28" t="s">
        <v>9</v>
      </c>
      <c r="BI8" s="28" t="s">
        <v>9</v>
      </c>
      <c r="BJ8" s="27" t="s">
        <v>1</v>
      </c>
      <c r="BK8" s="70" t="s">
        <v>7</v>
      </c>
      <c r="BL8" s="55" t="s">
        <v>1</v>
      </c>
      <c r="BM8" s="72" t="s">
        <v>9</v>
      </c>
      <c r="BN8" s="73" t="s">
        <v>9</v>
      </c>
      <c r="BO8" s="60" t="s">
        <v>1</v>
      </c>
      <c r="BP8" s="27" t="s">
        <v>1</v>
      </c>
      <c r="BQ8" s="70" t="s">
        <v>7</v>
      </c>
      <c r="BR8" s="34" t="s">
        <v>8</v>
      </c>
      <c r="BS8" s="56" t="s">
        <v>8</v>
      </c>
      <c r="BT8" s="74" t="s">
        <v>8</v>
      </c>
      <c r="BU8" s="75" t="s">
        <v>8</v>
      </c>
      <c r="BV8" s="60" t="s">
        <v>1</v>
      </c>
      <c r="BW8" s="70" t="s">
        <v>7</v>
      </c>
      <c r="BX8" s="28" t="s">
        <v>9</v>
      </c>
      <c r="BY8" s="28" t="s">
        <v>9</v>
      </c>
      <c r="BZ8" s="57" t="s">
        <v>9</v>
      </c>
      <c r="CA8" s="66" t="s">
        <v>1</v>
      </c>
      <c r="CB8" s="67" t="s">
        <v>1</v>
      </c>
      <c r="CC8" s="61" t="s">
        <v>9</v>
      </c>
      <c r="CD8" s="26" t="s">
        <v>9</v>
      </c>
      <c r="CE8" s="26" t="s">
        <v>9</v>
      </c>
      <c r="CF8" s="26" t="s">
        <v>9</v>
      </c>
      <c r="CG8" s="54" t="s">
        <v>9</v>
      </c>
      <c r="CH8" s="66" t="s">
        <v>1</v>
      </c>
      <c r="CI8" s="67" t="s">
        <v>1</v>
      </c>
      <c r="CJ8" s="28" t="s">
        <v>9</v>
      </c>
      <c r="CK8" s="28" t="s">
        <v>9</v>
      </c>
      <c r="CL8" s="27" t="s">
        <v>1</v>
      </c>
      <c r="CM8" s="70" t="s">
        <v>7</v>
      </c>
      <c r="CN8" s="55" t="s">
        <v>1</v>
      </c>
      <c r="CO8" s="72" t="s">
        <v>9</v>
      </c>
      <c r="CP8" s="73" t="s">
        <v>9</v>
      </c>
      <c r="CQ8" s="60" t="s">
        <v>1</v>
      </c>
      <c r="CR8" s="27" t="s">
        <v>1</v>
      </c>
      <c r="CS8" s="70" t="s">
        <v>7</v>
      </c>
      <c r="CT8" s="34" t="s">
        <v>8</v>
      </c>
      <c r="CU8" s="56" t="s">
        <v>8</v>
      </c>
      <c r="CV8" s="74" t="s">
        <v>8</v>
      </c>
      <c r="CW8" s="75" t="s">
        <v>8</v>
      </c>
      <c r="CX8" s="60" t="s">
        <v>1</v>
      </c>
      <c r="CY8" s="70" t="s">
        <v>7</v>
      </c>
      <c r="CZ8" s="28" t="s">
        <v>9</v>
      </c>
      <c r="DA8" s="28" t="s">
        <v>9</v>
      </c>
      <c r="DB8" s="57" t="s">
        <v>9</v>
      </c>
      <c r="DC8" s="66" t="s">
        <v>1</v>
      </c>
      <c r="DD8" s="67" t="s">
        <v>1</v>
      </c>
      <c r="DE8" s="61" t="s">
        <v>9</v>
      </c>
      <c r="DF8" s="26" t="s">
        <v>9</v>
      </c>
      <c r="DG8" s="26" t="s">
        <v>9</v>
      </c>
      <c r="DH8" s="26" t="s">
        <v>9</v>
      </c>
      <c r="DI8" s="54" t="s">
        <v>9</v>
      </c>
      <c r="DJ8" s="66" t="s">
        <v>1</v>
      </c>
      <c r="DK8" s="67" t="s">
        <v>1</v>
      </c>
      <c r="DL8" s="28" t="s">
        <v>9</v>
      </c>
      <c r="DM8" s="28" t="s">
        <v>9</v>
      </c>
      <c r="DN8" s="27" t="s">
        <v>1</v>
      </c>
      <c r="DO8" s="70" t="s">
        <v>7</v>
      </c>
      <c r="DP8" s="55" t="s">
        <v>1</v>
      </c>
      <c r="DQ8" s="72" t="s">
        <v>9</v>
      </c>
      <c r="DR8" s="73" t="s">
        <v>9</v>
      </c>
      <c r="DS8" s="60" t="s">
        <v>1</v>
      </c>
      <c r="DT8" s="27" t="s">
        <v>1</v>
      </c>
      <c r="DU8" s="70" t="s">
        <v>7</v>
      </c>
      <c r="DV8" s="34" t="s">
        <v>8</v>
      </c>
      <c r="DW8" s="56" t="s">
        <v>8</v>
      </c>
      <c r="DX8" s="74" t="s">
        <v>8</v>
      </c>
      <c r="DY8" s="75" t="s">
        <v>8</v>
      </c>
      <c r="DZ8" s="60" t="s">
        <v>1</v>
      </c>
      <c r="EA8" s="70" t="s">
        <v>7</v>
      </c>
      <c r="EB8" s="28" t="s">
        <v>9</v>
      </c>
      <c r="EC8" s="28" t="s">
        <v>9</v>
      </c>
      <c r="ED8" s="57" t="s">
        <v>9</v>
      </c>
      <c r="EE8" s="66" t="s">
        <v>1</v>
      </c>
      <c r="EF8" s="67" t="s">
        <v>1</v>
      </c>
      <c r="EG8" s="61" t="s">
        <v>9</v>
      </c>
      <c r="EH8" s="26" t="s">
        <v>9</v>
      </c>
      <c r="EI8" s="26" t="s">
        <v>9</v>
      </c>
      <c r="EJ8" s="26" t="s">
        <v>9</v>
      </c>
      <c r="EK8" s="54" t="s">
        <v>9</v>
      </c>
      <c r="EL8" s="66" t="s">
        <v>1</v>
      </c>
      <c r="EM8" s="67" t="s">
        <v>1</v>
      </c>
      <c r="EN8" s="28" t="s">
        <v>9</v>
      </c>
      <c r="EO8" s="28" t="s">
        <v>9</v>
      </c>
      <c r="EP8" s="27" t="s">
        <v>1</v>
      </c>
      <c r="EQ8" s="70" t="s">
        <v>7</v>
      </c>
      <c r="ER8" s="55" t="s">
        <v>1</v>
      </c>
      <c r="ES8" s="72" t="s">
        <v>9</v>
      </c>
      <c r="ET8" s="73" t="s">
        <v>9</v>
      </c>
      <c r="EU8" s="60" t="s">
        <v>1</v>
      </c>
      <c r="EV8" s="27" t="s">
        <v>1</v>
      </c>
      <c r="EW8" s="70" t="s">
        <v>7</v>
      </c>
      <c r="EX8" s="34" t="s">
        <v>8</v>
      </c>
      <c r="EY8" s="56" t="s">
        <v>8</v>
      </c>
      <c r="EZ8" s="74" t="s">
        <v>8</v>
      </c>
      <c r="FA8" s="75" t="s">
        <v>8</v>
      </c>
      <c r="FB8" s="60" t="s">
        <v>1</v>
      </c>
      <c r="FC8" s="70" t="s">
        <v>7</v>
      </c>
      <c r="FD8" s="28" t="s">
        <v>9</v>
      </c>
      <c r="FE8" s="28" t="s">
        <v>9</v>
      </c>
      <c r="FF8" s="57" t="s">
        <v>9</v>
      </c>
      <c r="FG8" s="66" t="s">
        <v>1</v>
      </c>
      <c r="FH8" s="67" t="s">
        <v>1</v>
      </c>
      <c r="FI8" s="61" t="s">
        <v>9</v>
      </c>
      <c r="FJ8" s="26" t="s">
        <v>9</v>
      </c>
      <c r="FK8" s="26" t="s">
        <v>9</v>
      </c>
      <c r="FL8" s="26" t="s">
        <v>9</v>
      </c>
      <c r="FM8" s="54" t="s">
        <v>9</v>
      </c>
      <c r="FN8" s="66" t="s">
        <v>1</v>
      </c>
      <c r="FO8" s="67" t="s">
        <v>1</v>
      </c>
      <c r="FP8" s="28" t="s">
        <v>9</v>
      </c>
      <c r="FQ8" s="28" t="s">
        <v>9</v>
      </c>
      <c r="FR8" s="27" t="s">
        <v>1</v>
      </c>
      <c r="FS8" s="70" t="s">
        <v>7</v>
      </c>
      <c r="FT8" s="55" t="s">
        <v>1</v>
      </c>
      <c r="FU8" s="72" t="s">
        <v>9</v>
      </c>
      <c r="FV8" s="73" t="s">
        <v>9</v>
      </c>
      <c r="FW8" s="60" t="s">
        <v>1</v>
      </c>
      <c r="FX8" s="27" t="s">
        <v>1</v>
      </c>
      <c r="FY8" s="70" t="s">
        <v>7</v>
      </c>
      <c r="FZ8" s="34" t="s">
        <v>8</v>
      </c>
      <c r="GA8" s="56" t="s">
        <v>8</v>
      </c>
      <c r="GB8" s="74" t="s">
        <v>8</v>
      </c>
      <c r="GC8" s="75" t="s">
        <v>8</v>
      </c>
      <c r="GD8" s="60" t="s">
        <v>1</v>
      </c>
      <c r="GE8" s="70" t="s">
        <v>7</v>
      </c>
      <c r="GF8" s="28" t="s">
        <v>9</v>
      </c>
      <c r="GG8" s="28" t="s">
        <v>9</v>
      </c>
      <c r="GH8" s="57" t="s">
        <v>9</v>
      </c>
      <c r="GI8" s="66" t="s">
        <v>1</v>
      </c>
      <c r="GJ8" s="67" t="s">
        <v>1</v>
      </c>
      <c r="GK8" s="61" t="s">
        <v>9</v>
      </c>
      <c r="GL8" s="26" t="s">
        <v>9</v>
      </c>
      <c r="GM8" s="26" t="s">
        <v>9</v>
      </c>
      <c r="GN8" s="26" t="s">
        <v>9</v>
      </c>
      <c r="GO8" s="54" t="s">
        <v>9</v>
      </c>
      <c r="GP8" s="66" t="s">
        <v>1</v>
      </c>
      <c r="GQ8" s="67" t="s">
        <v>1</v>
      </c>
      <c r="GR8" s="28" t="s">
        <v>9</v>
      </c>
      <c r="GS8" s="28" t="s">
        <v>9</v>
      </c>
      <c r="GT8" s="27" t="s">
        <v>1</v>
      </c>
      <c r="GU8" s="70" t="s">
        <v>7</v>
      </c>
      <c r="GV8" s="55" t="s">
        <v>1</v>
      </c>
      <c r="GW8" s="72" t="s">
        <v>9</v>
      </c>
      <c r="GX8" s="73" t="s">
        <v>9</v>
      </c>
      <c r="GY8" s="60" t="s">
        <v>1</v>
      </c>
      <c r="GZ8" s="27" t="s">
        <v>1</v>
      </c>
      <c r="HA8" s="70" t="s">
        <v>7</v>
      </c>
      <c r="HB8" s="34"/>
      <c r="HC8" s="56" t="s">
        <v>8</v>
      </c>
      <c r="HD8" s="74" t="s">
        <v>8</v>
      </c>
      <c r="HE8" s="75" t="s">
        <v>8</v>
      </c>
      <c r="HF8" s="60" t="s">
        <v>1</v>
      </c>
      <c r="HG8" s="70" t="s">
        <v>7</v>
      </c>
      <c r="HH8" s="28" t="s">
        <v>9</v>
      </c>
      <c r="HI8" s="28" t="s">
        <v>9</v>
      </c>
      <c r="HJ8" s="57" t="s">
        <v>9</v>
      </c>
      <c r="HK8" s="66" t="s">
        <v>1</v>
      </c>
      <c r="HL8" s="67" t="s">
        <v>1</v>
      </c>
      <c r="HM8" s="61" t="s">
        <v>9</v>
      </c>
      <c r="HN8" s="26" t="s">
        <v>9</v>
      </c>
      <c r="HO8" s="26" t="s">
        <v>9</v>
      </c>
      <c r="HP8" s="26" t="s">
        <v>9</v>
      </c>
      <c r="HQ8" s="54" t="s">
        <v>9</v>
      </c>
      <c r="HR8" s="66" t="s">
        <v>1</v>
      </c>
      <c r="HS8" s="67" t="s">
        <v>1</v>
      </c>
      <c r="HT8" s="28" t="s">
        <v>9</v>
      </c>
      <c r="HU8" s="28" t="s">
        <v>9</v>
      </c>
      <c r="HV8" s="27" t="s">
        <v>1</v>
      </c>
      <c r="HW8" s="70" t="s">
        <v>7</v>
      </c>
      <c r="HX8" s="55" t="s">
        <v>1</v>
      </c>
      <c r="HY8" s="72" t="s">
        <v>9</v>
      </c>
      <c r="HZ8" s="73" t="s">
        <v>9</v>
      </c>
      <c r="IA8" s="60" t="s">
        <v>1</v>
      </c>
      <c r="IB8" s="27" t="s">
        <v>1</v>
      </c>
      <c r="IC8" s="70" t="s">
        <v>7</v>
      </c>
      <c r="ID8" s="34"/>
      <c r="IE8" s="56" t="s">
        <v>8</v>
      </c>
      <c r="IF8" s="74" t="s">
        <v>8</v>
      </c>
      <c r="IG8" s="75" t="s">
        <v>8</v>
      </c>
      <c r="IH8" s="60" t="s">
        <v>1</v>
      </c>
      <c r="II8" s="70" t="s">
        <v>7</v>
      </c>
      <c r="IJ8" s="28" t="s">
        <v>9</v>
      </c>
      <c r="IK8" s="28" t="s">
        <v>9</v>
      </c>
      <c r="IL8" s="57" t="s">
        <v>9</v>
      </c>
      <c r="IM8" s="66" t="s">
        <v>1</v>
      </c>
      <c r="IN8" s="67" t="s">
        <v>1</v>
      </c>
      <c r="IO8" s="61" t="s">
        <v>9</v>
      </c>
      <c r="IP8" s="26" t="s">
        <v>9</v>
      </c>
      <c r="IQ8" s="26" t="s">
        <v>9</v>
      </c>
      <c r="IR8" s="26" t="s">
        <v>9</v>
      </c>
      <c r="IS8" s="54" t="s">
        <v>9</v>
      </c>
      <c r="IT8" s="66" t="s">
        <v>1</v>
      </c>
      <c r="IU8" s="67" t="s">
        <v>1</v>
      </c>
      <c r="IV8" s="28" t="s">
        <v>9</v>
      </c>
      <c r="IW8" s="28" t="s">
        <v>9</v>
      </c>
      <c r="IX8" s="27" t="s">
        <v>1</v>
      </c>
      <c r="IY8" s="70" t="s">
        <v>7</v>
      </c>
      <c r="IZ8" s="55" t="s">
        <v>1</v>
      </c>
      <c r="JA8" s="72" t="s">
        <v>9</v>
      </c>
      <c r="JB8" s="73" t="s">
        <v>9</v>
      </c>
      <c r="JC8" s="60" t="s">
        <v>1</v>
      </c>
      <c r="JD8" s="27" t="s">
        <v>1</v>
      </c>
      <c r="JE8" s="70" t="s">
        <v>7</v>
      </c>
      <c r="JF8" s="34"/>
      <c r="JG8" s="56" t="s">
        <v>8</v>
      </c>
      <c r="JH8" s="74" t="s">
        <v>8</v>
      </c>
      <c r="JI8" s="75" t="s">
        <v>8</v>
      </c>
      <c r="JJ8" s="60" t="s">
        <v>1</v>
      </c>
      <c r="JK8" s="70" t="s">
        <v>7</v>
      </c>
      <c r="JL8" s="28" t="s">
        <v>9</v>
      </c>
      <c r="JM8" s="28" t="s">
        <v>9</v>
      </c>
      <c r="JN8" s="57" t="s">
        <v>9</v>
      </c>
      <c r="JO8" s="66" t="s">
        <v>1</v>
      </c>
      <c r="JP8" s="67" t="s">
        <v>1</v>
      </c>
      <c r="JQ8" s="61" t="s">
        <v>9</v>
      </c>
      <c r="JR8" s="26" t="s">
        <v>9</v>
      </c>
      <c r="JS8" s="26" t="s">
        <v>9</v>
      </c>
      <c r="JT8" s="26" t="s">
        <v>9</v>
      </c>
      <c r="JU8" s="54" t="s">
        <v>9</v>
      </c>
      <c r="JV8" s="66" t="s">
        <v>1</v>
      </c>
      <c r="JW8" s="67" t="s">
        <v>1</v>
      </c>
      <c r="JX8" s="28" t="s">
        <v>9</v>
      </c>
      <c r="JY8" s="28" t="s">
        <v>9</v>
      </c>
      <c r="JZ8" s="27" t="s">
        <v>1</v>
      </c>
      <c r="KA8" s="70" t="s">
        <v>7</v>
      </c>
      <c r="KB8" s="55" t="s">
        <v>1</v>
      </c>
      <c r="KC8" s="72" t="s">
        <v>9</v>
      </c>
      <c r="KD8" s="73" t="s">
        <v>9</v>
      </c>
      <c r="KE8" s="60" t="s">
        <v>1</v>
      </c>
      <c r="KF8" s="27" t="s">
        <v>1</v>
      </c>
      <c r="KG8" s="70" t="s">
        <v>7</v>
      </c>
      <c r="KH8" s="34"/>
      <c r="KI8" s="56" t="s">
        <v>8</v>
      </c>
      <c r="KJ8" s="74" t="s">
        <v>8</v>
      </c>
      <c r="KK8" s="75" t="s">
        <v>8</v>
      </c>
      <c r="KL8" s="60" t="s">
        <v>1</v>
      </c>
      <c r="KM8" s="70" t="s">
        <v>7</v>
      </c>
      <c r="KN8" s="28" t="s">
        <v>9</v>
      </c>
      <c r="KO8" s="28" t="s">
        <v>9</v>
      </c>
      <c r="KP8" s="57" t="s">
        <v>9</v>
      </c>
      <c r="KQ8" s="66" t="s">
        <v>1</v>
      </c>
      <c r="KR8" s="67" t="s">
        <v>1</v>
      </c>
      <c r="KS8" s="61" t="s">
        <v>9</v>
      </c>
      <c r="KT8" s="26" t="s">
        <v>9</v>
      </c>
      <c r="KU8" s="26" t="s">
        <v>9</v>
      </c>
      <c r="KV8" s="26" t="s">
        <v>9</v>
      </c>
      <c r="KW8" s="54" t="s">
        <v>9</v>
      </c>
      <c r="KX8" s="66" t="s">
        <v>1</v>
      </c>
      <c r="KY8" s="67" t="s">
        <v>1</v>
      </c>
      <c r="KZ8" s="28" t="s">
        <v>9</v>
      </c>
      <c r="LA8" s="28" t="s">
        <v>9</v>
      </c>
      <c r="LB8" s="27" t="s">
        <v>1</v>
      </c>
      <c r="LC8" s="70" t="s">
        <v>7</v>
      </c>
      <c r="LD8" s="55" t="s">
        <v>1</v>
      </c>
      <c r="LE8" s="72" t="s">
        <v>9</v>
      </c>
      <c r="LF8" s="73" t="s">
        <v>9</v>
      </c>
      <c r="LG8" s="60" t="s">
        <v>1</v>
      </c>
      <c r="LH8" s="27" t="s">
        <v>1</v>
      </c>
      <c r="LI8" s="70" t="s">
        <v>7</v>
      </c>
      <c r="LJ8" s="34"/>
      <c r="LK8" s="56" t="s">
        <v>8</v>
      </c>
      <c r="LL8" s="74" t="s">
        <v>8</v>
      </c>
      <c r="LM8" s="75" t="s">
        <v>8</v>
      </c>
      <c r="LN8" s="60" t="s">
        <v>1</v>
      </c>
      <c r="LO8" s="70" t="s">
        <v>7</v>
      </c>
      <c r="LP8" s="28" t="s">
        <v>9</v>
      </c>
      <c r="LQ8" s="28" t="s">
        <v>9</v>
      </c>
      <c r="LR8" s="57" t="s">
        <v>9</v>
      </c>
      <c r="LS8" s="66" t="s">
        <v>1</v>
      </c>
      <c r="LT8" s="67" t="s">
        <v>1</v>
      </c>
      <c r="LU8" s="61" t="s">
        <v>9</v>
      </c>
      <c r="LV8" s="26" t="s">
        <v>9</v>
      </c>
      <c r="LW8" s="26" t="s">
        <v>9</v>
      </c>
      <c r="LX8" s="26" t="s">
        <v>9</v>
      </c>
      <c r="LY8" s="54" t="s">
        <v>9</v>
      </c>
      <c r="LZ8" s="66" t="s">
        <v>1</v>
      </c>
      <c r="MA8" s="67" t="s">
        <v>1</v>
      </c>
      <c r="MB8" s="28" t="s">
        <v>9</v>
      </c>
      <c r="MC8" s="28" t="s">
        <v>9</v>
      </c>
      <c r="MD8" s="27" t="s">
        <v>1</v>
      </c>
      <c r="ME8" s="70" t="s">
        <v>7</v>
      </c>
      <c r="MF8" s="55" t="s">
        <v>1</v>
      </c>
      <c r="MG8" s="72" t="s">
        <v>9</v>
      </c>
      <c r="MH8" s="73" t="s">
        <v>9</v>
      </c>
      <c r="MI8" s="60" t="s">
        <v>1</v>
      </c>
      <c r="MJ8" s="27" t="s">
        <v>1</v>
      </c>
      <c r="MK8" s="70" t="s">
        <v>7</v>
      </c>
      <c r="ML8" s="34"/>
      <c r="MM8" s="56" t="s">
        <v>8</v>
      </c>
      <c r="MN8" s="74" t="s">
        <v>8</v>
      </c>
      <c r="MO8" s="75" t="s">
        <v>8</v>
      </c>
      <c r="MP8" s="60" t="s">
        <v>1</v>
      </c>
      <c r="MQ8" s="70" t="s">
        <v>7</v>
      </c>
      <c r="MR8" s="28" t="s">
        <v>9</v>
      </c>
      <c r="MS8" s="28" t="s">
        <v>9</v>
      </c>
      <c r="MT8" s="57" t="s">
        <v>9</v>
      </c>
      <c r="MU8" s="66" t="s">
        <v>1</v>
      </c>
      <c r="MV8" s="67" t="s">
        <v>1</v>
      </c>
      <c r="MW8" s="61" t="s">
        <v>9</v>
      </c>
      <c r="MX8" s="26" t="s">
        <v>9</v>
      </c>
      <c r="MY8" s="26" t="s">
        <v>9</v>
      </c>
      <c r="MZ8" s="26" t="s">
        <v>9</v>
      </c>
      <c r="NA8" s="54" t="s">
        <v>9</v>
      </c>
      <c r="NB8" s="66" t="s">
        <v>1</v>
      </c>
      <c r="NC8" s="67" t="s">
        <v>1</v>
      </c>
      <c r="ND8" s="28" t="s">
        <v>9</v>
      </c>
    </row>
    <row r="9" spans="2:368">
      <c r="B9" s="346" t="s">
        <v>27</v>
      </c>
      <c r="C9" s="363"/>
      <c r="D9" s="60" t="s">
        <v>1</v>
      </c>
      <c r="E9" s="27" t="s">
        <v>1</v>
      </c>
      <c r="F9" s="70" t="s">
        <v>7</v>
      </c>
      <c r="G9" s="34" t="s">
        <v>8</v>
      </c>
      <c r="H9" s="56" t="s">
        <v>8</v>
      </c>
      <c r="I9" s="74" t="s">
        <v>8</v>
      </c>
      <c r="J9" s="75" t="s">
        <v>8</v>
      </c>
      <c r="K9" s="60" t="s">
        <v>1</v>
      </c>
      <c r="L9" s="70" t="s">
        <v>7</v>
      </c>
      <c r="M9" s="28" t="s">
        <v>9</v>
      </c>
      <c r="N9" s="28" t="s">
        <v>9</v>
      </c>
      <c r="O9" s="57" t="s">
        <v>9</v>
      </c>
      <c r="P9" s="66" t="s">
        <v>1</v>
      </c>
      <c r="Q9" s="67" t="s">
        <v>1</v>
      </c>
      <c r="R9" s="61" t="s">
        <v>9</v>
      </c>
      <c r="S9" s="26" t="s">
        <v>9</v>
      </c>
      <c r="T9" s="26" t="s">
        <v>9</v>
      </c>
      <c r="U9" s="26" t="s">
        <v>9</v>
      </c>
      <c r="V9" s="54" t="s">
        <v>9</v>
      </c>
      <c r="W9" s="66" t="s">
        <v>1</v>
      </c>
      <c r="X9" s="67" t="s">
        <v>1</v>
      </c>
      <c r="Y9" s="59" t="s">
        <v>9</v>
      </c>
      <c r="Z9" s="28" t="s">
        <v>9</v>
      </c>
      <c r="AA9" s="27" t="s">
        <v>1</v>
      </c>
      <c r="AB9" s="70" t="s">
        <v>7</v>
      </c>
      <c r="AC9" s="55" t="s">
        <v>1</v>
      </c>
      <c r="AD9" s="72" t="s">
        <v>9</v>
      </c>
      <c r="AE9" s="73" t="s">
        <v>9</v>
      </c>
      <c r="AF9" s="27" t="s">
        <v>1</v>
      </c>
      <c r="AG9" s="27" t="s">
        <v>1</v>
      </c>
      <c r="AH9" s="70" t="s">
        <v>7</v>
      </c>
      <c r="AI9" s="34" t="s">
        <v>8</v>
      </c>
      <c r="AJ9" s="56" t="s">
        <v>8</v>
      </c>
      <c r="AK9" s="74" t="s">
        <v>8</v>
      </c>
      <c r="AL9" s="75" t="s">
        <v>8</v>
      </c>
      <c r="AM9" s="60" t="s">
        <v>1</v>
      </c>
      <c r="AN9" s="70" t="s">
        <v>7</v>
      </c>
      <c r="AO9" s="28" t="s">
        <v>9</v>
      </c>
      <c r="AP9" s="28" t="s">
        <v>9</v>
      </c>
      <c r="AQ9" s="57" t="s">
        <v>9</v>
      </c>
      <c r="AR9" s="66" t="s">
        <v>1</v>
      </c>
      <c r="AS9" s="67" t="s">
        <v>1</v>
      </c>
      <c r="AT9" s="61" t="s">
        <v>9</v>
      </c>
      <c r="AU9" s="26" t="s">
        <v>9</v>
      </c>
      <c r="AV9" s="26" t="s">
        <v>9</v>
      </c>
      <c r="AW9" s="26" t="s">
        <v>9</v>
      </c>
      <c r="AX9" s="54" t="s">
        <v>9</v>
      </c>
      <c r="AY9" s="66" t="s">
        <v>1</v>
      </c>
      <c r="AZ9" s="67" t="s">
        <v>1</v>
      </c>
      <c r="BA9" s="59" t="s">
        <v>9</v>
      </c>
      <c r="BB9" s="28" t="s">
        <v>9</v>
      </c>
      <c r="BC9" s="27" t="s">
        <v>1</v>
      </c>
      <c r="BD9" s="70" t="s">
        <v>7</v>
      </c>
      <c r="BE9" s="55" t="s">
        <v>1</v>
      </c>
      <c r="BF9" s="72" t="s">
        <v>9</v>
      </c>
      <c r="BG9" s="73" t="s">
        <v>9</v>
      </c>
      <c r="BH9" s="27" t="s">
        <v>1</v>
      </c>
      <c r="BI9" s="27" t="s">
        <v>1</v>
      </c>
      <c r="BJ9" s="70" t="s">
        <v>7</v>
      </c>
      <c r="BK9" s="34" t="s">
        <v>8</v>
      </c>
      <c r="BL9" s="56" t="s">
        <v>8</v>
      </c>
      <c r="BM9" s="74" t="s">
        <v>8</v>
      </c>
      <c r="BN9" s="75" t="s">
        <v>8</v>
      </c>
      <c r="BO9" s="60" t="s">
        <v>1</v>
      </c>
      <c r="BP9" s="70" t="s">
        <v>7</v>
      </c>
      <c r="BQ9" s="28" t="s">
        <v>9</v>
      </c>
      <c r="BR9" s="28" t="s">
        <v>9</v>
      </c>
      <c r="BS9" s="57" t="s">
        <v>9</v>
      </c>
      <c r="BT9" s="66" t="s">
        <v>1</v>
      </c>
      <c r="BU9" s="67" t="s">
        <v>1</v>
      </c>
      <c r="BV9" s="61" t="s">
        <v>9</v>
      </c>
      <c r="BW9" s="26" t="s">
        <v>9</v>
      </c>
      <c r="BX9" s="26" t="s">
        <v>9</v>
      </c>
      <c r="BY9" s="26" t="s">
        <v>9</v>
      </c>
      <c r="BZ9" s="54" t="s">
        <v>9</v>
      </c>
      <c r="CA9" s="66" t="s">
        <v>1</v>
      </c>
      <c r="CB9" s="67" t="s">
        <v>1</v>
      </c>
      <c r="CC9" s="59" t="s">
        <v>9</v>
      </c>
      <c r="CD9" s="28" t="s">
        <v>9</v>
      </c>
      <c r="CE9" s="27" t="s">
        <v>1</v>
      </c>
      <c r="CF9" s="70" t="s">
        <v>7</v>
      </c>
      <c r="CG9" s="55" t="s">
        <v>1</v>
      </c>
      <c r="CH9" s="72" t="s">
        <v>9</v>
      </c>
      <c r="CI9" s="73" t="s">
        <v>9</v>
      </c>
      <c r="CJ9" s="27" t="s">
        <v>1</v>
      </c>
      <c r="CK9" s="27" t="s">
        <v>1</v>
      </c>
      <c r="CL9" s="70" t="s">
        <v>7</v>
      </c>
      <c r="CM9" s="34" t="s">
        <v>8</v>
      </c>
      <c r="CN9" s="56" t="s">
        <v>8</v>
      </c>
      <c r="CO9" s="74" t="s">
        <v>8</v>
      </c>
      <c r="CP9" s="75" t="s">
        <v>8</v>
      </c>
      <c r="CQ9" s="60" t="s">
        <v>1</v>
      </c>
      <c r="CR9" s="70" t="s">
        <v>7</v>
      </c>
      <c r="CS9" s="28" t="s">
        <v>9</v>
      </c>
      <c r="CT9" s="28" t="s">
        <v>9</v>
      </c>
      <c r="CU9" s="57" t="s">
        <v>9</v>
      </c>
      <c r="CV9" s="66" t="s">
        <v>1</v>
      </c>
      <c r="CW9" s="67" t="s">
        <v>1</v>
      </c>
      <c r="CX9" s="61" t="s">
        <v>9</v>
      </c>
      <c r="CY9" s="26" t="s">
        <v>9</v>
      </c>
      <c r="CZ9" s="26" t="s">
        <v>9</v>
      </c>
      <c r="DA9" s="26" t="s">
        <v>9</v>
      </c>
      <c r="DB9" s="54" t="s">
        <v>9</v>
      </c>
      <c r="DC9" s="66" t="s">
        <v>1</v>
      </c>
      <c r="DD9" s="67" t="s">
        <v>1</v>
      </c>
      <c r="DE9" s="59" t="s">
        <v>9</v>
      </c>
      <c r="DF9" s="28" t="s">
        <v>9</v>
      </c>
      <c r="DG9" s="27" t="s">
        <v>1</v>
      </c>
      <c r="DH9" s="70" t="s">
        <v>7</v>
      </c>
      <c r="DI9" s="55" t="s">
        <v>1</v>
      </c>
      <c r="DJ9" s="72" t="s">
        <v>9</v>
      </c>
      <c r="DK9" s="73" t="s">
        <v>9</v>
      </c>
      <c r="DL9" s="27" t="s">
        <v>1</v>
      </c>
      <c r="DM9" s="27" t="s">
        <v>1</v>
      </c>
      <c r="DN9" s="70" t="s">
        <v>7</v>
      </c>
      <c r="DO9" s="34" t="s">
        <v>8</v>
      </c>
      <c r="DP9" s="56" t="s">
        <v>8</v>
      </c>
      <c r="DQ9" s="74" t="s">
        <v>8</v>
      </c>
      <c r="DR9" s="75" t="s">
        <v>8</v>
      </c>
      <c r="DS9" s="60" t="s">
        <v>1</v>
      </c>
      <c r="DT9" s="70" t="s">
        <v>7</v>
      </c>
      <c r="DU9" s="28" t="s">
        <v>9</v>
      </c>
      <c r="DV9" s="28" t="s">
        <v>9</v>
      </c>
      <c r="DW9" s="57" t="s">
        <v>9</v>
      </c>
      <c r="DX9" s="66" t="s">
        <v>1</v>
      </c>
      <c r="DY9" s="67" t="s">
        <v>1</v>
      </c>
      <c r="DZ9" s="61" t="s">
        <v>9</v>
      </c>
      <c r="EA9" s="26" t="s">
        <v>9</v>
      </c>
      <c r="EB9" s="26" t="s">
        <v>9</v>
      </c>
      <c r="EC9" s="26" t="s">
        <v>9</v>
      </c>
      <c r="ED9" s="54" t="s">
        <v>9</v>
      </c>
      <c r="EE9" s="66" t="s">
        <v>1</v>
      </c>
      <c r="EF9" s="67" t="s">
        <v>1</v>
      </c>
      <c r="EG9" s="59" t="s">
        <v>9</v>
      </c>
      <c r="EH9" s="28" t="s">
        <v>9</v>
      </c>
      <c r="EI9" s="27" t="s">
        <v>1</v>
      </c>
      <c r="EJ9" s="70" t="s">
        <v>7</v>
      </c>
      <c r="EK9" s="55" t="s">
        <v>1</v>
      </c>
      <c r="EL9" s="72" t="s">
        <v>9</v>
      </c>
      <c r="EM9" s="73" t="s">
        <v>9</v>
      </c>
      <c r="EN9" s="27" t="s">
        <v>1</v>
      </c>
      <c r="EO9" s="27" t="s">
        <v>1</v>
      </c>
      <c r="EP9" s="70" t="s">
        <v>7</v>
      </c>
      <c r="EQ9" s="34" t="s">
        <v>8</v>
      </c>
      <c r="ER9" s="56" t="s">
        <v>8</v>
      </c>
      <c r="ES9" s="74" t="s">
        <v>8</v>
      </c>
      <c r="ET9" s="75" t="s">
        <v>8</v>
      </c>
      <c r="EU9" s="60" t="s">
        <v>1</v>
      </c>
      <c r="EV9" s="70" t="s">
        <v>7</v>
      </c>
      <c r="EW9" s="28" t="s">
        <v>9</v>
      </c>
      <c r="EX9" s="28" t="s">
        <v>9</v>
      </c>
      <c r="EY9" s="57" t="s">
        <v>9</v>
      </c>
      <c r="EZ9" s="66" t="s">
        <v>1</v>
      </c>
      <c r="FA9" s="67" t="s">
        <v>1</v>
      </c>
      <c r="FB9" s="61" t="s">
        <v>9</v>
      </c>
      <c r="FC9" s="26" t="s">
        <v>9</v>
      </c>
      <c r="FD9" s="26" t="s">
        <v>9</v>
      </c>
      <c r="FE9" s="26" t="s">
        <v>9</v>
      </c>
      <c r="FF9" s="54" t="s">
        <v>9</v>
      </c>
      <c r="FG9" s="66" t="s">
        <v>1</v>
      </c>
      <c r="FH9" s="67" t="s">
        <v>1</v>
      </c>
      <c r="FI9" s="59" t="s">
        <v>9</v>
      </c>
      <c r="FJ9" s="28" t="s">
        <v>9</v>
      </c>
      <c r="FK9" s="27" t="s">
        <v>1</v>
      </c>
      <c r="FL9" s="70" t="s">
        <v>7</v>
      </c>
      <c r="FM9" s="55" t="s">
        <v>1</v>
      </c>
      <c r="FN9" s="72" t="s">
        <v>9</v>
      </c>
      <c r="FO9" s="73" t="s">
        <v>9</v>
      </c>
      <c r="FP9" s="27" t="s">
        <v>1</v>
      </c>
      <c r="FQ9" s="27" t="s">
        <v>1</v>
      </c>
      <c r="FR9" s="70" t="s">
        <v>7</v>
      </c>
      <c r="FS9" s="34" t="s">
        <v>8</v>
      </c>
      <c r="FT9" s="56" t="s">
        <v>8</v>
      </c>
      <c r="FU9" s="74" t="s">
        <v>8</v>
      </c>
      <c r="FV9" s="75" t="s">
        <v>8</v>
      </c>
      <c r="FW9" s="60" t="s">
        <v>1</v>
      </c>
      <c r="FX9" s="70" t="s">
        <v>7</v>
      </c>
      <c r="FY9" s="28" t="s">
        <v>9</v>
      </c>
      <c r="FZ9" s="28" t="s">
        <v>9</v>
      </c>
      <c r="GA9" s="57" t="s">
        <v>9</v>
      </c>
      <c r="GB9" s="66" t="s">
        <v>1</v>
      </c>
      <c r="GC9" s="67" t="s">
        <v>1</v>
      </c>
      <c r="GD9" s="61" t="s">
        <v>9</v>
      </c>
      <c r="GE9" s="26" t="s">
        <v>9</v>
      </c>
      <c r="GF9" s="26" t="s">
        <v>9</v>
      </c>
      <c r="GG9" s="26" t="s">
        <v>9</v>
      </c>
      <c r="GH9" s="54" t="s">
        <v>9</v>
      </c>
      <c r="GI9" s="66" t="s">
        <v>1</v>
      </c>
      <c r="GJ9" s="67" t="s">
        <v>1</v>
      </c>
      <c r="GK9" s="59" t="s">
        <v>9</v>
      </c>
      <c r="GL9" s="28" t="s">
        <v>9</v>
      </c>
      <c r="GM9" s="27" t="s">
        <v>1</v>
      </c>
      <c r="GN9" s="70" t="s">
        <v>7</v>
      </c>
      <c r="GO9" s="55" t="s">
        <v>1</v>
      </c>
      <c r="GP9" s="72" t="s">
        <v>9</v>
      </c>
      <c r="GQ9" s="73" t="s">
        <v>9</v>
      </c>
      <c r="GR9" s="27" t="s">
        <v>1</v>
      </c>
      <c r="GS9" s="27" t="s">
        <v>1</v>
      </c>
      <c r="GT9" s="70" t="s">
        <v>7</v>
      </c>
      <c r="GU9" s="34"/>
      <c r="GV9" s="56" t="s">
        <v>8</v>
      </c>
      <c r="GW9" s="74" t="s">
        <v>8</v>
      </c>
      <c r="GX9" s="75" t="s">
        <v>8</v>
      </c>
      <c r="GY9" s="60" t="s">
        <v>1</v>
      </c>
      <c r="GZ9" s="70" t="s">
        <v>7</v>
      </c>
      <c r="HA9" s="28" t="s">
        <v>9</v>
      </c>
      <c r="HB9" s="28" t="s">
        <v>9</v>
      </c>
      <c r="HC9" s="57" t="s">
        <v>9</v>
      </c>
      <c r="HD9" s="66" t="s">
        <v>1</v>
      </c>
      <c r="HE9" s="67" t="s">
        <v>1</v>
      </c>
      <c r="HF9" s="61" t="s">
        <v>9</v>
      </c>
      <c r="HG9" s="26" t="s">
        <v>9</v>
      </c>
      <c r="HH9" s="26" t="s">
        <v>9</v>
      </c>
      <c r="HI9" s="26" t="s">
        <v>9</v>
      </c>
      <c r="HJ9" s="54" t="s">
        <v>9</v>
      </c>
      <c r="HK9" s="66" t="s">
        <v>1</v>
      </c>
      <c r="HL9" s="67" t="s">
        <v>1</v>
      </c>
      <c r="HM9" s="59" t="s">
        <v>9</v>
      </c>
      <c r="HN9" s="28" t="s">
        <v>9</v>
      </c>
      <c r="HO9" s="27" t="s">
        <v>1</v>
      </c>
      <c r="HP9" s="70" t="s">
        <v>7</v>
      </c>
      <c r="HQ9" s="55" t="s">
        <v>1</v>
      </c>
      <c r="HR9" s="72" t="s">
        <v>9</v>
      </c>
      <c r="HS9" s="73" t="s">
        <v>9</v>
      </c>
      <c r="HT9" s="27" t="s">
        <v>1</v>
      </c>
      <c r="HU9" s="27" t="s">
        <v>1</v>
      </c>
      <c r="HV9" s="70" t="s">
        <v>7</v>
      </c>
      <c r="HW9" s="34"/>
      <c r="HX9" s="56" t="s">
        <v>8</v>
      </c>
      <c r="HY9" s="74" t="s">
        <v>8</v>
      </c>
      <c r="HZ9" s="75" t="s">
        <v>8</v>
      </c>
      <c r="IA9" s="60" t="s">
        <v>1</v>
      </c>
      <c r="IB9" s="70" t="s">
        <v>7</v>
      </c>
      <c r="IC9" s="28" t="s">
        <v>9</v>
      </c>
      <c r="ID9" s="28" t="s">
        <v>9</v>
      </c>
      <c r="IE9" s="57" t="s">
        <v>9</v>
      </c>
      <c r="IF9" s="66" t="s">
        <v>1</v>
      </c>
      <c r="IG9" s="67" t="s">
        <v>1</v>
      </c>
      <c r="IH9" s="61" t="s">
        <v>9</v>
      </c>
      <c r="II9" s="26" t="s">
        <v>9</v>
      </c>
      <c r="IJ9" s="26" t="s">
        <v>9</v>
      </c>
      <c r="IK9" s="26" t="s">
        <v>9</v>
      </c>
      <c r="IL9" s="54" t="s">
        <v>9</v>
      </c>
      <c r="IM9" s="66" t="s">
        <v>1</v>
      </c>
      <c r="IN9" s="67" t="s">
        <v>1</v>
      </c>
      <c r="IO9" s="59" t="s">
        <v>9</v>
      </c>
      <c r="IP9" s="28" t="s">
        <v>9</v>
      </c>
      <c r="IQ9" s="27" t="s">
        <v>1</v>
      </c>
      <c r="IR9" s="70" t="s">
        <v>7</v>
      </c>
      <c r="IS9" s="55" t="s">
        <v>1</v>
      </c>
      <c r="IT9" s="72" t="s">
        <v>9</v>
      </c>
      <c r="IU9" s="73" t="s">
        <v>9</v>
      </c>
      <c r="IV9" s="27" t="s">
        <v>1</v>
      </c>
      <c r="IW9" s="27" t="s">
        <v>1</v>
      </c>
      <c r="IX9" s="70" t="s">
        <v>7</v>
      </c>
      <c r="IY9" s="34"/>
      <c r="IZ9" s="56" t="s">
        <v>8</v>
      </c>
      <c r="JA9" s="74" t="s">
        <v>8</v>
      </c>
      <c r="JB9" s="75" t="s">
        <v>8</v>
      </c>
      <c r="JC9" s="60" t="s">
        <v>1</v>
      </c>
      <c r="JD9" s="70" t="s">
        <v>7</v>
      </c>
      <c r="JE9" s="28" t="s">
        <v>9</v>
      </c>
      <c r="JF9" s="28" t="s">
        <v>9</v>
      </c>
      <c r="JG9" s="57" t="s">
        <v>9</v>
      </c>
      <c r="JH9" s="66" t="s">
        <v>1</v>
      </c>
      <c r="JI9" s="67" t="s">
        <v>1</v>
      </c>
      <c r="JJ9" s="61" t="s">
        <v>9</v>
      </c>
      <c r="JK9" s="26" t="s">
        <v>9</v>
      </c>
      <c r="JL9" s="26" t="s">
        <v>9</v>
      </c>
      <c r="JM9" s="26" t="s">
        <v>9</v>
      </c>
      <c r="JN9" s="54" t="s">
        <v>9</v>
      </c>
      <c r="JO9" s="66" t="s">
        <v>1</v>
      </c>
      <c r="JP9" s="67" t="s">
        <v>1</v>
      </c>
      <c r="JQ9" s="59" t="s">
        <v>9</v>
      </c>
      <c r="JR9" s="28" t="s">
        <v>9</v>
      </c>
      <c r="JS9" s="27" t="s">
        <v>1</v>
      </c>
      <c r="JT9" s="70" t="s">
        <v>7</v>
      </c>
      <c r="JU9" s="55" t="s">
        <v>1</v>
      </c>
      <c r="JV9" s="72" t="s">
        <v>9</v>
      </c>
      <c r="JW9" s="73" t="s">
        <v>9</v>
      </c>
      <c r="JX9" s="27" t="s">
        <v>1</v>
      </c>
      <c r="JY9" s="27" t="s">
        <v>1</v>
      </c>
      <c r="JZ9" s="70" t="s">
        <v>7</v>
      </c>
      <c r="KA9" s="34"/>
      <c r="KB9" s="56" t="s">
        <v>8</v>
      </c>
      <c r="KC9" s="74" t="s">
        <v>8</v>
      </c>
      <c r="KD9" s="75" t="s">
        <v>8</v>
      </c>
      <c r="KE9" s="60" t="s">
        <v>1</v>
      </c>
      <c r="KF9" s="70" t="s">
        <v>7</v>
      </c>
      <c r="KG9" s="28" t="s">
        <v>9</v>
      </c>
      <c r="KH9" s="28" t="s">
        <v>9</v>
      </c>
      <c r="KI9" s="57" t="s">
        <v>9</v>
      </c>
      <c r="KJ9" s="66" t="s">
        <v>1</v>
      </c>
      <c r="KK9" s="67" t="s">
        <v>1</v>
      </c>
      <c r="KL9" s="61" t="s">
        <v>9</v>
      </c>
      <c r="KM9" s="26" t="s">
        <v>9</v>
      </c>
      <c r="KN9" s="26" t="s">
        <v>9</v>
      </c>
      <c r="KO9" s="26" t="s">
        <v>9</v>
      </c>
      <c r="KP9" s="54" t="s">
        <v>9</v>
      </c>
      <c r="KQ9" s="66" t="s">
        <v>1</v>
      </c>
      <c r="KR9" s="67" t="s">
        <v>1</v>
      </c>
      <c r="KS9" s="59" t="s">
        <v>9</v>
      </c>
      <c r="KT9" s="28" t="s">
        <v>9</v>
      </c>
      <c r="KU9" s="27" t="s">
        <v>1</v>
      </c>
      <c r="KV9" s="70" t="s">
        <v>7</v>
      </c>
      <c r="KW9" s="55" t="s">
        <v>1</v>
      </c>
      <c r="KX9" s="72" t="s">
        <v>9</v>
      </c>
      <c r="KY9" s="73" t="s">
        <v>9</v>
      </c>
      <c r="KZ9" s="27" t="s">
        <v>1</v>
      </c>
      <c r="LA9" s="27" t="s">
        <v>1</v>
      </c>
      <c r="LB9" s="70" t="s">
        <v>7</v>
      </c>
      <c r="LC9" s="34"/>
      <c r="LD9" s="56" t="s">
        <v>8</v>
      </c>
      <c r="LE9" s="74" t="s">
        <v>8</v>
      </c>
      <c r="LF9" s="75" t="s">
        <v>8</v>
      </c>
      <c r="LG9" s="60" t="s">
        <v>1</v>
      </c>
      <c r="LH9" s="70" t="s">
        <v>7</v>
      </c>
      <c r="LI9" s="28" t="s">
        <v>9</v>
      </c>
      <c r="LJ9" s="28" t="s">
        <v>9</v>
      </c>
      <c r="LK9" s="57" t="s">
        <v>9</v>
      </c>
      <c r="LL9" s="66" t="s">
        <v>1</v>
      </c>
      <c r="LM9" s="67" t="s">
        <v>1</v>
      </c>
      <c r="LN9" s="61" t="s">
        <v>9</v>
      </c>
      <c r="LO9" s="26" t="s">
        <v>9</v>
      </c>
      <c r="LP9" s="26" t="s">
        <v>9</v>
      </c>
      <c r="LQ9" s="26" t="s">
        <v>9</v>
      </c>
      <c r="LR9" s="54" t="s">
        <v>9</v>
      </c>
      <c r="LS9" s="66" t="s">
        <v>1</v>
      </c>
      <c r="LT9" s="67" t="s">
        <v>1</v>
      </c>
      <c r="LU9" s="59" t="s">
        <v>9</v>
      </c>
      <c r="LV9" s="28" t="s">
        <v>9</v>
      </c>
      <c r="LW9" s="27" t="s">
        <v>1</v>
      </c>
      <c r="LX9" s="70" t="s">
        <v>7</v>
      </c>
      <c r="LY9" s="55" t="s">
        <v>1</v>
      </c>
      <c r="LZ9" s="72" t="s">
        <v>9</v>
      </c>
      <c r="MA9" s="73" t="s">
        <v>9</v>
      </c>
      <c r="MB9" s="27" t="s">
        <v>1</v>
      </c>
      <c r="MC9" s="27" t="s">
        <v>1</v>
      </c>
      <c r="MD9" s="70" t="s">
        <v>7</v>
      </c>
      <c r="ME9" s="34"/>
      <c r="MF9" s="56" t="s">
        <v>8</v>
      </c>
      <c r="MG9" s="74" t="s">
        <v>8</v>
      </c>
      <c r="MH9" s="75" t="s">
        <v>8</v>
      </c>
      <c r="MI9" s="60" t="s">
        <v>1</v>
      </c>
      <c r="MJ9" s="70" t="s">
        <v>7</v>
      </c>
      <c r="MK9" s="28" t="s">
        <v>9</v>
      </c>
      <c r="ML9" s="28" t="s">
        <v>9</v>
      </c>
      <c r="MM9" s="57" t="s">
        <v>9</v>
      </c>
      <c r="MN9" s="66" t="s">
        <v>1</v>
      </c>
      <c r="MO9" s="67" t="s">
        <v>1</v>
      </c>
      <c r="MP9" s="61" t="s">
        <v>9</v>
      </c>
      <c r="MQ9" s="26" t="s">
        <v>9</v>
      </c>
      <c r="MR9" s="26" t="s">
        <v>9</v>
      </c>
      <c r="MS9" s="26" t="s">
        <v>9</v>
      </c>
      <c r="MT9" s="54" t="s">
        <v>9</v>
      </c>
      <c r="MU9" s="66" t="s">
        <v>1</v>
      </c>
      <c r="MV9" s="67" t="s">
        <v>1</v>
      </c>
      <c r="MW9" s="59" t="s">
        <v>9</v>
      </c>
      <c r="MX9" s="28" t="s">
        <v>9</v>
      </c>
      <c r="MY9" s="27" t="s">
        <v>1</v>
      </c>
      <c r="MZ9" s="70" t="s">
        <v>7</v>
      </c>
      <c r="NA9" s="55" t="s">
        <v>1</v>
      </c>
      <c r="NB9" s="72" t="s">
        <v>9</v>
      </c>
      <c r="NC9" s="73" t="s">
        <v>9</v>
      </c>
      <c r="ND9" s="27" t="s">
        <v>1</v>
      </c>
    </row>
    <row r="10" spans="2:368" ht="15" thickBot="1">
      <c r="B10" s="348" t="s">
        <v>29</v>
      </c>
      <c r="C10" s="364"/>
      <c r="D10" s="60" t="s">
        <v>1</v>
      </c>
      <c r="E10" s="70" t="s">
        <v>7</v>
      </c>
      <c r="F10" s="28" t="s">
        <v>9</v>
      </c>
      <c r="G10" s="28" t="s">
        <v>9</v>
      </c>
      <c r="H10" s="57" t="s">
        <v>9</v>
      </c>
      <c r="I10" s="76" t="s">
        <v>1</v>
      </c>
      <c r="J10" s="77" t="s">
        <v>1</v>
      </c>
      <c r="K10" s="61" t="s">
        <v>9</v>
      </c>
      <c r="L10" s="26" t="s">
        <v>9</v>
      </c>
      <c r="M10" s="26" t="s">
        <v>9</v>
      </c>
      <c r="N10" s="26" t="s">
        <v>9</v>
      </c>
      <c r="O10" s="54" t="s">
        <v>9</v>
      </c>
      <c r="P10" s="66" t="s">
        <v>1</v>
      </c>
      <c r="Q10" s="67" t="s">
        <v>1</v>
      </c>
      <c r="R10" s="59" t="s">
        <v>9</v>
      </c>
      <c r="S10" s="28" t="s">
        <v>9</v>
      </c>
      <c r="T10" s="27" t="s">
        <v>1</v>
      </c>
      <c r="U10" s="70" t="s">
        <v>7</v>
      </c>
      <c r="V10" s="55" t="s">
        <v>1</v>
      </c>
      <c r="W10" s="72" t="s">
        <v>9</v>
      </c>
      <c r="X10" s="73" t="s">
        <v>9</v>
      </c>
      <c r="Y10" s="60" t="s">
        <v>1</v>
      </c>
      <c r="Z10" s="27" t="s">
        <v>1</v>
      </c>
      <c r="AA10" s="70" t="s">
        <v>7</v>
      </c>
      <c r="AB10" s="34" t="s">
        <v>8</v>
      </c>
      <c r="AC10" s="56" t="s">
        <v>8</v>
      </c>
      <c r="AD10" s="74" t="s">
        <v>8</v>
      </c>
      <c r="AE10" s="75" t="s">
        <v>8</v>
      </c>
      <c r="AF10" s="27" t="s">
        <v>1</v>
      </c>
      <c r="AG10" s="70" t="s">
        <v>7</v>
      </c>
      <c r="AH10" s="28" t="s">
        <v>9</v>
      </c>
      <c r="AI10" s="28" t="s">
        <v>9</v>
      </c>
      <c r="AJ10" s="57" t="s">
        <v>9</v>
      </c>
      <c r="AK10" s="76" t="s">
        <v>1</v>
      </c>
      <c r="AL10" s="77" t="s">
        <v>1</v>
      </c>
      <c r="AM10" s="61" t="s">
        <v>9</v>
      </c>
      <c r="AN10" s="26" t="s">
        <v>9</v>
      </c>
      <c r="AO10" s="26" t="s">
        <v>9</v>
      </c>
      <c r="AP10" s="26" t="s">
        <v>9</v>
      </c>
      <c r="AQ10" s="54" t="s">
        <v>9</v>
      </c>
      <c r="AR10" s="66" t="s">
        <v>1</v>
      </c>
      <c r="AS10" s="67" t="s">
        <v>1</v>
      </c>
      <c r="AT10" s="59" t="s">
        <v>9</v>
      </c>
      <c r="AU10" s="28" t="s">
        <v>9</v>
      </c>
      <c r="AV10" s="27" t="s">
        <v>1</v>
      </c>
      <c r="AW10" s="70" t="s">
        <v>7</v>
      </c>
      <c r="AX10" s="55" t="s">
        <v>1</v>
      </c>
      <c r="AY10" s="72" t="s">
        <v>9</v>
      </c>
      <c r="AZ10" s="73" t="s">
        <v>9</v>
      </c>
      <c r="BA10" s="60" t="s">
        <v>1</v>
      </c>
      <c r="BB10" s="27" t="s">
        <v>1</v>
      </c>
      <c r="BC10" s="70" t="s">
        <v>7</v>
      </c>
      <c r="BD10" s="34" t="s">
        <v>8</v>
      </c>
      <c r="BE10" s="56" t="s">
        <v>8</v>
      </c>
      <c r="BF10" s="74" t="s">
        <v>8</v>
      </c>
      <c r="BG10" s="75" t="s">
        <v>8</v>
      </c>
      <c r="BH10" s="27" t="s">
        <v>1</v>
      </c>
      <c r="BI10" s="70" t="s">
        <v>7</v>
      </c>
      <c r="BJ10" s="28" t="s">
        <v>9</v>
      </c>
      <c r="BK10" s="28" t="s">
        <v>9</v>
      </c>
      <c r="BL10" s="57" t="s">
        <v>9</v>
      </c>
      <c r="BM10" s="76" t="s">
        <v>1</v>
      </c>
      <c r="BN10" s="77" t="s">
        <v>1</v>
      </c>
      <c r="BO10" s="61" t="s">
        <v>9</v>
      </c>
      <c r="BP10" s="26" t="s">
        <v>9</v>
      </c>
      <c r="BQ10" s="26" t="s">
        <v>9</v>
      </c>
      <c r="BR10" s="26" t="s">
        <v>9</v>
      </c>
      <c r="BS10" s="54" t="s">
        <v>9</v>
      </c>
      <c r="BT10" s="66" t="s">
        <v>1</v>
      </c>
      <c r="BU10" s="67" t="s">
        <v>1</v>
      </c>
      <c r="BV10" s="59" t="s">
        <v>9</v>
      </c>
      <c r="BW10" s="28" t="s">
        <v>9</v>
      </c>
      <c r="BX10" s="27" t="s">
        <v>1</v>
      </c>
      <c r="BY10" s="70" t="s">
        <v>7</v>
      </c>
      <c r="BZ10" s="55" t="s">
        <v>1</v>
      </c>
      <c r="CA10" s="72" t="s">
        <v>9</v>
      </c>
      <c r="CB10" s="73" t="s">
        <v>9</v>
      </c>
      <c r="CC10" s="60" t="s">
        <v>1</v>
      </c>
      <c r="CD10" s="27" t="s">
        <v>1</v>
      </c>
      <c r="CE10" s="70" t="s">
        <v>7</v>
      </c>
      <c r="CF10" s="34" t="s">
        <v>8</v>
      </c>
      <c r="CG10" s="56" t="s">
        <v>8</v>
      </c>
      <c r="CH10" s="74" t="s">
        <v>8</v>
      </c>
      <c r="CI10" s="75" t="s">
        <v>8</v>
      </c>
      <c r="CJ10" s="27" t="s">
        <v>1</v>
      </c>
      <c r="CK10" s="70" t="s">
        <v>7</v>
      </c>
      <c r="CL10" s="28" t="s">
        <v>9</v>
      </c>
      <c r="CM10" s="28" t="s">
        <v>9</v>
      </c>
      <c r="CN10" s="57" t="s">
        <v>9</v>
      </c>
      <c r="CO10" s="76" t="s">
        <v>1</v>
      </c>
      <c r="CP10" s="77" t="s">
        <v>1</v>
      </c>
      <c r="CQ10" s="61" t="s">
        <v>9</v>
      </c>
      <c r="CR10" s="26" t="s">
        <v>9</v>
      </c>
      <c r="CS10" s="26" t="s">
        <v>9</v>
      </c>
      <c r="CT10" s="26" t="s">
        <v>9</v>
      </c>
      <c r="CU10" s="54" t="s">
        <v>9</v>
      </c>
      <c r="CV10" s="66" t="s">
        <v>1</v>
      </c>
      <c r="CW10" s="67" t="s">
        <v>1</v>
      </c>
      <c r="CX10" s="59" t="s">
        <v>9</v>
      </c>
      <c r="CY10" s="28" t="s">
        <v>9</v>
      </c>
      <c r="CZ10" s="27" t="s">
        <v>1</v>
      </c>
      <c r="DA10" s="70" t="s">
        <v>7</v>
      </c>
      <c r="DB10" s="55" t="s">
        <v>1</v>
      </c>
      <c r="DC10" s="72" t="s">
        <v>9</v>
      </c>
      <c r="DD10" s="73" t="s">
        <v>9</v>
      </c>
      <c r="DE10" s="60" t="s">
        <v>1</v>
      </c>
      <c r="DF10" s="27" t="s">
        <v>1</v>
      </c>
      <c r="DG10" s="70" t="s">
        <v>7</v>
      </c>
      <c r="DH10" s="34" t="s">
        <v>8</v>
      </c>
      <c r="DI10" s="56" t="s">
        <v>8</v>
      </c>
      <c r="DJ10" s="74" t="s">
        <v>8</v>
      </c>
      <c r="DK10" s="75" t="s">
        <v>8</v>
      </c>
      <c r="DL10" s="27" t="s">
        <v>1</v>
      </c>
      <c r="DM10" s="70" t="s">
        <v>7</v>
      </c>
      <c r="DN10" s="28" t="s">
        <v>9</v>
      </c>
      <c r="DO10" s="28" t="s">
        <v>9</v>
      </c>
      <c r="DP10" s="57" t="s">
        <v>9</v>
      </c>
      <c r="DQ10" s="76" t="s">
        <v>1</v>
      </c>
      <c r="DR10" s="77" t="s">
        <v>1</v>
      </c>
      <c r="DS10" s="61" t="s">
        <v>9</v>
      </c>
      <c r="DT10" s="26" t="s">
        <v>9</v>
      </c>
      <c r="DU10" s="26" t="s">
        <v>9</v>
      </c>
      <c r="DV10" s="26" t="s">
        <v>9</v>
      </c>
      <c r="DW10" s="54" t="s">
        <v>9</v>
      </c>
      <c r="DX10" s="66" t="s">
        <v>1</v>
      </c>
      <c r="DY10" s="67" t="s">
        <v>1</v>
      </c>
      <c r="DZ10" s="59" t="s">
        <v>9</v>
      </c>
      <c r="EA10" s="28" t="s">
        <v>9</v>
      </c>
      <c r="EB10" s="27" t="s">
        <v>1</v>
      </c>
      <c r="EC10" s="70" t="s">
        <v>7</v>
      </c>
      <c r="ED10" s="55" t="s">
        <v>1</v>
      </c>
      <c r="EE10" s="72" t="s">
        <v>9</v>
      </c>
      <c r="EF10" s="73" t="s">
        <v>9</v>
      </c>
      <c r="EG10" s="60" t="s">
        <v>1</v>
      </c>
      <c r="EH10" s="27" t="s">
        <v>1</v>
      </c>
      <c r="EI10" s="70" t="s">
        <v>7</v>
      </c>
      <c r="EJ10" s="34" t="s">
        <v>8</v>
      </c>
      <c r="EK10" s="56" t="s">
        <v>8</v>
      </c>
      <c r="EL10" s="74" t="s">
        <v>8</v>
      </c>
      <c r="EM10" s="75" t="s">
        <v>8</v>
      </c>
      <c r="EN10" s="27" t="s">
        <v>1</v>
      </c>
      <c r="EO10" s="70" t="s">
        <v>7</v>
      </c>
      <c r="EP10" s="28" t="s">
        <v>9</v>
      </c>
      <c r="EQ10" s="28" t="s">
        <v>9</v>
      </c>
      <c r="ER10" s="57" t="s">
        <v>9</v>
      </c>
      <c r="ES10" s="76" t="s">
        <v>1</v>
      </c>
      <c r="ET10" s="77" t="s">
        <v>1</v>
      </c>
      <c r="EU10" s="61" t="s">
        <v>9</v>
      </c>
      <c r="EV10" s="26" t="s">
        <v>9</v>
      </c>
      <c r="EW10" s="26" t="s">
        <v>9</v>
      </c>
      <c r="EX10" s="26" t="s">
        <v>9</v>
      </c>
      <c r="EY10" s="54" t="s">
        <v>9</v>
      </c>
      <c r="EZ10" s="66" t="s">
        <v>1</v>
      </c>
      <c r="FA10" s="67" t="s">
        <v>1</v>
      </c>
      <c r="FB10" s="59" t="s">
        <v>9</v>
      </c>
      <c r="FC10" s="28" t="s">
        <v>9</v>
      </c>
      <c r="FD10" s="27" t="s">
        <v>1</v>
      </c>
      <c r="FE10" s="70" t="s">
        <v>7</v>
      </c>
      <c r="FF10" s="55" t="s">
        <v>1</v>
      </c>
      <c r="FG10" s="72" t="s">
        <v>9</v>
      </c>
      <c r="FH10" s="73" t="s">
        <v>9</v>
      </c>
      <c r="FI10" s="60" t="s">
        <v>1</v>
      </c>
      <c r="FJ10" s="27" t="s">
        <v>1</v>
      </c>
      <c r="FK10" s="70" t="s">
        <v>7</v>
      </c>
      <c r="FL10" s="34" t="s">
        <v>8</v>
      </c>
      <c r="FM10" s="56" t="s">
        <v>8</v>
      </c>
      <c r="FN10" s="74" t="s">
        <v>8</v>
      </c>
      <c r="FO10" s="75" t="s">
        <v>8</v>
      </c>
      <c r="FP10" s="27" t="s">
        <v>1</v>
      </c>
      <c r="FQ10" s="70" t="s">
        <v>7</v>
      </c>
      <c r="FR10" s="28" t="s">
        <v>9</v>
      </c>
      <c r="FS10" s="28" t="s">
        <v>9</v>
      </c>
      <c r="FT10" s="57" t="s">
        <v>9</v>
      </c>
      <c r="FU10" s="76" t="s">
        <v>1</v>
      </c>
      <c r="FV10" s="77" t="s">
        <v>1</v>
      </c>
      <c r="FW10" s="61" t="s">
        <v>9</v>
      </c>
      <c r="FX10" s="26" t="s">
        <v>9</v>
      </c>
      <c r="FY10" s="26" t="s">
        <v>9</v>
      </c>
      <c r="FZ10" s="26" t="s">
        <v>9</v>
      </c>
      <c r="GA10" s="54" t="s">
        <v>9</v>
      </c>
      <c r="GB10" s="66" t="s">
        <v>1</v>
      </c>
      <c r="GC10" s="67" t="s">
        <v>1</v>
      </c>
      <c r="GD10" s="59" t="s">
        <v>9</v>
      </c>
      <c r="GE10" s="28" t="s">
        <v>9</v>
      </c>
      <c r="GF10" s="27" t="s">
        <v>1</v>
      </c>
      <c r="GG10" s="70" t="s">
        <v>7</v>
      </c>
      <c r="GH10" s="55" t="s">
        <v>1</v>
      </c>
      <c r="GI10" s="72" t="s">
        <v>9</v>
      </c>
      <c r="GJ10" s="73" t="s">
        <v>9</v>
      </c>
      <c r="GK10" s="60" t="s">
        <v>1</v>
      </c>
      <c r="GL10" s="27" t="s">
        <v>1</v>
      </c>
      <c r="GM10" s="70" t="s">
        <v>7</v>
      </c>
      <c r="GN10" s="34"/>
      <c r="GO10" s="56" t="s">
        <v>8</v>
      </c>
      <c r="GP10" s="74" t="s">
        <v>8</v>
      </c>
      <c r="GQ10" s="75" t="s">
        <v>8</v>
      </c>
      <c r="GR10" s="27" t="s">
        <v>1</v>
      </c>
      <c r="GS10" s="70" t="s">
        <v>7</v>
      </c>
      <c r="GT10" s="28" t="s">
        <v>9</v>
      </c>
      <c r="GU10" s="28" t="s">
        <v>9</v>
      </c>
      <c r="GV10" s="57" t="s">
        <v>9</v>
      </c>
      <c r="GW10" s="76" t="s">
        <v>1</v>
      </c>
      <c r="GX10" s="77" t="s">
        <v>1</v>
      </c>
      <c r="GY10" s="61" t="s">
        <v>9</v>
      </c>
      <c r="GZ10" s="26" t="s">
        <v>9</v>
      </c>
      <c r="HA10" s="26" t="s">
        <v>9</v>
      </c>
      <c r="HB10" s="26" t="s">
        <v>9</v>
      </c>
      <c r="HC10" s="54" t="s">
        <v>9</v>
      </c>
      <c r="HD10" s="66" t="s">
        <v>1</v>
      </c>
      <c r="HE10" s="67" t="s">
        <v>1</v>
      </c>
      <c r="HF10" s="59" t="s">
        <v>9</v>
      </c>
      <c r="HG10" s="28" t="s">
        <v>9</v>
      </c>
      <c r="HH10" s="27" t="s">
        <v>1</v>
      </c>
      <c r="HI10" s="70" t="s">
        <v>7</v>
      </c>
      <c r="HJ10" s="55" t="s">
        <v>1</v>
      </c>
      <c r="HK10" s="72" t="s">
        <v>9</v>
      </c>
      <c r="HL10" s="73" t="s">
        <v>9</v>
      </c>
      <c r="HM10" s="60" t="s">
        <v>1</v>
      </c>
      <c r="HN10" s="27" t="s">
        <v>1</v>
      </c>
      <c r="HO10" s="70" t="s">
        <v>7</v>
      </c>
      <c r="HP10" s="34"/>
      <c r="HQ10" s="56" t="s">
        <v>8</v>
      </c>
      <c r="HR10" s="74" t="s">
        <v>8</v>
      </c>
      <c r="HS10" s="75" t="s">
        <v>8</v>
      </c>
      <c r="HT10" s="27" t="s">
        <v>1</v>
      </c>
      <c r="HU10" s="70" t="s">
        <v>7</v>
      </c>
      <c r="HV10" s="28" t="s">
        <v>9</v>
      </c>
      <c r="HW10" s="28" t="s">
        <v>9</v>
      </c>
      <c r="HX10" s="57" t="s">
        <v>9</v>
      </c>
      <c r="HY10" s="76" t="s">
        <v>1</v>
      </c>
      <c r="HZ10" s="77" t="s">
        <v>1</v>
      </c>
      <c r="IA10" s="61" t="s">
        <v>9</v>
      </c>
      <c r="IB10" s="26" t="s">
        <v>9</v>
      </c>
      <c r="IC10" s="26" t="s">
        <v>9</v>
      </c>
      <c r="ID10" s="26" t="s">
        <v>9</v>
      </c>
      <c r="IE10" s="54" t="s">
        <v>9</v>
      </c>
      <c r="IF10" s="66" t="s">
        <v>1</v>
      </c>
      <c r="IG10" s="67" t="s">
        <v>1</v>
      </c>
      <c r="IH10" s="59" t="s">
        <v>9</v>
      </c>
      <c r="II10" s="28" t="s">
        <v>9</v>
      </c>
      <c r="IJ10" s="27" t="s">
        <v>1</v>
      </c>
      <c r="IK10" s="70" t="s">
        <v>7</v>
      </c>
      <c r="IL10" s="55" t="s">
        <v>1</v>
      </c>
      <c r="IM10" s="72" t="s">
        <v>9</v>
      </c>
      <c r="IN10" s="73" t="s">
        <v>9</v>
      </c>
      <c r="IO10" s="60" t="s">
        <v>1</v>
      </c>
      <c r="IP10" s="27" t="s">
        <v>1</v>
      </c>
      <c r="IQ10" s="70" t="s">
        <v>7</v>
      </c>
      <c r="IR10" s="34"/>
      <c r="IS10" s="56" t="s">
        <v>8</v>
      </c>
      <c r="IT10" s="74" t="s">
        <v>8</v>
      </c>
      <c r="IU10" s="75" t="s">
        <v>8</v>
      </c>
      <c r="IV10" s="27" t="s">
        <v>1</v>
      </c>
      <c r="IW10" s="70" t="s">
        <v>7</v>
      </c>
      <c r="IX10" s="28" t="s">
        <v>9</v>
      </c>
      <c r="IY10" s="28" t="s">
        <v>9</v>
      </c>
      <c r="IZ10" s="57" t="s">
        <v>9</v>
      </c>
      <c r="JA10" s="76" t="s">
        <v>1</v>
      </c>
      <c r="JB10" s="77" t="s">
        <v>1</v>
      </c>
      <c r="JC10" s="61" t="s">
        <v>9</v>
      </c>
      <c r="JD10" s="26" t="s">
        <v>9</v>
      </c>
      <c r="JE10" s="26" t="s">
        <v>9</v>
      </c>
      <c r="JF10" s="26" t="s">
        <v>9</v>
      </c>
      <c r="JG10" s="54" t="s">
        <v>9</v>
      </c>
      <c r="JH10" s="66" t="s">
        <v>1</v>
      </c>
      <c r="JI10" s="67" t="s">
        <v>1</v>
      </c>
      <c r="JJ10" s="59" t="s">
        <v>9</v>
      </c>
      <c r="JK10" s="28" t="s">
        <v>9</v>
      </c>
      <c r="JL10" s="27" t="s">
        <v>1</v>
      </c>
      <c r="JM10" s="70" t="s">
        <v>7</v>
      </c>
      <c r="JN10" s="55" t="s">
        <v>1</v>
      </c>
      <c r="JO10" s="72" t="s">
        <v>9</v>
      </c>
      <c r="JP10" s="73" t="s">
        <v>9</v>
      </c>
      <c r="JQ10" s="60" t="s">
        <v>1</v>
      </c>
      <c r="JR10" s="27" t="s">
        <v>1</v>
      </c>
      <c r="JS10" s="70" t="s">
        <v>7</v>
      </c>
      <c r="JT10" s="34"/>
      <c r="JU10" s="56" t="s">
        <v>8</v>
      </c>
      <c r="JV10" s="74" t="s">
        <v>8</v>
      </c>
      <c r="JW10" s="75" t="s">
        <v>8</v>
      </c>
      <c r="JX10" s="27" t="s">
        <v>1</v>
      </c>
      <c r="JY10" s="70" t="s">
        <v>7</v>
      </c>
      <c r="JZ10" s="28" t="s">
        <v>9</v>
      </c>
      <c r="KA10" s="28" t="s">
        <v>9</v>
      </c>
      <c r="KB10" s="57" t="s">
        <v>9</v>
      </c>
      <c r="KC10" s="76" t="s">
        <v>1</v>
      </c>
      <c r="KD10" s="77" t="s">
        <v>1</v>
      </c>
      <c r="KE10" s="61" t="s">
        <v>9</v>
      </c>
      <c r="KF10" s="26" t="s">
        <v>9</v>
      </c>
      <c r="KG10" s="26" t="s">
        <v>9</v>
      </c>
      <c r="KH10" s="26" t="s">
        <v>9</v>
      </c>
      <c r="KI10" s="54" t="s">
        <v>9</v>
      </c>
      <c r="KJ10" s="66" t="s">
        <v>1</v>
      </c>
      <c r="KK10" s="67" t="s">
        <v>1</v>
      </c>
      <c r="KL10" s="59" t="s">
        <v>9</v>
      </c>
      <c r="KM10" s="28" t="s">
        <v>9</v>
      </c>
      <c r="KN10" s="27" t="s">
        <v>1</v>
      </c>
      <c r="KO10" s="70" t="s">
        <v>7</v>
      </c>
      <c r="KP10" s="55" t="s">
        <v>1</v>
      </c>
      <c r="KQ10" s="72" t="s">
        <v>9</v>
      </c>
      <c r="KR10" s="73" t="s">
        <v>9</v>
      </c>
      <c r="KS10" s="60" t="s">
        <v>1</v>
      </c>
      <c r="KT10" s="27" t="s">
        <v>1</v>
      </c>
      <c r="KU10" s="70" t="s">
        <v>7</v>
      </c>
      <c r="KV10" s="34"/>
      <c r="KW10" s="56" t="s">
        <v>8</v>
      </c>
      <c r="KX10" s="74" t="s">
        <v>8</v>
      </c>
      <c r="KY10" s="75" t="s">
        <v>8</v>
      </c>
      <c r="KZ10" s="27" t="s">
        <v>1</v>
      </c>
      <c r="LA10" s="70" t="s">
        <v>7</v>
      </c>
      <c r="LB10" s="28" t="s">
        <v>9</v>
      </c>
      <c r="LC10" s="28" t="s">
        <v>9</v>
      </c>
      <c r="LD10" s="57" t="s">
        <v>9</v>
      </c>
      <c r="LE10" s="76" t="s">
        <v>1</v>
      </c>
      <c r="LF10" s="77" t="s">
        <v>1</v>
      </c>
      <c r="LG10" s="61" t="s">
        <v>9</v>
      </c>
      <c r="LH10" s="26" t="s">
        <v>9</v>
      </c>
      <c r="LI10" s="26" t="s">
        <v>9</v>
      </c>
      <c r="LJ10" s="26" t="s">
        <v>9</v>
      </c>
      <c r="LK10" s="54" t="s">
        <v>9</v>
      </c>
      <c r="LL10" s="66" t="s">
        <v>1</v>
      </c>
      <c r="LM10" s="67" t="s">
        <v>1</v>
      </c>
      <c r="LN10" s="59" t="s">
        <v>9</v>
      </c>
      <c r="LO10" s="28" t="s">
        <v>9</v>
      </c>
      <c r="LP10" s="27" t="s">
        <v>1</v>
      </c>
      <c r="LQ10" s="70" t="s">
        <v>7</v>
      </c>
      <c r="LR10" s="55" t="s">
        <v>1</v>
      </c>
      <c r="LS10" s="72" t="s">
        <v>9</v>
      </c>
      <c r="LT10" s="73" t="s">
        <v>9</v>
      </c>
      <c r="LU10" s="60" t="s">
        <v>1</v>
      </c>
      <c r="LV10" s="27" t="s">
        <v>1</v>
      </c>
      <c r="LW10" s="70" t="s">
        <v>7</v>
      </c>
      <c r="LX10" s="34"/>
      <c r="LY10" s="56" t="s">
        <v>8</v>
      </c>
      <c r="LZ10" s="74" t="s">
        <v>8</v>
      </c>
      <c r="MA10" s="75" t="s">
        <v>8</v>
      </c>
      <c r="MB10" s="27" t="s">
        <v>1</v>
      </c>
      <c r="MC10" s="70" t="s">
        <v>7</v>
      </c>
      <c r="MD10" s="28" t="s">
        <v>9</v>
      </c>
      <c r="ME10" s="28" t="s">
        <v>9</v>
      </c>
      <c r="MF10" s="57" t="s">
        <v>9</v>
      </c>
      <c r="MG10" s="76" t="s">
        <v>1</v>
      </c>
      <c r="MH10" s="77" t="s">
        <v>1</v>
      </c>
      <c r="MI10" s="61" t="s">
        <v>9</v>
      </c>
      <c r="MJ10" s="26" t="s">
        <v>9</v>
      </c>
      <c r="MK10" s="26" t="s">
        <v>9</v>
      </c>
      <c r="ML10" s="26" t="s">
        <v>9</v>
      </c>
      <c r="MM10" s="54" t="s">
        <v>9</v>
      </c>
      <c r="MN10" s="66" t="s">
        <v>1</v>
      </c>
      <c r="MO10" s="67" t="s">
        <v>1</v>
      </c>
      <c r="MP10" s="59" t="s">
        <v>9</v>
      </c>
      <c r="MQ10" s="28" t="s">
        <v>9</v>
      </c>
      <c r="MR10" s="27" t="s">
        <v>1</v>
      </c>
      <c r="MS10" s="70" t="s">
        <v>7</v>
      </c>
      <c r="MT10" s="55" t="s">
        <v>1</v>
      </c>
      <c r="MU10" s="72" t="s">
        <v>9</v>
      </c>
      <c r="MV10" s="73" t="s">
        <v>9</v>
      </c>
      <c r="MW10" s="60" t="s">
        <v>1</v>
      </c>
      <c r="MX10" s="27" t="s">
        <v>1</v>
      </c>
      <c r="MY10" s="70" t="s">
        <v>7</v>
      </c>
      <c r="MZ10" s="34"/>
      <c r="NA10" s="56" t="s">
        <v>8</v>
      </c>
      <c r="NB10" s="74" t="s">
        <v>8</v>
      </c>
      <c r="NC10" s="75" t="s">
        <v>8</v>
      </c>
      <c r="ND10" s="27" t="s">
        <v>1</v>
      </c>
    </row>
    <row r="15" spans="2:368">
      <c r="D15" s="113" t="s">
        <v>2</v>
      </c>
      <c r="E15" s="75" t="s">
        <v>8</v>
      </c>
      <c r="F15" s="73" t="s">
        <v>9</v>
      </c>
      <c r="G15" s="70" t="s">
        <v>7</v>
      </c>
      <c r="H15" s="114" t="s">
        <v>10</v>
      </c>
    </row>
    <row r="16" spans="2:368">
      <c r="B16" s="357" t="s">
        <v>11</v>
      </c>
      <c r="C16" s="365"/>
      <c r="D16">
        <f>COUNTIFS(D$3:ND$3,"M")+COUNTIFS(D$3:ND$3,"MG")</f>
        <v>156</v>
      </c>
      <c r="E16">
        <f>COUNTIFS(D$3:ND$3,"T")+COUNTIFS(D$3:ND$3,"TG")</f>
        <v>46</v>
      </c>
      <c r="F16">
        <f>COUNTIFS(D$3:ND$3,"N")+COUNTIFS(D$3:ND$3,"NG")</f>
        <v>0</v>
      </c>
      <c r="G16">
        <f>COUNTIFS(D$3:ND$3,"D")+COUNTIFS(D$3:ND$3,"DG")</f>
        <v>39</v>
      </c>
      <c r="H16">
        <f>SUM(D16:G16)</f>
        <v>241</v>
      </c>
      <c r="I16" s="115" t="s">
        <v>35</v>
      </c>
      <c r="K16" s="115" t="s">
        <v>36</v>
      </c>
      <c r="L16" s="118">
        <v>218</v>
      </c>
      <c r="M16" s="118" t="s">
        <v>37</v>
      </c>
      <c r="N16" s="118">
        <v>1744</v>
      </c>
      <c r="O16" s="118" t="s">
        <v>38</v>
      </c>
      <c r="P16" s="118"/>
    </row>
    <row r="17" spans="2:16">
      <c r="B17" s="359" t="s">
        <v>17</v>
      </c>
      <c r="C17" s="366"/>
      <c r="D17">
        <f>COUNTIFS(D$4:ND$4,"M")+COUNTIFS(D$4:ND$4,"MG")</f>
        <v>157</v>
      </c>
      <c r="E17">
        <f>COUNTIFS(E$4:NE$4,"T")+COUNTIFS(E$4:NE$4,"TG")</f>
        <v>45</v>
      </c>
      <c r="F17">
        <f>COUNTIFS(E$4:NE$4,"N")+COUNTIFS(E$4:NE$4,"NG")</f>
        <v>0</v>
      </c>
      <c r="G17">
        <f>COUNTIFS(E$4:NE$4,"D")+COUNTIFS(E$4:NE$4,"DG")</f>
        <v>39</v>
      </c>
      <c r="H17">
        <f t="shared" ref="H17:H23" si="0">SUM(D17:G17)</f>
        <v>241</v>
      </c>
      <c r="I17" s="115" t="s">
        <v>35</v>
      </c>
      <c r="K17" s="115" t="s">
        <v>36</v>
      </c>
      <c r="L17" s="118">
        <v>218</v>
      </c>
      <c r="M17" s="118" t="s">
        <v>37</v>
      </c>
      <c r="N17" s="118">
        <v>1744</v>
      </c>
      <c r="O17" s="118" t="s">
        <v>38</v>
      </c>
      <c r="P17" s="118"/>
    </row>
    <row r="18" spans="2:16">
      <c r="B18" s="359" t="s">
        <v>19</v>
      </c>
      <c r="C18" s="366"/>
      <c r="D18">
        <f>COUNTIFS(D$5:ND$5,"M")+COUNTIFS(D$5:ND$5,"MG")</f>
        <v>156</v>
      </c>
      <c r="E18">
        <f>COUNTIFS(D$5:ND$5,"T")+COUNTIFS(D$5:ND$5,"TG")</f>
        <v>46</v>
      </c>
      <c r="F18">
        <f>COUNTIFS(D$5:ND$5,"N")+COUNTIFS(D$5:ND$5,"NG")</f>
        <v>0</v>
      </c>
      <c r="G18">
        <f>COUNTIFS(D$5:ND$5,"D")+COUNTIFS(D$5:ND$5,"DG")</f>
        <v>39</v>
      </c>
      <c r="H18">
        <f t="shared" si="0"/>
        <v>241</v>
      </c>
      <c r="I18" s="115" t="s">
        <v>35</v>
      </c>
      <c r="K18" s="115" t="s">
        <v>36</v>
      </c>
      <c r="L18" s="118">
        <v>218</v>
      </c>
      <c r="M18" s="118" t="s">
        <v>37</v>
      </c>
      <c r="N18" s="118">
        <v>1744</v>
      </c>
      <c r="O18" s="118" t="s">
        <v>38</v>
      </c>
      <c r="P18" s="118"/>
    </row>
    <row r="19" spans="2:16">
      <c r="B19" s="116"/>
      <c r="C19" s="117" t="s">
        <v>21</v>
      </c>
      <c r="D19">
        <f>COUNTIFS(D$6:ND$6,"M")+COUNTIFS(D$6:ND$6,"MG")</f>
        <v>157</v>
      </c>
      <c r="E19">
        <f>COUNTIFS(D$6:ND$6,"T")+COUNTIFS(D$6:ND$6,"TG")</f>
        <v>46</v>
      </c>
      <c r="F19">
        <f>COUNTIFS(D$6:ND$6,"N")+COUNTIFS(D$6:ND$6,"NG")</f>
        <v>0</v>
      </c>
      <c r="G19">
        <f>COUNTIFS(D$6:ND$6,"D")+COUNTIFS(D$6:ND$6,"DG")</f>
        <v>39</v>
      </c>
      <c r="H19">
        <f t="shared" si="0"/>
        <v>242</v>
      </c>
      <c r="I19" s="115" t="s">
        <v>35</v>
      </c>
      <c r="K19" s="115" t="s">
        <v>36</v>
      </c>
      <c r="L19" s="118">
        <v>219</v>
      </c>
      <c r="M19" s="118" t="s">
        <v>37</v>
      </c>
      <c r="N19" s="118">
        <v>1752</v>
      </c>
      <c r="O19" s="118" t="s">
        <v>39</v>
      </c>
      <c r="P19" s="118"/>
    </row>
    <row r="20" spans="2:16">
      <c r="B20" s="361" t="s">
        <v>23</v>
      </c>
      <c r="C20" s="367"/>
      <c r="D20">
        <f>COUNTIFS(D$7:ND$7,"M")+COUNTIFS(D$7:ND$7,"MG")</f>
        <v>0</v>
      </c>
      <c r="E20">
        <f>COUNTIFS(D$7:ND$7,"T")+COUNTIFS(D$7:ND$7,"TG")</f>
        <v>45</v>
      </c>
      <c r="F20">
        <f>COUNTIFS(D$7:ND$7,"N")+COUNTIFS(D$7:ND$7,"NG")</f>
        <v>157</v>
      </c>
      <c r="G20">
        <f>COUNTIFS(D$7:ND$7,"D")+COUNTIFS(D$7:ND$7,"DG")</f>
        <v>39</v>
      </c>
      <c r="H20">
        <f t="shared" si="0"/>
        <v>241</v>
      </c>
      <c r="I20" s="115" t="s">
        <v>40</v>
      </c>
      <c r="K20" s="115" t="s">
        <v>36</v>
      </c>
      <c r="L20" s="118">
        <v>221</v>
      </c>
      <c r="M20" s="118" t="s">
        <v>37</v>
      </c>
      <c r="N20" s="118">
        <v>1768</v>
      </c>
      <c r="O20" s="118" t="s">
        <v>41</v>
      </c>
      <c r="P20" s="118"/>
    </row>
    <row r="21" spans="2:16">
      <c r="B21" s="346" t="s">
        <v>25</v>
      </c>
      <c r="C21" s="363"/>
      <c r="D21">
        <f>COUNTIFS(D$8:ND$8,"M")+COUNTIFS(D$8:ND$8,"MG")</f>
        <v>0</v>
      </c>
      <c r="E21">
        <f>COUNTIFS(D$8:ND$8,"T")+COUNTIFS(D$8:ND$8,"TG")</f>
        <v>46</v>
      </c>
      <c r="F21">
        <f>COUNTIFS(D$8:ND$8,"N")+COUNTIFS(D$8:ND$8,"NG")</f>
        <v>157</v>
      </c>
      <c r="G21">
        <f>COUNTIFS(D$8:ND$8,"D")+COUNTIFS(D$8:ND$8,"DG")</f>
        <v>39</v>
      </c>
      <c r="H21">
        <f t="shared" si="0"/>
        <v>242</v>
      </c>
      <c r="I21" s="115" t="s">
        <v>40</v>
      </c>
      <c r="K21" s="115" t="s">
        <v>36</v>
      </c>
      <c r="L21" s="118">
        <v>222</v>
      </c>
      <c r="M21" s="118" t="s">
        <v>37</v>
      </c>
      <c r="N21" s="118">
        <v>1776</v>
      </c>
      <c r="O21" s="118" t="s">
        <v>42</v>
      </c>
      <c r="P21" s="118"/>
    </row>
    <row r="22" spans="2:16">
      <c r="B22" s="346" t="s">
        <v>27</v>
      </c>
      <c r="C22" s="363"/>
      <c r="D22">
        <f>COUNTIFS(D$9:ND$9,"M")+COUNTIFS(D$9:ND$9,"MG")</f>
        <v>0</v>
      </c>
      <c r="E22">
        <f>COUNTIFS(D$9:ND$9,"T")+COUNTIFS(D$9:ND$9,"TG")</f>
        <v>46</v>
      </c>
      <c r="F22">
        <f>COUNTIFS(D$9:ND$9,"N")+COUNTIFS(D$9:ND$9,"NG")</f>
        <v>156</v>
      </c>
      <c r="G22">
        <f>COUNTIFS(D$9:ND$9,"D")+COUNTIFS(D$9:ND$9,"DG")</f>
        <v>39</v>
      </c>
      <c r="H22">
        <f t="shared" si="0"/>
        <v>241</v>
      </c>
      <c r="I22" s="115" t="s">
        <v>40</v>
      </c>
      <c r="K22" s="115" t="s">
        <v>36</v>
      </c>
      <c r="L22" s="118">
        <v>221</v>
      </c>
      <c r="M22" s="118" t="s">
        <v>37</v>
      </c>
      <c r="N22" s="118">
        <v>1768</v>
      </c>
      <c r="O22" s="118" t="s">
        <v>41</v>
      </c>
      <c r="P22" s="118"/>
    </row>
    <row r="23" spans="2:16">
      <c r="B23" s="348" t="s">
        <v>29</v>
      </c>
      <c r="C23" s="364"/>
      <c r="D23">
        <f>COUNTIFS(D$10:ND$10,"M")+COUNTIFS(D$10:ND$10,"MG")</f>
        <v>0</v>
      </c>
      <c r="E23">
        <f>COUNTIFS(D$10:ND$10,"T")+COUNTIFS(D$10:ND$10,"TG")</f>
        <v>45</v>
      </c>
      <c r="F23">
        <f>COUNTIFS(D$10:ND$10,"N")+COUNTIFS(D$10:ND$10,"NG")</f>
        <v>156</v>
      </c>
      <c r="G23">
        <f>COUNTIFS(D$10:ND$10,"D")+COUNTIFS(D$10:ND$10,"DG")</f>
        <v>39</v>
      </c>
      <c r="H23">
        <f t="shared" si="0"/>
        <v>240</v>
      </c>
      <c r="I23" s="115" t="s">
        <v>40</v>
      </c>
      <c r="K23" s="115" t="s">
        <v>36</v>
      </c>
      <c r="L23" s="118">
        <v>220</v>
      </c>
      <c r="M23" s="118" t="s">
        <v>37</v>
      </c>
      <c r="N23" s="118">
        <v>1760</v>
      </c>
      <c r="O23" s="118" t="s">
        <v>43</v>
      </c>
      <c r="P23" s="118"/>
    </row>
    <row r="24" spans="2:16">
      <c r="D24">
        <f>SUM(D16:D23)</f>
        <v>626</v>
      </c>
      <c r="E24">
        <f>SUM(E16:E23)</f>
        <v>365</v>
      </c>
      <c r="F24">
        <f>SUM(F16:F23)</f>
        <v>626</v>
      </c>
      <c r="L24" s="118"/>
      <c r="M24" s="118"/>
      <c r="N24" s="118"/>
      <c r="O24" s="118"/>
      <c r="P24" s="118"/>
    </row>
    <row r="25" spans="2:16" ht="15.95">
      <c r="L25" s="118"/>
      <c r="M25" s="118"/>
      <c r="N25" s="123" t="s">
        <v>44</v>
      </c>
      <c r="O25" s="122" t="s">
        <v>45</v>
      </c>
      <c r="P25" s="118"/>
    </row>
    <row r="26" spans="2:16">
      <c r="L26" s="118"/>
      <c r="M26" s="118"/>
      <c r="N26" s="118"/>
      <c r="O26" s="118"/>
      <c r="P26" s="118"/>
    </row>
    <row r="27" spans="2:16">
      <c r="L27" s="118"/>
      <c r="M27" s="118"/>
      <c r="N27" s="118"/>
      <c r="O27" s="121" t="s">
        <v>46</v>
      </c>
      <c r="P27" s="118"/>
    </row>
    <row r="28" spans="2:16">
      <c r="L28" s="118"/>
      <c r="M28" s="118"/>
      <c r="N28" s="118"/>
      <c r="O28" s="118"/>
      <c r="P28" s="118"/>
    </row>
    <row r="29" spans="2:16">
      <c r="L29" s="118"/>
      <c r="M29" s="118"/>
      <c r="N29" s="118"/>
      <c r="O29" s="118"/>
      <c r="P29" s="118"/>
    </row>
    <row r="30" spans="2:16">
      <c r="L30" s="118"/>
      <c r="M30" s="118"/>
      <c r="N30" s="118"/>
      <c r="O30" s="120" t="s">
        <v>47</v>
      </c>
      <c r="P30" s="120"/>
    </row>
  </sheetData>
  <mergeCells count="14">
    <mergeCell ref="B9:C9"/>
    <mergeCell ref="B3:C3"/>
    <mergeCell ref="B4:C4"/>
    <mergeCell ref="B5:C5"/>
    <mergeCell ref="B7:C7"/>
    <mergeCell ref="B8:C8"/>
    <mergeCell ref="B22:C22"/>
    <mergeCell ref="B23:C23"/>
    <mergeCell ref="B10:C10"/>
    <mergeCell ref="B16:C16"/>
    <mergeCell ref="B17:C17"/>
    <mergeCell ref="B18:C18"/>
    <mergeCell ref="B20:C20"/>
    <mergeCell ref="B21:C2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6961-5558-4E7E-A95F-8CEA6A7F07C8}">
  <dimension ref="A1"/>
  <sheetViews>
    <sheetView topLeftCell="A19" workbookViewId="0"/>
  </sheetViews>
  <sheetFormatPr defaultColWidth="11.42578125" defaultRowHeight="14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6C184-428A-4E29-AEF8-A7E62BC70107}">
  <dimension ref="A1:AN63"/>
  <sheetViews>
    <sheetView zoomScale="130" zoomScaleNormal="130" workbookViewId="0">
      <selection activeCell="Y8" sqref="Y8:Z8"/>
    </sheetView>
  </sheetViews>
  <sheetFormatPr defaultColWidth="11.42578125" defaultRowHeight="14.45"/>
  <cols>
    <col min="1" max="1" width="15.140625" customWidth="1"/>
    <col min="2" max="2" width="16.85546875" customWidth="1"/>
    <col min="3" max="3" width="3.42578125" customWidth="1"/>
    <col min="4" max="4" width="4.140625" customWidth="1"/>
    <col min="5" max="5" width="4.42578125" customWidth="1"/>
    <col min="6" max="6" width="3.42578125" customWidth="1"/>
    <col min="7" max="7" width="3.85546875" customWidth="1"/>
    <col min="8" max="10" width="3.140625" bestFit="1" customWidth="1"/>
    <col min="11" max="14" width="2.85546875" bestFit="1" customWidth="1"/>
    <col min="15" max="15" width="3" bestFit="1" customWidth="1"/>
    <col min="16" max="17" width="2.85546875" bestFit="1" customWidth="1"/>
    <col min="18" max="18" width="3.28515625" customWidth="1"/>
    <col min="19" max="22" width="3.140625" bestFit="1" customWidth="1"/>
    <col min="23" max="24" width="3" bestFit="1" customWidth="1"/>
    <col min="25" max="29" width="3.140625" bestFit="1" customWidth="1"/>
    <col min="30" max="33" width="2.85546875" bestFit="1" customWidth="1"/>
    <col min="34" max="34" width="11.28515625" customWidth="1"/>
  </cols>
  <sheetData>
    <row r="1" spans="1:40">
      <c r="A1" s="355" t="s">
        <v>0</v>
      </c>
      <c r="B1" s="355"/>
      <c r="C1" s="356"/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151" t="s">
        <v>6</v>
      </c>
      <c r="J1" s="152" t="s">
        <v>7</v>
      </c>
      <c r="K1" s="8" t="s">
        <v>1</v>
      </c>
      <c r="L1" s="8" t="s">
        <v>2</v>
      </c>
      <c r="M1" s="8" t="s">
        <v>3</v>
      </c>
      <c r="N1" s="8" t="s">
        <v>4</v>
      </c>
      <c r="O1" s="8" t="s">
        <v>5</v>
      </c>
      <c r="P1" s="151" t="s">
        <v>6</v>
      </c>
      <c r="Q1" s="152" t="s">
        <v>7</v>
      </c>
      <c r="R1" s="8" t="s">
        <v>1</v>
      </c>
      <c r="S1" s="8" t="s">
        <v>2</v>
      </c>
      <c r="T1" s="8" t="s">
        <v>3</v>
      </c>
      <c r="U1" s="8" t="s">
        <v>4</v>
      </c>
      <c r="V1" s="8" t="s">
        <v>5</v>
      </c>
      <c r="W1" s="153" t="s">
        <v>6</v>
      </c>
      <c r="X1" s="154" t="s">
        <v>7</v>
      </c>
      <c r="Y1" s="8" t="s">
        <v>1</v>
      </c>
      <c r="Z1" s="8" t="s">
        <v>2</v>
      </c>
      <c r="AA1" s="8" t="s">
        <v>3</v>
      </c>
      <c r="AB1" s="8" t="s">
        <v>4</v>
      </c>
      <c r="AC1" s="125" t="s">
        <v>5</v>
      </c>
      <c r="AD1" s="153" t="s">
        <v>6</v>
      </c>
      <c r="AE1" s="154" t="s">
        <v>7</v>
      </c>
      <c r="AF1" s="125" t="s">
        <v>1</v>
      </c>
      <c r="AG1" s="125" t="s">
        <v>2</v>
      </c>
      <c r="AH1" s="345"/>
    </row>
    <row r="2" spans="1:40" ht="15" thickBot="1">
      <c r="A2" s="355"/>
      <c r="B2" s="355"/>
      <c r="C2" s="356"/>
      <c r="D2" s="141">
        <v>1</v>
      </c>
      <c r="E2" s="141">
        <v>2</v>
      </c>
      <c r="F2" s="141">
        <v>3</v>
      </c>
      <c r="G2" s="141">
        <v>4</v>
      </c>
      <c r="H2" s="142">
        <v>5</v>
      </c>
      <c r="I2" s="143">
        <v>6</v>
      </c>
      <c r="J2" s="144">
        <v>7</v>
      </c>
      <c r="K2" s="145">
        <v>8</v>
      </c>
      <c r="L2" s="141">
        <v>9</v>
      </c>
      <c r="M2" s="141">
        <v>10</v>
      </c>
      <c r="N2" s="141">
        <v>11</v>
      </c>
      <c r="O2" s="142">
        <v>12</v>
      </c>
      <c r="P2" s="143">
        <v>13</v>
      </c>
      <c r="Q2" s="144">
        <v>14</v>
      </c>
      <c r="R2" s="145">
        <v>15</v>
      </c>
      <c r="S2" s="141">
        <v>16</v>
      </c>
      <c r="T2" s="141">
        <v>17</v>
      </c>
      <c r="U2" s="141">
        <v>18</v>
      </c>
      <c r="V2" s="142">
        <v>19</v>
      </c>
      <c r="W2" s="143">
        <v>20</v>
      </c>
      <c r="X2" s="144">
        <v>21</v>
      </c>
      <c r="Y2" s="145">
        <v>22</v>
      </c>
      <c r="Z2" s="141">
        <v>23</v>
      </c>
      <c r="AA2" s="141">
        <v>24</v>
      </c>
      <c r="AB2" s="141">
        <v>25</v>
      </c>
      <c r="AC2" s="142">
        <v>26</v>
      </c>
      <c r="AD2" s="143">
        <v>27</v>
      </c>
      <c r="AE2" s="144">
        <v>28</v>
      </c>
      <c r="AF2" s="145">
        <v>29</v>
      </c>
      <c r="AG2" s="141">
        <v>30</v>
      </c>
      <c r="AH2" s="345"/>
      <c r="AI2" s="113" t="s">
        <v>2</v>
      </c>
      <c r="AJ2" s="75" t="s">
        <v>8</v>
      </c>
      <c r="AK2" s="73" t="s">
        <v>9</v>
      </c>
      <c r="AL2" s="70" t="s">
        <v>7</v>
      </c>
      <c r="AM2" s="114" t="s">
        <v>10</v>
      </c>
      <c r="AN2" s="155" t="s">
        <v>5</v>
      </c>
    </row>
    <row r="3" spans="1:40">
      <c r="A3" s="357" t="s">
        <v>11</v>
      </c>
      <c r="B3" s="358"/>
      <c r="C3" s="157" t="s">
        <v>12</v>
      </c>
      <c r="D3" s="209" t="s">
        <v>16</v>
      </c>
      <c r="E3" s="126" t="s">
        <v>13</v>
      </c>
      <c r="F3" s="126" t="s">
        <v>14</v>
      </c>
      <c r="G3" s="126" t="s">
        <v>14</v>
      </c>
      <c r="H3" s="165" t="s">
        <v>14</v>
      </c>
      <c r="I3" s="166" t="s">
        <v>1</v>
      </c>
      <c r="J3" s="167" t="s">
        <v>1</v>
      </c>
      <c r="K3" s="168" t="s">
        <v>2</v>
      </c>
      <c r="L3" s="169" t="s">
        <v>2</v>
      </c>
      <c r="M3" s="169" t="s">
        <v>1</v>
      </c>
      <c r="N3" s="169" t="s">
        <v>1</v>
      </c>
      <c r="O3" s="170" t="s">
        <v>1</v>
      </c>
      <c r="P3" s="166" t="s">
        <v>2</v>
      </c>
      <c r="Q3" s="167" t="s">
        <v>2</v>
      </c>
      <c r="R3" s="195" t="s">
        <v>8</v>
      </c>
      <c r="S3" s="172" t="s">
        <v>8</v>
      </c>
      <c r="T3" s="172" t="s">
        <v>8</v>
      </c>
      <c r="U3" s="169" t="s">
        <v>1</v>
      </c>
      <c r="V3" s="173" t="s">
        <v>7</v>
      </c>
      <c r="W3" s="126" t="s">
        <v>13</v>
      </c>
      <c r="X3" s="126" t="s">
        <v>13</v>
      </c>
      <c r="Y3" s="126" t="s">
        <v>14</v>
      </c>
      <c r="Z3" s="126" t="s">
        <v>14</v>
      </c>
      <c r="AA3" s="165" t="s">
        <v>14</v>
      </c>
      <c r="AB3" s="126" t="s">
        <v>14</v>
      </c>
      <c r="AC3" s="165" t="s">
        <v>14</v>
      </c>
      <c r="AD3" s="173" t="s">
        <v>7</v>
      </c>
      <c r="AE3" s="173" t="s">
        <v>7</v>
      </c>
      <c r="AF3" s="126" t="s">
        <v>13</v>
      </c>
      <c r="AG3" s="174" t="s">
        <v>13</v>
      </c>
      <c r="AH3" s="345"/>
      <c r="AI3">
        <f>COUNTIFS(D$3:AG$3,"M")+COUNTIFS(D$3:AG$3,"MG")</f>
        <v>12</v>
      </c>
      <c r="AJ3">
        <f>COUNTIFS(D$3:AH$3,"T")+COUNTIFS(D$3:AH$3,"TG")</f>
        <v>3</v>
      </c>
      <c r="AK3">
        <f>COUNTIFS(D$3:AG$3,"N")+COUNTIFS(D$3:AG$3,"NG")</f>
        <v>0</v>
      </c>
      <c r="AL3">
        <f>COUNTIFS(D$3:AG$3,"D")+COUNTIFS(D$3:AG$3,"DG")</f>
        <v>4</v>
      </c>
      <c r="AM3">
        <f>SUM(AI3:AL3)</f>
        <v>19</v>
      </c>
      <c r="AN3">
        <f>COUNTIFS(F$3:AI$3,"V")</f>
        <v>0</v>
      </c>
    </row>
    <row r="4" spans="1:40">
      <c r="A4" s="359" t="s">
        <v>17</v>
      </c>
      <c r="B4" s="360"/>
      <c r="C4" s="9" t="s">
        <v>18</v>
      </c>
      <c r="D4" s="210" t="s">
        <v>2</v>
      </c>
      <c r="E4" s="129" t="s">
        <v>2</v>
      </c>
      <c r="F4" s="129" t="s">
        <v>1</v>
      </c>
      <c r="G4" s="129" t="s">
        <v>1</v>
      </c>
      <c r="H4" s="134" t="s">
        <v>7</v>
      </c>
      <c r="I4" s="130" t="s">
        <v>14</v>
      </c>
      <c r="J4" s="131" t="s">
        <v>14</v>
      </c>
      <c r="K4" s="130" t="s">
        <v>15</v>
      </c>
      <c r="L4" s="130" t="s">
        <v>15</v>
      </c>
      <c r="M4" s="130" t="s">
        <v>15</v>
      </c>
      <c r="N4" s="124" t="s">
        <v>13</v>
      </c>
      <c r="O4" s="124" t="s">
        <v>16</v>
      </c>
      <c r="P4" s="124" t="s">
        <v>13</v>
      </c>
      <c r="Q4" s="124" t="s">
        <v>13</v>
      </c>
      <c r="R4" s="124" t="s">
        <v>14</v>
      </c>
      <c r="S4" s="124" t="s">
        <v>14</v>
      </c>
      <c r="T4" s="127" t="s">
        <v>14</v>
      </c>
      <c r="U4" s="124" t="s">
        <v>14</v>
      </c>
      <c r="V4" s="127" t="s">
        <v>14</v>
      </c>
      <c r="W4" s="175" t="s">
        <v>7</v>
      </c>
      <c r="X4" s="175" t="s">
        <v>7</v>
      </c>
      <c r="Y4" s="175" t="s">
        <v>7</v>
      </c>
      <c r="Z4" s="135" t="s">
        <v>1</v>
      </c>
      <c r="AA4" s="176" t="s">
        <v>5</v>
      </c>
      <c r="AB4" s="176" t="s">
        <v>5</v>
      </c>
      <c r="AC4" s="176" t="s">
        <v>5</v>
      </c>
      <c r="AD4" s="124" t="s">
        <v>13</v>
      </c>
      <c r="AE4" s="124" t="s">
        <v>13</v>
      </c>
      <c r="AF4" s="132" t="s">
        <v>2</v>
      </c>
      <c r="AG4" s="177" t="s">
        <v>2</v>
      </c>
      <c r="AH4" s="345"/>
      <c r="AI4">
        <f>COUNTIFS(D$4:AG$4,"M")+COUNTIFS(D$4:AG$4,"MG")</f>
        <v>11</v>
      </c>
      <c r="AJ4">
        <f>COUNTIFS(D$4:AH$4,"T")+COUNTIFS(D$4:AH$4,"TG")</f>
        <v>3</v>
      </c>
      <c r="AK4">
        <f>COUNTIFS(F$4:AG$4,"N")+COUNTIFS(F$4:AG$4,"NG")</f>
        <v>0</v>
      </c>
      <c r="AL4">
        <f>COUNTIFS(D$4:AG$4,"D")+COUNTIFS(D$4:AG$4,"DG")</f>
        <v>5</v>
      </c>
      <c r="AM4">
        <f t="shared" ref="AM4:AM10" si="0">SUM(AI4:AL4)</f>
        <v>19</v>
      </c>
      <c r="AN4">
        <f>COUNTIFS(F$4:AI$4,"V")</f>
        <v>3</v>
      </c>
    </row>
    <row r="5" spans="1:40">
      <c r="A5" s="359" t="s">
        <v>19</v>
      </c>
      <c r="B5" s="360"/>
      <c r="C5" s="9" t="s">
        <v>20</v>
      </c>
      <c r="D5" s="211" t="s">
        <v>5</v>
      </c>
      <c r="E5" s="176" t="s">
        <v>5</v>
      </c>
      <c r="F5" s="176" t="s">
        <v>5</v>
      </c>
      <c r="G5" s="129"/>
      <c r="H5" s="129" t="s">
        <v>1</v>
      </c>
      <c r="I5" s="128" t="s">
        <v>1</v>
      </c>
      <c r="J5" s="178" t="s">
        <v>1</v>
      </c>
      <c r="K5" s="176" t="s">
        <v>5</v>
      </c>
      <c r="L5" s="135" t="s">
        <v>2</v>
      </c>
      <c r="M5" s="135" t="s">
        <v>2</v>
      </c>
      <c r="N5" s="135" t="s">
        <v>2</v>
      </c>
      <c r="O5" s="136" t="s">
        <v>2</v>
      </c>
      <c r="P5" s="175" t="s">
        <v>7</v>
      </c>
      <c r="Q5" s="175" t="s">
        <v>7</v>
      </c>
      <c r="R5" s="175" t="s">
        <v>7</v>
      </c>
      <c r="S5" s="135" t="s">
        <v>1</v>
      </c>
      <c r="T5" s="135" t="s">
        <v>2</v>
      </c>
      <c r="U5" s="135" t="s">
        <v>2</v>
      </c>
      <c r="V5" s="136" t="s">
        <v>2</v>
      </c>
      <c r="W5" s="128" t="s">
        <v>1</v>
      </c>
      <c r="X5" s="178" t="s">
        <v>1</v>
      </c>
      <c r="Y5" s="132" t="s">
        <v>2</v>
      </c>
      <c r="Z5" s="135" t="s">
        <v>2</v>
      </c>
      <c r="AA5" s="135" t="s">
        <v>1</v>
      </c>
      <c r="AB5" s="135" t="s">
        <v>1</v>
      </c>
      <c r="AC5" s="136" t="s">
        <v>1</v>
      </c>
      <c r="AD5" s="128" t="s">
        <v>2</v>
      </c>
      <c r="AE5" s="178" t="s">
        <v>2</v>
      </c>
      <c r="AF5" s="181" t="s">
        <v>8</v>
      </c>
      <c r="AG5" s="182" t="s">
        <v>8</v>
      </c>
      <c r="AH5" s="345"/>
      <c r="AI5">
        <f>COUNTIFS(D$5:AG$5,"M")+COUNTIFS(D$5:AG$5,"MG")</f>
        <v>11</v>
      </c>
      <c r="AJ5">
        <f>COUNTIFS(D$5:AH$5,"T")+COUNTIFS(E$5:AH$5,"TG")</f>
        <v>2</v>
      </c>
      <c r="AK5">
        <f>COUNTIFS(F$5:AG$5,"N")+COUNTIFS(F$5:AG$5,"NG")</f>
        <v>0</v>
      </c>
      <c r="AL5">
        <f>COUNTIFS(D$5:AG$5,"D")+COUNTIFS(D$5:AG$5,"DG")</f>
        <v>3</v>
      </c>
      <c r="AM5">
        <f t="shared" si="0"/>
        <v>16</v>
      </c>
      <c r="AN5">
        <f>COUNTIFS(F$5:AI$5,"V")</f>
        <v>2</v>
      </c>
    </row>
    <row r="6" spans="1:40" ht="15" thickBot="1">
      <c r="A6" s="116"/>
      <c r="B6" s="156" t="s">
        <v>21</v>
      </c>
      <c r="C6" s="158" t="s">
        <v>22</v>
      </c>
      <c r="D6" s="212" t="s">
        <v>2</v>
      </c>
      <c r="E6" s="183" t="s">
        <v>2</v>
      </c>
      <c r="F6" s="183" t="s">
        <v>2</v>
      </c>
      <c r="G6" s="183" t="s">
        <v>2</v>
      </c>
      <c r="H6" s="184" t="s">
        <v>2</v>
      </c>
      <c r="I6" s="185" t="s">
        <v>7</v>
      </c>
      <c r="J6" s="186" t="s">
        <v>7</v>
      </c>
      <c r="K6" s="186" t="s">
        <v>7</v>
      </c>
      <c r="L6" s="183" t="s">
        <v>1</v>
      </c>
      <c r="M6" s="183" t="s">
        <v>2</v>
      </c>
      <c r="N6" s="183" t="s">
        <v>2</v>
      </c>
      <c r="O6" s="184" t="s">
        <v>2</v>
      </c>
      <c r="P6" s="187" t="s">
        <v>1</v>
      </c>
      <c r="Q6" s="188" t="s">
        <v>1</v>
      </c>
      <c r="R6" s="189" t="s">
        <v>2</v>
      </c>
      <c r="S6" s="183" t="s">
        <v>2</v>
      </c>
      <c r="T6" s="183" t="s">
        <v>1</v>
      </c>
      <c r="U6" s="183" t="s">
        <v>1</v>
      </c>
      <c r="V6" s="184" t="s">
        <v>1</v>
      </c>
      <c r="W6" s="187" t="s">
        <v>2</v>
      </c>
      <c r="X6" s="188" t="s">
        <v>2</v>
      </c>
      <c r="Y6" s="190" t="s">
        <v>8</v>
      </c>
      <c r="Z6" s="191" t="s">
        <v>8</v>
      </c>
      <c r="AA6" s="191" t="s">
        <v>8</v>
      </c>
      <c r="AB6" s="183" t="s">
        <v>1</v>
      </c>
      <c r="AC6" s="185" t="s">
        <v>7</v>
      </c>
      <c r="AD6" s="187" t="s">
        <v>1</v>
      </c>
      <c r="AE6" s="188" t="s">
        <v>1</v>
      </c>
      <c r="AF6" s="189" t="s">
        <v>2</v>
      </c>
      <c r="AG6" s="193" t="s">
        <v>2</v>
      </c>
      <c r="AH6" s="345"/>
      <c r="AI6">
        <f>COUNTIFS(D$6:AG$6,"M")+COUNTIFS(D$6:AG$6,"MG")</f>
        <v>14</v>
      </c>
      <c r="AJ6">
        <f>COUNTIFS(D$6:AH$6,"T")+COUNTIFS(D$6:AH$6,"TG")</f>
        <v>3</v>
      </c>
      <c r="AK6">
        <f>COUNTIFS(F$6:AG$6,"N")+COUNTIFS(F$6:AG$6,"NG")</f>
        <v>0</v>
      </c>
      <c r="AL6">
        <f>COUNTIFS(D$6:AG$6,"D")+COUNTIFS(D$6:AG$6,"DG")</f>
        <v>4</v>
      </c>
      <c r="AM6">
        <f t="shared" si="0"/>
        <v>21</v>
      </c>
      <c r="AN6">
        <f>COUNTIFS(F$6:AI$6,"V")</f>
        <v>0</v>
      </c>
    </row>
    <row r="7" spans="1:40">
      <c r="A7" s="361" t="s">
        <v>23</v>
      </c>
      <c r="B7" s="362"/>
      <c r="C7" s="157" t="s">
        <v>24</v>
      </c>
      <c r="D7" s="213" t="s">
        <v>9</v>
      </c>
      <c r="E7" s="169" t="s">
        <v>9</v>
      </c>
      <c r="F7" s="169" t="s">
        <v>9</v>
      </c>
      <c r="G7" s="169" t="s">
        <v>9</v>
      </c>
      <c r="H7" s="194" t="s">
        <v>9</v>
      </c>
      <c r="I7" s="166" t="s">
        <v>1</v>
      </c>
      <c r="J7" s="167" t="s">
        <v>1</v>
      </c>
      <c r="K7" s="171" t="s">
        <v>9</v>
      </c>
      <c r="L7" s="195" t="s">
        <v>9</v>
      </c>
      <c r="M7" s="195" t="s">
        <v>1</v>
      </c>
      <c r="N7" s="173" t="s">
        <v>7</v>
      </c>
      <c r="O7" s="172" t="s">
        <v>1</v>
      </c>
      <c r="P7" s="166" t="s">
        <v>9</v>
      </c>
      <c r="Q7" s="167" t="s">
        <v>9</v>
      </c>
      <c r="R7" s="171" t="s">
        <v>1</v>
      </c>
      <c r="S7" s="195" t="s">
        <v>1</v>
      </c>
      <c r="T7" s="173" t="s">
        <v>7</v>
      </c>
      <c r="U7" s="195" t="s">
        <v>8</v>
      </c>
      <c r="V7" s="343" t="s">
        <v>1</v>
      </c>
      <c r="W7" s="166" t="s">
        <v>8</v>
      </c>
      <c r="X7" s="167" t="s">
        <v>8</v>
      </c>
      <c r="Y7" s="171" t="s">
        <v>1</v>
      </c>
      <c r="Z7" s="173" t="s">
        <v>7</v>
      </c>
      <c r="AA7" s="195" t="s">
        <v>9</v>
      </c>
      <c r="AB7" s="195" t="s">
        <v>9</v>
      </c>
      <c r="AC7" s="172" t="s">
        <v>9</v>
      </c>
      <c r="AD7" s="166" t="s">
        <v>1</v>
      </c>
      <c r="AE7" s="167" t="s">
        <v>1</v>
      </c>
      <c r="AF7" s="171" t="s">
        <v>9</v>
      </c>
      <c r="AG7" s="196" t="s">
        <v>9</v>
      </c>
      <c r="AH7" s="345"/>
      <c r="AI7">
        <f>COUNTIFS(D$7:AG$7,"M")+COUNTIFS(D$7:AG$7,"MG")</f>
        <v>0</v>
      </c>
      <c r="AJ7">
        <f>COUNTIFS(D$7:AH$7,"T")+COUNTIFS(D$7:AH$7,"TG")</f>
        <v>3</v>
      </c>
      <c r="AK7">
        <f>COUNTIFS(D$7:AG$7,"N")+COUNTIFS(D$7:AG$7,"NG")</f>
        <v>14</v>
      </c>
      <c r="AL7">
        <f>COUNTIFS(D$7:AG$7,"D")+COUNTIFS(D$7:AG$7,"DG")</f>
        <v>3</v>
      </c>
      <c r="AM7">
        <f t="shared" si="0"/>
        <v>20</v>
      </c>
      <c r="AN7">
        <f>COUNTIFS(F$7:AI$7,"V")</f>
        <v>0</v>
      </c>
    </row>
    <row r="8" spans="1:40">
      <c r="A8" s="346" t="s">
        <v>25</v>
      </c>
      <c r="B8" s="347"/>
      <c r="C8" s="9" t="s">
        <v>26</v>
      </c>
      <c r="D8" s="214" t="s">
        <v>9</v>
      </c>
      <c r="E8" s="137" t="s">
        <v>9</v>
      </c>
      <c r="F8" s="197" t="s">
        <v>1</v>
      </c>
      <c r="G8" s="198" t="s">
        <v>7</v>
      </c>
      <c r="H8" s="199" t="s">
        <v>1</v>
      </c>
      <c r="I8" s="128" t="s">
        <v>9</v>
      </c>
      <c r="J8" s="178" t="s">
        <v>9</v>
      </c>
      <c r="K8" s="137" t="s">
        <v>1</v>
      </c>
      <c r="L8" s="137" t="s">
        <v>1</v>
      </c>
      <c r="M8" s="175" t="s">
        <v>7</v>
      </c>
      <c r="N8" s="137" t="s">
        <v>8</v>
      </c>
      <c r="O8" s="199" t="s">
        <v>8</v>
      </c>
      <c r="P8" s="128" t="s">
        <v>8</v>
      </c>
      <c r="Q8" s="178" t="s">
        <v>8</v>
      </c>
      <c r="R8" s="181" t="s">
        <v>1</v>
      </c>
      <c r="S8" s="175" t="s">
        <v>7</v>
      </c>
      <c r="T8" s="137" t="s">
        <v>9</v>
      </c>
      <c r="U8" s="137" t="s">
        <v>9</v>
      </c>
      <c r="V8" s="199" t="s">
        <v>9</v>
      </c>
      <c r="W8" s="128" t="s">
        <v>1</v>
      </c>
      <c r="X8" s="178" t="s">
        <v>1</v>
      </c>
      <c r="Y8" s="176" t="s">
        <v>5</v>
      </c>
      <c r="Z8" s="176" t="s">
        <v>5</v>
      </c>
      <c r="AA8" s="176" t="s">
        <v>5</v>
      </c>
      <c r="AB8" s="176" t="s">
        <v>5</v>
      </c>
      <c r="AC8" s="176" t="s">
        <v>5</v>
      </c>
      <c r="AD8" s="128" t="s">
        <v>1</v>
      </c>
      <c r="AE8" s="178" t="s">
        <v>1</v>
      </c>
      <c r="AF8" s="176" t="s">
        <v>5</v>
      </c>
      <c r="AG8" s="176" t="s">
        <v>5</v>
      </c>
      <c r="AH8" s="345"/>
      <c r="AI8">
        <f>COUNTIFS(D$7:AG$7,"M")+COUNTIFS(D$7:AG$7,"MG")</f>
        <v>0</v>
      </c>
      <c r="AJ8">
        <f>COUNTIFS(D$8:AH$8,"T")+COUNTIFS(D$8:AH$8,"TG")</f>
        <v>4</v>
      </c>
      <c r="AK8">
        <f>COUNTIFS(D$8:AG$8,"N")+COUNTIFS(D$8:AG$8,"NG")</f>
        <v>7</v>
      </c>
      <c r="AL8">
        <f>COUNTIFS(D$8:AG$8,"D")+COUNTIFS(D$8:AG$8,"DG")</f>
        <v>3</v>
      </c>
      <c r="AM8">
        <f t="shared" si="0"/>
        <v>14</v>
      </c>
      <c r="AN8">
        <f>COUNTIFS(F$8:AI$8,"V")</f>
        <v>7</v>
      </c>
    </row>
    <row r="9" spans="1:40">
      <c r="A9" s="346" t="s">
        <v>27</v>
      </c>
      <c r="B9" s="347"/>
      <c r="C9" s="9" t="s">
        <v>28</v>
      </c>
      <c r="D9" s="215" t="s">
        <v>1</v>
      </c>
      <c r="E9" s="197" t="s">
        <v>1</v>
      </c>
      <c r="F9" s="198" t="s">
        <v>7</v>
      </c>
      <c r="G9" s="137" t="s">
        <v>8</v>
      </c>
      <c r="H9" s="199" t="s">
        <v>8</v>
      </c>
      <c r="I9" s="128" t="s">
        <v>8</v>
      </c>
      <c r="J9" s="178" t="s">
        <v>8</v>
      </c>
      <c r="K9" s="181" t="s">
        <v>1</v>
      </c>
      <c r="L9" s="175" t="s">
        <v>7</v>
      </c>
      <c r="M9" s="137" t="s">
        <v>9</v>
      </c>
      <c r="N9" s="137" t="s">
        <v>9</v>
      </c>
      <c r="O9" s="199" t="s">
        <v>9</v>
      </c>
      <c r="P9" s="128" t="s">
        <v>1</v>
      </c>
      <c r="Q9" s="178" t="s">
        <v>1</v>
      </c>
      <c r="R9" s="132" t="s">
        <v>9</v>
      </c>
      <c r="S9" s="135" t="s">
        <v>9</v>
      </c>
      <c r="T9" s="135" t="s">
        <v>9</v>
      </c>
      <c r="U9" s="135" t="s">
        <v>9</v>
      </c>
      <c r="V9" s="344" t="s">
        <v>8</v>
      </c>
      <c r="W9" s="128" t="s">
        <v>1</v>
      </c>
      <c r="X9" s="178" t="s">
        <v>1</v>
      </c>
      <c r="Y9" s="181" t="s">
        <v>9</v>
      </c>
      <c r="Z9" s="137" t="s">
        <v>9</v>
      </c>
      <c r="AA9" s="137" t="s">
        <v>1</v>
      </c>
      <c r="AB9" s="175" t="s">
        <v>7</v>
      </c>
      <c r="AC9" s="199" t="s">
        <v>1</v>
      </c>
      <c r="AD9" s="128" t="s">
        <v>9</v>
      </c>
      <c r="AE9" s="178" t="s">
        <v>9</v>
      </c>
      <c r="AF9" s="175" t="s">
        <v>7</v>
      </c>
      <c r="AG9" s="182" t="s">
        <v>1</v>
      </c>
      <c r="AH9" s="345"/>
      <c r="AI9">
        <f>COUNTIFS(D$7:AG$7,"M")+COUNTIFS(D$7:AG$7,"MG")</f>
        <v>0</v>
      </c>
      <c r="AJ9">
        <f>COUNTIFS(D$9:AH$9,"T")+COUNTIFS(D$9:AH$9,"TG")</f>
        <v>5</v>
      </c>
      <c r="AK9">
        <f>COUNTIFS(D$9:AG$9,"N")+COUNTIFS(D$9:AG$9,"NG")</f>
        <v>11</v>
      </c>
      <c r="AL9">
        <f>COUNTIFS(D$9:AG$9,"D")+COUNTIFS(D$9:AG$9,"DG")</f>
        <v>4</v>
      </c>
      <c r="AM9">
        <f t="shared" si="0"/>
        <v>20</v>
      </c>
      <c r="AN9">
        <f>COUNTIFS(F$9:AI$9,"V")</f>
        <v>0</v>
      </c>
    </row>
    <row r="10" spans="1:40" ht="15" thickBot="1">
      <c r="A10" s="348" t="s">
        <v>29</v>
      </c>
      <c r="B10" s="349"/>
      <c r="C10" s="9" t="s">
        <v>30</v>
      </c>
      <c r="D10" s="216" t="s">
        <v>1</v>
      </c>
      <c r="E10" s="217" t="s">
        <v>7</v>
      </c>
      <c r="F10" s="200" t="s">
        <v>9</v>
      </c>
      <c r="G10" s="200" t="s">
        <v>9</v>
      </c>
      <c r="H10" s="201" t="s">
        <v>9</v>
      </c>
      <c r="I10" s="138" t="s">
        <v>1</v>
      </c>
      <c r="J10" s="202" t="s">
        <v>1</v>
      </c>
      <c r="K10" s="203" t="s">
        <v>9</v>
      </c>
      <c r="L10" s="204" t="s">
        <v>9</v>
      </c>
      <c r="M10" s="204" t="s">
        <v>9</v>
      </c>
      <c r="N10" s="204" t="s">
        <v>9</v>
      </c>
      <c r="O10" s="205" t="s">
        <v>9</v>
      </c>
      <c r="P10" s="138" t="s">
        <v>1</v>
      </c>
      <c r="Q10" s="202" t="s">
        <v>1</v>
      </c>
      <c r="R10" s="206" t="s">
        <v>9</v>
      </c>
      <c r="S10" s="200" t="s">
        <v>9</v>
      </c>
      <c r="T10" s="200" t="s">
        <v>1</v>
      </c>
      <c r="U10" s="207" t="s">
        <v>7</v>
      </c>
      <c r="V10" s="201" t="s">
        <v>1</v>
      </c>
      <c r="W10" s="138" t="s">
        <v>9</v>
      </c>
      <c r="X10" s="202" t="s">
        <v>9</v>
      </c>
      <c r="Y10" s="200" t="s">
        <v>1</v>
      </c>
      <c r="Z10" s="200" t="s">
        <v>1</v>
      </c>
      <c r="AA10" s="207" t="s">
        <v>7</v>
      </c>
      <c r="AB10" s="200" t="s">
        <v>8</v>
      </c>
      <c r="AC10" s="201" t="s">
        <v>8</v>
      </c>
      <c r="AD10" s="138" t="s">
        <v>8</v>
      </c>
      <c r="AE10" s="202" t="s">
        <v>8</v>
      </c>
      <c r="AF10" s="206" t="s">
        <v>1</v>
      </c>
      <c r="AG10" s="208" t="s">
        <v>7</v>
      </c>
      <c r="AH10" s="345"/>
      <c r="AI10">
        <f>COUNTIFS(D$7:AG$7,"M")+COUNTIFS(D$7:AG$7,"MG")</f>
        <v>0</v>
      </c>
      <c r="AJ10">
        <f>COUNTIFS(D$10:AH$10,"T")+COUNTIFS(D$10:AH$10,"TG")</f>
        <v>4</v>
      </c>
      <c r="AK10">
        <f>COUNTIFS(D$10:AG$10,"N")+COUNTIFS(D$10:AG$10,"NG")</f>
        <v>12</v>
      </c>
      <c r="AL10">
        <f>COUNTIFS(D$10:AG$10,"D")+COUNTIFS(D$10:AG$10,"DG")</f>
        <v>4</v>
      </c>
      <c r="AM10">
        <f t="shared" si="0"/>
        <v>20</v>
      </c>
      <c r="AN10">
        <f>COUNTIFS(F$10:AI$10,"V")</f>
        <v>0</v>
      </c>
    </row>
    <row r="11" spans="1:40">
      <c r="A11" s="353"/>
      <c r="B11" s="353"/>
      <c r="C11" s="353"/>
      <c r="D11" s="345"/>
      <c r="E11" s="345"/>
      <c r="F11" s="345"/>
      <c r="G11" s="345"/>
      <c r="H11" s="345"/>
      <c r="I11" s="345"/>
      <c r="J11" s="34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W11" s="345"/>
      <c r="X11" s="345"/>
      <c r="Y11" s="345"/>
      <c r="Z11" s="345"/>
      <c r="AA11" s="345"/>
      <c r="AB11" s="345"/>
      <c r="AC11" s="345"/>
      <c r="AD11" s="345"/>
      <c r="AE11" s="345"/>
      <c r="AF11" s="345"/>
      <c r="AG11" s="345"/>
      <c r="AH11" s="345"/>
    </row>
    <row r="12" spans="1:40">
      <c r="A12" s="345"/>
      <c r="B12" s="345"/>
      <c r="C12" s="354"/>
      <c r="D12" s="354"/>
      <c r="E12" s="354"/>
      <c r="F12" s="354"/>
      <c r="G12" s="354"/>
      <c r="H12" s="354"/>
      <c r="I12" s="354"/>
      <c r="J12" s="354"/>
      <c r="K12" s="354"/>
      <c r="L12" s="354"/>
      <c r="M12" s="354"/>
      <c r="N12" s="354"/>
      <c r="O12" s="354"/>
      <c r="P12" s="354"/>
      <c r="Q12" s="354"/>
      <c r="R12" s="354"/>
      <c r="S12" s="354"/>
      <c r="T12" s="354"/>
      <c r="U12" s="354"/>
      <c r="V12" s="354"/>
      <c r="W12" s="354"/>
      <c r="X12" s="354"/>
      <c r="Y12" s="354"/>
      <c r="Z12" s="354"/>
      <c r="AA12" s="354"/>
      <c r="AB12" s="354"/>
      <c r="AC12" s="354"/>
      <c r="AD12" s="354"/>
      <c r="AE12" s="354"/>
      <c r="AF12" s="354"/>
      <c r="AG12" s="354"/>
      <c r="AH12" s="345"/>
    </row>
    <row r="13" spans="1:40" ht="15" thickBot="1">
      <c r="A13" s="345"/>
      <c r="B13" s="345"/>
      <c r="C13" s="108" t="s">
        <v>31</v>
      </c>
      <c r="D13" s="146">
        <f>SUM(D14:D16)</f>
        <v>4</v>
      </c>
      <c r="E13" s="146">
        <f t="shared" ref="E13:AG13" si="1">SUM(E14:E16)</f>
        <v>4</v>
      </c>
      <c r="F13" s="146">
        <f t="shared" si="1"/>
        <v>4</v>
      </c>
      <c r="G13" s="146">
        <f t="shared" si="1"/>
        <v>5</v>
      </c>
      <c r="H13" s="146">
        <f t="shared" si="1"/>
        <v>5</v>
      </c>
      <c r="I13" s="147">
        <f t="shared" si="1"/>
        <v>3</v>
      </c>
      <c r="J13" s="148">
        <f t="shared" si="1"/>
        <v>3</v>
      </c>
      <c r="K13" s="149">
        <f t="shared" si="1"/>
        <v>4</v>
      </c>
      <c r="L13" s="146">
        <f t="shared" si="1"/>
        <v>5</v>
      </c>
      <c r="M13" s="146">
        <f t="shared" si="1"/>
        <v>5</v>
      </c>
      <c r="N13" s="146">
        <f t="shared" si="1"/>
        <v>5</v>
      </c>
      <c r="O13" s="146">
        <f t="shared" si="1"/>
        <v>5</v>
      </c>
      <c r="P13" s="147">
        <f t="shared" si="1"/>
        <v>3</v>
      </c>
      <c r="Q13" s="148">
        <f t="shared" si="1"/>
        <v>3</v>
      </c>
      <c r="R13" s="149">
        <f t="shared" si="1"/>
        <v>5</v>
      </c>
      <c r="S13" s="146">
        <f t="shared" si="1"/>
        <v>5</v>
      </c>
      <c r="T13" s="146">
        <f t="shared" si="1"/>
        <v>5</v>
      </c>
      <c r="U13" s="146">
        <f t="shared" si="1"/>
        <v>5</v>
      </c>
      <c r="V13" s="146">
        <f t="shared" si="1"/>
        <v>4</v>
      </c>
      <c r="W13" s="147">
        <f t="shared" si="1"/>
        <v>3</v>
      </c>
      <c r="X13" s="148">
        <f>SUM(X14:X16)</f>
        <v>3</v>
      </c>
      <c r="Y13" s="149">
        <f t="shared" si="1"/>
        <v>4</v>
      </c>
      <c r="Z13" s="146">
        <f t="shared" si="1"/>
        <v>4</v>
      </c>
      <c r="AA13" s="146">
        <f t="shared" si="1"/>
        <v>3</v>
      </c>
      <c r="AB13" s="146">
        <f t="shared" si="1"/>
        <v>3</v>
      </c>
      <c r="AC13" s="146">
        <f t="shared" si="1"/>
        <v>3</v>
      </c>
      <c r="AD13" s="147">
        <f t="shared" si="1"/>
        <v>3</v>
      </c>
      <c r="AE13" s="148">
        <f t="shared" si="1"/>
        <v>3</v>
      </c>
      <c r="AF13" s="149">
        <f t="shared" si="1"/>
        <v>4</v>
      </c>
      <c r="AG13" s="146">
        <f t="shared" si="1"/>
        <v>4</v>
      </c>
      <c r="AH13" s="345"/>
    </row>
    <row r="14" spans="1:40">
      <c r="A14" s="345"/>
      <c r="B14" s="345"/>
      <c r="C14" s="41" t="s">
        <v>2</v>
      </c>
      <c r="D14" s="42">
        <f>COUNTIFS(D$3:D$10,"M")+COUNTIFS(D$3:D$10,"MG")</f>
        <v>2</v>
      </c>
      <c r="E14" s="42">
        <f>COUNTIFS(E$3:E$10,"M")+COUNTIFS(E$3:E$10,"MG")</f>
        <v>2</v>
      </c>
      <c r="F14" s="42">
        <f t="shared" ref="F14:AG14" si="2">COUNTIFS(F$3:F$10,"M")+COUNTIFS(F$3:F$10,"MG")</f>
        <v>2</v>
      </c>
      <c r="G14" s="42">
        <f t="shared" si="2"/>
        <v>2</v>
      </c>
      <c r="H14" s="42">
        <f t="shared" si="2"/>
        <v>2</v>
      </c>
      <c r="I14" s="88">
        <f t="shared" si="2"/>
        <v>1</v>
      </c>
      <c r="J14" s="89">
        <f t="shared" si="2"/>
        <v>1</v>
      </c>
      <c r="K14" s="79">
        <f t="shared" si="2"/>
        <v>1</v>
      </c>
      <c r="L14" s="42">
        <f t="shared" si="2"/>
        <v>2</v>
      </c>
      <c r="M14" s="42">
        <f t="shared" si="2"/>
        <v>2</v>
      </c>
      <c r="N14" s="42">
        <f t="shared" si="2"/>
        <v>2</v>
      </c>
      <c r="O14" s="42">
        <f t="shared" si="2"/>
        <v>2</v>
      </c>
      <c r="P14" s="88">
        <f t="shared" si="2"/>
        <v>1</v>
      </c>
      <c r="Q14" s="89">
        <f t="shared" si="2"/>
        <v>1</v>
      </c>
      <c r="R14" s="79">
        <f t="shared" si="2"/>
        <v>2</v>
      </c>
      <c r="S14" s="42">
        <f t="shared" si="2"/>
        <v>2</v>
      </c>
      <c r="T14" s="42">
        <f t="shared" si="2"/>
        <v>2</v>
      </c>
      <c r="U14" s="42">
        <f t="shared" si="2"/>
        <v>2</v>
      </c>
      <c r="V14" s="42">
        <f t="shared" si="2"/>
        <v>2</v>
      </c>
      <c r="W14" s="88">
        <f t="shared" si="2"/>
        <v>1</v>
      </c>
      <c r="X14" s="89">
        <f t="shared" si="2"/>
        <v>1</v>
      </c>
      <c r="Y14" s="79">
        <f t="shared" si="2"/>
        <v>2</v>
      </c>
      <c r="Z14" s="42">
        <f t="shared" si="2"/>
        <v>2</v>
      </c>
      <c r="AA14" s="42">
        <f t="shared" si="2"/>
        <v>1</v>
      </c>
      <c r="AB14" s="42">
        <f t="shared" si="2"/>
        <v>1</v>
      </c>
      <c r="AC14" s="42">
        <f t="shared" si="2"/>
        <v>1</v>
      </c>
      <c r="AD14" s="88">
        <f t="shared" si="2"/>
        <v>1</v>
      </c>
      <c r="AE14" s="89">
        <f t="shared" si="2"/>
        <v>1</v>
      </c>
      <c r="AF14" s="79">
        <f t="shared" si="2"/>
        <v>2</v>
      </c>
      <c r="AG14" s="42">
        <f t="shared" si="2"/>
        <v>2</v>
      </c>
      <c r="AH14" s="345"/>
    </row>
    <row r="15" spans="1:40">
      <c r="A15" s="345"/>
      <c r="B15" s="345"/>
      <c r="C15" s="41" t="s">
        <v>8</v>
      </c>
      <c r="D15" s="43">
        <f>COUNTIFS(D$3:D$10,"T")+COUNTIFS(D$3:D$10,"TG")</f>
        <v>0</v>
      </c>
      <c r="E15" s="43">
        <f t="shared" ref="E15:AG15" si="3">COUNTIFS(E$3:E$10,"T")+COUNTIFS(E$3:E$10,"TG")</f>
        <v>0</v>
      </c>
      <c r="F15" s="43">
        <f t="shared" si="3"/>
        <v>0</v>
      </c>
      <c r="G15" s="43">
        <f t="shared" si="3"/>
        <v>1</v>
      </c>
      <c r="H15" s="43">
        <f t="shared" si="3"/>
        <v>1</v>
      </c>
      <c r="I15" s="90">
        <f t="shared" si="3"/>
        <v>1</v>
      </c>
      <c r="J15" s="91">
        <f t="shared" si="3"/>
        <v>1</v>
      </c>
      <c r="K15" s="80">
        <f t="shared" si="3"/>
        <v>1</v>
      </c>
      <c r="L15" s="43">
        <f t="shared" si="3"/>
        <v>1</v>
      </c>
      <c r="M15" s="43">
        <f t="shared" si="3"/>
        <v>1</v>
      </c>
      <c r="N15" s="43">
        <f t="shared" si="3"/>
        <v>1</v>
      </c>
      <c r="O15" s="43">
        <f t="shared" si="3"/>
        <v>1</v>
      </c>
      <c r="P15" s="90">
        <f t="shared" si="3"/>
        <v>1</v>
      </c>
      <c r="Q15" s="91">
        <f t="shared" si="3"/>
        <v>1</v>
      </c>
      <c r="R15" s="80">
        <f t="shared" si="3"/>
        <v>1</v>
      </c>
      <c r="S15" s="43">
        <f t="shared" si="3"/>
        <v>1</v>
      </c>
      <c r="T15" s="43">
        <f t="shared" si="3"/>
        <v>1</v>
      </c>
      <c r="U15" s="43">
        <f t="shared" si="3"/>
        <v>1</v>
      </c>
      <c r="V15" s="43">
        <f t="shared" si="3"/>
        <v>1</v>
      </c>
      <c r="W15" s="90">
        <f t="shared" si="3"/>
        <v>1</v>
      </c>
      <c r="X15" s="91">
        <f t="shared" si="3"/>
        <v>1</v>
      </c>
      <c r="Y15" s="80">
        <f t="shared" si="3"/>
        <v>1</v>
      </c>
      <c r="Z15" s="43">
        <f t="shared" si="3"/>
        <v>1</v>
      </c>
      <c r="AA15" s="43">
        <f t="shared" si="3"/>
        <v>1</v>
      </c>
      <c r="AB15" s="43">
        <f t="shared" si="3"/>
        <v>1</v>
      </c>
      <c r="AC15" s="43">
        <f t="shared" si="3"/>
        <v>1</v>
      </c>
      <c r="AD15" s="90">
        <f t="shared" si="3"/>
        <v>1</v>
      </c>
      <c r="AE15" s="91">
        <f t="shared" si="3"/>
        <v>1</v>
      </c>
      <c r="AF15" s="80">
        <f t="shared" si="3"/>
        <v>1</v>
      </c>
      <c r="AG15" s="43">
        <f t="shared" si="3"/>
        <v>1</v>
      </c>
      <c r="AH15" s="345"/>
    </row>
    <row r="16" spans="1:40">
      <c r="A16" s="345"/>
      <c r="B16" s="345"/>
      <c r="C16" s="41" t="s">
        <v>9</v>
      </c>
      <c r="D16" s="44">
        <f>COUNTIFS(D$3:D$10,"N")+COUNTIFS(D$3:D$10,"NG")</f>
        <v>2</v>
      </c>
      <c r="E16" s="44">
        <f t="shared" ref="E16:AG16" si="4">COUNTIFS(E$3:E$10,"N")+COUNTIFS(E$3:E$10,"NG")</f>
        <v>2</v>
      </c>
      <c r="F16" s="44">
        <f t="shared" si="4"/>
        <v>2</v>
      </c>
      <c r="G16" s="44">
        <f t="shared" si="4"/>
        <v>2</v>
      </c>
      <c r="H16" s="44">
        <f t="shared" si="4"/>
        <v>2</v>
      </c>
      <c r="I16" s="92">
        <f t="shared" si="4"/>
        <v>1</v>
      </c>
      <c r="J16" s="93">
        <f t="shared" si="4"/>
        <v>1</v>
      </c>
      <c r="K16" s="81">
        <f t="shared" si="4"/>
        <v>2</v>
      </c>
      <c r="L16" s="44">
        <f t="shared" si="4"/>
        <v>2</v>
      </c>
      <c r="M16" s="44">
        <f t="shared" si="4"/>
        <v>2</v>
      </c>
      <c r="N16" s="44">
        <f t="shared" si="4"/>
        <v>2</v>
      </c>
      <c r="O16" s="44">
        <f t="shared" si="4"/>
        <v>2</v>
      </c>
      <c r="P16" s="92">
        <f t="shared" si="4"/>
        <v>1</v>
      </c>
      <c r="Q16" s="93">
        <f t="shared" si="4"/>
        <v>1</v>
      </c>
      <c r="R16" s="81">
        <f t="shared" si="4"/>
        <v>2</v>
      </c>
      <c r="S16" s="44">
        <f t="shared" si="4"/>
        <v>2</v>
      </c>
      <c r="T16" s="44">
        <f t="shared" si="4"/>
        <v>2</v>
      </c>
      <c r="U16" s="44">
        <f t="shared" si="4"/>
        <v>2</v>
      </c>
      <c r="V16" s="44">
        <f t="shared" si="4"/>
        <v>1</v>
      </c>
      <c r="W16" s="92">
        <f t="shared" si="4"/>
        <v>1</v>
      </c>
      <c r="X16" s="93">
        <f t="shared" si="4"/>
        <v>1</v>
      </c>
      <c r="Y16" s="81">
        <f t="shared" si="4"/>
        <v>1</v>
      </c>
      <c r="Z16" s="44">
        <f t="shared" si="4"/>
        <v>1</v>
      </c>
      <c r="AA16" s="44">
        <f t="shared" si="4"/>
        <v>1</v>
      </c>
      <c r="AB16" s="44">
        <f t="shared" si="4"/>
        <v>1</v>
      </c>
      <c r="AC16" s="44">
        <f t="shared" si="4"/>
        <v>1</v>
      </c>
      <c r="AD16" s="92">
        <f t="shared" si="4"/>
        <v>1</v>
      </c>
      <c r="AE16" s="93">
        <f t="shared" si="4"/>
        <v>1</v>
      </c>
      <c r="AF16" s="81">
        <f t="shared" si="4"/>
        <v>1</v>
      </c>
      <c r="AG16" s="44">
        <f t="shared" si="4"/>
        <v>1</v>
      </c>
      <c r="AH16" s="345"/>
    </row>
    <row r="17" spans="1:34" ht="15" thickBot="1">
      <c r="A17" s="345"/>
      <c r="B17" s="345"/>
      <c r="C17" s="41" t="s">
        <v>7</v>
      </c>
      <c r="D17" s="45">
        <f>COUNTIFS(D$3:D$10,"D")+COUNTIFS(D$3:D$10,"DG")</f>
        <v>1</v>
      </c>
      <c r="E17" s="45">
        <f t="shared" ref="E17:AG17" si="5">COUNTIFS(E$3:E$10,"D")+COUNTIFS(E$3:E$10,"DG")</f>
        <v>1</v>
      </c>
      <c r="F17" s="45">
        <f t="shared" si="5"/>
        <v>1</v>
      </c>
      <c r="G17" s="45">
        <f t="shared" si="5"/>
        <v>1</v>
      </c>
      <c r="H17" s="45">
        <f t="shared" si="5"/>
        <v>1</v>
      </c>
      <c r="I17" s="94">
        <f t="shared" si="5"/>
        <v>1</v>
      </c>
      <c r="J17" s="95">
        <f t="shared" si="5"/>
        <v>1</v>
      </c>
      <c r="K17" s="82">
        <f t="shared" si="5"/>
        <v>1</v>
      </c>
      <c r="L17" s="45">
        <f t="shared" si="5"/>
        <v>1</v>
      </c>
      <c r="M17" s="45">
        <f t="shared" si="5"/>
        <v>1</v>
      </c>
      <c r="N17" s="45">
        <f t="shared" si="5"/>
        <v>1</v>
      </c>
      <c r="O17" s="45">
        <f t="shared" si="5"/>
        <v>1</v>
      </c>
      <c r="P17" s="94">
        <f t="shared" si="5"/>
        <v>1</v>
      </c>
      <c r="Q17" s="95">
        <f t="shared" si="5"/>
        <v>1</v>
      </c>
      <c r="R17" s="82">
        <f t="shared" si="5"/>
        <v>1</v>
      </c>
      <c r="S17" s="45">
        <f t="shared" si="5"/>
        <v>1</v>
      </c>
      <c r="T17" s="45">
        <f t="shared" si="5"/>
        <v>1</v>
      </c>
      <c r="U17" s="45">
        <f t="shared" si="5"/>
        <v>1</v>
      </c>
      <c r="V17" s="45">
        <f t="shared" si="5"/>
        <v>1</v>
      </c>
      <c r="W17" s="94">
        <f t="shared" si="5"/>
        <v>1</v>
      </c>
      <c r="X17" s="95">
        <f t="shared" si="5"/>
        <v>1</v>
      </c>
      <c r="Y17" s="82">
        <f t="shared" si="5"/>
        <v>1</v>
      </c>
      <c r="Z17" s="45">
        <f t="shared" si="5"/>
        <v>1</v>
      </c>
      <c r="AA17" s="45">
        <f t="shared" si="5"/>
        <v>1</v>
      </c>
      <c r="AB17" s="45">
        <f t="shared" si="5"/>
        <v>1</v>
      </c>
      <c r="AC17" s="45">
        <f t="shared" si="5"/>
        <v>1</v>
      </c>
      <c r="AD17" s="94">
        <f t="shared" si="5"/>
        <v>1</v>
      </c>
      <c r="AE17" s="95">
        <f t="shared" si="5"/>
        <v>1</v>
      </c>
      <c r="AF17" s="82">
        <f t="shared" si="5"/>
        <v>1</v>
      </c>
      <c r="AG17" s="45">
        <f t="shared" si="5"/>
        <v>1</v>
      </c>
      <c r="AH17" s="345"/>
    </row>
    <row r="18" spans="1:34">
      <c r="A18" s="345"/>
      <c r="B18" s="345"/>
      <c r="C18" s="39" t="s">
        <v>1</v>
      </c>
      <c r="D18" s="46">
        <f>COUNTIFS(D$3:D$10,"L")+COUNTIFS(D$3:D$10,"LG")</f>
        <v>2</v>
      </c>
      <c r="E18" s="46">
        <f t="shared" ref="E18:AG18" si="6">COUNTIFS(E$3:E$10,"L")+COUNTIFS(E$3:E$10,"LG")</f>
        <v>2</v>
      </c>
      <c r="F18" s="46">
        <f t="shared" si="6"/>
        <v>2</v>
      </c>
      <c r="G18" s="46">
        <f t="shared" si="6"/>
        <v>1</v>
      </c>
      <c r="H18" s="46">
        <f t="shared" si="6"/>
        <v>2</v>
      </c>
      <c r="I18" s="96">
        <f t="shared" si="6"/>
        <v>4</v>
      </c>
      <c r="J18" s="97">
        <f t="shared" si="6"/>
        <v>4</v>
      </c>
      <c r="K18" s="83">
        <f t="shared" si="6"/>
        <v>2</v>
      </c>
      <c r="L18" s="46">
        <f t="shared" si="6"/>
        <v>2</v>
      </c>
      <c r="M18" s="46">
        <f t="shared" si="6"/>
        <v>2</v>
      </c>
      <c r="N18" s="46">
        <f t="shared" si="6"/>
        <v>2</v>
      </c>
      <c r="O18" s="46">
        <f t="shared" si="6"/>
        <v>2</v>
      </c>
      <c r="P18" s="96">
        <f t="shared" si="6"/>
        <v>4</v>
      </c>
      <c r="Q18" s="97">
        <f t="shared" si="6"/>
        <v>4</v>
      </c>
      <c r="R18" s="83">
        <f t="shared" si="6"/>
        <v>2</v>
      </c>
      <c r="S18" s="46">
        <f t="shared" si="6"/>
        <v>2</v>
      </c>
      <c r="T18" s="46">
        <f t="shared" si="6"/>
        <v>2</v>
      </c>
      <c r="U18" s="46">
        <f t="shared" si="6"/>
        <v>2</v>
      </c>
      <c r="V18" s="46">
        <f t="shared" si="6"/>
        <v>3</v>
      </c>
      <c r="W18" s="96">
        <f t="shared" si="6"/>
        <v>4</v>
      </c>
      <c r="X18" s="97">
        <f t="shared" si="6"/>
        <v>4</v>
      </c>
      <c r="Y18" s="83">
        <f t="shared" si="6"/>
        <v>2</v>
      </c>
      <c r="Z18" s="46">
        <f t="shared" si="6"/>
        <v>2</v>
      </c>
      <c r="AA18" s="46">
        <f t="shared" si="6"/>
        <v>2</v>
      </c>
      <c r="AB18" s="46">
        <f t="shared" si="6"/>
        <v>2</v>
      </c>
      <c r="AC18" s="46">
        <f t="shared" si="6"/>
        <v>2</v>
      </c>
      <c r="AD18" s="96">
        <f t="shared" si="6"/>
        <v>4</v>
      </c>
      <c r="AE18" s="97">
        <f t="shared" si="6"/>
        <v>4</v>
      </c>
      <c r="AF18" s="83">
        <f t="shared" si="6"/>
        <v>2</v>
      </c>
      <c r="AG18" s="46">
        <f t="shared" si="6"/>
        <v>2</v>
      </c>
      <c r="AH18" s="345"/>
    </row>
    <row r="19" spans="1:34">
      <c r="A19" s="345"/>
      <c r="B19" s="345"/>
      <c r="C19" s="39" t="s">
        <v>32</v>
      </c>
      <c r="D19" s="47">
        <f t="shared" ref="D19:I19" si="7">COUNTIFS(D$3:D$10,"MG")+COUNTIFS(D$3:D$10,"TG")+COUNTIFS(D$3:D$10,"LG")+COUNTIFS(D$3:D$10,"DG")</f>
        <v>1</v>
      </c>
      <c r="E19" s="47">
        <f t="shared" si="7"/>
        <v>1</v>
      </c>
      <c r="F19" s="47">
        <f t="shared" si="7"/>
        <v>1</v>
      </c>
      <c r="G19" s="47">
        <f t="shared" si="7"/>
        <v>1</v>
      </c>
      <c r="H19" s="47">
        <f t="shared" si="7"/>
        <v>1</v>
      </c>
      <c r="I19" s="98">
        <f t="shared" si="7"/>
        <v>1</v>
      </c>
      <c r="J19" s="47">
        <f t="shared" ref="J19:AG19" si="8">COUNTIFS(J$3:J$10,"MG")+COUNTIFS(J$3:J$10,"TG")+COUNTIFS(J$3:J$10,"LG")+COUNTIFS(J$3:J$10,"DG")</f>
        <v>1</v>
      </c>
      <c r="K19" s="47">
        <f t="shared" si="8"/>
        <v>1</v>
      </c>
      <c r="L19" s="47">
        <f t="shared" si="8"/>
        <v>1</v>
      </c>
      <c r="M19" s="47">
        <f t="shared" si="8"/>
        <v>1</v>
      </c>
      <c r="N19" s="47">
        <f t="shared" si="8"/>
        <v>1</v>
      </c>
      <c r="O19" s="98">
        <f t="shared" si="8"/>
        <v>1</v>
      </c>
      <c r="P19" s="47">
        <f t="shared" si="8"/>
        <v>1</v>
      </c>
      <c r="Q19" s="47">
        <f t="shared" si="8"/>
        <v>1</v>
      </c>
      <c r="R19" s="47">
        <f t="shared" si="8"/>
        <v>1</v>
      </c>
      <c r="S19" s="47">
        <f t="shared" si="8"/>
        <v>1</v>
      </c>
      <c r="T19" s="47">
        <f t="shared" si="8"/>
        <v>1</v>
      </c>
      <c r="U19" s="98">
        <f t="shared" si="8"/>
        <v>1</v>
      </c>
      <c r="V19" s="47">
        <f t="shared" si="8"/>
        <v>1</v>
      </c>
      <c r="W19" s="47">
        <f t="shared" si="8"/>
        <v>1</v>
      </c>
      <c r="X19" s="47">
        <f t="shared" si="8"/>
        <v>1</v>
      </c>
      <c r="Y19" s="47">
        <f t="shared" si="8"/>
        <v>1</v>
      </c>
      <c r="Z19" s="47">
        <f t="shared" si="8"/>
        <v>1</v>
      </c>
      <c r="AA19" s="98">
        <f t="shared" si="8"/>
        <v>1</v>
      </c>
      <c r="AB19" s="47">
        <f t="shared" si="8"/>
        <v>1</v>
      </c>
      <c r="AC19" s="47">
        <f t="shared" si="8"/>
        <v>1</v>
      </c>
      <c r="AD19" s="47">
        <f t="shared" si="8"/>
        <v>1</v>
      </c>
      <c r="AE19" s="47">
        <f t="shared" si="8"/>
        <v>1</v>
      </c>
      <c r="AF19" s="47">
        <f t="shared" si="8"/>
        <v>1</v>
      </c>
      <c r="AG19" s="98">
        <f t="shared" si="8"/>
        <v>1</v>
      </c>
      <c r="AH19" s="345"/>
    </row>
    <row r="20" spans="1:34" ht="15" thickBot="1">
      <c r="A20" s="345"/>
      <c r="B20" s="345"/>
      <c r="C20" s="39" t="s">
        <v>5</v>
      </c>
      <c r="D20" s="48">
        <f>COUNTIFS(D$3:D$10,"V")</f>
        <v>1</v>
      </c>
      <c r="E20" s="48">
        <f t="shared" ref="E20:AG20" si="9">COUNTIFS(E$3:E$10,"V")</f>
        <v>1</v>
      </c>
      <c r="F20" s="48">
        <f t="shared" si="9"/>
        <v>1</v>
      </c>
      <c r="G20" s="48">
        <f t="shared" si="9"/>
        <v>0</v>
      </c>
      <c r="H20" s="48">
        <f t="shared" si="9"/>
        <v>0</v>
      </c>
      <c r="I20" s="100">
        <f t="shared" si="9"/>
        <v>0</v>
      </c>
      <c r="J20" s="101">
        <f t="shared" si="9"/>
        <v>0</v>
      </c>
      <c r="K20" s="85">
        <f t="shared" si="9"/>
        <v>1</v>
      </c>
      <c r="L20" s="48">
        <f t="shared" si="9"/>
        <v>0</v>
      </c>
      <c r="M20" s="48">
        <f t="shared" si="9"/>
        <v>0</v>
      </c>
      <c r="N20" s="48">
        <f t="shared" si="9"/>
        <v>0</v>
      </c>
      <c r="O20" s="48">
        <f t="shared" si="9"/>
        <v>0</v>
      </c>
      <c r="P20" s="100">
        <f t="shared" si="9"/>
        <v>0</v>
      </c>
      <c r="Q20" s="101">
        <f t="shared" si="9"/>
        <v>0</v>
      </c>
      <c r="R20" s="85">
        <f t="shared" si="9"/>
        <v>0</v>
      </c>
      <c r="S20" s="48">
        <f t="shared" si="9"/>
        <v>0</v>
      </c>
      <c r="T20" s="48">
        <f t="shared" si="9"/>
        <v>0</v>
      </c>
      <c r="U20" s="48">
        <f t="shared" si="9"/>
        <v>0</v>
      </c>
      <c r="V20" s="48">
        <f t="shared" si="9"/>
        <v>0</v>
      </c>
      <c r="W20" s="100">
        <f t="shared" si="9"/>
        <v>0</v>
      </c>
      <c r="X20" s="101">
        <f t="shared" si="9"/>
        <v>0</v>
      </c>
      <c r="Y20" s="85">
        <f t="shared" si="9"/>
        <v>1</v>
      </c>
      <c r="Z20" s="48">
        <f t="shared" si="9"/>
        <v>1</v>
      </c>
      <c r="AA20" s="48">
        <f t="shared" si="9"/>
        <v>2</v>
      </c>
      <c r="AB20" s="48">
        <f t="shared" si="9"/>
        <v>2</v>
      </c>
      <c r="AC20" s="48">
        <f t="shared" si="9"/>
        <v>2</v>
      </c>
      <c r="AD20" s="100">
        <f t="shared" si="9"/>
        <v>0</v>
      </c>
      <c r="AE20" s="101">
        <f t="shared" si="9"/>
        <v>0</v>
      </c>
      <c r="AF20" s="85">
        <f t="shared" si="9"/>
        <v>1</v>
      </c>
      <c r="AG20" s="48">
        <f t="shared" si="9"/>
        <v>1</v>
      </c>
      <c r="AH20" s="345"/>
    </row>
    <row r="21" spans="1:34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  <c r="M21" s="345"/>
      <c r="N21" s="345"/>
      <c r="O21" s="345"/>
      <c r="P21" s="345"/>
      <c r="Q21" s="345"/>
      <c r="R21" s="345"/>
      <c r="S21" s="345"/>
      <c r="T21" s="345"/>
      <c r="U21" s="345"/>
      <c r="V21" s="345"/>
      <c r="W21" s="345"/>
      <c r="X21" s="345"/>
      <c r="Y21" s="345"/>
      <c r="Z21" s="345"/>
      <c r="AA21" s="345"/>
      <c r="AB21" s="345"/>
      <c r="AC21" s="345"/>
      <c r="AD21" s="345"/>
      <c r="AE21" s="345"/>
      <c r="AF21" s="345"/>
      <c r="AG21" s="345"/>
      <c r="AH21" s="345"/>
    </row>
    <row r="22" spans="1:34">
      <c r="A22" s="345"/>
      <c r="B22" s="345"/>
      <c r="C22" s="345"/>
      <c r="D22" s="345"/>
      <c r="E22" s="345"/>
      <c r="F22" s="345"/>
      <c r="G22" s="345"/>
      <c r="H22" s="345"/>
      <c r="I22" s="345"/>
      <c r="J22" s="345"/>
      <c r="K22" s="345"/>
      <c r="L22" s="345"/>
      <c r="M22" s="345"/>
      <c r="N22" s="345"/>
      <c r="O22" s="345"/>
      <c r="P22" s="345"/>
      <c r="Q22" s="345"/>
      <c r="R22" s="345"/>
      <c r="S22" s="345"/>
      <c r="T22" s="345"/>
      <c r="U22" s="345"/>
      <c r="V22" s="345"/>
      <c r="W22" s="345"/>
      <c r="X22" s="345"/>
      <c r="Y22" s="345"/>
      <c r="Z22" s="345"/>
      <c r="AA22" s="345"/>
      <c r="AB22" s="345"/>
      <c r="AC22" s="345"/>
      <c r="AD22" s="345"/>
      <c r="AE22" s="345"/>
      <c r="AF22" s="345"/>
      <c r="AG22" s="345"/>
      <c r="AH22" s="345"/>
    </row>
    <row r="23" spans="1:34">
      <c r="A23" s="345"/>
      <c r="B23" s="345"/>
      <c r="C23" s="345"/>
      <c r="D23" s="345"/>
      <c r="E23" s="345"/>
      <c r="F23" s="345"/>
      <c r="G23" s="345"/>
      <c r="H23" s="345"/>
      <c r="I23" s="345"/>
      <c r="J23" s="345"/>
      <c r="K23" s="345"/>
      <c r="L23" s="345"/>
      <c r="M23" s="345"/>
      <c r="N23" s="345"/>
      <c r="O23" s="345"/>
      <c r="P23" s="345"/>
      <c r="Q23" s="345"/>
      <c r="R23" s="345"/>
      <c r="S23" s="345"/>
      <c r="T23" s="345"/>
      <c r="U23" s="345"/>
      <c r="V23" s="345"/>
      <c r="W23" s="345"/>
      <c r="X23" s="345"/>
      <c r="Y23" s="345"/>
      <c r="Z23" s="345"/>
      <c r="AA23" s="345"/>
      <c r="AB23" s="345"/>
      <c r="AC23" s="345"/>
      <c r="AD23" s="345"/>
      <c r="AE23" s="345"/>
      <c r="AF23" s="345"/>
      <c r="AG23" s="345"/>
      <c r="AH23" s="345"/>
    </row>
    <row r="24" spans="1:34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345"/>
      <c r="L24" s="345"/>
      <c r="M24" s="345"/>
      <c r="N24" s="345"/>
      <c r="O24" s="345"/>
      <c r="P24" s="345"/>
      <c r="Q24" s="345"/>
      <c r="R24" s="345"/>
      <c r="S24" s="345"/>
      <c r="T24" s="345"/>
      <c r="U24" s="345"/>
      <c r="V24" s="345"/>
      <c r="W24" s="345"/>
      <c r="X24" s="345"/>
      <c r="Y24" s="345"/>
      <c r="Z24" s="345"/>
      <c r="AA24" s="345"/>
      <c r="AB24" s="345"/>
      <c r="AC24" s="345"/>
      <c r="AD24" s="345"/>
      <c r="AE24" s="345"/>
      <c r="AF24" s="345"/>
      <c r="AG24" s="345"/>
      <c r="AH24" s="345"/>
    </row>
    <row r="25" spans="1:34">
      <c r="A25" s="345"/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  <c r="AA25" s="345"/>
      <c r="AB25" s="345"/>
      <c r="AC25" s="345"/>
      <c r="AD25" s="345"/>
      <c r="AE25" s="345"/>
      <c r="AF25" s="345"/>
      <c r="AG25" s="345"/>
      <c r="AH25" s="345"/>
    </row>
    <row r="26" spans="1:34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  <c r="M26" s="345"/>
      <c r="N26" s="345"/>
      <c r="O26" s="345"/>
      <c r="P26" s="345"/>
      <c r="Q26" s="345"/>
      <c r="R26" s="345"/>
      <c r="S26" s="345"/>
      <c r="T26" s="345"/>
      <c r="U26" s="345"/>
      <c r="V26" s="345"/>
      <c r="W26" s="345"/>
      <c r="X26" s="345"/>
      <c r="Y26" s="345"/>
      <c r="Z26" s="345"/>
      <c r="AA26" s="345"/>
      <c r="AB26" s="345"/>
      <c r="AC26" s="345"/>
      <c r="AD26" s="345"/>
      <c r="AE26" s="345"/>
      <c r="AF26" s="345"/>
      <c r="AG26" s="345"/>
      <c r="AH26" s="345"/>
    </row>
    <row r="27" spans="1:34">
      <c r="A27" s="345"/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  <c r="M27" s="345"/>
      <c r="N27" s="345"/>
      <c r="O27" s="345"/>
      <c r="P27" s="345"/>
      <c r="Q27" s="345"/>
      <c r="R27" s="345"/>
      <c r="S27" s="345"/>
      <c r="T27" s="345"/>
      <c r="U27" s="345"/>
      <c r="V27" s="345"/>
      <c r="W27" s="345"/>
      <c r="X27" s="345"/>
      <c r="Y27" s="345"/>
      <c r="Z27" s="345"/>
      <c r="AA27" s="345"/>
      <c r="AB27" s="345"/>
      <c r="AC27" s="345"/>
      <c r="AD27" s="345"/>
      <c r="AE27" s="345"/>
      <c r="AF27" s="345"/>
      <c r="AG27" s="345"/>
      <c r="AH27" s="345"/>
    </row>
    <row r="40" spans="7:26">
      <c r="I40" s="350" t="s">
        <v>33</v>
      </c>
      <c r="J40" s="351"/>
      <c r="K40" s="351"/>
      <c r="L40" s="351"/>
      <c r="M40" s="351"/>
      <c r="N40" s="351"/>
      <c r="O40" s="352"/>
    </row>
    <row r="42" spans="7:26" ht="15" thickBot="1">
      <c r="I42" s="36" t="s">
        <v>1</v>
      </c>
      <c r="J42" s="36" t="s">
        <v>2</v>
      </c>
      <c r="K42" s="37" t="s">
        <v>3</v>
      </c>
      <c r="L42" s="36" t="s">
        <v>4</v>
      </c>
      <c r="M42" s="36" t="s">
        <v>5</v>
      </c>
      <c r="N42" s="38" t="s">
        <v>6</v>
      </c>
      <c r="O42" s="38" t="s">
        <v>7</v>
      </c>
      <c r="T42" s="30" t="s">
        <v>1</v>
      </c>
      <c r="U42" s="30" t="s">
        <v>2</v>
      </c>
      <c r="V42" s="31" t="s">
        <v>3</v>
      </c>
      <c r="W42" s="30" t="s">
        <v>4</v>
      </c>
      <c r="X42" s="30" t="s">
        <v>5</v>
      </c>
      <c r="Y42" s="32" t="s">
        <v>6</v>
      </c>
      <c r="Z42" s="32" t="s">
        <v>7</v>
      </c>
    </row>
    <row r="43" spans="7:26">
      <c r="G43" s="8" t="s">
        <v>23</v>
      </c>
      <c r="H43" s="10" t="s">
        <v>24</v>
      </c>
      <c r="I43" s="21" t="s">
        <v>9</v>
      </c>
      <c r="J43" s="21" t="s">
        <v>9</v>
      </c>
      <c r="K43" s="21" t="s">
        <v>9</v>
      </c>
      <c r="L43" s="21" t="s">
        <v>9</v>
      </c>
      <c r="M43" s="21" t="s">
        <v>9</v>
      </c>
      <c r="N43" s="22" t="s">
        <v>1</v>
      </c>
      <c r="O43" s="22" t="s">
        <v>1</v>
      </c>
      <c r="R43" s="8" t="s">
        <v>23</v>
      </c>
      <c r="S43" s="10" t="s">
        <v>24</v>
      </c>
      <c r="T43" s="21" t="s">
        <v>9</v>
      </c>
      <c r="U43" s="21" t="s">
        <v>9</v>
      </c>
      <c r="V43" s="21" t="s">
        <v>9</v>
      </c>
      <c r="W43" s="21" t="s">
        <v>9</v>
      </c>
      <c r="X43" s="21" t="s">
        <v>9</v>
      </c>
      <c r="Y43" s="22" t="s">
        <v>1</v>
      </c>
      <c r="Z43" s="22" t="s">
        <v>1</v>
      </c>
    </row>
    <row r="44" spans="7:26">
      <c r="G44" s="8" t="s">
        <v>25</v>
      </c>
      <c r="H44" s="9" t="s">
        <v>26</v>
      </c>
      <c r="I44" s="23" t="s">
        <v>9</v>
      </c>
      <c r="J44" s="23" t="s">
        <v>9</v>
      </c>
      <c r="K44" s="22" t="s">
        <v>1</v>
      </c>
      <c r="L44" s="22" t="s">
        <v>1</v>
      </c>
      <c r="M44" s="22" t="s">
        <v>1</v>
      </c>
      <c r="N44" s="23" t="s">
        <v>9</v>
      </c>
      <c r="O44" s="23" t="s">
        <v>9</v>
      </c>
      <c r="R44" s="8" t="s">
        <v>25</v>
      </c>
      <c r="S44" s="9" t="s">
        <v>26</v>
      </c>
      <c r="T44" s="23" t="s">
        <v>9</v>
      </c>
      <c r="U44" s="23" t="s">
        <v>9</v>
      </c>
      <c r="V44" s="22" t="s">
        <v>1</v>
      </c>
      <c r="W44" s="7" t="s">
        <v>7</v>
      </c>
      <c r="X44" s="22" t="s">
        <v>1</v>
      </c>
      <c r="Y44" s="23" t="s">
        <v>9</v>
      </c>
      <c r="Z44" s="23" t="s">
        <v>9</v>
      </c>
    </row>
    <row r="45" spans="7:26">
      <c r="G45" s="8" t="s">
        <v>27</v>
      </c>
      <c r="H45" s="9" t="s">
        <v>28</v>
      </c>
      <c r="I45" s="22" t="s">
        <v>1</v>
      </c>
      <c r="J45" s="22" t="s">
        <v>1</v>
      </c>
      <c r="K45" s="22" t="s">
        <v>1</v>
      </c>
      <c r="L45" s="24" t="s">
        <v>8</v>
      </c>
      <c r="M45" s="24" t="s">
        <v>8</v>
      </c>
      <c r="N45" s="24" t="s">
        <v>8</v>
      </c>
      <c r="O45" s="24" t="s">
        <v>8</v>
      </c>
      <c r="R45" s="8" t="s">
        <v>27</v>
      </c>
      <c r="S45" s="9" t="s">
        <v>28</v>
      </c>
      <c r="T45" s="22" t="s">
        <v>1</v>
      </c>
      <c r="U45" s="22" t="s">
        <v>1</v>
      </c>
      <c r="V45" s="7" t="s">
        <v>7</v>
      </c>
      <c r="W45" s="24" t="s">
        <v>8</v>
      </c>
      <c r="X45" s="24" t="s">
        <v>8</v>
      </c>
      <c r="Y45" s="24" t="s">
        <v>8</v>
      </c>
      <c r="Z45" s="24" t="s">
        <v>8</v>
      </c>
    </row>
    <row r="46" spans="7:26" ht="15" thickBot="1">
      <c r="G46" s="8" t="s">
        <v>29</v>
      </c>
      <c r="H46" s="11" t="s">
        <v>30</v>
      </c>
      <c r="I46" s="22" t="s">
        <v>1</v>
      </c>
      <c r="J46" s="22" t="s">
        <v>1</v>
      </c>
      <c r="K46" s="23" t="s">
        <v>9</v>
      </c>
      <c r="L46" s="23" t="s">
        <v>9</v>
      </c>
      <c r="M46" s="23" t="s">
        <v>9</v>
      </c>
      <c r="N46" s="25" t="s">
        <v>1</v>
      </c>
      <c r="O46" s="25" t="s">
        <v>1</v>
      </c>
      <c r="R46" s="8" t="s">
        <v>29</v>
      </c>
      <c r="S46" s="11" t="s">
        <v>30</v>
      </c>
      <c r="T46" s="22" t="s">
        <v>1</v>
      </c>
      <c r="U46" s="7" t="s">
        <v>7</v>
      </c>
      <c r="V46" s="23" t="s">
        <v>9</v>
      </c>
      <c r="W46" s="23" t="s">
        <v>9</v>
      </c>
      <c r="X46" s="23" t="s">
        <v>9</v>
      </c>
      <c r="Y46" s="25" t="s">
        <v>1</v>
      </c>
      <c r="Z46" s="25" t="s">
        <v>1</v>
      </c>
    </row>
    <row r="57" spans="7:15">
      <c r="I57" s="350" t="s">
        <v>34</v>
      </c>
      <c r="J57" s="351"/>
      <c r="K57" s="351"/>
      <c r="L57" s="351"/>
      <c r="M57" s="351"/>
      <c r="N57" s="351"/>
      <c r="O57" s="352"/>
    </row>
    <row r="59" spans="7:15" ht="15" thickBot="1">
      <c r="I59" s="36" t="s">
        <v>1</v>
      </c>
      <c r="J59" s="36" t="s">
        <v>2</v>
      </c>
      <c r="K59" s="37" t="s">
        <v>3</v>
      </c>
      <c r="L59" s="36" t="s">
        <v>4</v>
      </c>
      <c r="M59" s="36" t="s">
        <v>5</v>
      </c>
      <c r="N59" s="38" t="s">
        <v>6</v>
      </c>
      <c r="O59" s="38" t="s">
        <v>7</v>
      </c>
    </row>
    <row r="60" spans="7:15">
      <c r="G60" s="8" t="s">
        <v>23</v>
      </c>
      <c r="H60" s="10" t="s">
        <v>24</v>
      </c>
      <c r="I60" s="15" t="s">
        <v>9</v>
      </c>
      <c r="J60" s="15" t="s">
        <v>9</v>
      </c>
      <c r="K60" s="12" t="s">
        <v>9</v>
      </c>
      <c r="L60" s="13" t="s">
        <v>9</v>
      </c>
      <c r="M60" s="14" t="s">
        <v>9</v>
      </c>
      <c r="N60" t="s">
        <v>1</v>
      </c>
      <c r="O60" t="s">
        <v>1</v>
      </c>
    </row>
    <row r="61" spans="7:15">
      <c r="G61" s="8" t="s">
        <v>25</v>
      </c>
      <c r="H61" s="9" t="s">
        <v>26</v>
      </c>
      <c r="I61" s="18" t="s">
        <v>1</v>
      </c>
      <c r="J61" s="18" t="s">
        <v>1</v>
      </c>
      <c r="K61" s="18" t="s">
        <v>1</v>
      </c>
      <c r="L61" s="17" t="s">
        <v>8</v>
      </c>
      <c r="M61" s="17" t="s">
        <v>8</v>
      </c>
      <c r="N61" s="17" t="s">
        <v>8</v>
      </c>
      <c r="O61" s="17" t="s">
        <v>8</v>
      </c>
    </row>
    <row r="62" spans="7:15">
      <c r="G62" s="8" t="s">
        <v>27</v>
      </c>
      <c r="H62" s="9" t="s">
        <v>28</v>
      </c>
      <c r="I62" s="16" t="s">
        <v>9</v>
      </c>
      <c r="J62" s="16" t="s">
        <v>9</v>
      </c>
      <c r="K62" t="s">
        <v>1</v>
      </c>
      <c r="L62" t="s">
        <v>1</v>
      </c>
      <c r="M62" t="s">
        <v>1</v>
      </c>
      <c r="N62" s="16" t="s">
        <v>9</v>
      </c>
      <c r="O62" s="16" t="s">
        <v>9</v>
      </c>
    </row>
    <row r="63" spans="7:15" ht="15" thickBot="1">
      <c r="G63" s="8" t="s">
        <v>29</v>
      </c>
      <c r="H63" s="11" t="s">
        <v>30</v>
      </c>
      <c r="I63" t="s">
        <v>1</v>
      </c>
      <c r="J63" t="s">
        <v>1</v>
      </c>
      <c r="K63" s="16" t="s">
        <v>9</v>
      </c>
      <c r="L63" s="16" t="s">
        <v>9</v>
      </c>
      <c r="M63" s="16" t="s">
        <v>9</v>
      </c>
      <c r="N63" s="18" t="s">
        <v>1</v>
      </c>
      <c r="O63" s="18" t="s">
        <v>1</v>
      </c>
    </row>
  </sheetData>
  <mergeCells count="14">
    <mergeCell ref="I57:O57"/>
    <mergeCell ref="C11:AG12"/>
    <mergeCell ref="A11:B20"/>
    <mergeCell ref="A1:C2"/>
    <mergeCell ref="A3:B3"/>
    <mergeCell ref="A4:B4"/>
    <mergeCell ref="A5:B5"/>
    <mergeCell ref="A7:B7"/>
    <mergeCell ref="A8:B8"/>
    <mergeCell ref="AH1:AH20"/>
    <mergeCell ref="A21:AH27"/>
    <mergeCell ref="A9:B9"/>
    <mergeCell ref="A10:B10"/>
    <mergeCell ref="I40:O4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52C1E-0F2E-4ACE-AB88-F47BA03473E6}">
  <dimension ref="A1:AO27"/>
  <sheetViews>
    <sheetView tabSelected="1" zoomScale="130" zoomScaleNormal="130" workbookViewId="0">
      <selection activeCell="W5" sqref="W5:X5"/>
    </sheetView>
  </sheetViews>
  <sheetFormatPr defaultColWidth="11.42578125" defaultRowHeight="14.45"/>
  <cols>
    <col min="1" max="1" width="15.140625" customWidth="1"/>
    <col min="2" max="2" width="16.85546875" customWidth="1"/>
    <col min="3" max="3" width="3.42578125" customWidth="1"/>
    <col min="4" max="4" width="4.140625" customWidth="1"/>
    <col min="5" max="5" width="4.42578125" customWidth="1"/>
    <col min="6" max="6" width="3.42578125" customWidth="1"/>
    <col min="7" max="7" width="3.85546875" customWidth="1"/>
    <col min="8" max="10" width="3.140625" bestFit="1" customWidth="1"/>
    <col min="11" max="14" width="2.85546875" bestFit="1" customWidth="1"/>
    <col min="15" max="15" width="3" bestFit="1" customWidth="1"/>
    <col min="16" max="17" width="2.85546875" bestFit="1" customWidth="1"/>
    <col min="18" max="18" width="3.28515625" customWidth="1"/>
    <col min="19" max="22" width="3.140625" bestFit="1" customWidth="1"/>
    <col min="23" max="24" width="3" bestFit="1" customWidth="1"/>
    <col min="25" max="29" width="3.140625" bestFit="1" customWidth="1"/>
    <col min="30" max="33" width="2.85546875" bestFit="1" customWidth="1"/>
    <col min="34" max="34" width="2.85546875" customWidth="1"/>
    <col min="35" max="35" width="8.5703125" customWidth="1"/>
  </cols>
  <sheetData>
    <row r="1" spans="1:41" ht="15" thickBot="1">
      <c r="A1" s="355" t="s">
        <v>0</v>
      </c>
      <c r="B1" s="355"/>
      <c r="C1" s="356"/>
      <c r="D1" s="125" t="s">
        <v>3</v>
      </c>
      <c r="E1" s="125" t="s">
        <v>4</v>
      </c>
      <c r="F1" s="125" t="s">
        <v>5</v>
      </c>
      <c r="G1" s="161" t="s">
        <v>6</v>
      </c>
      <c r="H1" s="162" t="s">
        <v>7</v>
      </c>
      <c r="I1" s="125" t="s">
        <v>1</v>
      </c>
      <c r="J1" s="125" t="s">
        <v>2</v>
      </c>
      <c r="K1" s="125" t="s">
        <v>3</v>
      </c>
      <c r="L1" s="125" t="s">
        <v>4</v>
      </c>
      <c r="M1" s="125" t="s">
        <v>5</v>
      </c>
      <c r="N1" s="161" t="s">
        <v>6</v>
      </c>
      <c r="O1" s="162" t="s">
        <v>7</v>
      </c>
      <c r="P1" s="125" t="s">
        <v>1</v>
      </c>
      <c r="Q1" s="125" t="s">
        <v>2</v>
      </c>
      <c r="R1" s="125" t="s">
        <v>3</v>
      </c>
      <c r="S1" s="125" t="s">
        <v>4</v>
      </c>
      <c r="T1" s="125" t="s">
        <v>5</v>
      </c>
      <c r="U1" s="218" t="s">
        <v>6</v>
      </c>
      <c r="V1" s="219" t="s">
        <v>7</v>
      </c>
      <c r="W1" s="125" t="s">
        <v>1</v>
      </c>
      <c r="X1" s="125" t="s">
        <v>2</v>
      </c>
      <c r="Y1" s="125" t="s">
        <v>3</v>
      </c>
      <c r="Z1" s="125" t="s">
        <v>4</v>
      </c>
      <c r="AA1" s="125" t="s">
        <v>5</v>
      </c>
      <c r="AB1" s="218" t="s">
        <v>6</v>
      </c>
      <c r="AC1" s="219" t="s">
        <v>7</v>
      </c>
      <c r="AD1" s="125" t="s">
        <v>1</v>
      </c>
      <c r="AE1" s="125" t="s">
        <v>2</v>
      </c>
      <c r="AF1" s="125" t="s">
        <v>3</v>
      </c>
      <c r="AG1" s="125" t="s">
        <v>4</v>
      </c>
      <c r="AH1" s="125" t="s">
        <v>5</v>
      </c>
      <c r="AI1" s="345"/>
    </row>
    <row r="2" spans="1:41" ht="15" thickBot="1">
      <c r="A2" s="355"/>
      <c r="B2" s="355"/>
      <c r="C2" s="355"/>
      <c r="D2" s="163">
        <v>1</v>
      </c>
      <c r="E2" s="220">
        <v>2</v>
      </c>
      <c r="F2" s="221">
        <v>3</v>
      </c>
      <c r="G2" s="163">
        <v>4</v>
      </c>
      <c r="H2" s="164">
        <v>5</v>
      </c>
      <c r="I2" s="163">
        <v>6</v>
      </c>
      <c r="J2" s="164">
        <v>7</v>
      </c>
      <c r="K2" s="222">
        <v>8</v>
      </c>
      <c r="L2" s="220">
        <v>9</v>
      </c>
      <c r="M2" s="220">
        <v>10</v>
      </c>
      <c r="N2" s="220">
        <v>11</v>
      </c>
      <c r="O2" s="221">
        <v>12</v>
      </c>
      <c r="P2" s="163">
        <v>13</v>
      </c>
      <c r="Q2" s="164">
        <v>14</v>
      </c>
      <c r="R2" s="222">
        <v>15</v>
      </c>
      <c r="S2" s="220">
        <v>16</v>
      </c>
      <c r="T2" s="220">
        <v>17</v>
      </c>
      <c r="U2" s="220">
        <v>18</v>
      </c>
      <c r="V2" s="221">
        <v>19</v>
      </c>
      <c r="W2" s="163">
        <v>20</v>
      </c>
      <c r="X2" s="164">
        <v>21</v>
      </c>
      <c r="Y2" s="222">
        <v>22</v>
      </c>
      <c r="Z2" s="220">
        <v>23</v>
      </c>
      <c r="AA2" s="220">
        <v>24</v>
      </c>
      <c r="AB2" s="220">
        <v>25</v>
      </c>
      <c r="AC2" s="220">
        <v>26</v>
      </c>
      <c r="AD2" s="163">
        <v>27</v>
      </c>
      <c r="AE2" s="164">
        <v>28</v>
      </c>
      <c r="AF2" s="222">
        <v>29</v>
      </c>
      <c r="AG2" s="220">
        <v>30</v>
      </c>
      <c r="AH2" s="223">
        <v>31</v>
      </c>
      <c r="AI2" s="345"/>
      <c r="AJ2" s="113" t="s">
        <v>2</v>
      </c>
      <c r="AK2" s="75" t="s">
        <v>8</v>
      </c>
      <c r="AL2" s="73" t="s">
        <v>9</v>
      </c>
      <c r="AM2" s="70" t="s">
        <v>7</v>
      </c>
      <c r="AN2" s="114" t="s">
        <v>10</v>
      </c>
      <c r="AO2" s="155" t="s">
        <v>5</v>
      </c>
    </row>
    <row r="3" spans="1:41">
      <c r="A3" s="357" t="s">
        <v>11</v>
      </c>
      <c r="B3" s="358"/>
      <c r="C3" s="157" t="s">
        <v>12</v>
      </c>
      <c r="D3" s="209" t="s">
        <v>14</v>
      </c>
      <c r="E3" s="126" t="s">
        <v>14</v>
      </c>
      <c r="F3" s="165" t="s">
        <v>14</v>
      </c>
      <c r="G3" s="166" t="s">
        <v>1</v>
      </c>
      <c r="H3" s="167" t="s">
        <v>1</v>
      </c>
      <c r="I3" s="168" t="s">
        <v>2</v>
      </c>
      <c r="J3" s="169" t="s">
        <v>2</v>
      </c>
      <c r="K3" s="169" t="s">
        <v>1</v>
      </c>
      <c r="L3" s="169" t="s">
        <v>1</v>
      </c>
      <c r="M3" s="170" t="s">
        <v>1</v>
      </c>
      <c r="N3" s="130" t="s">
        <v>14</v>
      </c>
      <c r="O3" s="131" t="s">
        <v>14</v>
      </c>
      <c r="P3" s="130" t="s">
        <v>15</v>
      </c>
      <c r="Q3" s="130" t="s">
        <v>15</v>
      </c>
      <c r="R3" s="130" t="s">
        <v>15</v>
      </c>
      <c r="S3" s="124" t="s">
        <v>13</v>
      </c>
      <c r="T3" s="124" t="s">
        <v>16</v>
      </c>
      <c r="U3" s="187" t="s">
        <v>1</v>
      </c>
      <c r="V3" s="188" t="s">
        <v>1</v>
      </c>
      <c r="W3" s="189" t="s">
        <v>2</v>
      </c>
      <c r="X3" s="193" t="s">
        <v>2</v>
      </c>
      <c r="Y3" s="183" t="s">
        <v>2</v>
      </c>
      <c r="Z3" s="183" t="s">
        <v>2</v>
      </c>
      <c r="AA3" s="193" t="s">
        <v>2</v>
      </c>
      <c r="AB3" s="130" t="s">
        <v>16</v>
      </c>
      <c r="AC3" s="131" t="s">
        <v>16</v>
      </c>
      <c r="AD3" s="130" t="s">
        <v>16</v>
      </c>
      <c r="AE3" s="130" t="s">
        <v>13</v>
      </c>
      <c r="AF3" s="130" t="s">
        <v>14</v>
      </c>
      <c r="AG3" s="124" t="s">
        <v>14</v>
      </c>
      <c r="AH3" s="124" t="s">
        <v>14</v>
      </c>
      <c r="AI3" s="345"/>
      <c r="AJ3">
        <f>COUNTIFS(D$3:AH$3,"M")+COUNTIFS(D$3:AH$3,"MG")</f>
        <v>15</v>
      </c>
      <c r="AK3">
        <f>COUNTIFS(D$3:AI$3,"T")+COUNTIFS(D$3:AI$3,"TG")</f>
        <v>3</v>
      </c>
      <c r="AL3">
        <f>COUNTIFS(D$3:AH$3,"N")+COUNTIFS(D$3:AH$3,"NG")</f>
        <v>0</v>
      </c>
      <c r="AM3">
        <f>COUNTIFS(D$3:AH$3,"D")+COUNTIFS(D$3:AH$3,"DG")</f>
        <v>4</v>
      </c>
      <c r="AN3">
        <f>SUM(AJ3:AM3)</f>
        <v>22</v>
      </c>
      <c r="AO3">
        <f>COUNTIFS(F$3:AJ$3,"V")</f>
        <v>0</v>
      </c>
    </row>
    <row r="4" spans="1:41">
      <c r="A4" s="359" t="s">
        <v>17</v>
      </c>
      <c r="B4" s="360"/>
      <c r="C4" s="9" t="s">
        <v>18</v>
      </c>
      <c r="D4" s="210" t="s">
        <v>1</v>
      </c>
      <c r="E4" s="129" t="s">
        <v>1</v>
      </c>
      <c r="F4" s="134" t="s">
        <v>7</v>
      </c>
      <c r="G4" s="229" t="s">
        <v>13</v>
      </c>
      <c r="H4" s="230" t="s">
        <v>13</v>
      </c>
      <c r="I4" s="130" t="s">
        <v>15</v>
      </c>
      <c r="J4" s="130" t="s">
        <v>15</v>
      </c>
      <c r="K4" s="130" t="s">
        <v>15</v>
      </c>
      <c r="L4" s="124" t="s">
        <v>13</v>
      </c>
      <c r="M4" s="127" t="s">
        <v>16</v>
      </c>
      <c r="N4" s="187" t="s">
        <v>1</v>
      </c>
      <c r="O4" s="188" t="s">
        <v>1</v>
      </c>
      <c r="P4" s="189" t="s">
        <v>2</v>
      </c>
      <c r="Q4" s="193" t="s">
        <v>2</v>
      </c>
      <c r="R4" s="183" t="s">
        <v>2</v>
      </c>
      <c r="S4" s="183" t="s">
        <v>2</v>
      </c>
      <c r="T4" s="193" t="s">
        <v>2</v>
      </c>
      <c r="U4" s="130" t="s">
        <v>16</v>
      </c>
      <c r="V4" s="131" t="s">
        <v>16</v>
      </c>
      <c r="W4" s="130" t="s">
        <v>16</v>
      </c>
      <c r="X4" s="130" t="s">
        <v>13</v>
      </c>
      <c r="Y4" s="130" t="s">
        <v>14</v>
      </c>
      <c r="Z4" s="124" t="s">
        <v>14</v>
      </c>
      <c r="AA4" s="124" t="s">
        <v>14</v>
      </c>
      <c r="AB4" s="231" t="s">
        <v>2</v>
      </c>
      <c r="AC4" s="231" t="s">
        <v>2</v>
      </c>
      <c r="AD4" s="132" t="s">
        <v>2</v>
      </c>
      <c r="AE4" s="177" t="s">
        <v>2</v>
      </c>
      <c r="AF4" s="129" t="s">
        <v>1</v>
      </c>
      <c r="AG4" s="129" t="s">
        <v>1</v>
      </c>
      <c r="AH4" s="224" t="s">
        <v>7</v>
      </c>
      <c r="AI4" s="345"/>
      <c r="AJ4">
        <f>COUNTIFS(D$4:AH$4,"M")+COUNTIFS(D$4:AH$4,"MG")</f>
        <v>12</v>
      </c>
      <c r="AK4">
        <f>COUNTIFS(D$4:AI$4,"T")+COUNTIFS(D$4:AI$4,"TG")</f>
        <v>3</v>
      </c>
      <c r="AL4">
        <f>COUNTIFS(F$4:AG$4,"N")+COUNTIFS(F$4:AG$4,"NG")</f>
        <v>0</v>
      </c>
      <c r="AM4">
        <f>COUNTIFS(D$4:AH$4,"D")+COUNTIFS(D$4:AH$4,"DG")</f>
        <v>6</v>
      </c>
      <c r="AN4">
        <f t="shared" ref="AN4:AN10" si="0">SUM(AJ4:AM4)</f>
        <v>21</v>
      </c>
      <c r="AO4">
        <f>COUNTIFS(F$4:AJ$4,"V")</f>
        <v>0</v>
      </c>
    </row>
    <row r="5" spans="1:41" ht="15">
      <c r="A5" s="359" t="s">
        <v>19</v>
      </c>
      <c r="B5" s="360"/>
      <c r="C5" s="9" t="s">
        <v>20</v>
      </c>
      <c r="D5" s="182" t="s">
        <v>8</v>
      </c>
      <c r="E5" s="129" t="s">
        <v>1</v>
      </c>
      <c r="F5" s="133" t="s">
        <v>1</v>
      </c>
      <c r="G5" s="231" t="s">
        <v>2</v>
      </c>
      <c r="H5" s="232" t="s">
        <v>2</v>
      </c>
      <c r="I5" s="135" t="s">
        <v>2</v>
      </c>
      <c r="J5" s="135" t="s">
        <v>2</v>
      </c>
      <c r="K5" s="135" t="s">
        <v>2</v>
      </c>
      <c r="L5" s="135" t="s">
        <v>2</v>
      </c>
      <c r="M5" s="136" t="s">
        <v>2</v>
      </c>
      <c r="N5" s="175" t="s">
        <v>7</v>
      </c>
      <c r="O5" s="179" t="s">
        <v>7</v>
      </c>
      <c r="P5" s="180" t="s">
        <v>7</v>
      </c>
      <c r="Q5" s="135" t="s">
        <v>1</v>
      </c>
      <c r="R5" s="135" t="s">
        <v>2</v>
      </c>
      <c r="S5" s="135" t="s">
        <v>2</v>
      </c>
      <c r="T5" s="136" t="s">
        <v>2</v>
      </c>
      <c r="U5" s="128" t="s">
        <v>1</v>
      </c>
      <c r="V5" s="178" t="s">
        <v>1</v>
      </c>
      <c r="W5" s="176" t="s">
        <v>5</v>
      </c>
      <c r="X5" s="176" t="s">
        <v>5</v>
      </c>
      <c r="Y5" s="135" t="s">
        <v>1</v>
      </c>
      <c r="Z5" s="135" t="s">
        <v>1</v>
      </c>
      <c r="AA5" s="136" t="s">
        <v>1</v>
      </c>
      <c r="AB5" s="231" t="s">
        <v>1</v>
      </c>
      <c r="AC5" s="230" t="s">
        <v>1</v>
      </c>
      <c r="AD5" s="181" t="s">
        <v>8</v>
      </c>
      <c r="AE5" s="182" t="s">
        <v>8</v>
      </c>
      <c r="AF5" s="182" t="s">
        <v>8</v>
      </c>
      <c r="AG5" s="129" t="s">
        <v>1</v>
      </c>
      <c r="AH5" s="225" t="s">
        <v>1</v>
      </c>
      <c r="AI5" s="345"/>
      <c r="AJ5">
        <f>COUNTIFS(D$5:AH$5,"M")+COUNTIFS(D$5:AH$5,"MG")</f>
        <v>10</v>
      </c>
      <c r="AK5">
        <f>COUNTIFS(D$5:AI$5,"T")+COUNTIFS(E$5:AI$5,"TG")</f>
        <v>4</v>
      </c>
      <c r="AL5">
        <f>COUNTIFS(F$5:AG$5,"N")+COUNTIFS(F$5:AG$5,"NG")</f>
        <v>0</v>
      </c>
      <c r="AM5">
        <f>COUNTIFS(D$5:AH$5,"D")+COUNTIFS(D$5:AH$5,"DG")</f>
        <v>3</v>
      </c>
      <c r="AN5">
        <f t="shared" si="0"/>
        <v>17</v>
      </c>
      <c r="AO5">
        <f>COUNTIFS(F$5:AJ$5,"V")</f>
        <v>2</v>
      </c>
    </row>
    <row r="6" spans="1:41" ht="15" thickBot="1">
      <c r="A6" s="116"/>
      <c r="B6" s="156" t="s">
        <v>21</v>
      </c>
      <c r="C6" s="158" t="s">
        <v>22</v>
      </c>
      <c r="D6" s="212" t="s">
        <v>2</v>
      </c>
      <c r="E6" s="183" t="s">
        <v>2</v>
      </c>
      <c r="F6" s="184" t="s">
        <v>2</v>
      </c>
      <c r="G6" s="185" t="s">
        <v>7</v>
      </c>
      <c r="H6" s="186" t="s">
        <v>7</v>
      </c>
      <c r="I6" s="186" t="s">
        <v>7</v>
      </c>
      <c r="J6" s="183" t="s">
        <v>1</v>
      </c>
      <c r="K6" s="183" t="s">
        <v>2</v>
      </c>
      <c r="L6" s="183" t="s">
        <v>2</v>
      </c>
      <c r="M6" s="184" t="s">
        <v>2</v>
      </c>
      <c r="N6" s="187" t="s">
        <v>1</v>
      </c>
      <c r="O6" s="188" t="s">
        <v>1</v>
      </c>
      <c r="P6" s="189" t="s">
        <v>2</v>
      </c>
      <c r="Q6" s="183" t="s">
        <v>2</v>
      </c>
      <c r="R6" s="183" t="s">
        <v>1</v>
      </c>
      <c r="S6" s="183" t="s">
        <v>1</v>
      </c>
      <c r="T6" s="184" t="s">
        <v>1</v>
      </c>
      <c r="U6" s="187" t="s">
        <v>2</v>
      </c>
      <c r="V6" s="188" t="s">
        <v>2</v>
      </c>
      <c r="W6" s="190" t="s">
        <v>8</v>
      </c>
      <c r="X6" s="191" t="s">
        <v>8</v>
      </c>
      <c r="Y6" s="191" t="s">
        <v>8</v>
      </c>
      <c r="Z6" s="183" t="s">
        <v>1</v>
      </c>
      <c r="AA6" s="192" t="s">
        <v>7</v>
      </c>
      <c r="AB6" s="187" t="s">
        <v>1</v>
      </c>
      <c r="AC6" s="188" t="s">
        <v>1</v>
      </c>
      <c r="AD6" s="189" t="s">
        <v>2</v>
      </c>
      <c r="AE6" s="193" t="s">
        <v>2</v>
      </c>
      <c r="AF6" s="183" t="s">
        <v>2</v>
      </c>
      <c r="AG6" s="183" t="s">
        <v>2</v>
      </c>
      <c r="AH6" s="193" t="s">
        <v>2</v>
      </c>
      <c r="AI6" s="345"/>
      <c r="AJ6">
        <f>COUNTIFS(D$6:AH$6,"M")+COUNTIFS(D$6:AH$6,"MG")</f>
        <v>15</v>
      </c>
      <c r="AK6">
        <f>COUNTIFS(D$6:AI$6,"T")+COUNTIFS(D$6:AI$6,"TG")</f>
        <v>3</v>
      </c>
      <c r="AL6">
        <f>COUNTIFS(F$6:AG$6,"N")+COUNTIFS(F$6:AG$6,"NG")</f>
        <v>0</v>
      </c>
      <c r="AM6">
        <f>COUNTIFS(D$6:AH$6,"D")+COUNTIFS(D$6:AH$6,"DG")</f>
        <v>4</v>
      </c>
      <c r="AN6">
        <f t="shared" si="0"/>
        <v>22</v>
      </c>
      <c r="AO6">
        <f>COUNTIFS(F$6:AJ$6,"V")</f>
        <v>0</v>
      </c>
    </row>
    <row r="7" spans="1:41">
      <c r="A7" s="361" t="s">
        <v>23</v>
      </c>
      <c r="B7" s="362"/>
      <c r="C7" s="157" t="s">
        <v>24</v>
      </c>
      <c r="D7" s="213" t="s">
        <v>9</v>
      </c>
      <c r="E7" s="169" t="s">
        <v>9</v>
      </c>
      <c r="F7" s="194" t="s">
        <v>9</v>
      </c>
      <c r="G7" s="166" t="s">
        <v>1</v>
      </c>
      <c r="H7" s="167" t="s">
        <v>1</v>
      </c>
      <c r="I7" s="171" t="s">
        <v>9</v>
      </c>
      <c r="J7" s="195" t="s">
        <v>9</v>
      </c>
      <c r="K7" s="195" t="s">
        <v>1</v>
      </c>
      <c r="L7" s="173" t="s">
        <v>7</v>
      </c>
      <c r="M7" s="172" t="s">
        <v>1</v>
      </c>
      <c r="N7" s="166" t="s">
        <v>9</v>
      </c>
      <c r="O7" s="167" t="s">
        <v>9</v>
      </c>
      <c r="P7" s="171" t="s">
        <v>1</v>
      </c>
      <c r="Q7" s="195" t="s">
        <v>1</v>
      </c>
      <c r="R7" s="173" t="s">
        <v>7</v>
      </c>
      <c r="S7" s="195" t="s">
        <v>8</v>
      </c>
      <c r="T7" s="172" t="s">
        <v>8</v>
      </c>
      <c r="U7" s="166" t="s">
        <v>8</v>
      </c>
      <c r="V7" s="167" t="s">
        <v>8</v>
      </c>
      <c r="W7" s="171" t="s">
        <v>1</v>
      </c>
      <c r="X7" s="173" t="s">
        <v>7</v>
      </c>
      <c r="Y7" s="195" t="s">
        <v>9</v>
      </c>
      <c r="Z7" s="195" t="s">
        <v>9</v>
      </c>
      <c r="AA7" s="172" t="s">
        <v>9</v>
      </c>
      <c r="AB7" s="166" t="s">
        <v>1</v>
      </c>
      <c r="AC7" s="167" t="s">
        <v>1</v>
      </c>
      <c r="AD7" s="171" t="s">
        <v>9</v>
      </c>
      <c r="AE7" s="196" t="s">
        <v>9</v>
      </c>
      <c r="AF7" s="169" t="s">
        <v>9</v>
      </c>
      <c r="AG7" s="169" t="s">
        <v>9</v>
      </c>
      <c r="AH7" s="226" t="s">
        <v>9</v>
      </c>
      <c r="AI7" s="345"/>
      <c r="AJ7">
        <f>COUNTIFS(D$7:AG$7,"M")+COUNTIFS(D$7:AG$7,"MG")</f>
        <v>0</v>
      </c>
      <c r="AK7">
        <f>COUNTIFS(D$7:AI$7,"T")+COUNTIFS(D$7:AI$7,"TG")</f>
        <v>4</v>
      </c>
      <c r="AL7">
        <f>COUNTIFS(D$7:AH$7,"N")+COUNTIFS(D$7:AH$7,"NG")</f>
        <v>15</v>
      </c>
      <c r="AM7">
        <f>COUNTIFS(D$7:AH$7,"D")+COUNTIFS(D$7:AH$7,"DG")</f>
        <v>3</v>
      </c>
      <c r="AN7">
        <f t="shared" si="0"/>
        <v>22</v>
      </c>
      <c r="AO7">
        <f>COUNTIFS(F$7:AJ$7,"V")</f>
        <v>0</v>
      </c>
    </row>
    <row r="8" spans="1:41">
      <c r="A8" s="346" t="s">
        <v>25</v>
      </c>
      <c r="B8" s="347"/>
      <c r="C8" s="9" t="s">
        <v>26</v>
      </c>
      <c r="D8" s="215" t="s">
        <v>1</v>
      </c>
      <c r="E8" s="198" t="s">
        <v>7</v>
      </c>
      <c r="F8" s="199" t="s">
        <v>1</v>
      </c>
      <c r="G8" s="128" t="s">
        <v>9</v>
      </c>
      <c r="H8" s="178" t="s">
        <v>9</v>
      </c>
      <c r="I8" s="137" t="s">
        <v>1</v>
      </c>
      <c r="J8" s="137" t="s">
        <v>1</v>
      </c>
      <c r="K8" s="175" t="s">
        <v>7</v>
      </c>
      <c r="L8" s="137" t="s">
        <v>8</v>
      </c>
      <c r="M8" s="199" t="s">
        <v>8</v>
      </c>
      <c r="N8" s="128" t="s">
        <v>8</v>
      </c>
      <c r="O8" s="178" t="s">
        <v>8</v>
      </c>
      <c r="P8" s="181" t="s">
        <v>1</v>
      </c>
      <c r="Q8" s="175" t="s">
        <v>7</v>
      </c>
      <c r="R8" s="137" t="s">
        <v>9</v>
      </c>
      <c r="S8" s="137" t="s">
        <v>9</v>
      </c>
      <c r="T8" s="199" t="s">
        <v>9</v>
      </c>
      <c r="U8" s="128" t="s">
        <v>1</v>
      </c>
      <c r="V8" s="178" t="s">
        <v>1</v>
      </c>
      <c r="W8" s="132" t="s">
        <v>9</v>
      </c>
      <c r="X8" s="135" t="s">
        <v>9</v>
      </c>
      <c r="Y8" s="135" t="s">
        <v>9</v>
      </c>
      <c r="Z8" s="135" t="s">
        <v>9</v>
      </c>
      <c r="AA8" s="136" t="s">
        <v>9</v>
      </c>
      <c r="AB8" s="128" t="s">
        <v>1</v>
      </c>
      <c r="AC8" s="178" t="s">
        <v>1</v>
      </c>
      <c r="AD8" s="181" t="s">
        <v>9</v>
      </c>
      <c r="AE8" s="182" t="s">
        <v>9</v>
      </c>
      <c r="AF8" s="197" t="s">
        <v>1</v>
      </c>
      <c r="AG8" s="198" t="s">
        <v>7</v>
      </c>
      <c r="AH8" s="182" t="s">
        <v>1</v>
      </c>
      <c r="AI8" s="345"/>
      <c r="AJ8">
        <f>COUNTIFS(D$7:AG$7,"M")+COUNTIFS(D$7:AG$7,"MG")</f>
        <v>0</v>
      </c>
      <c r="AK8">
        <f>COUNTIFS(D$8:AI$8,"T")+COUNTIFS(D$8:AI$8,"TG")</f>
        <v>4</v>
      </c>
      <c r="AL8">
        <f>COUNTIFS(D$8:AH$8,"N")+COUNTIFS(D$8:AH$8,"NG")</f>
        <v>12</v>
      </c>
      <c r="AM8">
        <f>COUNTIFS(D$8:AH$8,"D")+COUNTIFS(D$8:AH$8,"DG")</f>
        <v>4</v>
      </c>
      <c r="AN8">
        <f t="shared" si="0"/>
        <v>20</v>
      </c>
      <c r="AO8">
        <f>COUNTIFS(F$8:AJ$8,"V")</f>
        <v>0</v>
      </c>
    </row>
    <row r="9" spans="1:41">
      <c r="A9" s="346" t="s">
        <v>27</v>
      </c>
      <c r="B9" s="347"/>
      <c r="C9" s="9" t="s">
        <v>28</v>
      </c>
      <c r="D9" s="175" t="s">
        <v>7</v>
      </c>
      <c r="E9" s="137" t="s">
        <v>8</v>
      </c>
      <c r="F9" s="199" t="s">
        <v>8</v>
      </c>
      <c r="G9" s="128" t="s">
        <v>8</v>
      </c>
      <c r="H9" s="178" t="s">
        <v>8</v>
      </c>
      <c r="I9" s="181" t="s">
        <v>1</v>
      </c>
      <c r="J9" s="175" t="s">
        <v>7</v>
      </c>
      <c r="K9" s="137" t="s">
        <v>9</v>
      </c>
      <c r="L9" s="137" t="s">
        <v>9</v>
      </c>
      <c r="M9" s="199" t="s">
        <v>9</v>
      </c>
      <c r="N9" s="128" t="s">
        <v>1</v>
      </c>
      <c r="O9" s="178" t="s">
        <v>1</v>
      </c>
      <c r="P9" s="132" t="s">
        <v>9</v>
      </c>
      <c r="Q9" s="135" t="s">
        <v>9</v>
      </c>
      <c r="R9" s="135" t="s">
        <v>9</v>
      </c>
      <c r="S9" s="135" t="s">
        <v>9</v>
      </c>
      <c r="T9" s="136" t="s">
        <v>9</v>
      </c>
      <c r="U9" s="128" t="s">
        <v>1</v>
      </c>
      <c r="V9" s="178" t="s">
        <v>1</v>
      </c>
      <c r="W9" s="181" t="s">
        <v>9</v>
      </c>
      <c r="X9" s="137" t="s">
        <v>9</v>
      </c>
      <c r="Y9" s="137" t="s">
        <v>1</v>
      </c>
      <c r="Z9" s="175" t="s">
        <v>7</v>
      </c>
      <c r="AA9" s="199" t="s">
        <v>1</v>
      </c>
      <c r="AB9" s="128" t="s">
        <v>9</v>
      </c>
      <c r="AC9" s="178" t="s">
        <v>9</v>
      </c>
      <c r="AD9" s="182" t="s">
        <v>1</v>
      </c>
      <c r="AE9" s="182" t="s">
        <v>1</v>
      </c>
      <c r="AF9" s="198" t="s">
        <v>7</v>
      </c>
      <c r="AG9" s="137" t="s">
        <v>8</v>
      </c>
      <c r="AH9" s="182" t="s">
        <v>8</v>
      </c>
      <c r="AI9" s="345"/>
      <c r="AJ9">
        <f>COUNTIFS(D$7:AG$7,"M")+COUNTIFS(D$7:AG$7,"MG")</f>
        <v>0</v>
      </c>
      <c r="AK9">
        <f>COUNTIFS(D$9:AI$9,"T")+COUNTIFS(D$9:AI$9,"TG")</f>
        <v>6</v>
      </c>
      <c r="AL9">
        <f>COUNTIFS(D$9:AH$9,"N")+COUNTIFS(D$9:AH$9,"NG")</f>
        <v>12</v>
      </c>
      <c r="AM9">
        <f>COUNTIFS(D$9:AH$9,"D")+COUNTIFS(D$9:AH$9,"DG")</f>
        <v>4</v>
      </c>
      <c r="AN9">
        <f t="shared" si="0"/>
        <v>22</v>
      </c>
      <c r="AO9">
        <f>COUNTIFS(F$9:AJ$9,"V")</f>
        <v>0</v>
      </c>
    </row>
    <row r="10" spans="1:41" ht="15" thickBot="1">
      <c r="A10" s="348" t="s">
        <v>29</v>
      </c>
      <c r="B10" s="349"/>
      <c r="C10" s="9" t="s">
        <v>30</v>
      </c>
      <c r="D10" s="227" t="s">
        <v>9</v>
      </c>
      <c r="E10" s="200" t="s">
        <v>9</v>
      </c>
      <c r="F10" s="201" t="s">
        <v>9</v>
      </c>
      <c r="G10" s="138" t="s">
        <v>1</v>
      </c>
      <c r="H10" s="202" t="s">
        <v>1</v>
      </c>
      <c r="I10" s="203" t="s">
        <v>9</v>
      </c>
      <c r="J10" s="204" t="s">
        <v>9</v>
      </c>
      <c r="K10" s="204" t="s">
        <v>9</v>
      </c>
      <c r="L10" s="204" t="s">
        <v>9</v>
      </c>
      <c r="M10" s="205" t="s">
        <v>9</v>
      </c>
      <c r="N10" s="138" t="s">
        <v>1</v>
      </c>
      <c r="O10" s="202" t="s">
        <v>1</v>
      </c>
      <c r="P10" s="206" t="s">
        <v>9</v>
      </c>
      <c r="Q10" s="200" t="s">
        <v>9</v>
      </c>
      <c r="R10" s="200" t="s">
        <v>1</v>
      </c>
      <c r="S10" s="207" t="s">
        <v>7</v>
      </c>
      <c r="T10" s="201" t="s">
        <v>1</v>
      </c>
      <c r="U10" s="138" t="s">
        <v>9</v>
      </c>
      <c r="V10" s="202" t="s">
        <v>9</v>
      </c>
      <c r="W10" s="200" t="s">
        <v>1</v>
      </c>
      <c r="X10" s="200" t="s">
        <v>1</v>
      </c>
      <c r="Y10" s="207" t="s">
        <v>7</v>
      </c>
      <c r="Z10" s="200" t="s">
        <v>8</v>
      </c>
      <c r="AA10" s="201" t="s">
        <v>8</v>
      </c>
      <c r="AB10" s="138" t="s">
        <v>8</v>
      </c>
      <c r="AC10" s="202" t="s">
        <v>8</v>
      </c>
      <c r="AD10" s="206" t="s">
        <v>1</v>
      </c>
      <c r="AE10" s="208" t="s">
        <v>7</v>
      </c>
      <c r="AF10" s="200" t="s">
        <v>9</v>
      </c>
      <c r="AG10" s="200" t="s">
        <v>9</v>
      </c>
      <c r="AH10" s="228" t="s">
        <v>9</v>
      </c>
      <c r="AI10" s="345"/>
      <c r="AJ10">
        <f>COUNTIFS(D$7:AG$7,"M")+COUNTIFS(D$7:AG$7,"MG")</f>
        <v>0</v>
      </c>
      <c r="AK10">
        <f>COUNTIFS(D$10:AI$10,"T")+COUNTIFS(D$10:AI$10,"TG")</f>
        <v>4</v>
      </c>
      <c r="AL10">
        <f>COUNTIFS(D$10:AH$10,"N")+COUNTIFS(D$10:AH$10,"NG")</f>
        <v>15</v>
      </c>
      <c r="AM10">
        <f>COUNTIFS(D$10:AH$10,"D")+COUNTIFS(D$10:AH$10,"DG")</f>
        <v>3</v>
      </c>
      <c r="AN10">
        <f t="shared" si="0"/>
        <v>22</v>
      </c>
      <c r="AO10">
        <f>COUNTIFS(F$10:AJ$10,"V")</f>
        <v>0</v>
      </c>
    </row>
    <row r="11" spans="1:41">
      <c r="A11" s="353"/>
      <c r="B11" s="353"/>
      <c r="C11" s="345"/>
      <c r="D11" s="345"/>
      <c r="E11" s="345"/>
      <c r="F11" s="345"/>
      <c r="G11" s="345"/>
      <c r="H11" s="345"/>
      <c r="I11" s="345"/>
      <c r="J11" s="34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W11" s="345"/>
      <c r="X11" s="345"/>
      <c r="Y11" s="345"/>
      <c r="Z11" s="345"/>
      <c r="AA11" s="345"/>
      <c r="AB11" s="345"/>
      <c r="AC11" s="345"/>
      <c r="AD11" s="345"/>
      <c r="AE11" s="345"/>
      <c r="AF11" s="345"/>
      <c r="AG11" s="345"/>
      <c r="AH11" s="345"/>
      <c r="AI11" s="345"/>
    </row>
    <row r="12" spans="1:41" ht="15" thickBot="1">
      <c r="A12" s="345"/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345"/>
      <c r="M12" s="345"/>
      <c r="N12" s="345"/>
      <c r="O12" s="345"/>
      <c r="P12" s="345"/>
      <c r="Q12" s="345"/>
      <c r="R12" s="345"/>
      <c r="S12" s="345"/>
      <c r="T12" s="345"/>
      <c r="U12" s="345"/>
      <c r="V12" s="345"/>
      <c r="W12" s="345"/>
      <c r="X12" s="345"/>
      <c r="Y12" s="345"/>
      <c r="Z12" s="345"/>
      <c r="AA12" s="345"/>
      <c r="AB12" s="345"/>
      <c r="AC12" s="345"/>
      <c r="AD12" s="345"/>
      <c r="AE12" s="345"/>
      <c r="AF12" s="345"/>
      <c r="AG12" s="345"/>
      <c r="AH12" s="345"/>
      <c r="AI12" s="345"/>
    </row>
    <row r="13" spans="1:41">
      <c r="A13" s="345"/>
      <c r="B13" s="345"/>
      <c r="C13" s="233" t="s">
        <v>31</v>
      </c>
      <c r="D13" s="240">
        <f>SUM(D14:D16)</f>
        <v>5</v>
      </c>
      <c r="E13" s="240">
        <f t="shared" ref="E13:AG13" si="1">SUM(E14:E16)</f>
        <v>5</v>
      </c>
      <c r="F13" s="246">
        <f t="shared" si="1"/>
        <v>5</v>
      </c>
      <c r="G13" s="255">
        <f t="shared" si="1"/>
        <v>3</v>
      </c>
      <c r="H13" s="241">
        <f t="shared" si="1"/>
        <v>3</v>
      </c>
      <c r="I13" s="249">
        <f t="shared" si="1"/>
        <v>5</v>
      </c>
      <c r="J13" s="240">
        <f t="shared" si="1"/>
        <v>5</v>
      </c>
      <c r="K13" s="240">
        <f t="shared" si="1"/>
        <v>5</v>
      </c>
      <c r="L13" s="240">
        <f t="shared" si="1"/>
        <v>5</v>
      </c>
      <c r="M13" s="246">
        <f t="shared" si="1"/>
        <v>5</v>
      </c>
      <c r="N13" s="255">
        <f t="shared" si="1"/>
        <v>3</v>
      </c>
      <c r="O13" s="241">
        <f t="shared" si="1"/>
        <v>3</v>
      </c>
      <c r="P13" s="249">
        <f t="shared" si="1"/>
        <v>5</v>
      </c>
      <c r="Q13" s="240">
        <f t="shared" si="1"/>
        <v>5</v>
      </c>
      <c r="R13" s="240">
        <f t="shared" si="1"/>
        <v>5</v>
      </c>
      <c r="S13" s="240">
        <f t="shared" si="1"/>
        <v>5</v>
      </c>
      <c r="T13" s="246">
        <f t="shared" si="1"/>
        <v>5</v>
      </c>
      <c r="U13" s="255">
        <f t="shared" si="1"/>
        <v>3</v>
      </c>
      <c r="V13" s="241">
        <f t="shared" si="1"/>
        <v>3</v>
      </c>
      <c r="W13" s="249">
        <f t="shared" si="1"/>
        <v>4</v>
      </c>
      <c r="X13" s="240">
        <f>SUM(X14:X16)</f>
        <v>4</v>
      </c>
      <c r="Y13" s="240">
        <f t="shared" si="1"/>
        <v>5</v>
      </c>
      <c r="Z13" s="240">
        <f t="shared" si="1"/>
        <v>5</v>
      </c>
      <c r="AA13" s="246">
        <f t="shared" si="1"/>
        <v>5</v>
      </c>
      <c r="AB13" s="255">
        <f t="shared" si="1"/>
        <v>3</v>
      </c>
      <c r="AC13" s="241">
        <f t="shared" si="1"/>
        <v>3</v>
      </c>
      <c r="AD13" s="249">
        <f t="shared" si="1"/>
        <v>5</v>
      </c>
      <c r="AE13" s="240">
        <f t="shared" si="1"/>
        <v>5</v>
      </c>
      <c r="AF13" s="240">
        <f t="shared" si="1"/>
        <v>5</v>
      </c>
      <c r="AG13" s="240">
        <f t="shared" si="1"/>
        <v>5</v>
      </c>
      <c r="AH13" s="241">
        <f>SUM(AH14:AH16)</f>
        <v>5</v>
      </c>
      <c r="AI13" s="345"/>
    </row>
    <row r="14" spans="1:41">
      <c r="A14" s="345"/>
      <c r="B14" s="345"/>
      <c r="C14" s="234" t="s">
        <v>2</v>
      </c>
      <c r="D14" s="237">
        <f>COUNTIFS(D$3:D$10,"M")+COUNTIFS(D$3:D$10,"MG")</f>
        <v>2</v>
      </c>
      <c r="E14" s="237">
        <f>COUNTIFS(E$3:E$10,"M")+COUNTIFS(E$3:E$10,"MG")</f>
        <v>2</v>
      </c>
      <c r="F14" s="247">
        <f t="shared" ref="F14:AG14" si="2">COUNTIFS(F$3:F$10,"M")+COUNTIFS(F$3:F$10,"MG")</f>
        <v>2</v>
      </c>
      <c r="G14" s="256">
        <f t="shared" si="2"/>
        <v>1</v>
      </c>
      <c r="H14" s="242">
        <f t="shared" si="2"/>
        <v>1</v>
      </c>
      <c r="I14" s="250">
        <f t="shared" si="2"/>
        <v>2</v>
      </c>
      <c r="J14" s="237">
        <f t="shared" si="2"/>
        <v>2</v>
      </c>
      <c r="K14" s="237">
        <f t="shared" si="2"/>
        <v>2</v>
      </c>
      <c r="L14" s="237">
        <f t="shared" si="2"/>
        <v>2</v>
      </c>
      <c r="M14" s="247">
        <f t="shared" si="2"/>
        <v>2</v>
      </c>
      <c r="N14" s="256">
        <f t="shared" si="2"/>
        <v>1</v>
      </c>
      <c r="O14" s="242">
        <f t="shared" si="2"/>
        <v>1</v>
      </c>
      <c r="P14" s="250">
        <f t="shared" si="2"/>
        <v>2</v>
      </c>
      <c r="Q14" s="237">
        <f t="shared" si="2"/>
        <v>2</v>
      </c>
      <c r="R14" s="237">
        <f t="shared" si="2"/>
        <v>2</v>
      </c>
      <c r="S14" s="237">
        <f t="shared" si="2"/>
        <v>2</v>
      </c>
      <c r="T14" s="247">
        <f t="shared" si="2"/>
        <v>2</v>
      </c>
      <c r="U14" s="256">
        <f t="shared" si="2"/>
        <v>1</v>
      </c>
      <c r="V14" s="242">
        <f t="shared" si="2"/>
        <v>1</v>
      </c>
      <c r="W14" s="250">
        <f t="shared" si="2"/>
        <v>1</v>
      </c>
      <c r="X14" s="237">
        <f t="shared" si="2"/>
        <v>1</v>
      </c>
      <c r="Y14" s="237">
        <f t="shared" si="2"/>
        <v>2</v>
      </c>
      <c r="Z14" s="237">
        <f t="shared" si="2"/>
        <v>2</v>
      </c>
      <c r="AA14" s="247">
        <f t="shared" si="2"/>
        <v>2</v>
      </c>
      <c r="AB14" s="256">
        <f t="shared" si="2"/>
        <v>1</v>
      </c>
      <c r="AC14" s="242">
        <f t="shared" si="2"/>
        <v>1</v>
      </c>
      <c r="AD14" s="250">
        <f t="shared" si="2"/>
        <v>2</v>
      </c>
      <c r="AE14" s="237">
        <f t="shared" si="2"/>
        <v>2</v>
      </c>
      <c r="AF14" s="237">
        <f t="shared" si="2"/>
        <v>2</v>
      </c>
      <c r="AG14" s="237">
        <f t="shared" si="2"/>
        <v>2</v>
      </c>
      <c r="AH14" s="242">
        <f>COUNTIFS(AH$3:AH$10,"M")+COUNTIFS(AH$3:AH$10,"MG")</f>
        <v>2</v>
      </c>
      <c r="AI14" s="345"/>
    </row>
    <row r="15" spans="1:41">
      <c r="A15" s="345"/>
      <c r="B15" s="345"/>
      <c r="C15" s="234" t="s">
        <v>8</v>
      </c>
      <c r="D15" s="238">
        <f>COUNTIFS(D$3:D$10,"T")+COUNTIFS(D$3:D$10,"TG")</f>
        <v>1</v>
      </c>
      <c r="E15" s="238">
        <f t="shared" ref="E15:AG15" si="3">COUNTIFS(E$3:E$10,"T")+COUNTIFS(E$3:E$10,"TG")</f>
        <v>1</v>
      </c>
      <c r="F15" s="43">
        <f t="shared" si="3"/>
        <v>1</v>
      </c>
      <c r="G15" s="257">
        <f t="shared" si="3"/>
        <v>1</v>
      </c>
      <c r="H15" s="91">
        <f t="shared" si="3"/>
        <v>1</v>
      </c>
      <c r="I15" s="251">
        <f t="shared" si="3"/>
        <v>1</v>
      </c>
      <c r="J15" s="238">
        <f t="shared" si="3"/>
        <v>1</v>
      </c>
      <c r="K15" s="238">
        <f t="shared" si="3"/>
        <v>1</v>
      </c>
      <c r="L15" s="238">
        <f t="shared" si="3"/>
        <v>1</v>
      </c>
      <c r="M15" s="43">
        <f t="shared" si="3"/>
        <v>1</v>
      </c>
      <c r="N15" s="257">
        <f t="shared" si="3"/>
        <v>1</v>
      </c>
      <c r="O15" s="91">
        <f t="shared" si="3"/>
        <v>1</v>
      </c>
      <c r="P15" s="251">
        <f t="shared" si="3"/>
        <v>1</v>
      </c>
      <c r="Q15" s="238">
        <f t="shared" si="3"/>
        <v>1</v>
      </c>
      <c r="R15" s="238">
        <f t="shared" si="3"/>
        <v>1</v>
      </c>
      <c r="S15" s="238">
        <f t="shared" si="3"/>
        <v>1</v>
      </c>
      <c r="T15" s="43">
        <f t="shared" si="3"/>
        <v>1</v>
      </c>
      <c r="U15" s="257">
        <f t="shared" si="3"/>
        <v>1</v>
      </c>
      <c r="V15" s="91">
        <f t="shared" si="3"/>
        <v>1</v>
      </c>
      <c r="W15" s="251">
        <f t="shared" si="3"/>
        <v>1</v>
      </c>
      <c r="X15" s="238">
        <f t="shared" si="3"/>
        <v>1</v>
      </c>
      <c r="Y15" s="238">
        <f t="shared" si="3"/>
        <v>1</v>
      </c>
      <c r="Z15" s="238">
        <f t="shared" si="3"/>
        <v>1</v>
      </c>
      <c r="AA15" s="43">
        <f t="shared" si="3"/>
        <v>1</v>
      </c>
      <c r="AB15" s="257">
        <f t="shared" si="3"/>
        <v>1</v>
      </c>
      <c r="AC15" s="91">
        <f t="shared" si="3"/>
        <v>1</v>
      </c>
      <c r="AD15" s="251">
        <f t="shared" si="3"/>
        <v>1</v>
      </c>
      <c r="AE15" s="238">
        <f t="shared" si="3"/>
        <v>1</v>
      </c>
      <c r="AF15" s="238">
        <f t="shared" si="3"/>
        <v>1</v>
      </c>
      <c r="AG15" s="238">
        <f t="shared" si="3"/>
        <v>1</v>
      </c>
      <c r="AH15" s="91">
        <f>COUNTIFS(AH$3:AH$10,"T")+COUNTIFS(AH$3:AH$10,"TG")</f>
        <v>1</v>
      </c>
      <c r="AI15" s="345"/>
    </row>
    <row r="16" spans="1:41">
      <c r="A16" s="345"/>
      <c r="B16" s="345"/>
      <c r="C16" s="234" t="s">
        <v>9</v>
      </c>
      <c r="D16" s="150">
        <f>COUNTIFS(D$3:D$10,"N")+COUNTIFS(D$3:D$10,"NG")</f>
        <v>2</v>
      </c>
      <c r="E16" s="150">
        <f t="shared" ref="E16:AG16" si="4">COUNTIFS(E$3:E$10,"N")+COUNTIFS(E$3:E$10,"NG")</f>
        <v>2</v>
      </c>
      <c r="F16" s="44">
        <f t="shared" si="4"/>
        <v>2</v>
      </c>
      <c r="G16" s="66">
        <f t="shared" si="4"/>
        <v>1</v>
      </c>
      <c r="H16" s="93">
        <f t="shared" si="4"/>
        <v>1</v>
      </c>
      <c r="I16" s="252">
        <f t="shared" si="4"/>
        <v>2</v>
      </c>
      <c r="J16" s="150">
        <f t="shared" si="4"/>
        <v>2</v>
      </c>
      <c r="K16" s="150">
        <f t="shared" si="4"/>
        <v>2</v>
      </c>
      <c r="L16" s="150">
        <f t="shared" si="4"/>
        <v>2</v>
      </c>
      <c r="M16" s="44">
        <f t="shared" si="4"/>
        <v>2</v>
      </c>
      <c r="N16" s="66">
        <f t="shared" si="4"/>
        <v>1</v>
      </c>
      <c r="O16" s="93">
        <f t="shared" si="4"/>
        <v>1</v>
      </c>
      <c r="P16" s="252">
        <f t="shared" si="4"/>
        <v>2</v>
      </c>
      <c r="Q16" s="150">
        <f t="shared" si="4"/>
        <v>2</v>
      </c>
      <c r="R16" s="150">
        <f t="shared" si="4"/>
        <v>2</v>
      </c>
      <c r="S16" s="150">
        <f t="shared" si="4"/>
        <v>2</v>
      </c>
      <c r="T16" s="44">
        <f t="shared" si="4"/>
        <v>2</v>
      </c>
      <c r="U16" s="66">
        <f t="shared" si="4"/>
        <v>1</v>
      </c>
      <c r="V16" s="93">
        <f t="shared" si="4"/>
        <v>1</v>
      </c>
      <c r="W16" s="252">
        <f t="shared" si="4"/>
        <v>2</v>
      </c>
      <c r="X16" s="150">
        <f t="shared" si="4"/>
        <v>2</v>
      </c>
      <c r="Y16" s="150">
        <f t="shared" si="4"/>
        <v>2</v>
      </c>
      <c r="Z16" s="150">
        <f t="shared" si="4"/>
        <v>2</v>
      </c>
      <c r="AA16" s="44">
        <f t="shared" si="4"/>
        <v>2</v>
      </c>
      <c r="AB16" s="66">
        <f t="shared" si="4"/>
        <v>1</v>
      </c>
      <c r="AC16" s="93">
        <f t="shared" si="4"/>
        <v>1</v>
      </c>
      <c r="AD16" s="252">
        <f t="shared" si="4"/>
        <v>2</v>
      </c>
      <c r="AE16" s="150">
        <f t="shared" si="4"/>
        <v>2</v>
      </c>
      <c r="AF16" s="150">
        <f t="shared" si="4"/>
        <v>2</v>
      </c>
      <c r="AG16" s="150">
        <f t="shared" si="4"/>
        <v>2</v>
      </c>
      <c r="AH16" s="93">
        <f>COUNTIFS(AH$3:AH$10,"N")+COUNTIFS(AH$3:AH$10,"NG")</f>
        <v>2</v>
      </c>
      <c r="AI16" s="345"/>
    </row>
    <row r="17" spans="1:35">
      <c r="A17" s="345"/>
      <c r="B17" s="345"/>
      <c r="C17" s="234" t="s">
        <v>7</v>
      </c>
      <c r="D17" s="239">
        <f>COUNTIFS(D$3:D$10,"D")+COUNTIFS(D$3:D$10,"DG")</f>
        <v>1</v>
      </c>
      <c r="E17" s="239">
        <f t="shared" ref="E17:AG17" si="5">COUNTIFS(E$3:E$10,"D")+COUNTIFS(E$3:E$10,"DG")</f>
        <v>1</v>
      </c>
      <c r="F17" s="248">
        <f t="shared" si="5"/>
        <v>1</v>
      </c>
      <c r="G17" s="258">
        <f t="shared" si="5"/>
        <v>1</v>
      </c>
      <c r="H17" s="243">
        <f t="shared" si="5"/>
        <v>1</v>
      </c>
      <c r="I17" s="253">
        <f t="shared" si="5"/>
        <v>1</v>
      </c>
      <c r="J17" s="239">
        <f t="shared" si="5"/>
        <v>1</v>
      </c>
      <c r="K17" s="239">
        <f t="shared" si="5"/>
        <v>1</v>
      </c>
      <c r="L17" s="239">
        <f t="shared" si="5"/>
        <v>1</v>
      </c>
      <c r="M17" s="248">
        <f t="shared" si="5"/>
        <v>1</v>
      </c>
      <c r="N17" s="258">
        <f t="shared" si="5"/>
        <v>1</v>
      </c>
      <c r="O17" s="243">
        <f t="shared" si="5"/>
        <v>1</v>
      </c>
      <c r="P17" s="253">
        <f t="shared" si="5"/>
        <v>1</v>
      </c>
      <c r="Q17" s="239">
        <f t="shared" si="5"/>
        <v>1</v>
      </c>
      <c r="R17" s="239">
        <f t="shared" si="5"/>
        <v>1</v>
      </c>
      <c r="S17" s="239">
        <f t="shared" si="5"/>
        <v>1</v>
      </c>
      <c r="T17" s="248">
        <f t="shared" si="5"/>
        <v>1</v>
      </c>
      <c r="U17" s="258">
        <f t="shared" si="5"/>
        <v>1</v>
      </c>
      <c r="V17" s="243">
        <f t="shared" si="5"/>
        <v>1</v>
      </c>
      <c r="W17" s="253">
        <f t="shared" si="5"/>
        <v>1</v>
      </c>
      <c r="X17" s="239">
        <f t="shared" si="5"/>
        <v>1</v>
      </c>
      <c r="Y17" s="239">
        <f t="shared" si="5"/>
        <v>1</v>
      </c>
      <c r="Z17" s="239">
        <f t="shared" si="5"/>
        <v>1</v>
      </c>
      <c r="AA17" s="248">
        <f t="shared" si="5"/>
        <v>1</v>
      </c>
      <c r="AB17" s="258">
        <f t="shared" si="5"/>
        <v>1</v>
      </c>
      <c r="AC17" s="243">
        <f t="shared" si="5"/>
        <v>1</v>
      </c>
      <c r="AD17" s="253">
        <f t="shared" si="5"/>
        <v>1</v>
      </c>
      <c r="AE17" s="239">
        <f t="shared" si="5"/>
        <v>1</v>
      </c>
      <c r="AF17" s="239">
        <f t="shared" si="5"/>
        <v>1</v>
      </c>
      <c r="AG17" s="239">
        <f t="shared" si="5"/>
        <v>1</v>
      </c>
      <c r="AH17" s="243">
        <f>COUNTIFS(AH$3:AH$10,"D")+COUNTIFS(AH$3:AH$10,"DG")</f>
        <v>1</v>
      </c>
      <c r="AI17" s="345"/>
    </row>
    <row r="18" spans="1:35">
      <c r="A18" s="345"/>
      <c r="B18" s="345"/>
      <c r="C18" s="234" t="s">
        <v>1</v>
      </c>
      <c r="D18" s="139">
        <f>COUNTIFS(D$3:D$10,"L")+COUNTIFS(D$3:D$10,"LG")</f>
        <v>2</v>
      </c>
      <c r="E18" s="139">
        <f t="shared" ref="E18:AG18" si="6">COUNTIFS(E$3:E$10,"L")+COUNTIFS(E$3:E$10,"LG")</f>
        <v>2</v>
      </c>
      <c r="F18" s="48">
        <f t="shared" si="6"/>
        <v>2</v>
      </c>
      <c r="G18" s="159">
        <f t="shared" si="6"/>
        <v>4</v>
      </c>
      <c r="H18" s="244">
        <f t="shared" si="6"/>
        <v>4</v>
      </c>
      <c r="I18" s="140">
        <f t="shared" si="6"/>
        <v>2</v>
      </c>
      <c r="J18" s="139">
        <f t="shared" si="6"/>
        <v>2</v>
      </c>
      <c r="K18" s="139">
        <f t="shared" si="6"/>
        <v>2</v>
      </c>
      <c r="L18" s="139">
        <f t="shared" si="6"/>
        <v>2</v>
      </c>
      <c r="M18" s="48">
        <f t="shared" si="6"/>
        <v>2</v>
      </c>
      <c r="N18" s="159">
        <f t="shared" si="6"/>
        <v>4</v>
      </c>
      <c r="O18" s="244">
        <f t="shared" si="6"/>
        <v>4</v>
      </c>
      <c r="P18" s="140">
        <f t="shared" si="6"/>
        <v>2</v>
      </c>
      <c r="Q18" s="139">
        <f t="shared" si="6"/>
        <v>2</v>
      </c>
      <c r="R18" s="139">
        <f t="shared" si="6"/>
        <v>2</v>
      </c>
      <c r="S18" s="139">
        <f t="shared" si="6"/>
        <v>2</v>
      </c>
      <c r="T18" s="48">
        <f t="shared" si="6"/>
        <v>2</v>
      </c>
      <c r="U18" s="159">
        <f t="shared" si="6"/>
        <v>4</v>
      </c>
      <c r="V18" s="244">
        <f t="shared" si="6"/>
        <v>4</v>
      </c>
      <c r="W18" s="140">
        <f t="shared" si="6"/>
        <v>2</v>
      </c>
      <c r="X18" s="139">
        <f t="shared" si="6"/>
        <v>2</v>
      </c>
      <c r="Y18" s="139">
        <f t="shared" si="6"/>
        <v>2</v>
      </c>
      <c r="Z18" s="139">
        <f t="shared" si="6"/>
        <v>2</v>
      </c>
      <c r="AA18" s="48">
        <f t="shared" si="6"/>
        <v>2</v>
      </c>
      <c r="AB18" s="159">
        <f t="shared" si="6"/>
        <v>4</v>
      </c>
      <c r="AC18" s="244">
        <f t="shared" si="6"/>
        <v>4</v>
      </c>
      <c r="AD18" s="140">
        <f t="shared" si="6"/>
        <v>2</v>
      </c>
      <c r="AE18" s="139">
        <f t="shared" si="6"/>
        <v>2</v>
      </c>
      <c r="AF18" s="139">
        <f t="shared" si="6"/>
        <v>2</v>
      </c>
      <c r="AG18" s="139">
        <f t="shared" si="6"/>
        <v>2</v>
      </c>
      <c r="AH18" s="244">
        <f>COUNTIFS(AH$3:AH$10,"L")+COUNTIFS(AH$3:AH$10,"LG")</f>
        <v>2</v>
      </c>
      <c r="AI18" s="345"/>
    </row>
    <row r="19" spans="1:35">
      <c r="A19" s="345"/>
      <c r="B19" s="345"/>
      <c r="C19" s="234" t="s">
        <v>32</v>
      </c>
      <c r="D19" s="3">
        <f t="shared" ref="D19:I19" si="7">COUNTIFS(D$3:D$10,"MG")+COUNTIFS(D$3:D$10,"TG")+COUNTIFS(D$3:D$10,"LG")+COUNTIFS(D$3:D$10,"DG")</f>
        <v>1</v>
      </c>
      <c r="E19" s="3">
        <f t="shared" si="7"/>
        <v>1</v>
      </c>
      <c r="F19" s="51">
        <f t="shared" si="7"/>
        <v>1</v>
      </c>
      <c r="G19" s="68">
        <f t="shared" si="7"/>
        <v>1</v>
      </c>
      <c r="H19" s="69">
        <f t="shared" si="7"/>
        <v>1</v>
      </c>
      <c r="I19" s="5">
        <f t="shared" si="7"/>
        <v>1</v>
      </c>
      <c r="J19" s="3">
        <f t="shared" ref="J19:AG19" si="8">COUNTIFS(J$3:J$10,"MG")+COUNTIFS(J$3:J$10,"TG")+COUNTIFS(J$3:J$10,"LG")+COUNTIFS(J$3:J$10,"DG")</f>
        <v>1</v>
      </c>
      <c r="K19" s="3">
        <f t="shared" si="8"/>
        <v>1</v>
      </c>
      <c r="L19" s="3">
        <f t="shared" si="8"/>
        <v>1</v>
      </c>
      <c r="M19" s="51">
        <f t="shared" si="8"/>
        <v>1</v>
      </c>
      <c r="N19" s="68">
        <f t="shared" si="8"/>
        <v>1</v>
      </c>
      <c r="O19" s="69">
        <f t="shared" si="8"/>
        <v>1</v>
      </c>
      <c r="P19" s="5">
        <f t="shared" si="8"/>
        <v>1</v>
      </c>
      <c r="Q19" s="3">
        <f t="shared" si="8"/>
        <v>1</v>
      </c>
      <c r="R19" s="3">
        <f t="shared" si="8"/>
        <v>1</v>
      </c>
      <c r="S19" s="3">
        <f t="shared" si="8"/>
        <v>1</v>
      </c>
      <c r="T19" s="51">
        <f t="shared" si="8"/>
        <v>1</v>
      </c>
      <c r="U19" s="68">
        <f t="shared" si="8"/>
        <v>1</v>
      </c>
      <c r="V19" s="69">
        <f t="shared" si="8"/>
        <v>1</v>
      </c>
      <c r="W19" s="5">
        <f t="shared" si="8"/>
        <v>1</v>
      </c>
      <c r="X19" s="3">
        <f t="shared" si="8"/>
        <v>1</v>
      </c>
      <c r="Y19" s="3">
        <f t="shared" si="8"/>
        <v>1</v>
      </c>
      <c r="Z19" s="3">
        <f t="shared" si="8"/>
        <v>1</v>
      </c>
      <c r="AA19" s="51">
        <f t="shared" si="8"/>
        <v>1</v>
      </c>
      <c r="AB19" s="68">
        <f t="shared" si="8"/>
        <v>1</v>
      </c>
      <c r="AC19" s="69">
        <f t="shared" si="8"/>
        <v>1</v>
      </c>
      <c r="AD19" s="5">
        <f t="shared" si="8"/>
        <v>1</v>
      </c>
      <c r="AE19" s="3">
        <f t="shared" si="8"/>
        <v>1</v>
      </c>
      <c r="AF19" s="3">
        <f t="shared" si="8"/>
        <v>1</v>
      </c>
      <c r="AG19" s="3">
        <f t="shared" si="8"/>
        <v>1</v>
      </c>
      <c r="AH19" s="69">
        <f>COUNTIFS(AH$3:AH$10,"MG")+COUNTIFS(AH$3:AH$10,"TG")+COUNTIFS(AH$3:AH$10,"LG")+COUNTIFS(AH$3:AH$10,"DG")</f>
        <v>1</v>
      </c>
      <c r="AI19" s="345"/>
    </row>
    <row r="20" spans="1:35" ht="15" thickBot="1">
      <c r="A20" s="345"/>
      <c r="B20" s="345"/>
      <c r="C20" s="235" t="s">
        <v>5</v>
      </c>
      <c r="D20" s="245">
        <f>COUNTIFS(D$3:D$10,"V")</f>
        <v>0</v>
      </c>
      <c r="E20" s="245">
        <f t="shared" ref="E20:AG20" si="9">COUNTIFS(E$3:E$10,"V")</f>
        <v>0</v>
      </c>
      <c r="F20" s="236">
        <f t="shared" si="9"/>
        <v>0</v>
      </c>
      <c r="G20" s="160">
        <f t="shared" si="9"/>
        <v>0</v>
      </c>
      <c r="H20" s="101">
        <f t="shared" si="9"/>
        <v>0</v>
      </c>
      <c r="I20" s="254">
        <f t="shared" si="9"/>
        <v>0</v>
      </c>
      <c r="J20" s="245">
        <f t="shared" si="9"/>
        <v>0</v>
      </c>
      <c r="K20" s="245">
        <f t="shared" si="9"/>
        <v>0</v>
      </c>
      <c r="L20" s="245">
        <f t="shared" si="9"/>
        <v>0</v>
      </c>
      <c r="M20" s="236">
        <f t="shared" si="9"/>
        <v>0</v>
      </c>
      <c r="N20" s="160">
        <f t="shared" si="9"/>
        <v>0</v>
      </c>
      <c r="O20" s="101">
        <f t="shared" si="9"/>
        <v>0</v>
      </c>
      <c r="P20" s="254">
        <f t="shared" si="9"/>
        <v>0</v>
      </c>
      <c r="Q20" s="245">
        <f t="shared" si="9"/>
        <v>0</v>
      </c>
      <c r="R20" s="245">
        <f t="shared" si="9"/>
        <v>0</v>
      </c>
      <c r="S20" s="245">
        <f t="shared" si="9"/>
        <v>0</v>
      </c>
      <c r="T20" s="236">
        <f t="shared" si="9"/>
        <v>0</v>
      </c>
      <c r="U20" s="160">
        <f t="shared" si="9"/>
        <v>0</v>
      </c>
      <c r="V20" s="101">
        <f t="shared" si="9"/>
        <v>0</v>
      </c>
      <c r="W20" s="254">
        <f t="shared" si="9"/>
        <v>1</v>
      </c>
      <c r="X20" s="245">
        <f t="shared" si="9"/>
        <v>1</v>
      </c>
      <c r="Y20" s="245">
        <f t="shared" si="9"/>
        <v>0</v>
      </c>
      <c r="Z20" s="245">
        <f t="shared" si="9"/>
        <v>0</v>
      </c>
      <c r="AA20" s="236">
        <f t="shared" si="9"/>
        <v>0</v>
      </c>
      <c r="AB20" s="160">
        <f t="shared" si="9"/>
        <v>0</v>
      </c>
      <c r="AC20" s="101">
        <f t="shared" si="9"/>
        <v>0</v>
      </c>
      <c r="AD20" s="254">
        <f t="shared" si="9"/>
        <v>0</v>
      </c>
      <c r="AE20" s="245">
        <f t="shared" si="9"/>
        <v>0</v>
      </c>
      <c r="AF20" s="245">
        <f t="shared" si="9"/>
        <v>0</v>
      </c>
      <c r="AG20" s="245">
        <f t="shared" si="9"/>
        <v>0</v>
      </c>
      <c r="AH20" s="101">
        <f>COUNTIFS(AH$3:AH$10,"V")</f>
        <v>0</v>
      </c>
      <c r="AI20" s="345"/>
    </row>
    <row r="21" spans="1:35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  <c r="M21" s="345"/>
      <c r="N21" s="345"/>
      <c r="O21" s="345"/>
      <c r="P21" s="345"/>
      <c r="Q21" s="345"/>
      <c r="R21" s="345"/>
      <c r="S21" s="345"/>
      <c r="T21" s="345"/>
      <c r="U21" s="345"/>
      <c r="V21" s="345"/>
      <c r="W21" s="345"/>
      <c r="X21" s="345"/>
      <c r="Y21" s="345"/>
      <c r="Z21" s="345"/>
      <c r="AA21" s="345"/>
      <c r="AB21" s="345"/>
      <c r="AC21" s="345"/>
      <c r="AD21" s="345"/>
      <c r="AE21" s="345"/>
      <c r="AF21" s="345"/>
      <c r="AG21" s="345"/>
      <c r="AH21" s="345"/>
      <c r="AI21" s="345"/>
    </row>
    <row r="22" spans="1:35">
      <c r="A22" s="345"/>
      <c r="B22" s="345"/>
      <c r="C22" s="345"/>
      <c r="D22" s="345"/>
      <c r="E22" s="345"/>
      <c r="F22" s="345"/>
      <c r="G22" s="345"/>
      <c r="H22" s="345"/>
      <c r="I22" s="345"/>
      <c r="J22" s="345"/>
      <c r="K22" s="345"/>
      <c r="L22" s="345"/>
      <c r="M22" s="345"/>
      <c r="N22" s="345"/>
      <c r="O22" s="345"/>
      <c r="P22" s="345"/>
      <c r="Q22" s="345"/>
      <c r="R22" s="345"/>
      <c r="S22" s="345"/>
      <c r="T22" s="345"/>
      <c r="U22" s="345"/>
      <c r="V22" s="345"/>
      <c r="W22" s="345"/>
      <c r="X22" s="345"/>
      <c r="Y22" s="345"/>
      <c r="Z22" s="345"/>
      <c r="AA22" s="345"/>
      <c r="AB22" s="345"/>
      <c r="AC22" s="345"/>
      <c r="AD22" s="345"/>
      <c r="AE22" s="345"/>
      <c r="AF22" s="345"/>
      <c r="AG22" s="345"/>
      <c r="AH22" s="345"/>
      <c r="AI22" s="345"/>
    </row>
    <row r="23" spans="1:35">
      <c r="A23" s="345"/>
      <c r="B23" s="345"/>
      <c r="C23" s="345"/>
      <c r="D23" s="345"/>
      <c r="E23" s="345"/>
      <c r="F23" s="345"/>
      <c r="G23" s="345"/>
      <c r="H23" s="345"/>
      <c r="I23" s="345"/>
      <c r="J23" s="345"/>
      <c r="K23" s="345"/>
      <c r="L23" s="345"/>
      <c r="M23" s="345"/>
      <c r="N23" s="345"/>
      <c r="O23" s="345"/>
      <c r="P23" s="345"/>
      <c r="Q23" s="345"/>
      <c r="R23" s="345"/>
      <c r="S23" s="345"/>
      <c r="T23" s="345"/>
      <c r="U23" s="345"/>
      <c r="V23" s="345"/>
      <c r="W23" s="345"/>
      <c r="X23" s="345"/>
      <c r="Y23" s="345"/>
      <c r="Z23" s="345"/>
      <c r="AA23" s="345"/>
      <c r="AB23" s="345"/>
      <c r="AC23" s="345"/>
      <c r="AD23" s="345"/>
      <c r="AE23" s="345"/>
      <c r="AF23" s="345"/>
      <c r="AG23" s="345"/>
      <c r="AH23" s="345"/>
      <c r="AI23" s="345"/>
    </row>
    <row r="24" spans="1:35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345"/>
      <c r="L24" s="345"/>
      <c r="M24" s="345"/>
      <c r="N24" s="345"/>
      <c r="O24" s="345"/>
      <c r="P24" s="345"/>
      <c r="Q24" s="345"/>
      <c r="R24" s="345"/>
      <c r="S24" s="345"/>
      <c r="T24" s="345"/>
      <c r="U24" s="345"/>
      <c r="V24" s="345"/>
      <c r="W24" s="345"/>
      <c r="X24" s="345"/>
      <c r="Y24" s="345"/>
      <c r="Z24" s="345"/>
      <c r="AA24" s="345"/>
      <c r="AB24" s="345"/>
      <c r="AC24" s="345"/>
      <c r="AD24" s="345"/>
      <c r="AE24" s="345"/>
      <c r="AF24" s="345"/>
      <c r="AG24" s="345"/>
      <c r="AH24" s="345"/>
      <c r="AI24" s="345"/>
    </row>
    <row r="25" spans="1:35">
      <c r="A25" s="345"/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  <c r="AA25" s="345"/>
      <c r="AB25" s="345"/>
      <c r="AC25" s="345"/>
      <c r="AD25" s="345"/>
      <c r="AE25" s="345"/>
      <c r="AF25" s="345"/>
      <c r="AG25" s="345"/>
      <c r="AH25" s="345"/>
      <c r="AI25" s="345"/>
    </row>
    <row r="26" spans="1:35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  <c r="M26" s="345"/>
      <c r="N26" s="345"/>
      <c r="O26" s="345"/>
      <c r="P26" s="345"/>
      <c r="Q26" s="345"/>
      <c r="R26" s="345"/>
      <c r="S26" s="345"/>
      <c r="T26" s="345"/>
      <c r="U26" s="345"/>
      <c r="V26" s="345"/>
      <c r="W26" s="345"/>
      <c r="X26" s="345"/>
      <c r="Y26" s="345"/>
      <c r="Z26" s="345"/>
      <c r="AA26" s="345"/>
      <c r="AB26" s="345"/>
      <c r="AC26" s="345"/>
      <c r="AD26" s="345"/>
      <c r="AE26" s="345"/>
      <c r="AF26" s="345"/>
      <c r="AG26" s="345"/>
      <c r="AH26" s="345"/>
      <c r="AI26" s="345"/>
    </row>
    <row r="27" spans="1:35">
      <c r="A27" s="345"/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  <c r="M27" s="345"/>
      <c r="N27" s="345"/>
      <c r="O27" s="345"/>
      <c r="P27" s="345"/>
      <c r="Q27" s="345"/>
      <c r="R27" s="345"/>
      <c r="S27" s="345"/>
      <c r="T27" s="345"/>
      <c r="U27" s="345"/>
      <c r="V27" s="345"/>
      <c r="W27" s="345"/>
      <c r="X27" s="345"/>
      <c r="Y27" s="345"/>
      <c r="Z27" s="345"/>
      <c r="AA27" s="345"/>
      <c r="AB27" s="345"/>
      <c r="AC27" s="345"/>
      <c r="AD27" s="345"/>
      <c r="AE27" s="345"/>
      <c r="AF27" s="345"/>
      <c r="AG27" s="345"/>
      <c r="AH27" s="345"/>
      <c r="AI27" s="345"/>
    </row>
  </sheetData>
  <mergeCells count="12">
    <mergeCell ref="A21:AI27"/>
    <mergeCell ref="C11:AH12"/>
    <mergeCell ref="A1:C2"/>
    <mergeCell ref="AI1:AI20"/>
    <mergeCell ref="A3:B3"/>
    <mergeCell ref="A4:B4"/>
    <mergeCell ref="A5:B5"/>
    <mergeCell ref="A7:B7"/>
    <mergeCell ref="A8:B8"/>
    <mergeCell ref="A9:B9"/>
    <mergeCell ref="A10:B10"/>
    <mergeCell ref="A11:B20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60D83-E4F2-40DC-893D-FDA38DFC7F85}">
  <dimension ref="A1:AO27"/>
  <sheetViews>
    <sheetView zoomScale="130" zoomScaleNormal="130" workbookViewId="0">
      <selection activeCell="AF5" sqref="AF5:AG5"/>
    </sheetView>
  </sheetViews>
  <sheetFormatPr defaultColWidth="11.42578125" defaultRowHeight="14.45"/>
  <cols>
    <col min="1" max="1" width="15.140625" customWidth="1"/>
    <col min="2" max="2" width="16.85546875" customWidth="1"/>
    <col min="3" max="3" width="3.42578125" customWidth="1"/>
    <col min="4" max="4" width="4.140625" customWidth="1"/>
    <col min="5" max="5" width="4.42578125" customWidth="1"/>
    <col min="6" max="6" width="3.42578125" customWidth="1"/>
    <col min="7" max="7" width="3.85546875" customWidth="1"/>
    <col min="8" max="10" width="3.140625" bestFit="1" customWidth="1"/>
    <col min="11" max="14" width="2.85546875" bestFit="1" customWidth="1"/>
    <col min="15" max="15" width="3" bestFit="1" customWidth="1"/>
    <col min="16" max="17" width="2.85546875" bestFit="1" customWidth="1"/>
    <col min="18" max="18" width="3.28515625" customWidth="1"/>
    <col min="19" max="22" width="3.140625" bestFit="1" customWidth="1"/>
    <col min="23" max="24" width="3" bestFit="1" customWidth="1"/>
    <col min="25" max="29" width="3.140625" bestFit="1" customWidth="1"/>
    <col min="30" max="33" width="2.85546875" bestFit="1" customWidth="1"/>
    <col min="34" max="34" width="2.85546875" customWidth="1"/>
    <col min="35" max="35" width="8.5703125" customWidth="1"/>
  </cols>
  <sheetData>
    <row r="1" spans="1:41" ht="15.6" thickTop="1" thickBot="1">
      <c r="A1" s="355" t="s">
        <v>0</v>
      </c>
      <c r="B1" s="355"/>
      <c r="C1" s="356"/>
      <c r="D1" s="161" t="s">
        <v>6</v>
      </c>
      <c r="E1" s="162" t="s">
        <v>7</v>
      </c>
      <c r="F1" s="125" t="s">
        <v>1</v>
      </c>
      <c r="G1" s="125" t="s">
        <v>2</v>
      </c>
      <c r="H1" s="125" t="s">
        <v>3</v>
      </c>
      <c r="I1" s="125" t="s">
        <v>4</v>
      </c>
      <c r="J1" s="125" t="s">
        <v>5</v>
      </c>
      <c r="K1" s="161" t="s">
        <v>6</v>
      </c>
      <c r="L1" s="162" t="s">
        <v>7</v>
      </c>
      <c r="M1" s="125" t="s">
        <v>1</v>
      </c>
      <c r="N1" s="125" t="s">
        <v>2</v>
      </c>
      <c r="O1" s="125" t="s">
        <v>3</v>
      </c>
      <c r="P1" s="125" t="s">
        <v>4</v>
      </c>
      <c r="Q1" s="125" t="s">
        <v>5</v>
      </c>
      <c r="R1" s="267" t="s">
        <v>6</v>
      </c>
      <c r="S1" s="162" t="s">
        <v>7</v>
      </c>
      <c r="T1" s="125" t="s">
        <v>1</v>
      </c>
      <c r="U1" s="125" t="s">
        <v>2</v>
      </c>
      <c r="V1" s="125" t="s">
        <v>3</v>
      </c>
      <c r="W1" s="125" t="s">
        <v>4</v>
      </c>
      <c r="X1" s="125" t="s">
        <v>5</v>
      </c>
      <c r="Y1" s="218" t="s">
        <v>6</v>
      </c>
      <c r="Z1" s="219" t="s">
        <v>7</v>
      </c>
      <c r="AA1" s="125" t="s">
        <v>1</v>
      </c>
      <c r="AB1" s="125" t="s">
        <v>2</v>
      </c>
      <c r="AC1" s="125" t="s">
        <v>3</v>
      </c>
      <c r="AD1" s="125" t="s">
        <v>4</v>
      </c>
      <c r="AE1" s="125" t="s">
        <v>5</v>
      </c>
      <c r="AF1" s="161" t="s">
        <v>6</v>
      </c>
      <c r="AG1" s="162" t="s">
        <v>7</v>
      </c>
      <c r="AH1" s="125" t="s">
        <v>1</v>
      </c>
      <c r="AI1" s="345"/>
    </row>
    <row r="2" spans="1:41" ht="15.6" thickTop="1" thickBot="1">
      <c r="A2" s="355"/>
      <c r="B2" s="355"/>
      <c r="C2" s="355"/>
      <c r="D2" s="163">
        <v>1</v>
      </c>
      <c r="E2" s="220">
        <v>2</v>
      </c>
      <c r="F2" s="221">
        <v>3</v>
      </c>
      <c r="G2" s="163">
        <v>4</v>
      </c>
      <c r="H2" s="164">
        <v>5</v>
      </c>
      <c r="I2" s="163">
        <v>6</v>
      </c>
      <c r="J2" s="164">
        <v>7</v>
      </c>
      <c r="K2" s="222">
        <v>8</v>
      </c>
      <c r="L2" s="220">
        <v>9</v>
      </c>
      <c r="M2" s="220">
        <v>10</v>
      </c>
      <c r="N2" s="220">
        <v>11</v>
      </c>
      <c r="O2" s="221">
        <v>12</v>
      </c>
      <c r="P2" s="163">
        <v>13</v>
      </c>
      <c r="Q2" s="221">
        <v>14</v>
      </c>
      <c r="R2" s="264">
        <v>15</v>
      </c>
      <c r="S2" s="222">
        <v>16</v>
      </c>
      <c r="T2" s="220">
        <v>17</v>
      </c>
      <c r="U2" s="220">
        <v>18</v>
      </c>
      <c r="V2" s="221">
        <v>19</v>
      </c>
      <c r="W2" s="163">
        <v>20</v>
      </c>
      <c r="X2" s="164">
        <v>21</v>
      </c>
      <c r="Y2" s="222">
        <v>22</v>
      </c>
      <c r="Z2" s="220">
        <v>23</v>
      </c>
      <c r="AA2" s="220">
        <v>24</v>
      </c>
      <c r="AB2" s="220">
        <v>25</v>
      </c>
      <c r="AC2" s="220">
        <v>26</v>
      </c>
      <c r="AD2" s="163">
        <v>27</v>
      </c>
      <c r="AE2" s="164">
        <v>28</v>
      </c>
      <c r="AF2" s="222">
        <v>29</v>
      </c>
      <c r="AG2" s="220">
        <v>30</v>
      </c>
      <c r="AH2" s="223">
        <v>31</v>
      </c>
      <c r="AI2" s="345"/>
      <c r="AJ2" s="113" t="s">
        <v>2</v>
      </c>
      <c r="AK2" s="75" t="s">
        <v>8</v>
      </c>
      <c r="AL2" s="73" t="s">
        <v>9</v>
      </c>
      <c r="AM2" s="70" t="s">
        <v>7</v>
      </c>
      <c r="AN2" s="114" t="s">
        <v>10</v>
      </c>
      <c r="AO2" s="155" t="s">
        <v>5</v>
      </c>
    </row>
    <row r="3" spans="1:41" ht="15.6" thickTop="1" thickBot="1">
      <c r="A3" s="357" t="s">
        <v>11</v>
      </c>
      <c r="B3" s="358"/>
      <c r="C3" s="157" t="s">
        <v>12</v>
      </c>
      <c r="D3" s="166" t="s">
        <v>1</v>
      </c>
      <c r="E3" s="167" t="s">
        <v>1</v>
      </c>
      <c r="F3" s="168" t="s">
        <v>2</v>
      </c>
      <c r="G3" s="169" t="s">
        <v>2</v>
      </c>
      <c r="H3" s="169" t="s">
        <v>1</v>
      </c>
      <c r="I3" s="169" t="s">
        <v>1</v>
      </c>
      <c r="J3" s="170" t="s">
        <v>1</v>
      </c>
      <c r="K3" s="130" t="s">
        <v>14</v>
      </c>
      <c r="L3" s="131" t="s">
        <v>14</v>
      </c>
      <c r="M3" s="130" t="s">
        <v>15</v>
      </c>
      <c r="N3" s="130" t="s">
        <v>15</v>
      </c>
      <c r="O3" s="130" t="s">
        <v>15</v>
      </c>
      <c r="P3" s="124" t="s">
        <v>13</v>
      </c>
      <c r="Q3" s="127" t="s">
        <v>16</v>
      </c>
      <c r="R3" s="265" t="s">
        <v>1</v>
      </c>
      <c r="S3" s="259" t="s">
        <v>1</v>
      </c>
      <c r="T3" s="189" t="s">
        <v>2</v>
      </c>
      <c r="U3" s="193" t="s">
        <v>2</v>
      </c>
      <c r="V3" s="183" t="s">
        <v>2</v>
      </c>
      <c r="W3" s="183" t="s">
        <v>2</v>
      </c>
      <c r="X3" s="193" t="s">
        <v>2</v>
      </c>
      <c r="Y3" s="130" t="s">
        <v>16</v>
      </c>
      <c r="Z3" s="131" t="s">
        <v>16</v>
      </c>
      <c r="AA3" s="130" t="s">
        <v>16</v>
      </c>
      <c r="AB3" s="130" t="s">
        <v>13</v>
      </c>
      <c r="AC3" s="130" t="s">
        <v>14</v>
      </c>
      <c r="AD3" s="124" t="s">
        <v>14</v>
      </c>
      <c r="AE3" s="124" t="s">
        <v>14</v>
      </c>
      <c r="AF3" s="166" t="s">
        <v>1</v>
      </c>
      <c r="AG3" s="269" t="s">
        <v>1</v>
      </c>
      <c r="AH3" s="168" t="s">
        <v>2</v>
      </c>
      <c r="AI3" s="345"/>
      <c r="AJ3">
        <f>COUNTIFS(D$3:AH$3,"M")+COUNTIFS(D$3:AH$3,"MG")</f>
        <v>13</v>
      </c>
      <c r="AK3">
        <f>COUNTIFS(D$3:AI$3,"T")+COUNTIFS(D$3:AI$3,"TG")</f>
        <v>3</v>
      </c>
      <c r="AL3">
        <f>COUNTIFS(D$3:AH$3,"N")+COUNTIFS(D$3:AH$3,"NG")</f>
        <v>0</v>
      </c>
      <c r="AM3">
        <f>COUNTIFS(D$3:AH$3,"D")+COUNTIFS(D$3:AH$3,"DG")</f>
        <v>4</v>
      </c>
      <c r="AN3">
        <f>SUM(AJ3:AM3)</f>
        <v>20</v>
      </c>
      <c r="AO3">
        <f>COUNTIFS(F$3:AJ$3,"V")</f>
        <v>0</v>
      </c>
    </row>
    <row r="4" spans="1:41" ht="15.6" thickTop="1" thickBot="1">
      <c r="A4" s="359" t="s">
        <v>17</v>
      </c>
      <c r="B4" s="360"/>
      <c r="C4" s="9" t="s">
        <v>18</v>
      </c>
      <c r="D4" s="124" t="s">
        <v>14</v>
      </c>
      <c r="E4" s="124" t="s">
        <v>14</v>
      </c>
      <c r="F4" s="130" t="s">
        <v>15</v>
      </c>
      <c r="G4" s="130" t="s">
        <v>15</v>
      </c>
      <c r="H4" s="130" t="s">
        <v>15</v>
      </c>
      <c r="I4" s="124" t="s">
        <v>13</v>
      </c>
      <c r="J4" s="127" t="s">
        <v>16</v>
      </c>
      <c r="K4" s="187" t="s">
        <v>1</v>
      </c>
      <c r="L4" s="188" t="s">
        <v>1</v>
      </c>
      <c r="M4" s="189" t="s">
        <v>2</v>
      </c>
      <c r="N4" s="193" t="s">
        <v>2</v>
      </c>
      <c r="O4" s="183" t="s">
        <v>2</v>
      </c>
      <c r="P4" s="183" t="s">
        <v>2</v>
      </c>
      <c r="Q4" s="184" t="s">
        <v>2</v>
      </c>
      <c r="R4" s="266" t="s">
        <v>16</v>
      </c>
      <c r="S4" s="260" t="s">
        <v>16</v>
      </c>
      <c r="T4" s="130" t="s">
        <v>16</v>
      </c>
      <c r="U4" s="130" t="s">
        <v>13</v>
      </c>
      <c r="V4" s="130" t="s">
        <v>14</v>
      </c>
      <c r="W4" s="124" t="s">
        <v>14</v>
      </c>
      <c r="X4" s="124" t="s">
        <v>14</v>
      </c>
      <c r="Y4" s="128" t="s">
        <v>1</v>
      </c>
      <c r="Z4" s="178" t="s">
        <v>1</v>
      </c>
      <c r="AA4" s="132" t="s">
        <v>2</v>
      </c>
      <c r="AB4" s="177" t="s">
        <v>2</v>
      </c>
      <c r="AC4" s="129" t="s">
        <v>1</v>
      </c>
      <c r="AD4" s="129" t="s">
        <v>1</v>
      </c>
      <c r="AE4" s="129" t="s">
        <v>1</v>
      </c>
      <c r="AF4" s="124" t="s">
        <v>14</v>
      </c>
      <c r="AG4" s="124" t="s">
        <v>14</v>
      </c>
      <c r="AH4" s="268" t="s">
        <v>15</v>
      </c>
      <c r="AI4" s="345"/>
      <c r="AJ4">
        <f>COUNTIFS(D$4:AH$4,"M")+COUNTIFS(D$4:AH$4,"MG")</f>
        <v>14</v>
      </c>
      <c r="AK4">
        <f>COUNTIFS(D$4:AI$4,"T")+COUNTIFS(D$4:AI$4,"TG")</f>
        <v>4</v>
      </c>
      <c r="AL4">
        <f>COUNTIFS(F$4:AG$4,"N")+COUNTIFS(F$4:AG$4,"NG")</f>
        <v>0</v>
      </c>
      <c r="AM4">
        <f>COUNTIFS(D$4:AH$4,"D")+COUNTIFS(D$4:AH$4,"DG")</f>
        <v>4</v>
      </c>
      <c r="AN4">
        <f t="shared" ref="AN4:AN10" si="0">SUM(AJ4:AM4)</f>
        <v>22</v>
      </c>
      <c r="AO4">
        <f>COUNTIFS(F$4:AJ$4,"V")</f>
        <v>0</v>
      </c>
    </row>
    <row r="5" spans="1:41" ht="15.6" thickTop="1" thickBot="1">
      <c r="A5" s="359" t="s">
        <v>19</v>
      </c>
      <c r="B5" s="360"/>
      <c r="C5" s="9" t="s">
        <v>20</v>
      </c>
      <c r="D5" s="128" t="s">
        <v>1</v>
      </c>
      <c r="E5" s="178" t="s">
        <v>1</v>
      </c>
      <c r="F5" s="135" t="s">
        <v>2</v>
      </c>
      <c r="G5" s="135" t="s">
        <v>2</v>
      </c>
      <c r="H5" s="135" t="s">
        <v>2</v>
      </c>
      <c r="I5" s="135" t="s">
        <v>2</v>
      </c>
      <c r="J5" s="136" t="s">
        <v>2</v>
      </c>
      <c r="K5" s="175" t="s">
        <v>7</v>
      </c>
      <c r="L5" s="179" t="s">
        <v>7</v>
      </c>
      <c r="M5" s="180" t="s">
        <v>7</v>
      </c>
      <c r="N5" s="135" t="s">
        <v>1</v>
      </c>
      <c r="O5" s="135" t="s">
        <v>2</v>
      </c>
      <c r="P5" s="135" t="s">
        <v>2</v>
      </c>
      <c r="Q5" s="136" t="s">
        <v>2</v>
      </c>
      <c r="R5" s="265" t="s">
        <v>1</v>
      </c>
      <c r="S5" s="261" t="s">
        <v>1</v>
      </c>
      <c r="T5" s="132" t="s">
        <v>2</v>
      </c>
      <c r="U5" s="135" t="s">
        <v>2</v>
      </c>
      <c r="V5" s="135" t="s">
        <v>1</v>
      </c>
      <c r="W5" s="135" t="s">
        <v>1</v>
      </c>
      <c r="X5" s="136" t="s">
        <v>1</v>
      </c>
      <c r="Y5" s="187" t="s">
        <v>2</v>
      </c>
      <c r="Z5" s="188" t="s">
        <v>2</v>
      </c>
      <c r="AA5" s="181" t="s">
        <v>8</v>
      </c>
      <c r="AB5" s="182" t="s">
        <v>8</v>
      </c>
      <c r="AC5" s="182" t="s">
        <v>8</v>
      </c>
      <c r="AD5" s="129" t="s">
        <v>1</v>
      </c>
      <c r="AE5" s="224" t="s">
        <v>7</v>
      </c>
      <c r="AF5" s="166" t="s">
        <v>1</v>
      </c>
      <c r="AG5" s="269" t="s">
        <v>1</v>
      </c>
      <c r="AH5" s="135" t="s">
        <v>2</v>
      </c>
      <c r="AI5" s="345"/>
      <c r="AJ5">
        <f>COUNTIFS(D$5:AH$5,"M")+COUNTIFS(D$5:AH$5,"MG")</f>
        <v>13</v>
      </c>
      <c r="AK5">
        <f>COUNTIFS(D$5:AI$5,"T")+COUNTIFS(E$5:AI$5,"TG")</f>
        <v>3</v>
      </c>
      <c r="AL5">
        <f>COUNTIFS(F$5:AG$5,"N")+COUNTIFS(F$5:AG$5,"NG")</f>
        <v>0</v>
      </c>
      <c r="AM5">
        <f>COUNTIFS(D$5:AH$5,"D")+COUNTIFS(D$5:AH$5,"DG")</f>
        <v>4</v>
      </c>
      <c r="AN5">
        <f t="shared" si="0"/>
        <v>20</v>
      </c>
      <c r="AO5">
        <f>COUNTIFS(F$5:AJ$5,"V")</f>
        <v>0</v>
      </c>
    </row>
    <row r="6" spans="1:41" ht="15.6" thickTop="1" thickBot="1">
      <c r="A6" s="116"/>
      <c r="B6" s="156" t="s">
        <v>21</v>
      </c>
      <c r="C6" s="158" t="s">
        <v>22</v>
      </c>
      <c r="D6" s="185" t="s">
        <v>7</v>
      </c>
      <c r="E6" s="186" t="s">
        <v>7</v>
      </c>
      <c r="F6" s="186" t="s">
        <v>7</v>
      </c>
      <c r="G6" s="183" t="s">
        <v>1</v>
      </c>
      <c r="H6" s="183" t="s">
        <v>2</v>
      </c>
      <c r="I6" s="183" t="s">
        <v>2</v>
      </c>
      <c r="J6" s="184" t="s">
        <v>2</v>
      </c>
      <c r="K6" s="187" t="s">
        <v>1</v>
      </c>
      <c r="L6" s="188" t="s">
        <v>1</v>
      </c>
      <c r="M6" s="189" t="s">
        <v>2</v>
      </c>
      <c r="N6" s="183" t="s">
        <v>2</v>
      </c>
      <c r="O6" s="183" t="s">
        <v>1</v>
      </c>
      <c r="P6" s="183" t="s">
        <v>1</v>
      </c>
      <c r="Q6" s="184" t="s">
        <v>1</v>
      </c>
      <c r="R6" s="265" t="s">
        <v>2</v>
      </c>
      <c r="S6" s="259" t="s">
        <v>2</v>
      </c>
      <c r="T6" s="190" t="s">
        <v>8</v>
      </c>
      <c r="U6" s="191" t="s">
        <v>8</v>
      </c>
      <c r="V6" s="191" t="s">
        <v>8</v>
      </c>
      <c r="W6" s="183" t="s">
        <v>1</v>
      </c>
      <c r="X6" s="192" t="s">
        <v>7</v>
      </c>
      <c r="Y6" s="187" t="s">
        <v>1</v>
      </c>
      <c r="Z6" s="188" t="s">
        <v>1</v>
      </c>
      <c r="AA6" s="189" t="s">
        <v>2</v>
      </c>
      <c r="AB6" s="193" t="s">
        <v>2</v>
      </c>
      <c r="AC6" s="183" t="s">
        <v>2</v>
      </c>
      <c r="AD6" s="183" t="s">
        <v>2</v>
      </c>
      <c r="AE6" s="193" t="s">
        <v>2</v>
      </c>
      <c r="AF6" s="185" t="s">
        <v>7</v>
      </c>
      <c r="AG6" s="186" t="s">
        <v>7</v>
      </c>
      <c r="AH6" s="186" t="s">
        <v>7</v>
      </c>
      <c r="AI6" s="345"/>
      <c r="AJ6">
        <f>COUNTIFS(D$6:AH$6,"M")+COUNTIFS(D$6:AH$6,"MG")</f>
        <v>12</v>
      </c>
      <c r="AK6">
        <f>COUNTIFS(D$6:AI$6,"T")+COUNTIFS(D$6:AI$6,"TG")</f>
        <v>3</v>
      </c>
      <c r="AL6">
        <f>COUNTIFS(F$6:AG$6,"N")+COUNTIFS(F$6:AG$6,"NG")</f>
        <v>0</v>
      </c>
      <c r="AM6">
        <f>COUNTIFS(D$6:AH$6,"D")+COUNTIFS(D$6:AH$6,"DG")</f>
        <v>7</v>
      </c>
      <c r="AN6">
        <f t="shared" si="0"/>
        <v>22</v>
      </c>
      <c r="AO6">
        <f>COUNTIFS(F$6:AJ$6,"V")</f>
        <v>0</v>
      </c>
    </row>
    <row r="7" spans="1:41" ht="15.6" thickTop="1" thickBot="1">
      <c r="A7" s="361" t="s">
        <v>23</v>
      </c>
      <c r="B7" s="362"/>
      <c r="C7" s="157" t="s">
        <v>24</v>
      </c>
      <c r="D7" s="166" t="s">
        <v>1</v>
      </c>
      <c r="E7" s="167" t="s">
        <v>1</v>
      </c>
      <c r="F7" s="171" t="s">
        <v>9</v>
      </c>
      <c r="G7" s="195" t="s">
        <v>9</v>
      </c>
      <c r="H7" s="195" t="s">
        <v>1</v>
      </c>
      <c r="I7" s="173" t="s">
        <v>7</v>
      </c>
      <c r="J7" s="172" t="s">
        <v>1</v>
      </c>
      <c r="K7" s="166" t="s">
        <v>9</v>
      </c>
      <c r="L7" s="167" t="s">
        <v>9</v>
      </c>
      <c r="M7" s="171" t="s">
        <v>1</v>
      </c>
      <c r="N7" s="195" t="s">
        <v>1</v>
      </c>
      <c r="O7" s="173" t="s">
        <v>7</v>
      </c>
      <c r="P7" s="195" t="s">
        <v>8</v>
      </c>
      <c r="Q7" s="172" t="s">
        <v>8</v>
      </c>
      <c r="R7" s="265" t="s">
        <v>8</v>
      </c>
      <c r="S7" s="262" t="s">
        <v>8</v>
      </c>
      <c r="T7" s="171" t="s">
        <v>1</v>
      </c>
      <c r="U7" s="173" t="s">
        <v>7</v>
      </c>
      <c r="V7" s="195" t="s">
        <v>9</v>
      </c>
      <c r="W7" s="195" t="s">
        <v>9</v>
      </c>
      <c r="X7" s="172" t="s">
        <v>9</v>
      </c>
      <c r="Y7" s="166" t="s">
        <v>1</v>
      </c>
      <c r="Z7" s="167" t="s">
        <v>1</v>
      </c>
      <c r="AA7" s="171" t="s">
        <v>9</v>
      </c>
      <c r="AB7" s="196" t="s">
        <v>9</v>
      </c>
      <c r="AC7" s="169" t="s">
        <v>9</v>
      </c>
      <c r="AD7" s="169" t="s">
        <v>9</v>
      </c>
      <c r="AE7" s="226" t="s">
        <v>9</v>
      </c>
      <c r="AF7" s="166" t="s">
        <v>1</v>
      </c>
      <c r="AG7" s="167" t="s">
        <v>1</v>
      </c>
      <c r="AH7" s="171" t="s">
        <v>9</v>
      </c>
      <c r="AI7" s="345"/>
      <c r="AJ7">
        <f>COUNTIFS(D$7:AG$7,"M")+COUNTIFS(D$7:AG$7,"MG")</f>
        <v>0</v>
      </c>
      <c r="AK7">
        <f>COUNTIFS(D$7:AI$7,"T")+COUNTIFS(D$7:AI$7,"TG")</f>
        <v>4</v>
      </c>
      <c r="AL7">
        <f>COUNTIFS(D$7:AH$7,"N")+COUNTIFS(D$7:AH$7,"NG")</f>
        <v>13</v>
      </c>
      <c r="AM7">
        <f>COUNTIFS(D$7:AH$7,"D")+COUNTIFS(D$7:AH$7,"DG")</f>
        <v>3</v>
      </c>
      <c r="AN7">
        <f t="shared" si="0"/>
        <v>20</v>
      </c>
      <c r="AO7">
        <f>COUNTIFS(F$7:AJ$7,"V")</f>
        <v>0</v>
      </c>
    </row>
    <row r="8" spans="1:41" ht="15.6" thickTop="1" thickBot="1">
      <c r="A8" s="346" t="s">
        <v>25</v>
      </c>
      <c r="B8" s="347"/>
      <c r="C8" s="9" t="s">
        <v>26</v>
      </c>
      <c r="D8" s="128" t="s">
        <v>9</v>
      </c>
      <c r="E8" s="178" t="s">
        <v>9</v>
      </c>
      <c r="F8" s="137" t="s">
        <v>1</v>
      </c>
      <c r="G8" s="137" t="s">
        <v>1</v>
      </c>
      <c r="H8" s="175" t="s">
        <v>7</v>
      </c>
      <c r="I8" s="137" t="s">
        <v>8</v>
      </c>
      <c r="J8" s="199" t="s">
        <v>8</v>
      </c>
      <c r="K8" s="128" t="s">
        <v>8</v>
      </c>
      <c r="L8" s="178" t="s">
        <v>8</v>
      </c>
      <c r="M8" s="181" t="s">
        <v>1</v>
      </c>
      <c r="N8" s="175" t="s">
        <v>7</v>
      </c>
      <c r="O8" s="137" t="s">
        <v>9</v>
      </c>
      <c r="P8" s="137" t="s">
        <v>9</v>
      </c>
      <c r="Q8" s="199" t="s">
        <v>9</v>
      </c>
      <c r="R8" s="265" t="s">
        <v>1</v>
      </c>
      <c r="S8" s="261" t="s">
        <v>1</v>
      </c>
      <c r="T8" s="132" t="s">
        <v>9</v>
      </c>
      <c r="U8" s="135" t="s">
        <v>9</v>
      </c>
      <c r="V8" s="135" t="s">
        <v>9</v>
      </c>
      <c r="W8" s="135" t="s">
        <v>9</v>
      </c>
      <c r="X8" s="136" t="s">
        <v>9</v>
      </c>
      <c r="Y8" s="128" t="s">
        <v>1</v>
      </c>
      <c r="Z8" s="178" t="s">
        <v>1</v>
      </c>
      <c r="AA8" s="181" t="s">
        <v>9</v>
      </c>
      <c r="AB8" s="182" t="s">
        <v>9</v>
      </c>
      <c r="AC8" s="197" t="s">
        <v>1</v>
      </c>
      <c r="AD8" s="198" t="s">
        <v>7</v>
      </c>
      <c r="AE8" s="182" t="s">
        <v>1</v>
      </c>
      <c r="AF8" s="128" t="s">
        <v>9</v>
      </c>
      <c r="AG8" s="178" t="s">
        <v>9</v>
      </c>
      <c r="AH8" s="137" t="s">
        <v>1</v>
      </c>
      <c r="AI8" s="345"/>
      <c r="AJ8">
        <f>COUNTIFS(D$7:AG$7,"M")+COUNTIFS(D$7:AG$7,"MG")</f>
        <v>0</v>
      </c>
      <c r="AK8">
        <f>COUNTIFS(D$8:AI$8,"T")+COUNTIFS(D$8:AI$8,"TG")</f>
        <v>4</v>
      </c>
      <c r="AL8">
        <f>COUNTIFS(D$8:AH$8,"N")+COUNTIFS(D$8:AH$8,"NG")</f>
        <v>14</v>
      </c>
      <c r="AM8">
        <f>COUNTIFS(D$8:AH$8,"D")+COUNTIFS(D$8:AH$8,"DG")</f>
        <v>3</v>
      </c>
      <c r="AN8">
        <f t="shared" si="0"/>
        <v>21</v>
      </c>
      <c r="AO8">
        <f>COUNTIFS(F$8:AJ$8,"V")</f>
        <v>0</v>
      </c>
    </row>
    <row r="9" spans="1:41" ht="15.6" thickTop="1" thickBot="1">
      <c r="A9" s="346" t="s">
        <v>27</v>
      </c>
      <c r="B9" s="347"/>
      <c r="C9" s="9" t="s">
        <v>28</v>
      </c>
      <c r="D9" s="128" t="s">
        <v>8</v>
      </c>
      <c r="E9" s="178" t="s">
        <v>8</v>
      </c>
      <c r="F9" s="181" t="s">
        <v>1</v>
      </c>
      <c r="G9" s="175" t="s">
        <v>7</v>
      </c>
      <c r="H9" s="137" t="s">
        <v>9</v>
      </c>
      <c r="I9" s="137" t="s">
        <v>9</v>
      </c>
      <c r="J9" s="199" t="s">
        <v>9</v>
      </c>
      <c r="K9" s="128" t="s">
        <v>1</v>
      </c>
      <c r="L9" s="178" t="s">
        <v>1</v>
      </c>
      <c r="M9" s="132" t="s">
        <v>9</v>
      </c>
      <c r="N9" s="135" t="s">
        <v>9</v>
      </c>
      <c r="O9" s="135" t="s">
        <v>9</v>
      </c>
      <c r="P9" s="135" t="s">
        <v>9</v>
      </c>
      <c r="Q9" s="136" t="s">
        <v>9</v>
      </c>
      <c r="R9" s="265" t="s">
        <v>1</v>
      </c>
      <c r="S9" s="261" t="s">
        <v>1</v>
      </c>
      <c r="T9" s="181" t="s">
        <v>9</v>
      </c>
      <c r="U9" s="137" t="s">
        <v>9</v>
      </c>
      <c r="V9" s="137" t="s">
        <v>1</v>
      </c>
      <c r="W9" s="175" t="s">
        <v>7</v>
      </c>
      <c r="X9" s="199" t="s">
        <v>1</v>
      </c>
      <c r="Y9" s="128" t="s">
        <v>9</v>
      </c>
      <c r="Z9" s="178" t="s">
        <v>9</v>
      </c>
      <c r="AA9" s="182" t="s">
        <v>1</v>
      </c>
      <c r="AB9" s="182" t="s">
        <v>1</v>
      </c>
      <c r="AC9" s="198" t="s">
        <v>7</v>
      </c>
      <c r="AD9" s="137" t="s">
        <v>8</v>
      </c>
      <c r="AE9" s="182" t="s">
        <v>8</v>
      </c>
      <c r="AF9" s="128" t="s">
        <v>8</v>
      </c>
      <c r="AG9" s="178" t="s">
        <v>8</v>
      </c>
      <c r="AH9" s="181" t="s">
        <v>1</v>
      </c>
      <c r="AI9" s="345"/>
      <c r="AJ9">
        <f>COUNTIFS(D$7:AG$7,"M")+COUNTIFS(D$7:AG$7,"MG")</f>
        <v>0</v>
      </c>
      <c r="AK9">
        <f>COUNTIFS(D$9:AI$9,"T")+COUNTIFS(D$9:AI$9,"TG")</f>
        <v>6</v>
      </c>
      <c r="AL9">
        <f>COUNTIFS(D$9:AH$9,"N")+COUNTIFS(D$9:AH$9,"NG")</f>
        <v>12</v>
      </c>
      <c r="AM9">
        <f>COUNTIFS(D$9:AH$9,"D")+COUNTIFS(D$9:AH$9,"DG")</f>
        <v>3</v>
      </c>
      <c r="AN9">
        <f t="shared" si="0"/>
        <v>21</v>
      </c>
      <c r="AO9">
        <f>COUNTIFS(F$9:AJ$9,"V")</f>
        <v>0</v>
      </c>
    </row>
    <row r="10" spans="1:41" ht="15.6" thickTop="1" thickBot="1">
      <c r="A10" s="348" t="s">
        <v>29</v>
      </c>
      <c r="B10" s="349"/>
      <c r="C10" s="9" t="s">
        <v>30</v>
      </c>
      <c r="D10" s="138" t="s">
        <v>1</v>
      </c>
      <c r="E10" s="202" t="s">
        <v>1</v>
      </c>
      <c r="F10" s="203" t="s">
        <v>9</v>
      </c>
      <c r="G10" s="204" t="s">
        <v>9</v>
      </c>
      <c r="H10" s="204" t="s">
        <v>9</v>
      </c>
      <c r="I10" s="204" t="s">
        <v>9</v>
      </c>
      <c r="J10" s="205" t="s">
        <v>9</v>
      </c>
      <c r="K10" s="138" t="s">
        <v>1</v>
      </c>
      <c r="L10" s="202" t="s">
        <v>1</v>
      </c>
      <c r="M10" s="206" t="s">
        <v>9</v>
      </c>
      <c r="N10" s="200" t="s">
        <v>9</v>
      </c>
      <c r="O10" s="200" t="s">
        <v>1</v>
      </c>
      <c r="P10" s="207" t="s">
        <v>7</v>
      </c>
      <c r="Q10" s="201" t="s">
        <v>1</v>
      </c>
      <c r="R10" s="265" t="s">
        <v>9</v>
      </c>
      <c r="S10" s="263" t="s">
        <v>9</v>
      </c>
      <c r="T10" s="200" t="s">
        <v>1</v>
      </c>
      <c r="U10" s="200" t="s">
        <v>1</v>
      </c>
      <c r="V10" s="207" t="s">
        <v>7</v>
      </c>
      <c r="W10" s="200" t="s">
        <v>8</v>
      </c>
      <c r="X10" s="201" t="s">
        <v>8</v>
      </c>
      <c r="Y10" s="138" t="s">
        <v>8</v>
      </c>
      <c r="Z10" s="202" t="s">
        <v>8</v>
      </c>
      <c r="AA10" s="206" t="s">
        <v>1</v>
      </c>
      <c r="AB10" s="208" t="s">
        <v>7</v>
      </c>
      <c r="AC10" s="200" t="s">
        <v>9</v>
      </c>
      <c r="AD10" s="200" t="s">
        <v>9</v>
      </c>
      <c r="AE10" s="228" t="s">
        <v>9</v>
      </c>
      <c r="AF10" s="138" t="s">
        <v>1</v>
      </c>
      <c r="AG10" s="202" t="s">
        <v>1</v>
      </c>
      <c r="AH10" s="203" t="s">
        <v>9</v>
      </c>
      <c r="AI10" s="345"/>
      <c r="AJ10">
        <f>COUNTIFS(D$7:AG$7,"M")+COUNTIFS(D$7:AG$7,"MG")</f>
        <v>0</v>
      </c>
      <c r="AK10">
        <f>COUNTIFS(D$10:AI$10,"T")+COUNTIFS(D$10:AI$10,"TG")</f>
        <v>4</v>
      </c>
      <c r="AL10">
        <f>COUNTIFS(D$10:AH$10,"N")+COUNTIFS(D$10:AH$10,"NG")</f>
        <v>13</v>
      </c>
      <c r="AM10">
        <f>COUNTIFS(D$10:AH$10,"D")+COUNTIFS(D$10:AH$10,"DG")</f>
        <v>3</v>
      </c>
      <c r="AN10">
        <f t="shared" si="0"/>
        <v>20</v>
      </c>
      <c r="AO10">
        <f>COUNTIFS(F$10:AJ$10,"V")</f>
        <v>0</v>
      </c>
    </row>
    <row r="11" spans="1:41">
      <c r="A11" s="353"/>
      <c r="B11" s="353"/>
      <c r="C11" s="345"/>
      <c r="D11" s="345"/>
      <c r="E11" s="345"/>
      <c r="F11" s="345"/>
      <c r="G11" s="345"/>
      <c r="H11" s="345"/>
      <c r="I11" s="345"/>
      <c r="J11" s="34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W11" s="345"/>
      <c r="X11" s="345"/>
      <c r="Y11" s="345"/>
      <c r="Z11" s="345"/>
      <c r="AA11" s="345"/>
      <c r="AB11" s="345"/>
      <c r="AC11" s="345"/>
      <c r="AD11" s="345"/>
      <c r="AE11" s="345"/>
      <c r="AF11" s="345"/>
      <c r="AG11" s="345"/>
      <c r="AH11" s="345"/>
      <c r="AI11" s="345"/>
    </row>
    <row r="12" spans="1:41" ht="15" thickBot="1">
      <c r="A12" s="345"/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345"/>
      <c r="M12" s="345"/>
      <c r="N12" s="345"/>
      <c r="O12" s="345"/>
      <c r="P12" s="345"/>
      <c r="Q12" s="345"/>
      <c r="R12" s="345"/>
      <c r="S12" s="345"/>
      <c r="T12" s="345"/>
      <c r="U12" s="345"/>
      <c r="V12" s="345"/>
      <c r="W12" s="345"/>
      <c r="X12" s="345"/>
      <c r="Y12" s="345"/>
      <c r="Z12" s="345"/>
      <c r="AA12" s="345"/>
      <c r="AB12" s="345"/>
      <c r="AC12" s="345"/>
      <c r="AD12" s="345"/>
      <c r="AE12" s="345"/>
      <c r="AF12" s="345"/>
      <c r="AG12" s="345"/>
      <c r="AH12" s="345"/>
      <c r="AI12" s="345"/>
    </row>
    <row r="13" spans="1:41" ht="15.6" thickTop="1" thickBot="1">
      <c r="A13" s="345"/>
      <c r="B13" s="345"/>
      <c r="C13" s="271" t="s">
        <v>31</v>
      </c>
      <c r="D13" s="255">
        <f>SUM(D14:D16)</f>
        <v>3</v>
      </c>
      <c r="E13" s="241">
        <f t="shared" ref="E13:AG13" si="1">SUM(E14:E16)</f>
        <v>3</v>
      </c>
      <c r="F13" s="249">
        <f t="shared" si="1"/>
        <v>5</v>
      </c>
      <c r="G13" s="240">
        <f t="shared" si="1"/>
        <v>5</v>
      </c>
      <c r="H13" s="240">
        <f t="shared" si="1"/>
        <v>5</v>
      </c>
      <c r="I13" s="240">
        <f t="shared" si="1"/>
        <v>5</v>
      </c>
      <c r="J13" s="246">
        <f t="shared" si="1"/>
        <v>5</v>
      </c>
      <c r="K13" s="255">
        <f t="shared" si="1"/>
        <v>3</v>
      </c>
      <c r="L13" s="241">
        <f t="shared" si="1"/>
        <v>3</v>
      </c>
      <c r="M13" s="249">
        <f t="shared" si="1"/>
        <v>5</v>
      </c>
      <c r="N13" s="240">
        <f t="shared" si="1"/>
        <v>5</v>
      </c>
      <c r="O13" s="240">
        <f t="shared" si="1"/>
        <v>5</v>
      </c>
      <c r="P13" s="240">
        <f t="shared" si="1"/>
        <v>5</v>
      </c>
      <c r="Q13" s="246">
        <f t="shared" si="1"/>
        <v>5</v>
      </c>
      <c r="R13" s="312">
        <f t="shared" si="1"/>
        <v>3</v>
      </c>
      <c r="S13" s="274">
        <f t="shared" si="1"/>
        <v>3</v>
      </c>
      <c r="T13" s="249">
        <f t="shared" si="1"/>
        <v>5</v>
      </c>
      <c r="U13" s="240">
        <f t="shared" si="1"/>
        <v>5</v>
      </c>
      <c r="V13" s="240">
        <f t="shared" si="1"/>
        <v>5</v>
      </c>
      <c r="W13" s="240">
        <f t="shared" si="1"/>
        <v>5</v>
      </c>
      <c r="X13" s="246">
        <f>SUM(X14:X16)</f>
        <v>5</v>
      </c>
      <c r="Y13" s="255">
        <f t="shared" si="1"/>
        <v>3</v>
      </c>
      <c r="Z13" s="241">
        <f t="shared" si="1"/>
        <v>3</v>
      </c>
      <c r="AA13" s="249">
        <f t="shared" si="1"/>
        <v>5</v>
      </c>
      <c r="AB13" s="240">
        <f t="shared" si="1"/>
        <v>5</v>
      </c>
      <c r="AC13" s="240">
        <f t="shared" si="1"/>
        <v>5</v>
      </c>
      <c r="AD13" s="240">
        <f t="shared" si="1"/>
        <v>5</v>
      </c>
      <c r="AE13" s="246">
        <f t="shared" si="1"/>
        <v>5</v>
      </c>
      <c r="AF13" s="255">
        <f t="shared" si="1"/>
        <v>3</v>
      </c>
      <c r="AG13" s="241">
        <f t="shared" si="1"/>
        <v>3</v>
      </c>
      <c r="AH13" s="274">
        <f>SUM(AH14:AH16)</f>
        <v>5</v>
      </c>
      <c r="AI13" s="345"/>
    </row>
    <row r="14" spans="1:41" ht="15.6" thickTop="1" thickBot="1">
      <c r="A14" s="345"/>
      <c r="B14" s="345"/>
      <c r="C14" s="272" t="s">
        <v>2</v>
      </c>
      <c r="D14" s="256">
        <f>COUNTIFS(D$3:D$10,"M")+COUNTIFS(D$3:D$10,"MG")</f>
        <v>1</v>
      </c>
      <c r="E14" s="242">
        <f>COUNTIFS(E$3:E$10,"M")+COUNTIFS(E$3:E$10,"MG")</f>
        <v>1</v>
      </c>
      <c r="F14" s="250">
        <f t="shared" ref="F14:AG14" si="2">COUNTIFS(F$3:F$10,"M")+COUNTIFS(F$3:F$10,"MG")</f>
        <v>2</v>
      </c>
      <c r="G14" s="237">
        <f t="shared" si="2"/>
        <v>2</v>
      </c>
      <c r="H14" s="237">
        <f t="shared" si="2"/>
        <v>2</v>
      </c>
      <c r="I14" s="237">
        <f t="shared" si="2"/>
        <v>2</v>
      </c>
      <c r="J14" s="247">
        <f t="shared" si="2"/>
        <v>2</v>
      </c>
      <c r="K14" s="256">
        <f t="shared" si="2"/>
        <v>1</v>
      </c>
      <c r="L14" s="242">
        <f t="shared" si="2"/>
        <v>1</v>
      </c>
      <c r="M14" s="250">
        <f t="shared" si="2"/>
        <v>2</v>
      </c>
      <c r="N14" s="237">
        <f t="shared" si="2"/>
        <v>2</v>
      </c>
      <c r="O14" s="237">
        <f t="shared" si="2"/>
        <v>2</v>
      </c>
      <c r="P14" s="237">
        <f t="shared" si="2"/>
        <v>2</v>
      </c>
      <c r="Q14" s="247">
        <f t="shared" si="2"/>
        <v>2</v>
      </c>
      <c r="R14" s="313">
        <f t="shared" si="2"/>
        <v>1</v>
      </c>
      <c r="S14" s="275">
        <f t="shared" si="2"/>
        <v>1</v>
      </c>
      <c r="T14" s="250">
        <f t="shared" si="2"/>
        <v>2</v>
      </c>
      <c r="U14" s="237">
        <f t="shared" si="2"/>
        <v>2</v>
      </c>
      <c r="V14" s="237">
        <f t="shared" si="2"/>
        <v>2</v>
      </c>
      <c r="W14" s="237">
        <f t="shared" si="2"/>
        <v>2</v>
      </c>
      <c r="X14" s="247">
        <f t="shared" si="2"/>
        <v>2</v>
      </c>
      <c r="Y14" s="256">
        <f t="shared" si="2"/>
        <v>1</v>
      </c>
      <c r="Z14" s="242">
        <f t="shared" si="2"/>
        <v>1</v>
      </c>
      <c r="AA14" s="250">
        <f t="shared" si="2"/>
        <v>2</v>
      </c>
      <c r="AB14" s="237">
        <f t="shared" si="2"/>
        <v>2</v>
      </c>
      <c r="AC14" s="237">
        <f t="shared" si="2"/>
        <v>2</v>
      </c>
      <c r="AD14" s="237">
        <f t="shared" si="2"/>
        <v>2</v>
      </c>
      <c r="AE14" s="247">
        <f t="shared" si="2"/>
        <v>2</v>
      </c>
      <c r="AF14" s="256">
        <f t="shared" si="2"/>
        <v>1</v>
      </c>
      <c r="AG14" s="242">
        <f t="shared" si="2"/>
        <v>1</v>
      </c>
      <c r="AH14" s="275">
        <f>COUNTIFS(AH$3:AH$10,"M")+COUNTIFS(AH$3:AH$10,"MG")</f>
        <v>2</v>
      </c>
      <c r="AI14" s="345"/>
    </row>
    <row r="15" spans="1:41" ht="15.6" thickTop="1" thickBot="1">
      <c r="A15" s="345"/>
      <c r="B15" s="345"/>
      <c r="C15" s="272" t="s">
        <v>8</v>
      </c>
      <c r="D15" s="257">
        <f>COUNTIFS(D$3:D$10,"T")+COUNTIFS(D$3:D$10,"TG")</f>
        <v>1</v>
      </c>
      <c r="E15" s="91">
        <f t="shared" ref="E15:AG15" si="3">COUNTIFS(E$3:E$10,"T")+COUNTIFS(E$3:E$10,"TG")</f>
        <v>1</v>
      </c>
      <c r="F15" s="251">
        <f t="shared" si="3"/>
        <v>1</v>
      </c>
      <c r="G15" s="238">
        <f t="shared" si="3"/>
        <v>1</v>
      </c>
      <c r="H15" s="238">
        <f t="shared" si="3"/>
        <v>1</v>
      </c>
      <c r="I15" s="238">
        <f t="shared" si="3"/>
        <v>1</v>
      </c>
      <c r="J15" s="43">
        <f t="shared" si="3"/>
        <v>1</v>
      </c>
      <c r="K15" s="257">
        <f t="shared" si="3"/>
        <v>1</v>
      </c>
      <c r="L15" s="91">
        <f t="shared" si="3"/>
        <v>1</v>
      </c>
      <c r="M15" s="251">
        <f t="shared" si="3"/>
        <v>1</v>
      </c>
      <c r="N15" s="238">
        <f t="shared" si="3"/>
        <v>1</v>
      </c>
      <c r="O15" s="238">
        <f t="shared" si="3"/>
        <v>1</v>
      </c>
      <c r="P15" s="238">
        <f t="shared" si="3"/>
        <v>1</v>
      </c>
      <c r="Q15" s="43">
        <f t="shared" si="3"/>
        <v>1</v>
      </c>
      <c r="R15" s="314">
        <f t="shared" si="3"/>
        <v>1</v>
      </c>
      <c r="S15" s="276">
        <f t="shared" si="3"/>
        <v>1</v>
      </c>
      <c r="T15" s="251">
        <f t="shared" si="3"/>
        <v>1</v>
      </c>
      <c r="U15" s="238">
        <f t="shared" si="3"/>
        <v>1</v>
      </c>
      <c r="V15" s="238">
        <f t="shared" si="3"/>
        <v>1</v>
      </c>
      <c r="W15" s="238">
        <f t="shared" si="3"/>
        <v>1</v>
      </c>
      <c r="X15" s="43">
        <f t="shared" si="3"/>
        <v>1</v>
      </c>
      <c r="Y15" s="257">
        <f t="shared" si="3"/>
        <v>1</v>
      </c>
      <c r="Z15" s="91">
        <f t="shared" si="3"/>
        <v>1</v>
      </c>
      <c r="AA15" s="251">
        <f t="shared" si="3"/>
        <v>1</v>
      </c>
      <c r="AB15" s="238">
        <f t="shared" si="3"/>
        <v>1</v>
      </c>
      <c r="AC15" s="238">
        <f t="shared" si="3"/>
        <v>1</v>
      </c>
      <c r="AD15" s="238">
        <f t="shared" si="3"/>
        <v>1</v>
      </c>
      <c r="AE15" s="43">
        <f t="shared" si="3"/>
        <v>1</v>
      </c>
      <c r="AF15" s="257">
        <f t="shared" si="3"/>
        <v>1</v>
      </c>
      <c r="AG15" s="91">
        <f t="shared" si="3"/>
        <v>1</v>
      </c>
      <c r="AH15" s="276">
        <f>COUNTIFS(AH$3:AH$10,"T")+COUNTIFS(AH$3:AH$10,"TG")</f>
        <v>1</v>
      </c>
      <c r="AI15" s="345"/>
    </row>
    <row r="16" spans="1:41" ht="15.6" thickTop="1" thickBot="1">
      <c r="A16" s="345"/>
      <c r="B16" s="345"/>
      <c r="C16" s="272" t="s">
        <v>9</v>
      </c>
      <c r="D16" s="66">
        <f>COUNTIFS(D$3:D$10,"N")+COUNTIFS(D$3:D$10,"NG")</f>
        <v>1</v>
      </c>
      <c r="E16" s="93">
        <f t="shared" ref="E16:AG16" si="4">COUNTIFS(E$3:E$10,"N")+COUNTIFS(E$3:E$10,"NG")</f>
        <v>1</v>
      </c>
      <c r="F16" s="252">
        <f t="shared" si="4"/>
        <v>2</v>
      </c>
      <c r="G16" s="150">
        <f t="shared" si="4"/>
        <v>2</v>
      </c>
      <c r="H16" s="150">
        <f t="shared" si="4"/>
        <v>2</v>
      </c>
      <c r="I16" s="150">
        <f t="shared" si="4"/>
        <v>2</v>
      </c>
      <c r="J16" s="44">
        <f t="shared" si="4"/>
        <v>2</v>
      </c>
      <c r="K16" s="66">
        <f t="shared" si="4"/>
        <v>1</v>
      </c>
      <c r="L16" s="93">
        <f t="shared" si="4"/>
        <v>1</v>
      </c>
      <c r="M16" s="252">
        <f t="shared" si="4"/>
        <v>2</v>
      </c>
      <c r="N16" s="150">
        <f t="shared" si="4"/>
        <v>2</v>
      </c>
      <c r="O16" s="150">
        <f t="shared" si="4"/>
        <v>2</v>
      </c>
      <c r="P16" s="150">
        <f t="shared" si="4"/>
        <v>2</v>
      </c>
      <c r="Q16" s="44">
        <f t="shared" si="4"/>
        <v>2</v>
      </c>
      <c r="R16" s="315">
        <f t="shared" si="4"/>
        <v>1</v>
      </c>
      <c r="S16" s="277">
        <f t="shared" si="4"/>
        <v>1</v>
      </c>
      <c r="T16" s="252">
        <f t="shared" si="4"/>
        <v>2</v>
      </c>
      <c r="U16" s="150">
        <f t="shared" si="4"/>
        <v>2</v>
      </c>
      <c r="V16" s="150">
        <f t="shared" si="4"/>
        <v>2</v>
      </c>
      <c r="W16" s="150">
        <f t="shared" si="4"/>
        <v>2</v>
      </c>
      <c r="X16" s="44">
        <f t="shared" si="4"/>
        <v>2</v>
      </c>
      <c r="Y16" s="66">
        <f t="shared" si="4"/>
        <v>1</v>
      </c>
      <c r="Z16" s="93">
        <f t="shared" si="4"/>
        <v>1</v>
      </c>
      <c r="AA16" s="252">
        <f t="shared" si="4"/>
        <v>2</v>
      </c>
      <c r="AB16" s="150">
        <f t="shared" si="4"/>
        <v>2</v>
      </c>
      <c r="AC16" s="150">
        <f t="shared" si="4"/>
        <v>2</v>
      </c>
      <c r="AD16" s="150">
        <f t="shared" si="4"/>
        <v>2</v>
      </c>
      <c r="AE16" s="44">
        <f t="shared" si="4"/>
        <v>2</v>
      </c>
      <c r="AF16" s="66">
        <f t="shared" si="4"/>
        <v>1</v>
      </c>
      <c r="AG16" s="93">
        <f t="shared" si="4"/>
        <v>1</v>
      </c>
      <c r="AH16" s="277">
        <f>COUNTIFS(AH$3:AH$10,"N")+COUNTIFS(AH$3:AH$10,"NG")</f>
        <v>2</v>
      </c>
      <c r="AI16" s="345"/>
    </row>
    <row r="17" spans="1:35" ht="15.6" thickTop="1" thickBot="1">
      <c r="A17" s="345"/>
      <c r="B17" s="345"/>
      <c r="C17" s="272" t="s">
        <v>7</v>
      </c>
      <c r="D17" s="258">
        <f>COUNTIFS(D$3:D$10,"D")+COUNTIFS(D$3:D$10,"DG")</f>
        <v>1</v>
      </c>
      <c r="E17" s="243">
        <f t="shared" ref="E17:AG17" si="5">COUNTIFS(E$3:E$10,"D")+COUNTIFS(E$3:E$10,"DG")</f>
        <v>1</v>
      </c>
      <c r="F17" s="253">
        <f t="shared" si="5"/>
        <v>1</v>
      </c>
      <c r="G17" s="239">
        <f t="shared" si="5"/>
        <v>1</v>
      </c>
      <c r="H17" s="239">
        <f t="shared" si="5"/>
        <v>1</v>
      </c>
      <c r="I17" s="239">
        <f t="shared" si="5"/>
        <v>1</v>
      </c>
      <c r="J17" s="248">
        <f t="shared" si="5"/>
        <v>1</v>
      </c>
      <c r="K17" s="258">
        <f t="shared" si="5"/>
        <v>1</v>
      </c>
      <c r="L17" s="243">
        <f t="shared" si="5"/>
        <v>1</v>
      </c>
      <c r="M17" s="253">
        <f t="shared" si="5"/>
        <v>1</v>
      </c>
      <c r="N17" s="239">
        <f t="shared" si="5"/>
        <v>1</v>
      </c>
      <c r="O17" s="239">
        <f t="shared" si="5"/>
        <v>1</v>
      </c>
      <c r="P17" s="239">
        <f t="shared" si="5"/>
        <v>1</v>
      </c>
      <c r="Q17" s="248">
        <f t="shared" si="5"/>
        <v>1</v>
      </c>
      <c r="R17" s="316">
        <f t="shared" si="5"/>
        <v>1</v>
      </c>
      <c r="S17" s="278">
        <f t="shared" si="5"/>
        <v>1</v>
      </c>
      <c r="T17" s="253">
        <f t="shared" si="5"/>
        <v>1</v>
      </c>
      <c r="U17" s="239">
        <f t="shared" si="5"/>
        <v>1</v>
      </c>
      <c r="V17" s="239">
        <f t="shared" si="5"/>
        <v>1</v>
      </c>
      <c r="W17" s="239">
        <f t="shared" si="5"/>
        <v>1</v>
      </c>
      <c r="X17" s="248">
        <f t="shared" si="5"/>
        <v>1</v>
      </c>
      <c r="Y17" s="258">
        <f t="shared" si="5"/>
        <v>1</v>
      </c>
      <c r="Z17" s="243">
        <f t="shared" si="5"/>
        <v>1</v>
      </c>
      <c r="AA17" s="253">
        <f t="shared" si="5"/>
        <v>1</v>
      </c>
      <c r="AB17" s="239">
        <f t="shared" si="5"/>
        <v>1</v>
      </c>
      <c r="AC17" s="239">
        <f t="shared" si="5"/>
        <v>1</v>
      </c>
      <c r="AD17" s="239">
        <f t="shared" si="5"/>
        <v>1</v>
      </c>
      <c r="AE17" s="248">
        <f t="shared" si="5"/>
        <v>1</v>
      </c>
      <c r="AF17" s="258">
        <f t="shared" si="5"/>
        <v>1</v>
      </c>
      <c r="AG17" s="243">
        <f t="shared" si="5"/>
        <v>1</v>
      </c>
      <c r="AH17" s="278">
        <f>COUNTIFS(AH$3:AH$10,"D")+COUNTIFS(AH$3:AH$10,"DG")</f>
        <v>1</v>
      </c>
      <c r="AI17" s="345"/>
    </row>
    <row r="18" spans="1:35" ht="15.6" thickTop="1" thickBot="1">
      <c r="A18" s="345"/>
      <c r="B18" s="345"/>
      <c r="C18" s="272" t="s">
        <v>1</v>
      </c>
      <c r="D18" s="159">
        <f>COUNTIFS(D$3:D$10,"L")+COUNTIFS(D$3:D$10,"LG")</f>
        <v>4</v>
      </c>
      <c r="E18" s="244">
        <f t="shared" ref="E18:AG18" si="6">COUNTIFS(E$3:E$10,"L")+COUNTIFS(E$3:E$10,"LG")</f>
        <v>4</v>
      </c>
      <c r="F18" s="140">
        <f t="shared" si="6"/>
        <v>2</v>
      </c>
      <c r="G18" s="139">
        <f t="shared" si="6"/>
        <v>2</v>
      </c>
      <c r="H18" s="139">
        <f t="shared" si="6"/>
        <v>2</v>
      </c>
      <c r="I18" s="139">
        <f t="shared" si="6"/>
        <v>2</v>
      </c>
      <c r="J18" s="48">
        <f t="shared" si="6"/>
        <v>2</v>
      </c>
      <c r="K18" s="159">
        <f t="shared" si="6"/>
        <v>4</v>
      </c>
      <c r="L18" s="244">
        <f t="shared" si="6"/>
        <v>4</v>
      </c>
      <c r="M18" s="140">
        <f t="shared" si="6"/>
        <v>2</v>
      </c>
      <c r="N18" s="139">
        <f t="shared" si="6"/>
        <v>2</v>
      </c>
      <c r="O18" s="139">
        <f t="shared" si="6"/>
        <v>2</v>
      </c>
      <c r="P18" s="139">
        <f t="shared" si="6"/>
        <v>2</v>
      </c>
      <c r="Q18" s="48">
        <f t="shared" si="6"/>
        <v>2</v>
      </c>
      <c r="R18" s="317">
        <f t="shared" si="6"/>
        <v>4</v>
      </c>
      <c r="S18" s="279">
        <f t="shared" si="6"/>
        <v>4</v>
      </c>
      <c r="T18" s="140">
        <f t="shared" si="6"/>
        <v>2</v>
      </c>
      <c r="U18" s="139">
        <f t="shared" si="6"/>
        <v>2</v>
      </c>
      <c r="V18" s="139">
        <f t="shared" si="6"/>
        <v>2</v>
      </c>
      <c r="W18" s="139">
        <f t="shared" si="6"/>
        <v>2</v>
      </c>
      <c r="X18" s="48">
        <f t="shared" si="6"/>
        <v>2</v>
      </c>
      <c r="Y18" s="159">
        <f t="shared" si="6"/>
        <v>4</v>
      </c>
      <c r="Z18" s="244">
        <f t="shared" si="6"/>
        <v>4</v>
      </c>
      <c r="AA18" s="140">
        <f t="shared" si="6"/>
        <v>2</v>
      </c>
      <c r="AB18" s="139">
        <f t="shared" si="6"/>
        <v>2</v>
      </c>
      <c r="AC18" s="139">
        <f t="shared" si="6"/>
        <v>2</v>
      </c>
      <c r="AD18" s="139">
        <f t="shared" si="6"/>
        <v>2</v>
      </c>
      <c r="AE18" s="48">
        <f t="shared" si="6"/>
        <v>2</v>
      </c>
      <c r="AF18" s="159">
        <f t="shared" si="6"/>
        <v>4</v>
      </c>
      <c r="AG18" s="244">
        <f t="shared" si="6"/>
        <v>4</v>
      </c>
      <c r="AH18" s="279">
        <f>COUNTIFS(AH$3:AH$10,"L")+COUNTIFS(AH$3:AH$10,"LG")</f>
        <v>2</v>
      </c>
      <c r="AI18" s="345"/>
    </row>
    <row r="19" spans="1:35" ht="15.6" thickTop="1" thickBot="1">
      <c r="A19" s="345"/>
      <c r="B19" s="345"/>
      <c r="C19" s="272" t="s">
        <v>32</v>
      </c>
      <c r="D19" s="68">
        <f t="shared" ref="D19:I19" si="7">COUNTIFS(D$3:D$10,"MG")+COUNTIFS(D$3:D$10,"TG")+COUNTIFS(D$3:D$10,"LG")+COUNTIFS(D$3:D$10,"DG")</f>
        <v>1</v>
      </c>
      <c r="E19" s="69">
        <f t="shared" si="7"/>
        <v>1</v>
      </c>
      <c r="F19" s="5">
        <f t="shared" si="7"/>
        <v>1</v>
      </c>
      <c r="G19" s="3">
        <f t="shared" si="7"/>
        <v>1</v>
      </c>
      <c r="H19" s="3">
        <f t="shared" si="7"/>
        <v>1</v>
      </c>
      <c r="I19" s="3">
        <f t="shared" si="7"/>
        <v>1</v>
      </c>
      <c r="J19" s="51">
        <f t="shared" ref="J19:AG19" si="8">COUNTIFS(J$3:J$10,"MG")+COUNTIFS(J$3:J$10,"TG")+COUNTIFS(J$3:J$10,"LG")+COUNTIFS(J$3:J$10,"DG")</f>
        <v>1</v>
      </c>
      <c r="K19" s="68">
        <f t="shared" si="8"/>
        <v>1</v>
      </c>
      <c r="L19" s="69">
        <f t="shared" si="8"/>
        <v>1</v>
      </c>
      <c r="M19" s="5">
        <f t="shared" si="8"/>
        <v>1</v>
      </c>
      <c r="N19" s="3">
        <f t="shared" si="8"/>
        <v>1</v>
      </c>
      <c r="O19" s="3">
        <f t="shared" si="8"/>
        <v>1</v>
      </c>
      <c r="P19" s="3">
        <f t="shared" si="8"/>
        <v>1</v>
      </c>
      <c r="Q19" s="51">
        <f t="shared" si="8"/>
        <v>1</v>
      </c>
      <c r="R19" s="318">
        <f t="shared" si="8"/>
        <v>1</v>
      </c>
      <c r="S19" s="280">
        <f t="shared" si="8"/>
        <v>1</v>
      </c>
      <c r="T19" s="5">
        <f t="shared" si="8"/>
        <v>1</v>
      </c>
      <c r="U19" s="3">
        <f t="shared" si="8"/>
        <v>1</v>
      </c>
      <c r="V19" s="3">
        <f t="shared" si="8"/>
        <v>1</v>
      </c>
      <c r="W19" s="3">
        <f t="shared" si="8"/>
        <v>1</v>
      </c>
      <c r="X19" s="51">
        <f t="shared" si="8"/>
        <v>1</v>
      </c>
      <c r="Y19" s="68">
        <f t="shared" si="8"/>
        <v>1</v>
      </c>
      <c r="Z19" s="69">
        <f t="shared" si="8"/>
        <v>1</v>
      </c>
      <c r="AA19" s="5">
        <f t="shared" si="8"/>
        <v>1</v>
      </c>
      <c r="AB19" s="3">
        <f t="shared" si="8"/>
        <v>1</v>
      </c>
      <c r="AC19" s="3">
        <f t="shared" si="8"/>
        <v>1</v>
      </c>
      <c r="AD19" s="3">
        <f t="shared" si="8"/>
        <v>1</v>
      </c>
      <c r="AE19" s="51">
        <f t="shared" si="8"/>
        <v>1</v>
      </c>
      <c r="AF19" s="68">
        <f t="shared" si="8"/>
        <v>1</v>
      </c>
      <c r="AG19" s="69">
        <f t="shared" si="8"/>
        <v>1</v>
      </c>
      <c r="AH19" s="280">
        <f>COUNTIFS(AH$3:AH$10,"MG")+COUNTIFS(AH$3:AH$10,"TG")+COUNTIFS(AH$3:AH$10,"LG")+COUNTIFS(AH$3:AH$10,"DG")</f>
        <v>1</v>
      </c>
      <c r="AI19" s="345"/>
    </row>
    <row r="20" spans="1:35" ht="15.6" thickTop="1" thickBot="1">
      <c r="A20" s="345"/>
      <c r="B20" s="345"/>
      <c r="C20" s="273" t="s">
        <v>5</v>
      </c>
      <c r="D20" s="160">
        <f>COUNTIFS(D$3:D$10,"V")</f>
        <v>0</v>
      </c>
      <c r="E20" s="101">
        <f t="shared" ref="E20:AG20" si="9">COUNTIFS(E$3:E$10,"V")</f>
        <v>0</v>
      </c>
      <c r="F20" s="254">
        <f t="shared" si="9"/>
        <v>0</v>
      </c>
      <c r="G20" s="245">
        <f t="shared" si="9"/>
        <v>0</v>
      </c>
      <c r="H20" s="245">
        <f t="shared" si="9"/>
        <v>0</v>
      </c>
      <c r="I20" s="245">
        <f t="shared" si="9"/>
        <v>0</v>
      </c>
      <c r="J20" s="236">
        <f t="shared" si="9"/>
        <v>0</v>
      </c>
      <c r="K20" s="160">
        <f t="shared" si="9"/>
        <v>0</v>
      </c>
      <c r="L20" s="101">
        <f t="shared" si="9"/>
        <v>0</v>
      </c>
      <c r="M20" s="254">
        <f t="shared" si="9"/>
        <v>0</v>
      </c>
      <c r="N20" s="245">
        <f t="shared" si="9"/>
        <v>0</v>
      </c>
      <c r="O20" s="245">
        <f t="shared" si="9"/>
        <v>0</v>
      </c>
      <c r="P20" s="245">
        <f t="shared" si="9"/>
        <v>0</v>
      </c>
      <c r="Q20" s="236">
        <f t="shared" si="9"/>
        <v>0</v>
      </c>
      <c r="R20" s="317">
        <f t="shared" si="9"/>
        <v>0</v>
      </c>
      <c r="S20" s="281">
        <f t="shared" si="9"/>
        <v>0</v>
      </c>
      <c r="T20" s="254">
        <f t="shared" si="9"/>
        <v>0</v>
      </c>
      <c r="U20" s="245">
        <f t="shared" si="9"/>
        <v>0</v>
      </c>
      <c r="V20" s="245">
        <f t="shared" si="9"/>
        <v>0</v>
      </c>
      <c r="W20" s="245">
        <f t="shared" si="9"/>
        <v>0</v>
      </c>
      <c r="X20" s="236">
        <f t="shared" si="9"/>
        <v>0</v>
      </c>
      <c r="Y20" s="160">
        <f t="shared" si="9"/>
        <v>0</v>
      </c>
      <c r="Z20" s="101">
        <f t="shared" si="9"/>
        <v>0</v>
      </c>
      <c r="AA20" s="254">
        <f t="shared" si="9"/>
        <v>0</v>
      </c>
      <c r="AB20" s="245">
        <f t="shared" si="9"/>
        <v>0</v>
      </c>
      <c r="AC20" s="245">
        <f t="shared" si="9"/>
        <v>0</v>
      </c>
      <c r="AD20" s="245">
        <f t="shared" si="9"/>
        <v>0</v>
      </c>
      <c r="AE20" s="236">
        <f t="shared" si="9"/>
        <v>0</v>
      </c>
      <c r="AF20" s="160">
        <f t="shared" si="9"/>
        <v>0</v>
      </c>
      <c r="AG20" s="101">
        <f t="shared" si="9"/>
        <v>0</v>
      </c>
      <c r="AH20" s="281">
        <f>COUNTIFS(AH$3:AH$10,"V")</f>
        <v>0</v>
      </c>
      <c r="AI20" s="345"/>
    </row>
    <row r="21" spans="1:35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  <c r="M21" s="345"/>
      <c r="N21" s="345"/>
      <c r="O21" s="345"/>
      <c r="P21" s="345"/>
      <c r="Q21" s="345"/>
      <c r="R21" s="345"/>
      <c r="S21" s="345"/>
      <c r="T21" s="345"/>
      <c r="U21" s="345"/>
      <c r="V21" s="345"/>
      <c r="W21" s="345"/>
      <c r="X21" s="345"/>
      <c r="Y21" s="345"/>
      <c r="Z21" s="345"/>
      <c r="AA21" s="345"/>
      <c r="AB21" s="345"/>
      <c r="AC21" s="345"/>
      <c r="AD21" s="345"/>
      <c r="AE21" s="345"/>
      <c r="AF21" s="345"/>
      <c r="AG21" s="345"/>
      <c r="AH21" s="345"/>
      <c r="AI21" s="345"/>
    </row>
    <row r="22" spans="1:35">
      <c r="A22" s="345"/>
      <c r="B22" s="345"/>
      <c r="C22" s="345"/>
      <c r="D22" s="345"/>
      <c r="E22" s="345"/>
      <c r="F22" s="345"/>
      <c r="G22" s="345"/>
      <c r="H22" s="345"/>
      <c r="I22" s="345"/>
      <c r="J22" s="345"/>
      <c r="K22" s="345"/>
      <c r="L22" s="345"/>
      <c r="M22" s="345"/>
      <c r="N22" s="345"/>
      <c r="O22" s="345"/>
      <c r="P22" s="345"/>
      <c r="Q22" s="345"/>
      <c r="R22" s="345"/>
      <c r="S22" s="345"/>
      <c r="T22" s="345"/>
      <c r="U22" s="345"/>
      <c r="V22" s="345"/>
      <c r="W22" s="345"/>
      <c r="X22" s="345"/>
      <c r="Y22" s="345"/>
      <c r="Z22" s="345"/>
      <c r="AA22" s="345"/>
      <c r="AB22" s="345"/>
      <c r="AC22" s="345"/>
      <c r="AD22" s="345"/>
      <c r="AE22" s="345"/>
      <c r="AF22" s="345"/>
      <c r="AG22" s="345"/>
      <c r="AH22" s="345"/>
      <c r="AI22" s="345"/>
    </row>
    <row r="23" spans="1:35">
      <c r="A23" s="345"/>
      <c r="B23" s="345"/>
      <c r="C23" s="345"/>
      <c r="D23" s="345"/>
      <c r="E23" s="345"/>
      <c r="F23" s="345"/>
      <c r="G23" s="345"/>
      <c r="H23" s="345"/>
      <c r="I23" s="345"/>
      <c r="J23" s="345"/>
      <c r="K23" s="345"/>
      <c r="L23" s="345"/>
      <c r="M23" s="345"/>
      <c r="N23" s="345"/>
      <c r="O23" s="345"/>
      <c r="P23" s="345"/>
      <c r="Q23" s="345"/>
      <c r="R23" s="345"/>
      <c r="S23" s="345"/>
      <c r="T23" s="345"/>
      <c r="U23" s="345"/>
      <c r="V23" s="345"/>
      <c r="W23" s="345"/>
      <c r="X23" s="345"/>
      <c r="Y23" s="345"/>
      <c r="Z23" s="345"/>
      <c r="AA23" s="345"/>
      <c r="AB23" s="345"/>
      <c r="AC23" s="345"/>
      <c r="AD23" s="345"/>
      <c r="AE23" s="345"/>
      <c r="AF23" s="345"/>
      <c r="AG23" s="345"/>
      <c r="AH23" s="345"/>
      <c r="AI23" s="345"/>
    </row>
    <row r="24" spans="1:35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345"/>
      <c r="L24" s="345"/>
      <c r="M24" s="345"/>
      <c r="N24" s="345"/>
      <c r="O24" s="345"/>
      <c r="P24" s="345"/>
      <c r="Q24" s="345"/>
      <c r="R24" s="345"/>
      <c r="S24" s="345"/>
      <c r="T24" s="345"/>
      <c r="U24" s="345"/>
      <c r="V24" s="345"/>
      <c r="W24" s="345"/>
      <c r="X24" s="345"/>
      <c r="Y24" s="345"/>
      <c r="Z24" s="345"/>
      <c r="AA24" s="345"/>
      <c r="AB24" s="345"/>
      <c r="AC24" s="345"/>
      <c r="AD24" s="345"/>
      <c r="AE24" s="345"/>
      <c r="AF24" s="345"/>
      <c r="AG24" s="345"/>
      <c r="AH24" s="345"/>
      <c r="AI24" s="345"/>
    </row>
    <row r="25" spans="1:35">
      <c r="A25" s="345"/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  <c r="AA25" s="345"/>
      <c r="AB25" s="345"/>
      <c r="AC25" s="345"/>
      <c r="AD25" s="345"/>
      <c r="AE25" s="345"/>
      <c r="AF25" s="345"/>
      <c r="AG25" s="345"/>
      <c r="AH25" s="345"/>
      <c r="AI25" s="345"/>
    </row>
    <row r="26" spans="1:35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  <c r="M26" s="345"/>
      <c r="N26" s="345"/>
      <c r="O26" s="345"/>
      <c r="P26" s="345"/>
      <c r="Q26" s="345"/>
      <c r="R26" s="345"/>
      <c r="S26" s="345"/>
      <c r="T26" s="345"/>
      <c r="U26" s="345"/>
      <c r="V26" s="345"/>
      <c r="W26" s="345"/>
      <c r="X26" s="345"/>
      <c r="Y26" s="345"/>
      <c r="Z26" s="345"/>
      <c r="AA26" s="345"/>
      <c r="AB26" s="345"/>
      <c r="AC26" s="345"/>
      <c r="AD26" s="345"/>
      <c r="AE26" s="345"/>
      <c r="AF26" s="345"/>
      <c r="AG26" s="345"/>
      <c r="AH26" s="345"/>
      <c r="AI26" s="345"/>
    </row>
    <row r="27" spans="1:35">
      <c r="A27" s="345"/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  <c r="M27" s="345"/>
      <c r="N27" s="345"/>
      <c r="O27" s="345"/>
      <c r="P27" s="345"/>
      <c r="Q27" s="345"/>
      <c r="R27" s="345"/>
      <c r="S27" s="345"/>
      <c r="T27" s="345"/>
      <c r="U27" s="345"/>
      <c r="V27" s="345"/>
      <c r="W27" s="345"/>
      <c r="X27" s="345"/>
      <c r="Y27" s="345"/>
      <c r="Z27" s="345"/>
      <c r="AA27" s="345"/>
      <c r="AB27" s="345"/>
      <c r="AC27" s="345"/>
      <c r="AD27" s="345"/>
      <c r="AE27" s="345"/>
      <c r="AF27" s="345"/>
      <c r="AG27" s="345"/>
      <c r="AH27" s="345"/>
      <c r="AI27" s="345"/>
    </row>
  </sheetData>
  <mergeCells count="12">
    <mergeCell ref="C11:AH12"/>
    <mergeCell ref="A21:AI27"/>
    <mergeCell ref="A1:C2"/>
    <mergeCell ref="AI1:AI20"/>
    <mergeCell ref="A3:B3"/>
    <mergeCell ref="A4:B4"/>
    <mergeCell ref="A5:B5"/>
    <mergeCell ref="A7:B7"/>
    <mergeCell ref="A8:B8"/>
    <mergeCell ref="A9:B9"/>
    <mergeCell ref="A10:B10"/>
    <mergeCell ref="A11:B2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9567-687A-46E9-A6DC-247A503C6A97}">
  <dimension ref="A1:AO27"/>
  <sheetViews>
    <sheetView zoomScale="130" zoomScaleNormal="130" workbookViewId="0">
      <selection activeCell="AI1" sqref="AI1:AI20"/>
    </sheetView>
  </sheetViews>
  <sheetFormatPr defaultColWidth="11.42578125" defaultRowHeight="14.45"/>
  <cols>
    <col min="1" max="1" width="15.140625" customWidth="1"/>
    <col min="2" max="2" width="16.85546875" customWidth="1"/>
    <col min="3" max="3" width="3.42578125" customWidth="1"/>
    <col min="4" max="4" width="4.140625" customWidth="1"/>
    <col min="5" max="5" width="4.42578125" customWidth="1"/>
    <col min="6" max="6" width="3.42578125" customWidth="1"/>
    <col min="7" max="7" width="3.85546875" customWidth="1"/>
    <col min="8" max="10" width="3.140625" bestFit="1" customWidth="1"/>
    <col min="11" max="14" width="2.85546875" bestFit="1" customWidth="1"/>
    <col min="15" max="15" width="3" bestFit="1" customWidth="1"/>
    <col min="16" max="17" width="2.85546875" bestFit="1" customWidth="1"/>
    <col min="18" max="18" width="3.28515625" customWidth="1"/>
    <col min="19" max="22" width="3.140625" bestFit="1" customWidth="1"/>
    <col min="23" max="24" width="3" bestFit="1" customWidth="1"/>
    <col min="25" max="29" width="3.140625" bestFit="1" customWidth="1"/>
    <col min="30" max="33" width="2.85546875" bestFit="1" customWidth="1"/>
    <col min="34" max="34" width="2.85546875" customWidth="1"/>
    <col min="35" max="35" width="8.5703125" customWidth="1"/>
  </cols>
  <sheetData>
    <row r="1" spans="1:41" ht="15" thickBot="1">
      <c r="A1" s="355" t="s">
        <v>0</v>
      </c>
      <c r="B1" s="355"/>
      <c r="C1" s="355"/>
      <c r="D1" s="290" t="s">
        <v>2</v>
      </c>
      <c r="E1" s="290" t="s">
        <v>3</v>
      </c>
      <c r="F1" s="290" t="s">
        <v>4</v>
      </c>
      <c r="G1" s="290" t="s">
        <v>5</v>
      </c>
      <c r="H1" s="161" t="s">
        <v>6</v>
      </c>
      <c r="I1" s="162" t="s">
        <v>7</v>
      </c>
      <c r="J1" s="290" t="s">
        <v>1</v>
      </c>
      <c r="K1" s="290" t="s">
        <v>2</v>
      </c>
      <c r="L1" s="290" t="s">
        <v>3</v>
      </c>
      <c r="M1" s="290" t="s">
        <v>4</v>
      </c>
      <c r="N1" s="290" t="s">
        <v>5</v>
      </c>
      <c r="O1" s="218" t="s">
        <v>6</v>
      </c>
      <c r="P1" s="162" t="s">
        <v>7</v>
      </c>
      <c r="Q1" s="290" t="s">
        <v>1</v>
      </c>
      <c r="R1" s="290" t="s">
        <v>2</v>
      </c>
      <c r="S1" s="290" t="s">
        <v>3</v>
      </c>
      <c r="T1" s="290" t="s">
        <v>4</v>
      </c>
      <c r="U1" s="290" t="s">
        <v>5</v>
      </c>
      <c r="V1" s="218" t="s">
        <v>6</v>
      </c>
      <c r="W1" s="219" t="s">
        <v>7</v>
      </c>
      <c r="X1" s="290" t="s">
        <v>1</v>
      </c>
      <c r="Y1" s="290" t="s">
        <v>2</v>
      </c>
      <c r="Z1" s="290" t="s">
        <v>3</v>
      </c>
      <c r="AA1" s="290" t="s">
        <v>4</v>
      </c>
      <c r="AB1" s="290" t="s">
        <v>5</v>
      </c>
      <c r="AC1" s="161" t="s">
        <v>6</v>
      </c>
      <c r="AD1" s="162" t="s">
        <v>7</v>
      </c>
      <c r="AE1" s="290" t="s">
        <v>1</v>
      </c>
      <c r="AF1" s="290" t="s">
        <v>2</v>
      </c>
      <c r="AG1" s="290" t="s">
        <v>3</v>
      </c>
      <c r="AH1" s="286"/>
      <c r="AI1" s="345"/>
    </row>
    <row r="2" spans="1:41" ht="15" thickBot="1">
      <c r="A2" s="355"/>
      <c r="B2" s="355"/>
      <c r="C2" s="355"/>
      <c r="D2" s="163">
        <v>1</v>
      </c>
      <c r="E2" s="220">
        <v>2</v>
      </c>
      <c r="F2" s="221">
        <v>3</v>
      </c>
      <c r="G2" s="163">
        <v>4</v>
      </c>
      <c r="H2" s="164">
        <v>5</v>
      </c>
      <c r="I2" s="163">
        <v>6</v>
      </c>
      <c r="J2" s="164">
        <v>7</v>
      </c>
      <c r="K2" s="222">
        <v>8</v>
      </c>
      <c r="L2" s="220">
        <v>9</v>
      </c>
      <c r="M2" s="220">
        <v>10</v>
      </c>
      <c r="N2" s="220">
        <v>11</v>
      </c>
      <c r="O2" s="221">
        <v>12</v>
      </c>
      <c r="P2" s="163">
        <v>13</v>
      </c>
      <c r="Q2" s="221">
        <v>14</v>
      </c>
      <c r="R2" s="2">
        <v>15</v>
      </c>
      <c r="S2" s="222">
        <v>16</v>
      </c>
      <c r="T2" s="220">
        <v>17</v>
      </c>
      <c r="U2" s="220">
        <v>18</v>
      </c>
      <c r="V2" s="221">
        <v>19</v>
      </c>
      <c r="W2" s="163">
        <v>20</v>
      </c>
      <c r="X2" s="164">
        <v>21</v>
      </c>
      <c r="Y2" s="222">
        <v>22</v>
      </c>
      <c r="Z2" s="220">
        <v>23</v>
      </c>
      <c r="AA2" s="220">
        <v>24</v>
      </c>
      <c r="AB2" s="220">
        <v>25</v>
      </c>
      <c r="AC2" s="220">
        <v>26</v>
      </c>
      <c r="AD2" s="163">
        <v>27</v>
      </c>
      <c r="AE2" s="164">
        <v>28</v>
      </c>
      <c r="AF2" s="222">
        <v>29</v>
      </c>
      <c r="AG2" s="164">
        <v>30</v>
      </c>
      <c r="AH2" s="287"/>
      <c r="AI2" s="345"/>
      <c r="AJ2" s="113" t="s">
        <v>2</v>
      </c>
      <c r="AK2" s="75" t="s">
        <v>8</v>
      </c>
      <c r="AL2" s="73" t="s">
        <v>9</v>
      </c>
      <c r="AM2" s="70" t="s">
        <v>7</v>
      </c>
      <c r="AN2" s="114" t="s">
        <v>10</v>
      </c>
      <c r="AO2" s="155" t="s">
        <v>5</v>
      </c>
    </row>
    <row r="3" spans="1:41">
      <c r="A3" s="357" t="s">
        <v>11</v>
      </c>
      <c r="B3" s="358"/>
      <c r="C3" s="157" t="s">
        <v>12</v>
      </c>
      <c r="D3" s="169" t="s">
        <v>2</v>
      </c>
      <c r="E3" s="169" t="s">
        <v>1</v>
      </c>
      <c r="F3" s="169" t="s">
        <v>1</v>
      </c>
      <c r="G3" s="170" t="s">
        <v>1</v>
      </c>
      <c r="H3" s="130" t="s">
        <v>14</v>
      </c>
      <c r="I3" s="131" t="s">
        <v>14</v>
      </c>
      <c r="J3" s="130" t="s">
        <v>15</v>
      </c>
      <c r="K3" s="130" t="s">
        <v>15</v>
      </c>
      <c r="L3" s="130" t="s">
        <v>15</v>
      </c>
      <c r="M3" s="124" t="s">
        <v>13</v>
      </c>
      <c r="N3" s="127" t="s">
        <v>16</v>
      </c>
      <c r="O3" s="291" t="s">
        <v>1</v>
      </c>
      <c r="P3" s="259" t="s">
        <v>1</v>
      </c>
      <c r="Q3" s="189" t="s">
        <v>2</v>
      </c>
      <c r="R3" s="292" t="s">
        <v>2</v>
      </c>
      <c r="S3" s="183" t="s">
        <v>2</v>
      </c>
      <c r="T3" s="183" t="s">
        <v>2</v>
      </c>
      <c r="U3" s="193" t="s">
        <v>2</v>
      </c>
      <c r="V3" s="130" t="s">
        <v>16</v>
      </c>
      <c r="W3" s="131" t="s">
        <v>16</v>
      </c>
      <c r="X3" s="130" t="s">
        <v>16</v>
      </c>
      <c r="Y3" s="130" t="s">
        <v>13</v>
      </c>
      <c r="Z3" s="130" t="s">
        <v>14</v>
      </c>
      <c r="AA3" s="124" t="s">
        <v>14</v>
      </c>
      <c r="AB3" s="124" t="s">
        <v>14</v>
      </c>
      <c r="AC3" s="166" t="s">
        <v>1</v>
      </c>
      <c r="AD3" s="269" t="s">
        <v>1</v>
      </c>
      <c r="AE3" s="168" t="s">
        <v>2</v>
      </c>
      <c r="AF3" s="169" t="s">
        <v>2</v>
      </c>
      <c r="AG3" s="169" t="s">
        <v>1</v>
      </c>
      <c r="AH3" s="288"/>
      <c r="AI3" s="345"/>
      <c r="AJ3">
        <f>COUNTIFS(D$3:AH$3,"M")+COUNTIFS(D$3:AH$3,"MG")</f>
        <v>13</v>
      </c>
      <c r="AK3">
        <f>COUNTIFS(D$3:AI$3,"T")+COUNTIFS(D$3:AI$3,"TG")</f>
        <v>3</v>
      </c>
      <c r="AL3">
        <f>COUNTIFS(D$3:AH$3,"N")+COUNTIFS(D$3:AH$3,"NG")</f>
        <v>0</v>
      </c>
      <c r="AM3">
        <f>COUNTIFS(D$3:AH$3,"D")+COUNTIFS(D$3:AH$3,"DG")</f>
        <v>4</v>
      </c>
      <c r="AN3">
        <f>SUM(AJ3:AM3)</f>
        <v>20</v>
      </c>
      <c r="AO3">
        <f>COUNTIFS(F$3:AJ$3,"V")</f>
        <v>0</v>
      </c>
    </row>
    <row r="4" spans="1:41" ht="15" thickBot="1">
      <c r="A4" s="359" t="s">
        <v>17</v>
      </c>
      <c r="B4" s="360"/>
      <c r="C4" s="9" t="s">
        <v>18</v>
      </c>
      <c r="D4" s="130" t="s">
        <v>15</v>
      </c>
      <c r="E4" s="130" t="s">
        <v>15</v>
      </c>
      <c r="F4" s="124" t="s">
        <v>13</v>
      </c>
      <c r="G4" s="127" t="s">
        <v>16</v>
      </c>
      <c r="H4" s="187" t="s">
        <v>1</v>
      </c>
      <c r="I4" s="188" t="s">
        <v>1</v>
      </c>
      <c r="J4" s="189" t="s">
        <v>2</v>
      </c>
      <c r="K4" s="193" t="s">
        <v>2</v>
      </c>
      <c r="L4" s="183" t="s">
        <v>2</v>
      </c>
      <c r="M4" s="183" t="s">
        <v>2</v>
      </c>
      <c r="N4" s="184" t="s">
        <v>2</v>
      </c>
      <c r="O4" s="124" t="s">
        <v>16</v>
      </c>
      <c r="P4" s="260" t="s">
        <v>16</v>
      </c>
      <c r="Q4" s="130" t="s">
        <v>16</v>
      </c>
      <c r="R4" s="130" t="s">
        <v>13</v>
      </c>
      <c r="S4" s="130" t="s">
        <v>14</v>
      </c>
      <c r="T4" s="124" t="s">
        <v>14</v>
      </c>
      <c r="U4" s="124" t="s">
        <v>14</v>
      </c>
      <c r="V4" s="128" t="s">
        <v>1</v>
      </c>
      <c r="W4" s="178" t="s">
        <v>1</v>
      </c>
      <c r="X4" s="132" t="s">
        <v>2</v>
      </c>
      <c r="Y4" s="177" t="s">
        <v>2</v>
      </c>
      <c r="Z4" s="129" t="s">
        <v>1</v>
      </c>
      <c r="AA4" s="129" t="s">
        <v>1</v>
      </c>
      <c r="AB4" s="129" t="s">
        <v>1</v>
      </c>
      <c r="AC4" s="127" t="s">
        <v>14</v>
      </c>
      <c r="AD4" s="124" t="s">
        <v>14</v>
      </c>
      <c r="AE4" s="268" t="s">
        <v>15</v>
      </c>
      <c r="AF4" s="130" t="s">
        <v>15</v>
      </c>
      <c r="AG4" s="130" t="s">
        <v>15</v>
      </c>
      <c r="AH4" s="288"/>
      <c r="AI4" s="345"/>
      <c r="AJ4">
        <f>COUNTIFS(D$4:AH$4,"M")+COUNTIFS(D$4:AH$4,"MG")</f>
        <v>12</v>
      </c>
      <c r="AK4">
        <f>COUNTIFS(D$4:AI$4,"T")+COUNTIFS(D$4:AI$4,"TG")</f>
        <v>5</v>
      </c>
      <c r="AL4">
        <f>COUNTIFS(F$4:AG$4,"N")+COUNTIFS(F$4:AG$4,"NG")</f>
        <v>0</v>
      </c>
      <c r="AM4">
        <f>COUNTIFS(D$4:AH$4,"D")+COUNTIFS(D$4:AH$4,"DG")</f>
        <v>4</v>
      </c>
      <c r="AN4">
        <f t="shared" ref="AN4:AN10" si="0">SUM(AJ4:AM4)</f>
        <v>21</v>
      </c>
      <c r="AO4">
        <f>COUNTIFS(F$4:AJ$4,"V")</f>
        <v>0</v>
      </c>
    </row>
    <row r="5" spans="1:41">
      <c r="A5" s="359" t="s">
        <v>19</v>
      </c>
      <c r="B5" s="360"/>
      <c r="C5" s="9" t="s">
        <v>20</v>
      </c>
      <c r="D5" s="135" t="s">
        <v>2</v>
      </c>
      <c r="E5" s="135" t="s">
        <v>2</v>
      </c>
      <c r="F5" s="135" t="s">
        <v>2</v>
      </c>
      <c r="G5" s="136" t="s">
        <v>2</v>
      </c>
      <c r="H5" s="175" t="s">
        <v>7</v>
      </c>
      <c r="I5" s="179" t="s">
        <v>7</v>
      </c>
      <c r="J5" s="180" t="s">
        <v>7</v>
      </c>
      <c r="K5" s="135" t="s">
        <v>1</v>
      </c>
      <c r="L5" s="135" t="s">
        <v>2</v>
      </c>
      <c r="M5" s="135" t="s">
        <v>2</v>
      </c>
      <c r="N5" s="136" t="s">
        <v>2</v>
      </c>
      <c r="O5" s="291" t="s">
        <v>1</v>
      </c>
      <c r="P5" s="261" t="s">
        <v>1</v>
      </c>
      <c r="Q5" s="132" t="s">
        <v>2</v>
      </c>
      <c r="R5" s="135" t="s">
        <v>2</v>
      </c>
      <c r="S5" s="135" t="s">
        <v>1</v>
      </c>
      <c r="T5" s="135" t="s">
        <v>1</v>
      </c>
      <c r="U5" s="136" t="s">
        <v>1</v>
      </c>
      <c r="V5" s="187" t="s">
        <v>2</v>
      </c>
      <c r="W5" s="188" t="s">
        <v>2</v>
      </c>
      <c r="X5" s="181" t="s">
        <v>8</v>
      </c>
      <c r="Y5" s="182" t="s">
        <v>8</v>
      </c>
      <c r="Z5" s="182" t="s">
        <v>8</v>
      </c>
      <c r="AA5" s="129" t="s">
        <v>1</v>
      </c>
      <c r="AB5" s="224" t="s">
        <v>7</v>
      </c>
      <c r="AC5" s="166" t="s">
        <v>1</v>
      </c>
      <c r="AD5" s="269" t="s">
        <v>1</v>
      </c>
      <c r="AE5" s="135" t="s">
        <v>2</v>
      </c>
      <c r="AF5" s="135" t="s">
        <v>2</v>
      </c>
      <c r="AG5" s="135" t="s">
        <v>2</v>
      </c>
      <c r="AH5" s="288"/>
      <c r="AI5" s="345"/>
      <c r="AJ5">
        <f>COUNTIFS(D$5:AH$5,"M")+COUNTIFS(D$5:AH$5,"MG")</f>
        <v>14</v>
      </c>
      <c r="AK5">
        <f>COUNTIFS(D$5:AI$5,"T")+COUNTIFS(E$5:AI$5,"TG")</f>
        <v>3</v>
      </c>
      <c r="AL5">
        <f>COUNTIFS(F$5:AG$5,"N")+COUNTIFS(F$5:AG$5,"NG")</f>
        <v>0</v>
      </c>
      <c r="AM5">
        <f>COUNTIFS(D$5:AH$5,"D")+COUNTIFS(D$5:AH$5,"DG")</f>
        <v>4</v>
      </c>
      <c r="AN5">
        <f t="shared" si="0"/>
        <v>21</v>
      </c>
      <c r="AO5">
        <f>COUNTIFS(F$5:AJ$5,"V")</f>
        <v>0</v>
      </c>
    </row>
    <row r="6" spans="1:41" ht="15" thickBot="1">
      <c r="A6" s="116"/>
      <c r="B6" s="156" t="s">
        <v>21</v>
      </c>
      <c r="C6" s="158" t="s">
        <v>22</v>
      </c>
      <c r="D6" s="183" t="s">
        <v>1</v>
      </c>
      <c r="E6" s="183" t="s">
        <v>2</v>
      </c>
      <c r="F6" s="183" t="s">
        <v>2</v>
      </c>
      <c r="G6" s="184" t="s">
        <v>2</v>
      </c>
      <c r="H6" s="187" t="s">
        <v>1</v>
      </c>
      <c r="I6" s="188" t="s">
        <v>1</v>
      </c>
      <c r="J6" s="189" t="s">
        <v>2</v>
      </c>
      <c r="K6" s="183" t="s">
        <v>2</v>
      </c>
      <c r="L6" s="183" t="s">
        <v>1</v>
      </c>
      <c r="M6" s="183" t="s">
        <v>1</v>
      </c>
      <c r="N6" s="184" t="s">
        <v>1</v>
      </c>
      <c r="O6" s="291" t="s">
        <v>2</v>
      </c>
      <c r="P6" s="259" t="s">
        <v>2</v>
      </c>
      <c r="Q6" s="190" t="s">
        <v>8</v>
      </c>
      <c r="R6" s="191" t="s">
        <v>8</v>
      </c>
      <c r="S6" s="191" t="s">
        <v>8</v>
      </c>
      <c r="T6" s="183" t="s">
        <v>1</v>
      </c>
      <c r="U6" s="192" t="s">
        <v>7</v>
      </c>
      <c r="V6" s="187" t="s">
        <v>1</v>
      </c>
      <c r="W6" s="188" t="s">
        <v>1</v>
      </c>
      <c r="X6" s="189" t="s">
        <v>2</v>
      </c>
      <c r="Y6" s="193" t="s">
        <v>2</v>
      </c>
      <c r="Z6" s="183" t="s">
        <v>2</v>
      </c>
      <c r="AA6" s="183" t="s">
        <v>2</v>
      </c>
      <c r="AB6" s="193" t="s">
        <v>2</v>
      </c>
      <c r="AC6" s="185" t="s">
        <v>7</v>
      </c>
      <c r="AD6" s="186" t="s">
        <v>7</v>
      </c>
      <c r="AE6" s="186" t="s">
        <v>7</v>
      </c>
      <c r="AF6" s="183" t="s">
        <v>1</v>
      </c>
      <c r="AG6" s="183" t="s">
        <v>2</v>
      </c>
      <c r="AH6" s="288"/>
      <c r="AI6" s="345"/>
      <c r="AJ6">
        <f>COUNTIFS(D$6:AH$6,"M")+COUNTIFS(D$6:AH$6,"MG")</f>
        <v>13</v>
      </c>
      <c r="AK6">
        <f>COUNTIFS(D$6:AI$6,"T")+COUNTIFS(D$6:AI$6,"TG")</f>
        <v>3</v>
      </c>
      <c r="AL6">
        <f>COUNTIFS(F$6:AG$6,"N")+COUNTIFS(F$6:AG$6,"NG")</f>
        <v>0</v>
      </c>
      <c r="AM6">
        <f>COUNTIFS(D$6:AH$6,"D")+COUNTIFS(D$6:AH$6,"DG")</f>
        <v>4</v>
      </c>
      <c r="AN6">
        <f t="shared" si="0"/>
        <v>20</v>
      </c>
      <c r="AO6">
        <f>COUNTIFS(F$6:AJ$6,"V")</f>
        <v>0</v>
      </c>
    </row>
    <row r="7" spans="1:41">
      <c r="A7" s="361" t="s">
        <v>23</v>
      </c>
      <c r="B7" s="362"/>
      <c r="C7" s="157" t="s">
        <v>24</v>
      </c>
      <c r="D7" s="195" t="s">
        <v>9</v>
      </c>
      <c r="E7" s="195" t="s">
        <v>1</v>
      </c>
      <c r="F7" s="173" t="s">
        <v>7</v>
      </c>
      <c r="G7" s="172" t="s">
        <v>1</v>
      </c>
      <c r="H7" s="166" t="s">
        <v>9</v>
      </c>
      <c r="I7" s="167" t="s">
        <v>9</v>
      </c>
      <c r="J7" s="171" t="s">
        <v>1</v>
      </c>
      <c r="K7" s="195" t="s">
        <v>1</v>
      </c>
      <c r="L7" s="173" t="s">
        <v>7</v>
      </c>
      <c r="M7" s="195" t="s">
        <v>8</v>
      </c>
      <c r="N7" s="172" t="s">
        <v>8</v>
      </c>
      <c r="O7" s="291" t="s">
        <v>8</v>
      </c>
      <c r="P7" s="262" t="s">
        <v>8</v>
      </c>
      <c r="Q7" s="171" t="s">
        <v>1</v>
      </c>
      <c r="R7" s="173" t="s">
        <v>7</v>
      </c>
      <c r="S7" s="195" t="s">
        <v>9</v>
      </c>
      <c r="T7" s="195" t="s">
        <v>9</v>
      </c>
      <c r="U7" s="172" t="s">
        <v>9</v>
      </c>
      <c r="V7" s="166" t="s">
        <v>1</v>
      </c>
      <c r="W7" s="167" t="s">
        <v>1</v>
      </c>
      <c r="X7" s="171" t="s">
        <v>9</v>
      </c>
      <c r="Y7" s="196" t="s">
        <v>9</v>
      </c>
      <c r="Z7" s="169" t="s">
        <v>9</v>
      </c>
      <c r="AA7" s="169" t="s">
        <v>9</v>
      </c>
      <c r="AB7" s="226" t="s">
        <v>9</v>
      </c>
      <c r="AC7" s="166" t="s">
        <v>1</v>
      </c>
      <c r="AD7" s="167" t="s">
        <v>1</v>
      </c>
      <c r="AE7" s="171" t="s">
        <v>9</v>
      </c>
      <c r="AF7" s="195" t="s">
        <v>9</v>
      </c>
      <c r="AG7" s="195" t="s">
        <v>1</v>
      </c>
      <c r="AH7" s="289"/>
      <c r="AI7" s="345"/>
      <c r="AJ7">
        <f>COUNTIFS(D$7:AG$7,"M")+COUNTIFS(D$7:AG$7,"MG")</f>
        <v>0</v>
      </c>
      <c r="AK7">
        <f>COUNTIFS(D$7:AI$7,"T")+COUNTIFS(D$7:AI$7,"TG")</f>
        <v>4</v>
      </c>
      <c r="AL7">
        <f>COUNTIFS(D$7:AH$7,"N")+COUNTIFS(D$7:AH$7,"NG")</f>
        <v>13</v>
      </c>
      <c r="AM7">
        <f>COUNTIFS(D$7:AH$7,"D")+COUNTIFS(D$7:AH$7,"DG")</f>
        <v>3</v>
      </c>
      <c r="AN7">
        <f t="shared" si="0"/>
        <v>20</v>
      </c>
      <c r="AO7">
        <f>COUNTIFS(F$7:AJ$7,"V")</f>
        <v>0</v>
      </c>
    </row>
    <row r="8" spans="1:41">
      <c r="A8" s="346" t="s">
        <v>25</v>
      </c>
      <c r="B8" s="347"/>
      <c r="C8" s="9" t="s">
        <v>26</v>
      </c>
      <c r="D8" s="137" t="s">
        <v>1</v>
      </c>
      <c r="E8" s="175" t="s">
        <v>7</v>
      </c>
      <c r="F8" s="137" t="s">
        <v>8</v>
      </c>
      <c r="G8" s="199" t="s">
        <v>8</v>
      </c>
      <c r="H8" s="128" t="s">
        <v>8</v>
      </c>
      <c r="I8" s="178" t="s">
        <v>8</v>
      </c>
      <c r="J8" s="181" t="s">
        <v>1</v>
      </c>
      <c r="K8" s="175" t="s">
        <v>7</v>
      </c>
      <c r="L8" s="137" t="s">
        <v>9</v>
      </c>
      <c r="M8" s="137" t="s">
        <v>9</v>
      </c>
      <c r="N8" s="199" t="s">
        <v>9</v>
      </c>
      <c r="O8" s="291" t="s">
        <v>1</v>
      </c>
      <c r="P8" s="261" t="s">
        <v>1</v>
      </c>
      <c r="Q8" s="132" t="s">
        <v>9</v>
      </c>
      <c r="R8" s="135" t="s">
        <v>9</v>
      </c>
      <c r="S8" s="135" t="s">
        <v>9</v>
      </c>
      <c r="T8" s="135" t="s">
        <v>9</v>
      </c>
      <c r="U8" s="136" t="s">
        <v>9</v>
      </c>
      <c r="V8" s="128" t="s">
        <v>1</v>
      </c>
      <c r="W8" s="178" t="s">
        <v>1</v>
      </c>
      <c r="X8" s="181" t="s">
        <v>9</v>
      </c>
      <c r="Y8" s="182" t="s">
        <v>9</v>
      </c>
      <c r="Z8" s="197" t="s">
        <v>1</v>
      </c>
      <c r="AA8" s="198" t="s">
        <v>7</v>
      </c>
      <c r="AB8" s="182" t="s">
        <v>1</v>
      </c>
      <c r="AC8" s="128" t="s">
        <v>9</v>
      </c>
      <c r="AD8" s="178" t="s">
        <v>9</v>
      </c>
      <c r="AE8" s="137" t="s">
        <v>1</v>
      </c>
      <c r="AF8" s="137" t="s">
        <v>1</v>
      </c>
      <c r="AG8" s="175" t="s">
        <v>7</v>
      </c>
      <c r="AH8" s="289"/>
      <c r="AI8" s="345"/>
      <c r="AJ8">
        <f>COUNTIFS(D$7:AG$7,"M")+COUNTIFS(D$7:AG$7,"MG")</f>
        <v>0</v>
      </c>
      <c r="AK8">
        <f>COUNTIFS(D$8:AI$8,"T")+COUNTIFS(D$8:AI$8,"TG")</f>
        <v>4</v>
      </c>
      <c r="AL8">
        <f>COUNTIFS(D$8:AH$8,"N")+COUNTIFS(D$8:AH$8,"NG")</f>
        <v>12</v>
      </c>
      <c r="AM8">
        <f>COUNTIFS(D$8:AH$8,"D")+COUNTIFS(D$8:AH$8,"DG")</f>
        <v>4</v>
      </c>
      <c r="AN8">
        <f t="shared" si="0"/>
        <v>20</v>
      </c>
      <c r="AO8">
        <f>COUNTIFS(F$8:AJ$8,"V")</f>
        <v>0</v>
      </c>
    </row>
    <row r="9" spans="1:41">
      <c r="A9" s="346" t="s">
        <v>27</v>
      </c>
      <c r="B9" s="347"/>
      <c r="C9" s="9" t="s">
        <v>28</v>
      </c>
      <c r="D9" s="175" t="s">
        <v>7</v>
      </c>
      <c r="E9" s="137" t="s">
        <v>9</v>
      </c>
      <c r="F9" s="137" t="s">
        <v>9</v>
      </c>
      <c r="G9" s="199" t="s">
        <v>9</v>
      </c>
      <c r="H9" s="128" t="s">
        <v>1</v>
      </c>
      <c r="I9" s="178" t="s">
        <v>1</v>
      </c>
      <c r="J9" s="132" t="s">
        <v>9</v>
      </c>
      <c r="K9" s="135" t="s">
        <v>9</v>
      </c>
      <c r="L9" s="135" t="s">
        <v>9</v>
      </c>
      <c r="M9" s="135" t="s">
        <v>9</v>
      </c>
      <c r="N9" s="136" t="s">
        <v>9</v>
      </c>
      <c r="O9" s="291" t="s">
        <v>1</v>
      </c>
      <c r="P9" s="261" t="s">
        <v>1</v>
      </c>
      <c r="Q9" s="181" t="s">
        <v>9</v>
      </c>
      <c r="R9" s="137" t="s">
        <v>9</v>
      </c>
      <c r="S9" s="137" t="s">
        <v>1</v>
      </c>
      <c r="T9" s="175" t="s">
        <v>7</v>
      </c>
      <c r="U9" s="199" t="s">
        <v>1</v>
      </c>
      <c r="V9" s="128" t="s">
        <v>9</v>
      </c>
      <c r="W9" s="178" t="s">
        <v>9</v>
      </c>
      <c r="X9" s="182" t="s">
        <v>1</v>
      </c>
      <c r="Y9" s="182" t="s">
        <v>1</v>
      </c>
      <c r="Z9" s="198" t="s">
        <v>7</v>
      </c>
      <c r="AA9" s="137" t="s">
        <v>8</v>
      </c>
      <c r="AB9" s="182" t="s">
        <v>8</v>
      </c>
      <c r="AC9" s="128" t="s">
        <v>8</v>
      </c>
      <c r="AD9" s="178" t="s">
        <v>8</v>
      </c>
      <c r="AE9" s="181" t="s">
        <v>1</v>
      </c>
      <c r="AF9" s="175" t="s">
        <v>7</v>
      </c>
      <c r="AG9" s="137" t="s">
        <v>9</v>
      </c>
      <c r="AH9" s="289"/>
      <c r="AI9" s="345"/>
      <c r="AJ9">
        <f>COUNTIFS(D$7:AG$7,"M")+COUNTIFS(D$7:AG$7,"MG")</f>
        <v>0</v>
      </c>
      <c r="AK9">
        <f>COUNTIFS(D$9:AI$9,"T")+COUNTIFS(D$9:AI$9,"TG")</f>
        <v>4</v>
      </c>
      <c r="AL9">
        <f>COUNTIFS(D$9:AH$9,"N")+COUNTIFS(D$9:AH$9,"NG")</f>
        <v>13</v>
      </c>
      <c r="AM9">
        <f>COUNTIFS(D$9:AH$9,"D")+COUNTIFS(D$9:AH$9,"DG")</f>
        <v>4</v>
      </c>
      <c r="AN9">
        <f t="shared" si="0"/>
        <v>21</v>
      </c>
      <c r="AO9">
        <f>COUNTIFS(F$9:AJ$9,"V")</f>
        <v>0</v>
      </c>
    </row>
    <row r="10" spans="1:41" ht="15" thickBot="1">
      <c r="A10" s="348" t="s">
        <v>29</v>
      </c>
      <c r="B10" s="349"/>
      <c r="C10" s="9" t="s">
        <v>30</v>
      </c>
      <c r="D10" s="204" t="s">
        <v>9</v>
      </c>
      <c r="E10" s="204" t="s">
        <v>9</v>
      </c>
      <c r="F10" s="204" t="s">
        <v>9</v>
      </c>
      <c r="G10" s="205" t="s">
        <v>9</v>
      </c>
      <c r="H10" s="138" t="s">
        <v>1</v>
      </c>
      <c r="I10" s="202" t="s">
        <v>1</v>
      </c>
      <c r="J10" s="206" t="s">
        <v>9</v>
      </c>
      <c r="K10" s="200" t="s">
        <v>9</v>
      </c>
      <c r="L10" s="200" t="s">
        <v>1</v>
      </c>
      <c r="M10" s="207" t="s">
        <v>7</v>
      </c>
      <c r="N10" s="201" t="s">
        <v>1</v>
      </c>
      <c r="O10" s="291" t="s">
        <v>9</v>
      </c>
      <c r="P10" s="263" t="s">
        <v>9</v>
      </c>
      <c r="Q10" s="200" t="s">
        <v>1</v>
      </c>
      <c r="R10" s="200" t="s">
        <v>1</v>
      </c>
      <c r="S10" s="207" t="s">
        <v>7</v>
      </c>
      <c r="T10" s="200" t="s">
        <v>8</v>
      </c>
      <c r="U10" s="201" t="s">
        <v>8</v>
      </c>
      <c r="V10" s="138" t="s">
        <v>8</v>
      </c>
      <c r="W10" s="202" t="s">
        <v>8</v>
      </c>
      <c r="X10" s="206" t="s">
        <v>1</v>
      </c>
      <c r="Y10" s="208" t="s">
        <v>7</v>
      </c>
      <c r="Z10" s="200" t="s">
        <v>9</v>
      </c>
      <c r="AA10" s="200" t="s">
        <v>9</v>
      </c>
      <c r="AB10" s="228" t="s">
        <v>9</v>
      </c>
      <c r="AC10" s="138" t="s">
        <v>1</v>
      </c>
      <c r="AD10" s="202" t="s">
        <v>1</v>
      </c>
      <c r="AE10" s="203" t="s">
        <v>9</v>
      </c>
      <c r="AF10" s="204" t="s">
        <v>9</v>
      </c>
      <c r="AG10" s="204" t="s">
        <v>9</v>
      </c>
      <c r="AH10" s="288"/>
      <c r="AI10" s="345"/>
      <c r="AJ10">
        <f>COUNTIFS(D$7:AG$7,"M")+COUNTIFS(D$7:AG$7,"MG")</f>
        <v>0</v>
      </c>
      <c r="AK10">
        <f>COUNTIFS(D$10:AI$10,"T")+COUNTIFS(D$10:AI$10,"TG")</f>
        <v>4</v>
      </c>
      <c r="AL10">
        <f>COUNTIFS(D$10:AH$10,"N")+COUNTIFS(D$10:AH$10,"NG")</f>
        <v>14</v>
      </c>
      <c r="AM10">
        <f>COUNTIFS(D$10:AH$10,"D")+COUNTIFS(D$10:AH$10,"DG")</f>
        <v>3</v>
      </c>
      <c r="AN10">
        <f t="shared" si="0"/>
        <v>21</v>
      </c>
      <c r="AO10">
        <f>COUNTIFS(F$10:AJ$10,"V")</f>
        <v>0</v>
      </c>
    </row>
    <row r="11" spans="1:41">
      <c r="A11" s="353" t="s">
        <v>48</v>
      </c>
      <c r="B11" s="353"/>
      <c r="C11" s="345"/>
      <c r="D11" s="345"/>
      <c r="E11" s="345"/>
      <c r="F11" s="345"/>
      <c r="G11" s="345"/>
      <c r="H11" s="345"/>
      <c r="I11" s="345"/>
      <c r="J11" s="34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W11" s="345"/>
      <c r="X11" s="345"/>
      <c r="Y11" s="345"/>
      <c r="Z11" s="345"/>
      <c r="AA11" s="345"/>
      <c r="AB11" s="345"/>
      <c r="AC11" s="345"/>
      <c r="AD11" s="345"/>
      <c r="AE11" s="345"/>
      <c r="AF11" s="345"/>
      <c r="AG11" s="345"/>
      <c r="AH11" s="345"/>
      <c r="AI11" s="345"/>
    </row>
    <row r="12" spans="1:41" ht="15" thickBot="1">
      <c r="A12" s="345"/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345"/>
      <c r="M12" s="345"/>
      <c r="N12" s="345"/>
      <c r="O12" s="345"/>
      <c r="P12" s="345"/>
      <c r="Q12" s="345"/>
      <c r="R12" s="345"/>
      <c r="S12" s="345"/>
      <c r="T12" s="345"/>
      <c r="U12" s="345"/>
      <c r="V12" s="345"/>
      <c r="W12" s="345"/>
      <c r="X12" s="345"/>
      <c r="Y12" s="345"/>
      <c r="Z12" s="345"/>
      <c r="AA12" s="345"/>
      <c r="AB12" s="345"/>
      <c r="AC12" s="345"/>
      <c r="AD12" s="345"/>
      <c r="AE12" s="345"/>
      <c r="AF12" s="345"/>
      <c r="AG12" s="345"/>
      <c r="AH12" s="345"/>
      <c r="AI12" s="345"/>
    </row>
    <row r="13" spans="1:41">
      <c r="A13" s="345"/>
      <c r="B13" s="345"/>
      <c r="C13" s="271" t="s">
        <v>31</v>
      </c>
      <c r="D13" s="255">
        <f>SUM(D14:D16)</f>
        <v>5</v>
      </c>
      <c r="E13" s="240">
        <f t="shared" ref="E13:AG13" si="1">SUM(E14:E16)</f>
        <v>5</v>
      </c>
      <c r="F13" s="240">
        <f t="shared" si="1"/>
        <v>5</v>
      </c>
      <c r="G13" s="246">
        <f t="shared" si="1"/>
        <v>5</v>
      </c>
      <c r="H13" s="255">
        <f t="shared" si="1"/>
        <v>3</v>
      </c>
      <c r="I13" s="241">
        <f t="shared" si="1"/>
        <v>3</v>
      </c>
      <c r="J13" s="249">
        <f t="shared" si="1"/>
        <v>5</v>
      </c>
      <c r="K13" s="240">
        <f t="shared" si="1"/>
        <v>5</v>
      </c>
      <c r="L13" s="240">
        <f t="shared" si="1"/>
        <v>5</v>
      </c>
      <c r="M13" s="240">
        <f t="shared" si="1"/>
        <v>5</v>
      </c>
      <c r="N13" s="246">
        <f t="shared" si="1"/>
        <v>5</v>
      </c>
      <c r="O13" s="255">
        <f t="shared" si="1"/>
        <v>3</v>
      </c>
      <c r="P13" s="241">
        <f t="shared" si="1"/>
        <v>3</v>
      </c>
      <c r="Q13" s="249">
        <f t="shared" si="1"/>
        <v>5</v>
      </c>
      <c r="R13" s="240">
        <f t="shared" si="1"/>
        <v>5</v>
      </c>
      <c r="S13" s="240">
        <f t="shared" si="1"/>
        <v>5</v>
      </c>
      <c r="T13" s="240">
        <f t="shared" si="1"/>
        <v>5</v>
      </c>
      <c r="U13" s="246">
        <f t="shared" si="1"/>
        <v>5</v>
      </c>
      <c r="V13" s="255">
        <f t="shared" si="1"/>
        <v>3</v>
      </c>
      <c r="W13" s="241">
        <f t="shared" si="1"/>
        <v>3</v>
      </c>
      <c r="X13" s="249">
        <f>SUM(X14:X16)</f>
        <v>5</v>
      </c>
      <c r="Y13" s="240">
        <f t="shared" si="1"/>
        <v>5</v>
      </c>
      <c r="Z13" s="240">
        <f t="shared" si="1"/>
        <v>5</v>
      </c>
      <c r="AA13" s="240">
        <f t="shared" si="1"/>
        <v>5</v>
      </c>
      <c r="AB13" s="246">
        <f t="shared" si="1"/>
        <v>5</v>
      </c>
      <c r="AC13" s="255">
        <f t="shared" si="1"/>
        <v>3</v>
      </c>
      <c r="AD13" s="241">
        <f t="shared" si="1"/>
        <v>3</v>
      </c>
      <c r="AE13" s="249">
        <f t="shared" si="1"/>
        <v>5</v>
      </c>
      <c r="AF13" s="240">
        <f t="shared" si="1"/>
        <v>5</v>
      </c>
      <c r="AG13" s="241">
        <f t="shared" si="1"/>
        <v>5</v>
      </c>
      <c r="AH13" s="368"/>
      <c r="AI13" s="345"/>
    </row>
    <row r="14" spans="1:41">
      <c r="A14" s="345"/>
      <c r="B14" s="345"/>
      <c r="C14" s="272" t="s">
        <v>2</v>
      </c>
      <c r="D14" s="256">
        <f>COUNTIFS(D$3:D$10,"M")+COUNTIFS(D$3:D$10,"MG")</f>
        <v>2</v>
      </c>
      <c r="E14" s="237">
        <f>COUNTIFS(E$3:E$10,"M")+COUNTIFS(E$3:E$10,"MG")</f>
        <v>2</v>
      </c>
      <c r="F14" s="237">
        <f t="shared" ref="F14:AG14" si="2">COUNTIFS(F$3:F$10,"M")+COUNTIFS(F$3:F$10,"MG")</f>
        <v>2</v>
      </c>
      <c r="G14" s="247">
        <f t="shared" si="2"/>
        <v>2</v>
      </c>
      <c r="H14" s="256">
        <f t="shared" si="2"/>
        <v>1</v>
      </c>
      <c r="I14" s="242">
        <f t="shared" si="2"/>
        <v>1</v>
      </c>
      <c r="J14" s="250">
        <f t="shared" si="2"/>
        <v>2</v>
      </c>
      <c r="K14" s="237">
        <f t="shared" si="2"/>
        <v>2</v>
      </c>
      <c r="L14" s="237">
        <f t="shared" si="2"/>
        <v>2</v>
      </c>
      <c r="M14" s="237">
        <f t="shared" si="2"/>
        <v>2</v>
      </c>
      <c r="N14" s="247">
        <f t="shared" si="2"/>
        <v>2</v>
      </c>
      <c r="O14" s="256">
        <f t="shared" si="2"/>
        <v>1</v>
      </c>
      <c r="P14" s="242">
        <f t="shared" si="2"/>
        <v>1</v>
      </c>
      <c r="Q14" s="250">
        <f t="shared" si="2"/>
        <v>2</v>
      </c>
      <c r="R14" s="237">
        <f t="shared" si="2"/>
        <v>2</v>
      </c>
      <c r="S14" s="237">
        <f t="shared" si="2"/>
        <v>2</v>
      </c>
      <c r="T14" s="237">
        <f t="shared" si="2"/>
        <v>2</v>
      </c>
      <c r="U14" s="247">
        <f t="shared" si="2"/>
        <v>2</v>
      </c>
      <c r="V14" s="256">
        <f t="shared" si="2"/>
        <v>1</v>
      </c>
      <c r="W14" s="242">
        <f t="shared" si="2"/>
        <v>1</v>
      </c>
      <c r="X14" s="250">
        <f t="shared" si="2"/>
        <v>2</v>
      </c>
      <c r="Y14" s="237">
        <f t="shared" si="2"/>
        <v>2</v>
      </c>
      <c r="Z14" s="237">
        <f t="shared" si="2"/>
        <v>2</v>
      </c>
      <c r="AA14" s="237">
        <f t="shared" si="2"/>
        <v>2</v>
      </c>
      <c r="AB14" s="247">
        <f t="shared" si="2"/>
        <v>2</v>
      </c>
      <c r="AC14" s="256">
        <f t="shared" si="2"/>
        <v>1</v>
      </c>
      <c r="AD14" s="242">
        <f t="shared" si="2"/>
        <v>1</v>
      </c>
      <c r="AE14" s="250">
        <f t="shared" si="2"/>
        <v>2</v>
      </c>
      <c r="AF14" s="237">
        <f t="shared" si="2"/>
        <v>2</v>
      </c>
      <c r="AG14" s="242">
        <f t="shared" si="2"/>
        <v>2</v>
      </c>
      <c r="AH14" s="368"/>
      <c r="AI14" s="345"/>
    </row>
    <row r="15" spans="1:41">
      <c r="A15" s="345"/>
      <c r="B15" s="345"/>
      <c r="C15" s="272" t="s">
        <v>8</v>
      </c>
      <c r="D15" s="257">
        <f>COUNTIFS(D$3:D$10,"T")+COUNTIFS(D$3:D$10,"TG")</f>
        <v>1</v>
      </c>
      <c r="E15" s="238">
        <f t="shared" ref="E15:AG15" si="3">COUNTIFS(E$3:E$10,"T")+COUNTIFS(E$3:E$10,"TG")</f>
        <v>1</v>
      </c>
      <c r="F15" s="238">
        <f t="shared" si="3"/>
        <v>1</v>
      </c>
      <c r="G15" s="43">
        <f t="shared" si="3"/>
        <v>1</v>
      </c>
      <c r="H15" s="257">
        <f t="shared" si="3"/>
        <v>1</v>
      </c>
      <c r="I15" s="91">
        <f t="shared" si="3"/>
        <v>1</v>
      </c>
      <c r="J15" s="251">
        <f t="shared" si="3"/>
        <v>1</v>
      </c>
      <c r="K15" s="238">
        <f t="shared" si="3"/>
        <v>1</v>
      </c>
      <c r="L15" s="238">
        <f t="shared" si="3"/>
        <v>1</v>
      </c>
      <c r="M15" s="238">
        <f t="shared" si="3"/>
        <v>1</v>
      </c>
      <c r="N15" s="43">
        <f t="shared" si="3"/>
        <v>1</v>
      </c>
      <c r="O15" s="257">
        <f t="shared" si="3"/>
        <v>1</v>
      </c>
      <c r="P15" s="91">
        <f t="shared" si="3"/>
        <v>1</v>
      </c>
      <c r="Q15" s="251">
        <f t="shared" si="3"/>
        <v>1</v>
      </c>
      <c r="R15" s="238">
        <f t="shared" si="3"/>
        <v>1</v>
      </c>
      <c r="S15" s="238">
        <f t="shared" si="3"/>
        <v>1</v>
      </c>
      <c r="T15" s="238">
        <f t="shared" si="3"/>
        <v>1</v>
      </c>
      <c r="U15" s="43">
        <f t="shared" si="3"/>
        <v>1</v>
      </c>
      <c r="V15" s="257">
        <f t="shared" si="3"/>
        <v>1</v>
      </c>
      <c r="W15" s="91">
        <f t="shared" si="3"/>
        <v>1</v>
      </c>
      <c r="X15" s="251">
        <f t="shared" si="3"/>
        <v>1</v>
      </c>
      <c r="Y15" s="238">
        <f t="shared" si="3"/>
        <v>1</v>
      </c>
      <c r="Z15" s="238">
        <f t="shared" si="3"/>
        <v>1</v>
      </c>
      <c r="AA15" s="238">
        <f t="shared" si="3"/>
        <v>1</v>
      </c>
      <c r="AB15" s="43">
        <f t="shared" si="3"/>
        <v>1</v>
      </c>
      <c r="AC15" s="257">
        <f t="shared" si="3"/>
        <v>1</v>
      </c>
      <c r="AD15" s="91">
        <f t="shared" si="3"/>
        <v>1</v>
      </c>
      <c r="AE15" s="251">
        <f t="shared" si="3"/>
        <v>1</v>
      </c>
      <c r="AF15" s="238">
        <f t="shared" si="3"/>
        <v>1</v>
      </c>
      <c r="AG15" s="91">
        <f t="shared" si="3"/>
        <v>1</v>
      </c>
      <c r="AH15" s="368"/>
      <c r="AI15" s="345"/>
    </row>
    <row r="16" spans="1:41">
      <c r="A16" s="345"/>
      <c r="B16" s="345"/>
      <c r="C16" s="272" t="s">
        <v>9</v>
      </c>
      <c r="D16" s="66">
        <f>COUNTIFS(D$3:D$10,"N")+COUNTIFS(D$3:D$10,"NG")</f>
        <v>2</v>
      </c>
      <c r="E16" s="150">
        <f t="shared" ref="E16:AG16" si="4">COUNTIFS(E$3:E$10,"N")+COUNTIFS(E$3:E$10,"NG")</f>
        <v>2</v>
      </c>
      <c r="F16" s="150">
        <f t="shared" si="4"/>
        <v>2</v>
      </c>
      <c r="G16" s="44">
        <f t="shared" si="4"/>
        <v>2</v>
      </c>
      <c r="H16" s="66">
        <f t="shared" si="4"/>
        <v>1</v>
      </c>
      <c r="I16" s="93">
        <f t="shared" si="4"/>
        <v>1</v>
      </c>
      <c r="J16" s="252">
        <f t="shared" si="4"/>
        <v>2</v>
      </c>
      <c r="K16" s="150">
        <f t="shared" si="4"/>
        <v>2</v>
      </c>
      <c r="L16" s="150">
        <f t="shared" si="4"/>
        <v>2</v>
      </c>
      <c r="M16" s="150">
        <f t="shared" si="4"/>
        <v>2</v>
      </c>
      <c r="N16" s="44">
        <f t="shared" si="4"/>
        <v>2</v>
      </c>
      <c r="O16" s="66">
        <f t="shared" si="4"/>
        <v>1</v>
      </c>
      <c r="P16" s="93">
        <f t="shared" si="4"/>
        <v>1</v>
      </c>
      <c r="Q16" s="252">
        <f t="shared" si="4"/>
        <v>2</v>
      </c>
      <c r="R16" s="150">
        <f t="shared" si="4"/>
        <v>2</v>
      </c>
      <c r="S16" s="150">
        <f t="shared" si="4"/>
        <v>2</v>
      </c>
      <c r="T16" s="150">
        <f t="shared" si="4"/>
        <v>2</v>
      </c>
      <c r="U16" s="44">
        <f t="shared" si="4"/>
        <v>2</v>
      </c>
      <c r="V16" s="66">
        <f t="shared" si="4"/>
        <v>1</v>
      </c>
      <c r="W16" s="93">
        <f t="shared" si="4"/>
        <v>1</v>
      </c>
      <c r="X16" s="252">
        <f t="shared" si="4"/>
        <v>2</v>
      </c>
      <c r="Y16" s="150">
        <f t="shared" si="4"/>
        <v>2</v>
      </c>
      <c r="Z16" s="150">
        <f t="shared" si="4"/>
        <v>2</v>
      </c>
      <c r="AA16" s="150">
        <f t="shared" si="4"/>
        <v>2</v>
      </c>
      <c r="AB16" s="44">
        <f t="shared" si="4"/>
        <v>2</v>
      </c>
      <c r="AC16" s="66">
        <f t="shared" si="4"/>
        <v>1</v>
      </c>
      <c r="AD16" s="93">
        <f t="shared" si="4"/>
        <v>1</v>
      </c>
      <c r="AE16" s="252">
        <f t="shared" si="4"/>
        <v>2</v>
      </c>
      <c r="AF16" s="150">
        <f t="shared" si="4"/>
        <v>2</v>
      </c>
      <c r="AG16" s="93">
        <f t="shared" si="4"/>
        <v>2</v>
      </c>
      <c r="AH16" s="368"/>
      <c r="AI16" s="345"/>
    </row>
    <row r="17" spans="1:35">
      <c r="A17" s="345"/>
      <c r="B17" s="345"/>
      <c r="C17" s="272" t="s">
        <v>7</v>
      </c>
      <c r="D17" s="258">
        <f>COUNTIFS(D$3:D$10,"D")+COUNTIFS(D$3:D$10,"DG")</f>
        <v>1</v>
      </c>
      <c r="E17" s="239">
        <f t="shared" ref="E17:AG17" si="5">COUNTIFS(E$3:E$10,"D")+COUNTIFS(E$3:E$10,"DG")</f>
        <v>1</v>
      </c>
      <c r="F17" s="239">
        <f t="shared" si="5"/>
        <v>1</v>
      </c>
      <c r="G17" s="248">
        <f t="shared" si="5"/>
        <v>1</v>
      </c>
      <c r="H17" s="258">
        <f t="shared" si="5"/>
        <v>1</v>
      </c>
      <c r="I17" s="243">
        <f t="shared" si="5"/>
        <v>1</v>
      </c>
      <c r="J17" s="253">
        <f t="shared" si="5"/>
        <v>1</v>
      </c>
      <c r="K17" s="239">
        <f t="shared" si="5"/>
        <v>1</v>
      </c>
      <c r="L17" s="239">
        <f t="shared" si="5"/>
        <v>1</v>
      </c>
      <c r="M17" s="239">
        <f t="shared" si="5"/>
        <v>1</v>
      </c>
      <c r="N17" s="248">
        <f t="shared" si="5"/>
        <v>1</v>
      </c>
      <c r="O17" s="258">
        <f t="shared" si="5"/>
        <v>1</v>
      </c>
      <c r="P17" s="243">
        <f t="shared" si="5"/>
        <v>1</v>
      </c>
      <c r="Q17" s="253">
        <f t="shared" si="5"/>
        <v>1</v>
      </c>
      <c r="R17" s="239">
        <f t="shared" si="5"/>
        <v>1</v>
      </c>
      <c r="S17" s="239">
        <f t="shared" si="5"/>
        <v>1</v>
      </c>
      <c r="T17" s="239">
        <f t="shared" si="5"/>
        <v>1</v>
      </c>
      <c r="U17" s="248">
        <f t="shared" si="5"/>
        <v>1</v>
      </c>
      <c r="V17" s="258">
        <f t="shared" si="5"/>
        <v>1</v>
      </c>
      <c r="W17" s="243">
        <f t="shared" si="5"/>
        <v>1</v>
      </c>
      <c r="X17" s="253">
        <f t="shared" si="5"/>
        <v>1</v>
      </c>
      <c r="Y17" s="239">
        <f t="shared" si="5"/>
        <v>1</v>
      </c>
      <c r="Z17" s="239">
        <f t="shared" si="5"/>
        <v>1</v>
      </c>
      <c r="AA17" s="239">
        <f t="shared" si="5"/>
        <v>1</v>
      </c>
      <c r="AB17" s="248">
        <f t="shared" si="5"/>
        <v>1</v>
      </c>
      <c r="AC17" s="258">
        <f t="shared" si="5"/>
        <v>1</v>
      </c>
      <c r="AD17" s="243">
        <f t="shared" si="5"/>
        <v>1</v>
      </c>
      <c r="AE17" s="253">
        <f t="shared" si="5"/>
        <v>1</v>
      </c>
      <c r="AF17" s="239">
        <f t="shared" si="5"/>
        <v>1</v>
      </c>
      <c r="AG17" s="243">
        <f t="shared" si="5"/>
        <v>1</v>
      </c>
      <c r="AH17" s="368"/>
      <c r="AI17" s="345"/>
    </row>
    <row r="18" spans="1:35">
      <c r="A18" s="345"/>
      <c r="B18" s="345"/>
      <c r="C18" s="272" t="s">
        <v>1</v>
      </c>
      <c r="D18" s="159">
        <f>COUNTIFS(D$3:D$10,"L")+COUNTIFS(D$3:D$10,"LG")</f>
        <v>2</v>
      </c>
      <c r="E18" s="139">
        <f t="shared" ref="E18:AG18" si="6">COUNTIFS(E$3:E$10,"L")+COUNTIFS(E$3:E$10,"LG")</f>
        <v>2</v>
      </c>
      <c r="F18" s="139">
        <f t="shared" si="6"/>
        <v>2</v>
      </c>
      <c r="G18" s="48">
        <f t="shared" si="6"/>
        <v>2</v>
      </c>
      <c r="H18" s="159">
        <f t="shared" si="6"/>
        <v>4</v>
      </c>
      <c r="I18" s="244">
        <f t="shared" si="6"/>
        <v>4</v>
      </c>
      <c r="J18" s="140">
        <f t="shared" si="6"/>
        <v>2</v>
      </c>
      <c r="K18" s="139">
        <f t="shared" si="6"/>
        <v>2</v>
      </c>
      <c r="L18" s="139">
        <f t="shared" si="6"/>
        <v>2</v>
      </c>
      <c r="M18" s="139">
        <f t="shared" si="6"/>
        <v>2</v>
      </c>
      <c r="N18" s="48">
        <f t="shared" si="6"/>
        <v>2</v>
      </c>
      <c r="O18" s="159">
        <f t="shared" si="6"/>
        <v>4</v>
      </c>
      <c r="P18" s="244">
        <f t="shared" si="6"/>
        <v>4</v>
      </c>
      <c r="Q18" s="140">
        <f t="shared" si="6"/>
        <v>2</v>
      </c>
      <c r="R18" s="139">
        <f t="shared" si="6"/>
        <v>2</v>
      </c>
      <c r="S18" s="139">
        <f t="shared" si="6"/>
        <v>2</v>
      </c>
      <c r="T18" s="139">
        <f t="shared" si="6"/>
        <v>2</v>
      </c>
      <c r="U18" s="48">
        <f t="shared" si="6"/>
        <v>2</v>
      </c>
      <c r="V18" s="159">
        <f t="shared" si="6"/>
        <v>4</v>
      </c>
      <c r="W18" s="244">
        <f t="shared" si="6"/>
        <v>4</v>
      </c>
      <c r="X18" s="140">
        <f t="shared" si="6"/>
        <v>2</v>
      </c>
      <c r="Y18" s="139">
        <f t="shared" si="6"/>
        <v>2</v>
      </c>
      <c r="Z18" s="139">
        <f t="shared" si="6"/>
        <v>2</v>
      </c>
      <c r="AA18" s="139">
        <f t="shared" si="6"/>
        <v>2</v>
      </c>
      <c r="AB18" s="48">
        <f t="shared" si="6"/>
        <v>2</v>
      </c>
      <c r="AC18" s="159">
        <f t="shared" si="6"/>
        <v>4</v>
      </c>
      <c r="AD18" s="244">
        <f t="shared" si="6"/>
        <v>4</v>
      </c>
      <c r="AE18" s="140">
        <f t="shared" si="6"/>
        <v>2</v>
      </c>
      <c r="AF18" s="139">
        <f t="shared" si="6"/>
        <v>2</v>
      </c>
      <c r="AG18" s="244">
        <f t="shared" si="6"/>
        <v>2</v>
      </c>
      <c r="AH18" s="368"/>
      <c r="AI18" s="345"/>
    </row>
    <row r="19" spans="1:35">
      <c r="A19" s="345"/>
      <c r="B19" s="345"/>
      <c r="C19" s="272" t="s">
        <v>32</v>
      </c>
      <c r="D19" s="68">
        <f t="shared" ref="D19:AG19" si="7">COUNTIFS(D$3:D$10,"MG")+COUNTIFS(D$3:D$10,"TG")+COUNTIFS(D$3:D$10,"LG")+COUNTIFS(D$3:D$10,"DG")</f>
        <v>1</v>
      </c>
      <c r="E19" s="3">
        <f t="shared" si="7"/>
        <v>1</v>
      </c>
      <c r="F19" s="3">
        <f t="shared" si="7"/>
        <v>1</v>
      </c>
      <c r="G19" s="51">
        <f t="shared" si="7"/>
        <v>1</v>
      </c>
      <c r="H19" s="68">
        <f t="shared" si="7"/>
        <v>1</v>
      </c>
      <c r="I19" s="69">
        <f t="shared" si="7"/>
        <v>1</v>
      </c>
      <c r="J19" s="5">
        <f t="shared" si="7"/>
        <v>1</v>
      </c>
      <c r="K19" s="3">
        <f t="shared" si="7"/>
        <v>1</v>
      </c>
      <c r="L19" s="3">
        <f t="shared" si="7"/>
        <v>1</v>
      </c>
      <c r="M19" s="3">
        <f t="shared" si="7"/>
        <v>1</v>
      </c>
      <c r="N19" s="51">
        <f t="shared" si="7"/>
        <v>1</v>
      </c>
      <c r="O19" s="68">
        <f t="shared" si="7"/>
        <v>1</v>
      </c>
      <c r="P19" s="69">
        <f t="shared" si="7"/>
        <v>1</v>
      </c>
      <c r="Q19" s="5">
        <f t="shared" si="7"/>
        <v>1</v>
      </c>
      <c r="R19" s="3">
        <f t="shared" si="7"/>
        <v>1</v>
      </c>
      <c r="S19" s="3">
        <f t="shared" si="7"/>
        <v>1</v>
      </c>
      <c r="T19" s="3">
        <f t="shared" si="7"/>
        <v>1</v>
      </c>
      <c r="U19" s="51">
        <f t="shared" si="7"/>
        <v>1</v>
      </c>
      <c r="V19" s="68">
        <f t="shared" si="7"/>
        <v>1</v>
      </c>
      <c r="W19" s="69">
        <f t="shared" si="7"/>
        <v>1</v>
      </c>
      <c r="X19" s="5">
        <f t="shared" si="7"/>
        <v>1</v>
      </c>
      <c r="Y19" s="3">
        <f t="shared" si="7"/>
        <v>1</v>
      </c>
      <c r="Z19" s="3">
        <f t="shared" si="7"/>
        <v>1</v>
      </c>
      <c r="AA19" s="3">
        <f t="shared" si="7"/>
        <v>1</v>
      </c>
      <c r="AB19" s="51">
        <f t="shared" si="7"/>
        <v>1</v>
      </c>
      <c r="AC19" s="68">
        <f t="shared" si="7"/>
        <v>1</v>
      </c>
      <c r="AD19" s="69">
        <f t="shared" si="7"/>
        <v>1</v>
      </c>
      <c r="AE19" s="5">
        <f t="shared" si="7"/>
        <v>1</v>
      </c>
      <c r="AF19" s="3">
        <f t="shared" si="7"/>
        <v>1</v>
      </c>
      <c r="AG19" s="69">
        <f t="shared" si="7"/>
        <v>1</v>
      </c>
      <c r="AH19" s="368"/>
      <c r="AI19" s="345"/>
    </row>
    <row r="20" spans="1:35" ht="15" thickBot="1">
      <c r="A20" s="345"/>
      <c r="B20" s="345"/>
      <c r="C20" s="273" t="s">
        <v>5</v>
      </c>
      <c r="D20" s="160">
        <f>COUNTIFS(D$3:D$10,"V")</f>
        <v>0</v>
      </c>
      <c r="E20" s="245">
        <f t="shared" ref="E20:AG20" si="8">COUNTIFS(E$3:E$10,"V")</f>
        <v>0</v>
      </c>
      <c r="F20" s="245">
        <f t="shared" si="8"/>
        <v>0</v>
      </c>
      <c r="G20" s="236">
        <f t="shared" si="8"/>
        <v>0</v>
      </c>
      <c r="H20" s="160">
        <f t="shared" si="8"/>
        <v>0</v>
      </c>
      <c r="I20" s="101">
        <f t="shared" si="8"/>
        <v>0</v>
      </c>
      <c r="J20" s="254">
        <f t="shared" si="8"/>
        <v>0</v>
      </c>
      <c r="K20" s="245">
        <f t="shared" si="8"/>
        <v>0</v>
      </c>
      <c r="L20" s="245">
        <f t="shared" si="8"/>
        <v>0</v>
      </c>
      <c r="M20" s="245">
        <f t="shared" si="8"/>
        <v>0</v>
      </c>
      <c r="N20" s="236">
        <f t="shared" si="8"/>
        <v>0</v>
      </c>
      <c r="O20" s="160">
        <f t="shared" si="8"/>
        <v>0</v>
      </c>
      <c r="P20" s="101">
        <f t="shared" si="8"/>
        <v>0</v>
      </c>
      <c r="Q20" s="254">
        <f t="shared" si="8"/>
        <v>0</v>
      </c>
      <c r="R20" s="245">
        <f t="shared" si="8"/>
        <v>0</v>
      </c>
      <c r="S20" s="245">
        <f t="shared" si="8"/>
        <v>0</v>
      </c>
      <c r="T20" s="245">
        <f t="shared" si="8"/>
        <v>0</v>
      </c>
      <c r="U20" s="236">
        <f t="shared" si="8"/>
        <v>0</v>
      </c>
      <c r="V20" s="160">
        <f t="shared" si="8"/>
        <v>0</v>
      </c>
      <c r="W20" s="101">
        <f t="shared" si="8"/>
        <v>0</v>
      </c>
      <c r="X20" s="254">
        <f t="shared" si="8"/>
        <v>0</v>
      </c>
      <c r="Y20" s="245">
        <f t="shared" si="8"/>
        <v>0</v>
      </c>
      <c r="Z20" s="245">
        <f t="shared" si="8"/>
        <v>0</v>
      </c>
      <c r="AA20" s="245">
        <f t="shared" si="8"/>
        <v>0</v>
      </c>
      <c r="AB20" s="236">
        <f t="shared" si="8"/>
        <v>0</v>
      </c>
      <c r="AC20" s="160">
        <f t="shared" si="8"/>
        <v>0</v>
      </c>
      <c r="AD20" s="101">
        <f t="shared" si="8"/>
        <v>0</v>
      </c>
      <c r="AE20" s="254">
        <f t="shared" si="8"/>
        <v>0</v>
      </c>
      <c r="AF20" s="245">
        <f t="shared" si="8"/>
        <v>0</v>
      </c>
      <c r="AG20" s="101">
        <f t="shared" si="8"/>
        <v>0</v>
      </c>
      <c r="AH20" s="368"/>
      <c r="AI20" s="345"/>
    </row>
    <row r="21" spans="1:35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  <c r="M21" s="345"/>
      <c r="N21" s="345"/>
      <c r="O21" s="345"/>
      <c r="P21" s="345"/>
      <c r="Q21" s="345"/>
      <c r="R21" s="345"/>
      <c r="S21" s="345"/>
      <c r="T21" s="345"/>
      <c r="U21" s="345"/>
      <c r="V21" s="345"/>
      <c r="W21" s="345"/>
      <c r="X21" s="345"/>
      <c r="Y21" s="345"/>
      <c r="Z21" s="345"/>
      <c r="AA21" s="345"/>
      <c r="AB21" s="345"/>
      <c r="AC21" s="345"/>
      <c r="AD21" s="345"/>
      <c r="AE21" s="345"/>
      <c r="AF21" s="345"/>
      <c r="AG21" s="345"/>
      <c r="AH21" s="345"/>
      <c r="AI21" s="345"/>
    </row>
    <row r="22" spans="1:35">
      <c r="A22" s="345"/>
      <c r="B22" s="345"/>
      <c r="C22" s="345"/>
      <c r="D22" s="345"/>
      <c r="E22" s="345"/>
      <c r="F22" s="345"/>
      <c r="G22" s="345"/>
      <c r="H22" s="345"/>
      <c r="I22" s="345"/>
      <c r="J22" s="345"/>
      <c r="K22" s="345"/>
      <c r="L22" s="345"/>
      <c r="M22" s="345"/>
      <c r="N22" s="345"/>
      <c r="O22" s="345"/>
      <c r="P22" s="345"/>
      <c r="Q22" s="345"/>
      <c r="R22" s="345"/>
      <c r="S22" s="345"/>
      <c r="T22" s="345"/>
      <c r="U22" s="345"/>
      <c r="V22" s="345"/>
      <c r="W22" s="345"/>
      <c r="X22" s="345"/>
      <c r="Y22" s="345"/>
      <c r="Z22" s="345"/>
      <c r="AA22" s="345"/>
      <c r="AB22" s="345"/>
      <c r="AC22" s="345"/>
      <c r="AD22" s="345"/>
      <c r="AE22" s="345"/>
      <c r="AF22" s="345"/>
      <c r="AG22" s="345"/>
      <c r="AH22" s="345"/>
      <c r="AI22" s="345"/>
    </row>
    <row r="23" spans="1:35">
      <c r="A23" s="345"/>
      <c r="B23" s="345"/>
      <c r="C23" s="345"/>
      <c r="D23" s="345"/>
      <c r="E23" s="345"/>
      <c r="F23" s="345"/>
      <c r="G23" s="345"/>
      <c r="H23" s="345"/>
      <c r="I23" s="345"/>
      <c r="J23" s="345"/>
      <c r="K23" s="345"/>
      <c r="L23" s="345"/>
      <c r="M23" s="345"/>
      <c r="N23" s="345"/>
      <c r="O23" s="345"/>
      <c r="P23" s="345"/>
      <c r="Q23" s="345"/>
      <c r="R23" s="345"/>
      <c r="S23" s="345"/>
      <c r="T23" s="345"/>
      <c r="U23" s="345"/>
      <c r="V23" s="345"/>
      <c r="W23" s="345"/>
      <c r="X23" s="345"/>
      <c r="Y23" s="345"/>
      <c r="Z23" s="345"/>
      <c r="AA23" s="345"/>
      <c r="AB23" s="345"/>
      <c r="AC23" s="345"/>
      <c r="AD23" s="345"/>
      <c r="AE23" s="345"/>
      <c r="AF23" s="345"/>
      <c r="AG23" s="345"/>
      <c r="AH23" s="345"/>
      <c r="AI23" s="345"/>
    </row>
    <row r="24" spans="1:35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345"/>
      <c r="L24" s="345"/>
      <c r="M24" s="345"/>
      <c r="N24" s="345"/>
      <c r="O24" s="345"/>
      <c r="P24" s="345"/>
      <c r="Q24" s="345"/>
      <c r="R24" s="345"/>
      <c r="S24" s="345"/>
      <c r="T24" s="345"/>
      <c r="U24" s="345"/>
      <c r="V24" s="345"/>
      <c r="W24" s="345"/>
      <c r="X24" s="345"/>
      <c r="Y24" s="345"/>
      <c r="Z24" s="345"/>
      <c r="AA24" s="345"/>
      <c r="AB24" s="345"/>
      <c r="AC24" s="345"/>
      <c r="AD24" s="345"/>
      <c r="AE24" s="345"/>
      <c r="AF24" s="345"/>
      <c r="AG24" s="345"/>
      <c r="AH24" s="345"/>
      <c r="AI24" s="345"/>
    </row>
    <row r="25" spans="1:35">
      <c r="A25" s="345"/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  <c r="AA25" s="345"/>
      <c r="AB25" s="345"/>
      <c r="AC25" s="345"/>
      <c r="AD25" s="345"/>
      <c r="AE25" s="345"/>
      <c r="AF25" s="345"/>
      <c r="AG25" s="345"/>
      <c r="AH25" s="345"/>
      <c r="AI25" s="345"/>
    </row>
    <row r="26" spans="1:35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  <c r="M26" s="345"/>
      <c r="N26" s="345"/>
      <c r="O26" s="345"/>
      <c r="P26" s="345"/>
      <c r="Q26" s="345"/>
      <c r="R26" s="345"/>
      <c r="S26" s="345"/>
      <c r="T26" s="345"/>
      <c r="U26" s="345"/>
      <c r="V26" s="345"/>
      <c r="W26" s="345"/>
      <c r="X26" s="345"/>
      <c r="Y26" s="345"/>
      <c r="Z26" s="345"/>
      <c r="AA26" s="345"/>
      <c r="AB26" s="345"/>
      <c r="AC26" s="345"/>
      <c r="AD26" s="345"/>
      <c r="AE26" s="345"/>
      <c r="AF26" s="345"/>
      <c r="AG26" s="345"/>
      <c r="AH26" s="345"/>
      <c r="AI26" s="345"/>
    </row>
    <row r="27" spans="1:35">
      <c r="A27" s="345"/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  <c r="M27" s="345"/>
      <c r="N27" s="345"/>
      <c r="O27" s="345"/>
      <c r="P27" s="345"/>
      <c r="Q27" s="345"/>
      <c r="R27" s="345"/>
      <c r="S27" s="345"/>
      <c r="T27" s="345"/>
      <c r="U27" s="345"/>
      <c r="V27" s="345"/>
      <c r="W27" s="345"/>
      <c r="X27" s="345"/>
      <c r="Y27" s="345"/>
      <c r="Z27" s="345"/>
      <c r="AA27" s="345"/>
      <c r="AB27" s="345"/>
      <c r="AC27" s="345"/>
      <c r="AD27" s="345"/>
      <c r="AE27" s="345"/>
      <c r="AF27" s="345"/>
      <c r="AG27" s="345"/>
      <c r="AH27" s="345"/>
      <c r="AI27" s="345"/>
    </row>
  </sheetData>
  <mergeCells count="13">
    <mergeCell ref="C11:AH12"/>
    <mergeCell ref="A21:AI27"/>
    <mergeCell ref="AH13:AH20"/>
    <mergeCell ref="A1:C2"/>
    <mergeCell ref="AI1:AI20"/>
    <mergeCell ref="A3:B3"/>
    <mergeCell ref="A4:B4"/>
    <mergeCell ref="A5:B5"/>
    <mergeCell ref="A7:B7"/>
    <mergeCell ref="A8:B8"/>
    <mergeCell ref="A9:B9"/>
    <mergeCell ref="A10:B10"/>
    <mergeCell ref="A11:B2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EB484-C71C-4690-A436-AC62D4B923F5}">
  <dimension ref="A1:AO27"/>
  <sheetViews>
    <sheetView zoomScale="130" zoomScaleNormal="130" workbookViewId="0">
      <selection activeCell="AJ14" sqref="AJ14"/>
    </sheetView>
  </sheetViews>
  <sheetFormatPr defaultColWidth="11.42578125" defaultRowHeight="14.45"/>
  <cols>
    <col min="1" max="1" width="15.140625" customWidth="1"/>
    <col min="2" max="2" width="16.85546875" customWidth="1"/>
    <col min="3" max="3" width="3.42578125" customWidth="1"/>
    <col min="4" max="4" width="4.140625" customWidth="1"/>
    <col min="5" max="5" width="3.85546875" customWidth="1"/>
    <col min="6" max="6" width="3.42578125" customWidth="1"/>
    <col min="7" max="7" width="3.85546875" customWidth="1"/>
    <col min="8" max="10" width="3.140625" bestFit="1" customWidth="1"/>
    <col min="11" max="14" width="2.85546875" bestFit="1" customWidth="1"/>
    <col min="15" max="15" width="3" bestFit="1" customWidth="1"/>
    <col min="16" max="17" width="2.85546875" bestFit="1" customWidth="1"/>
    <col min="18" max="18" width="3.28515625" customWidth="1"/>
    <col min="19" max="22" width="3.140625" bestFit="1" customWidth="1"/>
    <col min="23" max="24" width="3" bestFit="1" customWidth="1"/>
    <col min="25" max="29" width="3.140625" bestFit="1" customWidth="1"/>
    <col min="30" max="33" width="2.85546875" bestFit="1" customWidth="1"/>
    <col min="34" max="34" width="2.85546875" customWidth="1"/>
    <col min="35" max="35" width="8.5703125" customWidth="1"/>
  </cols>
  <sheetData>
    <row r="1" spans="1:41" ht="15.6" thickTop="1" thickBot="1">
      <c r="A1" s="355" t="s">
        <v>0</v>
      </c>
      <c r="B1" s="355"/>
      <c r="C1" s="356"/>
      <c r="D1" s="290" t="s">
        <v>4</v>
      </c>
      <c r="E1" s="290" t="s">
        <v>5</v>
      </c>
      <c r="F1" s="161" t="s">
        <v>6</v>
      </c>
      <c r="G1" s="162" t="s">
        <v>7</v>
      </c>
      <c r="H1" s="290" t="s">
        <v>1</v>
      </c>
      <c r="I1" s="290" t="s">
        <v>2</v>
      </c>
      <c r="J1" s="290" t="s">
        <v>3</v>
      </c>
      <c r="K1" s="290" t="s">
        <v>4</v>
      </c>
      <c r="L1" s="290" t="s">
        <v>5</v>
      </c>
      <c r="M1" s="218" t="s">
        <v>6</v>
      </c>
      <c r="N1" s="282" t="s">
        <v>7</v>
      </c>
      <c r="O1" s="319" t="s">
        <v>1</v>
      </c>
      <c r="P1" s="290" t="s">
        <v>2</v>
      </c>
      <c r="Q1" s="290" t="s">
        <v>3</v>
      </c>
      <c r="R1" s="290" t="s">
        <v>4</v>
      </c>
      <c r="S1" s="290" t="s">
        <v>5</v>
      </c>
      <c r="T1" s="218" t="s">
        <v>6</v>
      </c>
      <c r="U1" s="219" t="s">
        <v>7</v>
      </c>
      <c r="V1" s="290" t="s">
        <v>1</v>
      </c>
      <c r="W1" s="290" t="s">
        <v>2</v>
      </c>
      <c r="X1" s="290" t="s">
        <v>3</v>
      </c>
      <c r="Y1" s="290" t="s">
        <v>4</v>
      </c>
      <c r="Z1" s="290" t="s">
        <v>5</v>
      </c>
      <c r="AA1" s="161" t="s">
        <v>6</v>
      </c>
      <c r="AB1" s="162" t="s">
        <v>7</v>
      </c>
      <c r="AC1" s="290" t="s">
        <v>1</v>
      </c>
      <c r="AD1" s="290" t="s">
        <v>2</v>
      </c>
      <c r="AE1" s="290" t="s">
        <v>3</v>
      </c>
      <c r="AF1" s="290" t="s">
        <v>4</v>
      </c>
      <c r="AG1" s="290" t="s">
        <v>5</v>
      </c>
      <c r="AH1" s="161" t="s">
        <v>6</v>
      </c>
      <c r="AI1" s="345"/>
    </row>
    <row r="2" spans="1:41" ht="15.6" thickTop="1" thickBot="1">
      <c r="A2" s="355"/>
      <c r="B2" s="355"/>
      <c r="C2" s="355"/>
      <c r="D2" s="163">
        <v>1</v>
      </c>
      <c r="E2" s="220">
        <v>2</v>
      </c>
      <c r="F2" s="221">
        <v>3</v>
      </c>
      <c r="G2" s="163">
        <v>4</v>
      </c>
      <c r="H2" s="164">
        <v>5</v>
      </c>
      <c r="I2" s="163">
        <v>6</v>
      </c>
      <c r="J2" s="164">
        <v>7</v>
      </c>
      <c r="K2" s="222">
        <v>8</v>
      </c>
      <c r="L2" s="220">
        <v>9</v>
      </c>
      <c r="M2" s="220">
        <v>10</v>
      </c>
      <c r="N2" s="221">
        <v>11</v>
      </c>
      <c r="O2" s="264">
        <v>12</v>
      </c>
      <c r="P2" s="222">
        <v>13</v>
      </c>
      <c r="Q2" s="221">
        <v>14</v>
      </c>
      <c r="R2" s="294">
        <v>15</v>
      </c>
      <c r="S2" s="222">
        <v>16</v>
      </c>
      <c r="T2" s="220">
        <v>17</v>
      </c>
      <c r="U2" s="220">
        <v>18</v>
      </c>
      <c r="V2" s="221">
        <v>19</v>
      </c>
      <c r="W2" s="163">
        <v>20</v>
      </c>
      <c r="X2" s="164">
        <v>21</v>
      </c>
      <c r="Y2" s="222">
        <v>22</v>
      </c>
      <c r="Z2" s="220">
        <v>23</v>
      </c>
      <c r="AA2" s="220">
        <v>24</v>
      </c>
      <c r="AB2" s="220">
        <v>25</v>
      </c>
      <c r="AC2" s="220">
        <v>26</v>
      </c>
      <c r="AD2" s="163">
        <v>27</v>
      </c>
      <c r="AE2" s="164">
        <v>28</v>
      </c>
      <c r="AF2" s="222">
        <v>29</v>
      </c>
      <c r="AG2" s="220">
        <v>30</v>
      </c>
      <c r="AH2" s="223">
        <v>31</v>
      </c>
      <c r="AI2" s="345"/>
      <c r="AJ2" s="113" t="s">
        <v>2</v>
      </c>
      <c r="AK2" s="75" t="s">
        <v>8</v>
      </c>
      <c r="AL2" s="73" t="s">
        <v>9</v>
      </c>
      <c r="AM2" s="70" t="s">
        <v>7</v>
      </c>
      <c r="AN2" s="114" t="s">
        <v>10</v>
      </c>
      <c r="AO2" s="155" t="s">
        <v>5</v>
      </c>
    </row>
    <row r="3" spans="1:41" ht="15.6" thickTop="1" thickBot="1">
      <c r="A3" s="357" t="s">
        <v>11</v>
      </c>
      <c r="B3" s="358"/>
      <c r="C3" s="157" t="s">
        <v>12</v>
      </c>
      <c r="D3" s="169" t="s">
        <v>1</v>
      </c>
      <c r="E3" s="170" t="s">
        <v>1</v>
      </c>
      <c r="F3" s="130" t="s">
        <v>14</v>
      </c>
      <c r="G3" s="131" t="s">
        <v>14</v>
      </c>
      <c r="H3" s="130" t="s">
        <v>15</v>
      </c>
      <c r="I3" s="130" t="s">
        <v>15</v>
      </c>
      <c r="J3" s="130" t="s">
        <v>15</v>
      </c>
      <c r="K3" s="124" t="s">
        <v>13</v>
      </c>
      <c r="L3" s="127" t="s">
        <v>16</v>
      </c>
      <c r="M3" s="291" t="s">
        <v>1</v>
      </c>
      <c r="N3" s="305" t="s">
        <v>1</v>
      </c>
      <c r="O3" s="320" t="s">
        <v>2</v>
      </c>
      <c r="P3" s="310" t="s">
        <v>2</v>
      </c>
      <c r="Q3" s="183" t="s">
        <v>2</v>
      </c>
      <c r="R3" s="293" t="s">
        <v>2</v>
      </c>
      <c r="S3" s="193" t="s">
        <v>2</v>
      </c>
      <c r="T3" s="130" t="s">
        <v>16</v>
      </c>
      <c r="U3" s="131" t="s">
        <v>16</v>
      </c>
      <c r="V3" s="130" t="s">
        <v>16</v>
      </c>
      <c r="W3" s="130" t="s">
        <v>13</v>
      </c>
      <c r="X3" s="130" t="s">
        <v>14</v>
      </c>
      <c r="Y3" s="124" t="s">
        <v>14</v>
      </c>
      <c r="Z3" s="124" t="s">
        <v>14</v>
      </c>
      <c r="AA3" s="166" t="s">
        <v>1</v>
      </c>
      <c r="AB3" s="269" t="s">
        <v>1</v>
      </c>
      <c r="AC3" s="168" t="s">
        <v>2</v>
      </c>
      <c r="AD3" s="169" t="s">
        <v>2</v>
      </c>
      <c r="AE3" s="169" t="s">
        <v>1</v>
      </c>
      <c r="AF3" s="169" t="s">
        <v>1</v>
      </c>
      <c r="AG3" s="170" t="s">
        <v>1</v>
      </c>
      <c r="AH3" s="130" t="s">
        <v>14</v>
      </c>
      <c r="AI3" s="345"/>
      <c r="AJ3">
        <f>COUNTIFS(D$3:AH$3,"M")+COUNTIFS(D$3:AH$3,"MG")</f>
        <v>13</v>
      </c>
      <c r="AK3">
        <f>COUNTIFS(D$3:AI$3,"T")+COUNTIFS(D$3:AI$3,"TG")</f>
        <v>3</v>
      </c>
      <c r="AL3">
        <f>COUNTIFS(D$3:AH$3,"N")+COUNTIFS(D$3:AH$3,"NG")</f>
        <v>0</v>
      </c>
      <c r="AM3">
        <f>COUNTIFS(D$3:AH$3,"D")+COUNTIFS(D$3:AH$3,"DG")</f>
        <v>4</v>
      </c>
      <c r="AN3">
        <f>SUM(AJ3:AM3)</f>
        <v>20</v>
      </c>
      <c r="AO3">
        <f>COUNTIFS(F$3:AJ$3,"V")</f>
        <v>0</v>
      </c>
    </row>
    <row r="4" spans="1:41" ht="15.6" thickTop="1" thickBot="1">
      <c r="A4" s="359" t="s">
        <v>17</v>
      </c>
      <c r="B4" s="360"/>
      <c r="C4" s="9" t="s">
        <v>18</v>
      </c>
      <c r="D4" s="124" t="s">
        <v>13</v>
      </c>
      <c r="E4" s="127" t="s">
        <v>16</v>
      </c>
      <c r="F4" s="187" t="s">
        <v>1</v>
      </c>
      <c r="G4" s="188" t="s">
        <v>1</v>
      </c>
      <c r="H4" s="189" t="s">
        <v>2</v>
      </c>
      <c r="I4" s="193" t="s">
        <v>2</v>
      </c>
      <c r="J4" s="183" t="s">
        <v>2</v>
      </c>
      <c r="K4" s="183" t="s">
        <v>2</v>
      </c>
      <c r="L4" s="184" t="s">
        <v>2</v>
      </c>
      <c r="M4" s="124" t="s">
        <v>16</v>
      </c>
      <c r="N4" s="306" t="s">
        <v>16</v>
      </c>
      <c r="O4" s="266" t="s">
        <v>16</v>
      </c>
      <c r="P4" s="268" t="s">
        <v>13</v>
      </c>
      <c r="Q4" s="130" t="s">
        <v>14</v>
      </c>
      <c r="R4" s="124" t="s">
        <v>14</v>
      </c>
      <c r="S4" s="124" t="s">
        <v>14</v>
      </c>
      <c r="T4" s="128" t="s">
        <v>1</v>
      </c>
      <c r="U4" s="178" t="s">
        <v>1</v>
      </c>
      <c r="V4" s="132" t="s">
        <v>2</v>
      </c>
      <c r="W4" s="177" t="s">
        <v>2</v>
      </c>
      <c r="X4" s="129" t="s">
        <v>1</v>
      </c>
      <c r="Y4" s="129" t="s">
        <v>1</v>
      </c>
      <c r="Z4" s="129" t="s">
        <v>1</v>
      </c>
      <c r="AA4" s="127" t="s">
        <v>14</v>
      </c>
      <c r="AB4" s="124" t="s">
        <v>14</v>
      </c>
      <c r="AC4" s="268" t="s">
        <v>15</v>
      </c>
      <c r="AD4" s="130" t="s">
        <v>15</v>
      </c>
      <c r="AE4" s="130" t="s">
        <v>15</v>
      </c>
      <c r="AF4" s="124" t="s">
        <v>13</v>
      </c>
      <c r="AG4" s="127" t="s">
        <v>16</v>
      </c>
      <c r="AH4" s="187" t="s">
        <v>1</v>
      </c>
      <c r="AI4" s="345"/>
      <c r="AJ4">
        <f>COUNTIFS(D$4:AH$4,"M")+COUNTIFS(D$4:AH$4,"MG")</f>
        <v>12</v>
      </c>
      <c r="AK4">
        <f>COUNTIFS(D$4:AI$4,"T")+COUNTIFS(D$4:AI$4,"TG")</f>
        <v>3</v>
      </c>
      <c r="AL4">
        <f>COUNTIFS(F$4:AG$4,"N")+COUNTIFS(F$4:AG$4,"NG")</f>
        <v>0</v>
      </c>
      <c r="AM4">
        <f>COUNTIFS(D$4:AH$4,"D")+COUNTIFS(D$4:AH$4,"DG")</f>
        <v>5</v>
      </c>
      <c r="AN4">
        <f t="shared" ref="AN4:AN10" si="0">SUM(AJ4:AM4)</f>
        <v>20</v>
      </c>
      <c r="AO4">
        <f>COUNTIFS(F$4:AJ$4,"V")</f>
        <v>0</v>
      </c>
    </row>
    <row r="5" spans="1:41" ht="15.6" thickTop="1" thickBot="1">
      <c r="A5" s="359" t="s">
        <v>19</v>
      </c>
      <c r="B5" s="360"/>
      <c r="C5" s="9" t="s">
        <v>20</v>
      </c>
      <c r="D5" s="135" t="s">
        <v>2</v>
      </c>
      <c r="E5" s="136" t="s">
        <v>2</v>
      </c>
      <c r="F5" s="175" t="s">
        <v>7</v>
      </c>
      <c r="G5" s="179" t="s">
        <v>7</v>
      </c>
      <c r="H5" s="180" t="s">
        <v>7</v>
      </c>
      <c r="I5" s="135" t="s">
        <v>1</v>
      </c>
      <c r="J5" s="135" t="s">
        <v>2</v>
      </c>
      <c r="K5" s="135" t="s">
        <v>2</v>
      </c>
      <c r="L5" s="136" t="s">
        <v>2</v>
      </c>
      <c r="M5" s="291" t="s">
        <v>1</v>
      </c>
      <c r="N5" s="307" t="s">
        <v>1</v>
      </c>
      <c r="O5" s="320" t="s">
        <v>1</v>
      </c>
      <c r="P5" s="132" t="s">
        <v>2</v>
      </c>
      <c r="Q5" s="135" t="s">
        <v>1</v>
      </c>
      <c r="R5" s="135" t="s">
        <v>1</v>
      </c>
      <c r="S5" s="136" t="s">
        <v>1</v>
      </c>
      <c r="T5" s="187" t="s">
        <v>2</v>
      </c>
      <c r="U5" s="188" t="s">
        <v>2</v>
      </c>
      <c r="V5" s="181" t="s">
        <v>8</v>
      </c>
      <c r="W5" s="182" t="s">
        <v>8</v>
      </c>
      <c r="X5" s="182" t="s">
        <v>8</v>
      </c>
      <c r="Y5" s="129" t="s">
        <v>1</v>
      </c>
      <c r="Z5" s="224" t="s">
        <v>7</v>
      </c>
      <c r="AA5" s="166" t="s">
        <v>1</v>
      </c>
      <c r="AB5" s="269" t="s">
        <v>1</v>
      </c>
      <c r="AC5" s="135" t="s">
        <v>2</v>
      </c>
      <c r="AD5" s="135" t="s">
        <v>2</v>
      </c>
      <c r="AE5" s="135" t="s">
        <v>2</v>
      </c>
      <c r="AF5" s="135" t="s">
        <v>2</v>
      </c>
      <c r="AG5" s="136" t="s">
        <v>2</v>
      </c>
      <c r="AH5" s="175" t="s">
        <v>7</v>
      </c>
      <c r="AI5" s="345"/>
      <c r="AJ5">
        <f>COUNTIFS(D$5:AH$5,"M")+COUNTIFS(D$5:AH$5,"MG")</f>
        <v>13</v>
      </c>
      <c r="AK5">
        <f>COUNTIFS(D$5:AI$5,"T")+COUNTIFS(E$5:AI$5,"TG")</f>
        <v>3</v>
      </c>
      <c r="AL5">
        <f>COUNTIFS(F$5:AG$5,"N")+COUNTIFS(F$5:AG$5,"NG")</f>
        <v>0</v>
      </c>
      <c r="AM5">
        <f>COUNTIFS(D$5:AH$5,"D")+COUNTIFS(D$5:AH$5,"DG")</f>
        <v>5</v>
      </c>
      <c r="AN5">
        <f t="shared" si="0"/>
        <v>21</v>
      </c>
      <c r="AO5">
        <f>COUNTIFS(F$5:AJ$5,"V")</f>
        <v>0</v>
      </c>
    </row>
    <row r="6" spans="1:41" ht="15.6" thickTop="1" thickBot="1">
      <c r="A6" s="116"/>
      <c r="B6" s="156" t="s">
        <v>21</v>
      </c>
      <c r="C6" s="158" t="s">
        <v>22</v>
      </c>
      <c r="D6" s="183" t="s">
        <v>2</v>
      </c>
      <c r="E6" s="184" t="s">
        <v>2</v>
      </c>
      <c r="F6" s="187" t="s">
        <v>1</v>
      </c>
      <c r="G6" s="188" t="s">
        <v>1</v>
      </c>
      <c r="H6" s="189" t="s">
        <v>2</v>
      </c>
      <c r="I6" s="183" t="s">
        <v>2</v>
      </c>
      <c r="J6" s="183" t="s">
        <v>1</v>
      </c>
      <c r="K6" s="183" t="s">
        <v>1</v>
      </c>
      <c r="L6" s="184" t="s">
        <v>1</v>
      </c>
      <c r="M6" s="291" t="s">
        <v>2</v>
      </c>
      <c r="N6" s="305" t="s">
        <v>2</v>
      </c>
      <c r="O6" s="321" t="s">
        <v>8</v>
      </c>
      <c r="P6" s="190" t="s">
        <v>8</v>
      </c>
      <c r="Q6" s="191" t="s">
        <v>8</v>
      </c>
      <c r="R6" s="183" t="s">
        <v>1</v>
      </c>
      <c r="S6" s="192" t="s">
        <v>7</v>
      </c>
      <c r="T6" s="187" t="s">
        <v>1</v>
      </c>
      <c r="U6" s="188" t="s">
        <v>1</v>
      </c>
      <c r="V6" s="189" t="s">
        <v>2</v>
      </c>
      <c r="W6" s="193" t="s">
        <v>2</v>
      </c>
      <c r="X6" s="183" t="s">
        <v>2</v>
      </c>
      <c r="Y6" s="183" t="s">
        <v>2</v>
      </c>
      <c r="Z6" s="193" t="s">
        <v>2</v>
      </c>
      <c r="AA6" s="185" t="s">
        <v>7</v>
      </c>
      <c r="AB6" s="186" t="s">
        <v>7</v>
      </c>
      <c r="AC6" s="186" t="s">
        <v>7</v>
      </c>
      <c r="AD6" s="183" t="s">
        <v>1</v>
      </c>
      <c r="AE6" s="183" t="s">
        <v>2</v>
      </c>
      <c r="AF6" s="183" t="s">
        <v>2</v>
      </c>
      <c r="AG6" s="184" t="s">
        <v>2</v>
      </c>
      <c r="AH6" s="187" t="s">
        <v>1</v>
      </c>
      <c r="AI6" s="345"/>
      <c r="AJ6">
        <f>COUNTIFS(D$6:AH$6,"M")+COUNTIFS(D$6:AH$6,"MG")</f>
        <v>14</v>
      </c>
      <c r="AK6">
        <f>COUNTIFS(D$6:AI$6,"T")+COUNTIFS(D$6:AI$6,"TG")</f>
        <v>3</v>
      </c>
      <c r="AL6">
        <f>COUNTIFS(F$6:AG$6,"N")+COUNTIFS(F$6:AG$6,"NG")</f>
        <v>0</v>
      </c>
      <c r="AM6">
        <f>COUNTIFS(D$6:AH$6,"D")+COUNTIFS(D$6:AH$6,"DG")</f>
        <v>4</v>
      </c>
      <c r="AN6">
        <f t="shared" si="0"/>
        <v>21</v>
      </c>
      <c r="AO6">
        <f>COUNTIFS(F$6:AJ$6,"V")</f>
        <v>0</v>
      </c>
    </row>
    <row r="7" spans="1:41" ht="15.6" thickTop="1" thickBot="1">
      <c r="A7" s="361" t="s">
        <v>23</v>
      </c>
      <c r="B7" s="362"/>
      <c r="C7" s="157" t="s">
        <v>24</v>
      </c>
      <c r="D7" s="173" t="s">
        <v>7</v>
      </c>
      <c r="E7" s="172" t="s">
        <v>1</v>
      </c>
      <c r="F7" s="166" t="s">
        <v>9</v>
      </c>
      <c r="G7" s="167" t="s">
        <v>9</v>
      </c>
      <c r="H7" s="171" t="s">
        <v>1</v>
      </c>
      <c r="I7" s="195" t="s">
        <v>1</v>
      </c>
      <c r="J7" s="173" t="s">
        <v>7</v>
      </c>
      <c r="K7" s="195" t="s">
        <v>8</v>
      </c>
      <c r="L7" s="172" t="s">
        <v>8</v>
      </c>
      <c r="M7" s="291" t="s">
        <v>8</v>
      </c>
      <c r="N7" s="308" t="s">
        <v>8</v>
      </c>
      <c r="O7" s="321" t="s">
        <v>1</v>
      </c>
      <c r="P7" s="311" t="s">
        <v>7</v>
      </c>
      <c r="Q7" s="195" t="s">
        <v>9</v>
      </c>
      <c r="R7" s="195" t="s">
        <v>9</v>
      </c>
      <c r="S7" s="172" t="s">
        <v>9</v>
      </c>
      <c r="T7" s="166" t="s">
        <v>1</v>
      </c>
      <c r="U7" s="167" t="s">
        <v>1</v>
      </c>
      <c r="V7" s="171" t="s">
        <v>9</v>
      </c>
      <c r="W7" s="196" t="s">
        <v>9</v>
      </c>
      <c r="X7" s="169" t="s">
        <v>9</v>
      </c>
      <c r="Y7" s="169" t="s">
        <v>9</v>
      </c>
      <c r="Z7" s="226" t="s">
        <v>9</v>
      </c>
      <c r="AA7" s="166" t="s">
        <v>1</v>
      </c>
      <c r="AB7" s="167" t="s">
        <v>1</v>
      </c>
      <c r="AC7" s="171" t="s">
        <v>9</v>
      </c>
      <c r="AD7" s="195" t="s">
        <v>9</v>
      </c>
      <c r="AE7" s="195" t="s">
        <v>1</v>
      </c>
      <c r="AF7" s="173" t="s">
        <v>7</v>
      </c>
      <c r="AG7" s="172" t="s">
        <v>1</v>
      </c>
      <c r="AH7" s="166" t="s">
        <v>9</v>
      </c>
      <c r="AI7" s="345"/>
      <c r="AJ7">
        <f>COUNTIFS(D$7:AG$7,"M")+COUNTIFS(D$7:AG$7,"MG")</f>
        <v>0</v>
      </c>
      <c r="AK7">
        <f>COUNTIFS(D$7:AI$7,"T")+COUNTIFS(D$7:AI$7,"TG")</f>
        <v>4</v>
      </c>
      <c r="AL7">
        <f>COUNTIFS(D$7:AH$7,"N")+COUNTIFS(D$7:AH$7,"NG")</f>
        <v>13</v>
      </c>
      <c r="AM7">
        <f>COUNTIFS(D$7:AH$7,"D")+COUNTIFS(D$7:AH$7,"DG")</f>
        <v>4</v>
      </c>
      <c r="AN7">
        <f t="shared" si="0"/>
        <v>21</v>
      </c>
      <c r="AO7">
        <f>COUNTIFS(F$7:AJ$7,"V")</f>
        <v>0</v>
      </c>
    </row>
    <row r="8" spans="1:41" ht="15.6" thickTop="1" thickBot="1">
      <c r="A8" s="346" t="s">
        <v>25</v>
      </c>
      <c r="B8" s="347"/>
      <c r="C8" s="9" t="s">
        <v>26</v>
      </c>
      <c r="D8" s="137" t="s">
        <v>8</v>
      </c>
      <c r="E8" s="199" t="s">
        <v>8</v>
      </c>
      <c r="F8" s="128" t="s">
        <v>8</v>
      </c>
      <c r="G8" s="178" t="s">
        <v>8</v>
      </c>
      <c r="H8" s="181" t="s">
        <v>1</v>
      </c>
      <c r="I8" s="175" t="s">
        <v>7</v>
      </c>
      <c r="J8" s="137" t="s">
        <v>9</v>
      </c>
      <c r="K8" s="137" t="s">
        <v>9</v>
      </c>
      <c r="L8" s="199" t="s">
        <v>9</v>
      </c>
      <c r="M8" s="291" t="s">
        <v>1</v>
      </c>
      <c r="N8" s="307" t="s">
        <v>1</v>
      </c>
      <c r="O8" s="320" t="s">
        <v>9</v>
      </c>
      <c r="P8" s="132" t="s">
        <v>9</v>
      </c>
      <c r="Q8" s="135" t="s">
        <v>9</v>
      </c>
      <c r="R8" s="135" t="s">
        <v>9</v>
      </c>
      <c r="S8" s="136" t="s">
        <v>9</v>
      </c>
      <c r="T8" s="128" t="s">
        <v>1</v>
      </c>
      <c r="U8" s="178" t="s">
        <v>1</v>
      </c>
      <c r="V8" s="181" t="s">
        <v>9</v>
      </c>
      <c r="W8" s="182" t="s">
        <v>9</v>
      </c>
      <c r="X8" s="197" t="s">
        <v>1</v>
      </c>
      <c r="Y8" s="198" t="s">
        <v>7</v>
      </c>
      <c r="Z8" s="182" t="s">
        <v>1</v>
      </c>
      <c r="AA8" s="128" t="s">
        <v>9</v>
      </c>
      <c r="AB8" s="178" t="s">
        <v>9</v>
      </c>
      <c r="AC8" s="137" t="s">
        <v>1</v>
      </c>
      <c r="AD8" s="137" t="s">
        <v>1</v>
      </c>
      <c r="AE8" s="175" t="s">
        <v>7</v>
      </c>
      <c r="AF8" s="137" t="s">
        <v>8</v>
      </c>
      <c r="AG8" s="199" t="s">
        <v>8</v>
      </c>
      <c r="AH8" s="128" t="s">
        <v>8</v>
      </c>
      <c r="AI8" s="345"/>
      <c r="AJ8">
        <f>COUNTIFS(D$7:AG$7,"M")+COUNTIFS(D$7:AG$7,"MG")</f>
        <v>0</v>
      </c>
      <c r="AK8">
        <f>COUNTIFS(D$8:AI$8,"T")+COUNTIFS(D$8:AI$8,"TG")</f>
        <v>7</v>
      </c>
      <c r="AL8">
        <f>COUNTIFS(D$8:AH$8,"N")+COUNTIFS(D$8:AH$8,"NG")</f>
        <v>12</v>
      </c>
      <c r="AM8">
        <f>COUNTIFS(D$8:AH$8,"D")+COUNTIFS(D$8:AH$8,"DG")</f>
        <v>3</v>
      </c>
      <c r="AN8">
        <f t="shared" si="0"/>
        <v>22</v>
      </c>
      <c r="AO8">
        <f>COUNTIFS(F$8:AJ$8,"V")</f>
        <v>0</v>
      </c>
    </row>
    <row r="9" spans="1:41" ht="15.6" thickTop="1" thickBot="1">
      <c r="A9" s="346" t="s">
        <v>27</v>
      </c>
      <c r="B9" s="347"/>
      <c r="C9" s="9" t="s">
        <v>28</v>
      </c>
      <c r="D9" s="137" t="s">
        <v>9</v>
      </c>
      <c r="E9" s="199" t="s">
        <v>9</v>
      </c>
      <c r="F9" s="128" t="s">
        <v>1</v>
      </c>
      <c r="G9" s="178" t="s">
        <v>1</v>
      </c>
      <c r="H9" s="132" t="s">
        <v>9</v>
      </c>
      <c r="I9" s="135" t="s">
        <v>9</v>
      </c>
      <c r="J9" s="135" t="s">
        <v>9</v>
      </c>
      <c r="K9" s="135" t="s">
        <v>9</v>
      </c>
      <c r="L9" s="136" t="s">
        <v>9</v>
      </c>
      <c r="M9" s="291" t="s">
        <v>1</v>
      </c>
      <c r="N9" s="307" t="s">
        <v>1</v>
      </c>
      <c r="O9" s="321" t="s">
        <v>1</v>
      </c>
      <c r="P9" s="181" t="s">
        <v>9</v>
      </c>
      <c r="Q9" s="137" t="s">
        <v>1</v>
      </c>
      <c r="R9" s="175" t="s">
        <v>7</v>
      </c>
      <c r="S9" s="199" t="s">
        <v>1</v>
      </c>
      <c r="T9" s="128" t="s">
        <v>9</v>
      </c>
      <c r="U9" s="178" t="s">
        <v>9</v>
      </c>
      <c r="V9" s="182" t="s">
        <v>1</v>
      </c>
      <c r="W9" s="182" t="s">
        <v>1</v>
      </c>
      <c r="X9" s="198" t="s">
        <v>7</v>
      </c>
      <c r="Y9" s="137" t="s">
        <v>8</v>
      </c>
      <c r="Z9" s="182" t="s">
        <v>8</v>
      </c>
      <c r="AA9" s="128" t="s">
        <v>8</v>
      </c>
      <c r="AB9" s="178" t="s">
        <v>8</v>
      </c>
      <c r="AC9" s="181" t="s">
        <v>1</v>
      </c>
      <c r="AD9" s="175" t="s">
        <v>7</v>
      </c>
      <c r="AE9" s="137" t="s">
        <v>9</v>
      </c>
      <c r="AF9" s="137" t="s">
        <v>9</v>
      </c>
      <c r="AG9" s="199" t="s">
        <v>9</v>
      </c>
      <c r="AH9" s="128" t="s">
        <v>1</v>
      </c>
      <c r="AI9" s="345"/>
      <c r="AJ9">
        <f>COUNTIFS(D$7:AG$7,"M")+COUNTIFS(D$7:AG$7,"MG")</f>
        <v>0</v>
      </c>
      <c r="AK9">
        <f>COUNTIFS(D$9:AI$9,"T")+COUNTIFS(D$9:AI$9,"TG")</f>
        <v>4</v>
      </c>
      <c r="AL9">
        <f>COUNTIFS(D$9:AH$9,"N")+COUNTIFS(D$9:AH$9,"NG")</f>
        <v>13</v>
      </c>
      <c r="AM9">
        <f>COUNTIFS(D$9:AH$9,"D")+COUNTIFS(D$9:AH$9,"DG")</f>
        <v>3</v>
      </c>
      <c r="AN9">
        <f t="shared" si="0"/>
        <v>20</v>
      </c>
      <c r="AO9">
        <f>COUNTIFS(F$9:AJ$9,"V")</f>
        <v>0</v>
      </c>
    </row>
    <row r="10" spans="1:41" ht="15.6" thickTop="1" thickBot="1">
      <c r="A10" s="348" t="s">
        <v>29</v>
      </c>
      <c r="B10" s="349"/>
      <c r="C10" s="9" t="s">
        <v>30</v>
      </c>
      <c r="D10" s="204" t="s">
        <v>9</v>
      </c>
      <c r="E10" s="205" t="s">
        <v>9</v>
      </c>
      <c r="F10" s="138" t="s">
        <v>1</v>
      </c>
      <c r="G10" s="202" t="s">
        <v>1</v>
      </c>
      <c r="H10" s="206" t="s">
        <v>9</v>
      </c>
      <c r="I10" s="200" t="s">
        <v>9</v>
      </c>
      <c r="J10" s="200" t="s">
        <v>1</v>
      </c>
      <c r="K10" s="207" t="s">
        <v>7</v>
      </c>
      <c r="L10" s="201" t="s">
        <v>1</v>
      </c>
      <c r="M10" s="291" t="s">
        <v>9</v>
      </c>
      <c r="N10" s="309" t="s">
        <v>9</v>
      </c>
      <c r="O10" s="321" t="s">
        <v>1</v>
      </c>
      <c r="P10" s="206" t="s">
        <v>1</v>
      </c>
      <c r="Q10" s="207" t="s">
        <v>7</v>
      </c>
      <c r="R10" s="200" t="s">
        <v>8</v>
      </c>
      <c r="S10" s="201" t="s">
        <v>8</v>
      </c>
      <c r="T10" s="138" t="s">
        <v>8</v>
      </c>
      <c r="U10" s="202" t="s">
        <v>8</v>
      </c>
      <c r="V10" s="206" t="s">
        <v>1</v>
      </c>
      <c r="W10" s="208" t="s">
        <v>7</v>
      </c>
      <c r="X10" s="200" t="s">
        <v>9</v>
      </c>
      <c r="Y10" s="200" t="s">
        <v>9</v>
      </c>
      <c r="Z10" s="228" t="s">
        <v>9</v>
      </c>
      <c r="AA10" s="138" t="s">
        <v>1</v>
      </c>
      <c r="AB10" s="202" t="s">
        <v>1</v>
      </c>
      <c r="AC10" s="203" t="s">
        <v>9</v>
      </c>
      <c r="AD10" s="204" t="s">
        <v>9</v>
      </c>
      <c r="AE10" s="204" t="s">
        <v>9</v>
      </c>
      <c r="AF10" s="204" t="s">
        <v>9</v>
      </c>
      <c r="AG10" s="205" t="s">
        <v>9</v>
      </c>
      <c r="AH10" s="138" t="s">
        <v>1</v>
      </c>
      <c r="AI10" s="345"/>
      <c r="AJ10">
        <f>COUNTIFS(D$7:AG$7,"M")+COUNTIFS(D$7:AG$7,"MG")</f>
        <v>0</v>
      </c>
      <c r="AK10">
        <f>COUNTIFS(D$10:AI$10,"T")+COUNTIFS(D$10:AI$10,"TG")</f>
        <v>4</v>
      </c>
      <c r="AL10">
        <f>COUNTIFS(D$10:AH$10,"N")+COUNTIFS(D$10:AH$10,"NG")</f>
        <v>14</v>
      </c>
      <c r="AM10">
        <f>COUNTIFS(D$10:AH$10,"D")+COUNTIFS(D$10:AH$10,"DG")</f>
        <v>3</v>
      </c>
      <c r="AN10">
        <f t="shared" si="0"/>
        <v>21</v>
      </c>
      <c r="AO10">
        <f>COUNTIFS(F$10:AJ$10,"V")</f>
        <v>0</v>
      </c>
    </row>
    <row r="11" spans="1:41">
      <c r="A11" s="353"/>
      <c r="B11" s="353"/>
      <c r="C11" s="345"/>
      <c r="D11" s="345"/>
      <c r="E11" s="345"/>
      <c r="F11" s="345"/>
      <c r="G11" s="345"/>
      <c r="H11" s="345"/>
      <c r="I11" s="345"/>
      <c r="J11" s="34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W11" s="345"/>
      <c r="X11" s="345"/>
      <c r="Y11" s="345"/>
      <c r="Z11" s="345"/>
      <c r="AA11" s="345"/>
      <c r="AB11" s="345"/>
      <c r="AC11" s="345"/>
      <c r="AD11" s="345"/>
      <c r="AE11" s="345"/>
      <c r="AF11" s="345"/>
      <c r="AG11" s="345"/>
      <c r="AH11" s="345"/>
      <c r="AI11" s="345"/>
    </row>
    <row r="12" spans="1:41" ht="15" thickBot="1">
      <c r="A12" s="345"/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345"/>
      <c r="M12" s="345"/>
      <c r="N12" s="345"/>
      <c r="O12" s="345"/>
      <c r="P12" s="345"/>
      <c r="Q12" s="345"/>
      <c r="R12" s="345"/>
      <c r="S12" s="345"/>
      <c r="T12" s="345"/>
      <c r="U12" s="345"/>
      <c r="V12" s="345"/>
      <c r="W12" s="345"/>
      <c r="X12" s="345"/>
      <c r="Y12" s="345"/>
      <c r="Z12" s="345"/>
      <c r="AA12" s="345"/>
      <c r="AB12" s="345"/>
      <c r="AC12" s="345"/>
      <c r="AD12" s="345"/>
      <c r="AE12" s="345"/>
      <c r="AF12" s="345"/>
      <c r="AG12" s="345"/>
      <c r="AH12" s="345"/>
      <c r="AI12" s="345"/>
    </row>
    <row r="13" spans="1:41" ht="15.6" thickTop="1" thickBot="1">
      <c r="A13" s="345"/>
      <c r="B13" s="345"/>
      <c r="C13" s="271" t="s">
        <v>31</v>
      </c>
      <c r="D13" s="270">
        <f>SUM(D14:D16)</f>
        <v>5</v>
      </c>
      <c r="E13" s="296">
        <f t="shared" ref="E13:AG13" si="1">SUM(E14:E16)</f>
        <v>5</v>
      </c>
      <c r="F13" s="255">
        <f t="shared" si="1"/>
        <v>3</v>
      </c>
      <c r="G13" s="241">
        <f t="shared" si="1"/>
        <v>3</v>
      </c>
      <c r="H13" s="295">
        <f t="shared" si="1"/>
        <v>5</v>
      </c>
      <c r="I13" s="270">
        <f t="shared" si="1"/>
        <v>5</v>
      </c>
      <c r="J13" s="270">
        <f t="shared" si="1"/>
        <v>5</v>
      </c>
      <c r="K13" s="270">
        <f t="shared" si="1"/>
        <v>5</v>
      </c>
      <c r="L13" s="296">
        <f t="shared" si="1"/>
        <v>5</v>
      </c>
      <c r="M13" s="255">
        <f t="shared" si="1"/>
        <v>3</v>
      </c>
      <c r="N13" s="246">
        <f t="shared" si="1"/>
        <v>3</v>
      </c>
      <c r="O13" s="312">
        <f t="shared" si="1"/>
        <v>3</v>
      </c>
      <c r="P13" s="295">
        <f t="shared" si="1"/>
        <v>5</v>
      </c>
      <c r="Q13" s="270">
        <f t="shared" si="1"/>
        <v>5</v>
      </c>
      <c r="R13" s="270">
        <f t="shared" si="1"/>
        <v>5</v>
      </c>
      <c r="S13" s="296">
        <f t="shared" si="1"/>
        <v>5</v>
      </c>
      <c r="T13" s="255">
        <f t="shared" si="1"/>
        <v>3</v>
      </c>
      <c r="U13" s="241">
        <f t="shared" si="1"/>
        <v>3</v>
      </c>
      <c r="V13" s="295">
        <f t="shared" si="1"/>
        <v>5</v>
      </c>
      <c r="W13" s="270">
        <f t="shared" si="1"/>
        <v>5</v>
      </c>
      <c r="X13" s="270">
        <f>SUM(X14:X16)</f>
        <v>5</v>
      </c>
      <c r="Y13" s="270">
        <f t="shared" si="1"/>
        <v>5</v>
      </c>
      <c r="Z13" s="296">
        <f t="shared" si="1"/>
        <v>5</v>
      </c>
      <c r="AA13" s="255">
        <f t="shared" si="1"/>
        <v>3</v>
      </c>
      <c r="AB13" s="241">
        <f t="shared" si="1"/>
        <v>3</v>
      </c>
      <c r="AC13" s="295">
        <f t="shared" si="1"/>
        <v>5</v>
      </c>
      <c r="AD13" s="270">
        <f t="shared" si="1"/>
        <v>5</v>
      </c>
      <c r="AE13" s="270">
        <f t="shared" si="1"/>
        <v>5</v>
      </c>
      <c r="AF13" s="270">
        <f t="shared" si="1"/>
        <v>5</v>
      </c>
      <c r="AG13" s="296">
        <f t="shared" si="1"/>
        <v>5</v>
      </c>
      <c r="AH13" s="297">
        <f>SUM(AH14:AH16)</f>
        <v>3</v>
      </c>
      <c r="AI13" s="345"/>
    </row>
    <row r="14" spans="1:41" ht="15.6" thickTop="1" thickBot="1">
      <c r="A14" s="345"/>
      <c r="B14" s="345"/>
      <c r="C14" s="272" t="s">
        <v>2</v>
      </c>
      <c r="D14" s="237">
        <f>COUNTIFS(D$3:D$10,"M")+COUNTIFS(D$3:D$10,"MG")</f>
        <v>2</v>
      </c>
      <c r="E14" s="247">
        <f>COUNTIFS(E$3:E$10,"M")+COUNTIFS(E$3:E$10,"MG")</f>
        <v>2</v>
      </c>
      <c r="F14" s="256">
        <f t="shared" ref="F14:AG14" si="2">COUNTIFS(F$3:F$10,"M")+COUNTIFS(F$3:F$10,"MG")</f>
        <v>1</v>
      </c>
      <c r="G14" s="242">
        <f t="shared" si="2"/>
        <v>1</v>
      </c>
      <c r="H14" s="250">
        <f t="shared" si="2"/>
        <v>2</v>
      </c>
      <c r="I14" s="237">
        <f t="shared" si="2"/>
        <v>2</v>
      </c>
      <c r="J14" s="237">
        <f t="shared" si="2"/>
        <v>2</v>
      </c>
      <c r="K14" s="237">
        <f t="shared" si="2"/>
        <v>2</v>
      </c>
      <c r="L14" s="247">
        <f t="shared" si="2"/>
        <v>2</v>
      </c>
      <c r="M14" s="256">
        <f t="shared" si="2"/>
        <v>1</v>
      </c>
      <c r="N14" s="247">
        <f t="shared" si="2"/>
        <v>1</v>
      </c>
      <c r="O14" s="313">
        <f t="shared" si="2"/>
        <v>1</v>
      </c>
      <c r="P14" s="250">
        <f t="shared" si="2"/>
        <v>2</v>
      </c>
      <c r="Q14" s="237">
        <f t="shared" si="2"/>
        <v>2</v>
      </c>
      <c r="R14" s="237">
        <f t="shared" si="2"/>
        <v>2</v>
      </c>
      <c r="S14" s="247">
        <f t="shared" si="2"/>
        <v>2</v>
      </c>
      <c r="T14" s="256">
        <f t="shared" si="2"/>
        <v>1</v>
      </c>
      <c r="U14" s="242">
        <f t="shared" si="2"/>
        <v>1</v>
      </c>
      <c r="V14" s="250">
        <f t="shared" si="2"/>
        <v>2</v>
      </c>
      <c r="W14" s="237">
        <f t="shared" si="2"/>
        <v>2</v>
      </c>
      <c r="X14" s="237">
        <f t="shared" si="2"/>
        <v>2</v>
      </c>
      <c r="Y14" s="237">
        <f t="shared" si="2"/>
        <v>2</v>
      </c>
      <c r="Z14" s="247">
        <f t="shared" si="2"/>
        <v>2</v>
      </c>
      <c r="AA14" s="256">
        <f t="shared" si="2"/>
        <v>1</v>
      </c>
      <c r="AB14" s="242">
        <f t="shared" si="2"/>
        <v>1</v>
      </c>
      <c r="AC14" s="250">
        <f t="shared" si="2"/>
        <v>2</v>
      </c>
      <c r="AD14" s="237">
        <f t="shared" si="2"/>
        <v>2</v>
      </c>
      <c r="AE14" s="237">
        <f t="shared" si="2"/>
        <v>2</v>
      </c>
      <c r="AF14" s="237">
        <f t="shared" si="2"/>
        <v>2</v>
      </c>
      <c r="AG14" s="247">
        <f t="shared" si="2"/>
        <v>2</v>
      </c>
      <c r="AH14" s="298">
        <f>COUNTIFS(AH$3:AH$10,"M")+COUNTIFS(AH$3:AH$10,"MG")</f>
        <v>1</v>
      </c>
      <c r="AI14" s="345"/>
    </row>
    <row r="15" spans="1:41" ht="15.6" thickTop="1" thickBot="1">
      <c r="A15" s="345"/>
      <c r="B15" s="345"/>
      <c r="C15" s="272" t="s">
        <v>8</v>
      </c>
      <c r="D15" s="238">
        <f>COUNTIFS(D$3:D$10,"T")+COUNTIFS(D$3:D$10,"TG")</f>
        <v>1</v>
      </c>
      <c r="E15" s="43">
        <f t="shared" ref="E15:AG15" si="3">COUNTIFS(E$3:E$10,"T")+COUNTIFS(E$3:E$10,"TG")</f>
        <v>1</v>
      </c>
      <c r="F15" s="257">
        <f t="shared" si="3"/>
        <v>1</v>
      </c>
      <c r="G15" s="91">
        <f t="shared" si="3"/>
        <v>1</v>
      </c>
      <c r="H15" s="251">
        <f t="shared" si="3"/>
        <v>1</v>
      </c>
      <c r="I15" s="238">
        <f t="shared" si="3"/>
        <v>1</v>
      </c>
      <c r="J15" s="238">
        <f t="shared" si="3"/>
        <v>1</v>
      </c>
      <c r="K15" s="238">
        <f t="shared" si="3"/>
        <v>1</v>
      </c>
      <c r="L15" s="43">
        <f t="shared" si="3"/>
        <v>1</v>
      </c>
      <c r="M15" s="257">
        <f t="shared" si="3"/>
        <v>1</v>
      </c>
      <c r="N15" s="43">
        <f t="shared" si="3"/>
        <v>1</v>
      </c>
      <c r="O15" s="314">
        <f t="shared" si="3"/>
        <v>1</v>
      </c>
      <c r="P15" s="251">
        <f t="shared" si="3"/>
        <v>1</v>
      </c>
      <c r="Q15" s="238">
        <f t="shared" si="3"/>
        <v>1</v>
      </c>
      <c r="R15" s="238">
        <f t="shared" si="3"/>
        <v>1</v>
      </c>
      <c r="S15" s="43">
        <f t="shared" si="3"/>
        <v>1</v>
      </c>
      <c r="T15" s="257">
        <f t="shared" si="3"/>
        <v>1</v>
      </c>
      <c r="U15" s="91">
        <f t="shared" si="3"/>
        <v>1</v>
      </c>
      <c r="V15" s="251">
        <f t="shared" si="3"/>
        <v>1</v>
      </c>
      <c r="W15" s="238">
        <f t="shared" si="3"/>
        <v>1</v>
      </c>
      <c r="X15" s="238">
        <f t="shared" si="3"/>
        <v>1</v>
      </c>
      <c r="Y15" s="238">
        <f t="shared" si="3"/>
        <v>1</v>
      </c>
      <c r="Z15" s="43">
        <f t="shared" si="3"/>
        <v>1</v>
      </c>
      <c r="AA15" s="257">
        <f t="shared" si="3"/>
        <v>1</v>
      </c>
      <c r="AB15" s="91">
        <f t="shared" si="3"/>
        <v>1</v>
      </c>
      <c r="AC15" s="251">
        <f t="shared" si="3"/>
        <v>1</v>
      </c>
      <c r="AD15" s="238">
        <f t="shared" si="3"/>
        <v>1</v>
      </c>
      <c r="AE15" s="238">
        <f t="shared" si="3"/>
        <v>1</v>
      </c>
      <c r="AF15" s="238">
        <f t="shared" si="3"/>
        <v>1</v>
      </c>
      <c r="AG15" s="43">
        <f t="shared" si="3"/>
        <v>1</v>
      </c>
      <c r="AH15" s="299">
        <f>COUNTIFS(AH$3:AH$10,"T")+COUNTIFS(AH$3:AH$10,"TG")</f>
        <v>1</v>
      </c>
      <c r="AI15" s="345"/>
    </row>
    <row r="16" spans="1:41" ht="15.6" thickTop="1" thickBot="1">
      <c r="A16" s="345"/>
      <c r="B16" s="345"/>
      <c r="C16" s="272" t="s">
        <v>9</v>
      </c>
      <c r="D16" s="150">
        <f>COUNTIFS(D$3:D$10,"N")+COUNTIFS(D$3:D$10,"NG")</f>
        <v>2</v>
      </c>
      <c r="E16" s="44">
        <f t="shared" ref="E16:AG16" si="4">COUNTIFS(E$3:E$10,"N")+COUNTIFS(E$3:E$10,"NG")</f>
        <v>2</v>
      </c>
      <c r="F16" s="66">
        <f t="shared" si="4"/>
        <v>1</v>
      </c>
      <c r="G16" s="93">
        <f t="shared" si="4"/>
        <v>1</v>
      </c>
      <c r="H16" s="252">
        <f t="shared" si="4"/>
        <v>2</v>
      </c>
      <c r="I16" s="150">
        <f t="shared" si="4"/>
        <v>2</v>
      </c>
      <c r="J16" s="150">
        <f t="shared" si="4"/>
        <v>2</v>
      </c>
      <c r="K16" s="150">
        <f t="shared" si="4"/>
        <v>2</v>
      </c>
      <c r="L16" s="44">
        <f t="shared" si="4"/>
        <v>2</v>
      </c>
      <c r="M16" s="66">
        <f t="shared" si="4"/>
        <v>1</v>
      </c>
      <c r="N16" s="44">
        <f t="shared" si="4"/>
        <v>1</v>
      </c>
      <c r="O16" s="315">
        <f t="shared" si="4"/>
        <v>1</v>
      </c>
      <c r="P16" s="252">
        <f t="shared" si="4"/>
        <v>2</v>
      </c>
      <c r="Q16" s="150">
        <f t="shared" si="4"/>
        <v>2</v>
      </c>
      <c r="R16" s="150">
        <f t="shared" si="4"/>
        <v>2</v>
      </c>
      <c r="S16" s="44">
        <f t="shared" si="4"/>
        <v>2</v>
      </c>
      <c r="T16" s="66">
        <f t="shared" si="4"/>
        <v>1</v>
      </c>
      <c r="U16" s="93">
        <f t="shared" si="4"/>
        <v>1</v>
      </c>
      <c r="V16" s="252">
        <f t="shared" si="4"/>
        <v>2</v>
      </c>
      <c r="W16" s="150">
        <f t="shared" si="4"/>
        <v>2</v>
      </c>
      <c r="X16" s="150">
        <f t="shared" si="4"/>
        <v>2</v>
      </c>
      <c r="Y16" s="150">
        <f t="shared" si="4"/>
        <v>2</v>
      </c>
      <c r="Z16" s="44">
        <f t="shared" si="4"/>
        <v>2</v>
      </c>
      <c r="AA16" s="66">
        <f t="shared" si="4"/>
        <v>1</v>
      </c>
      <c r="AB16" s="93">
        <f t="shared" si="4"/>
        <v>1</v>
      </c>
      <c r="AC16" s="252">
        <f t="shared" si="4"/>
        <v>2</v>
      </c>
      <c r="AD16" s="150">
        <f t="shared" si="4"/>
        <v>2</v>
      </c>
      <c r="AE16" s="150">
        <f t="shared" si="4"/>
        <v>2</v>
      </c>
      <c r="AF16" s="150">
        <f t="shared" si="4"/>
        <v>2</v>
      </c>
      <c r="AG16" s="44">
        <f t="shared" si="4"/>
        <v>2</v>
      </c>
      <c r="AH16" s="300">
        <f>COUNTIFS(AH$3:AH$10,"N")+COUNTIFS(AH$3:AH$10,"NG")</f>
        <v>1</v>
      </c>
      <c r="AI16" s="345"/>
    </row>
    <row r="17" spans="1:35" ht="15.6" thickTop="1" thickBot="1">
      <c r="A17" s="345"/>
      <c r="B17" s="345"/>
      <c r="C17" s="272" t="s">
        <v>7</v>
      </c>
      <c r="D17" s="239">
        <f>COUNTIFS(D$3:D$10,"D")+COUNTIFS(D$3:D$10,"DG")</f>
        <v>1</v>
      </c>
      <c r="E17" s="248">
        <f t="shared" ref="E17:AG17" si="5">COUNTIFS(E$3:E$10,"D")+COUNTIFS(E$3:E$10,"DG")</f>
        <v>1</v>
      </c>
      <c r="F17" s="258">
        <f t="shared" si="5"/>
        <v>1</v>
      </c>
      <c r="G17" s="243">
        <f t="shared" si="5"/>
        <v>1</v>
      </c>
      <c r="H17" s="253">
        <f t="shared" si="5"/>
        <v>1</v>
      </c>
      <c r="I17" s="239">
        <f t="shared" si="5"/>
        <v>1</v>
      </c>
      <c r="J17" s="239">
        <f t="shared" si="5"/>
        <v>1</v>
      </c>
      <c r="K17" s="239">
        <f t="shared" si="5"/>
        <v>1</v>
      </c>
      <c r="L17" s="248">
        <f t="shared" si="5"/>
        <v>1</v>
      </c>
      <c r="M17" s="258">
        <f t="shared" si="5"/>
        <v>1</v>
      </c>
      <c r="N17" s="248">
        <f t="shared" si="5"/>
        <v>1</v>
      </c>
      <c r="O17" s="316">
        <f t="shared" si="5"/>
        <v>1</v>
      </c>
      <c r="P17" s="253">
        <f t="shared" si="5"/>
        <v>1</v>
      </c>
      <c r="Q17" s="239">
        <f t="shared" si="5"/>
        <v>1</v>
      </c>
      <c r="R17" s="239">
        <f t="shared" si="5"/>
        <v>1</v>
      </c>
      <c r="S17" s="248">
        <f t="shared" si="5"/>
        <v>1</v>
      </c>
      <c r="T17" s="258">
        <f t="shared" si="5"/>
        <v>1</v>
      </c>
      <c r="U17" s="243">
        <f t="shared" si="5"/>
        <v>1</v>
      </c>
      <c r="V17" s="253">
        <f t="shared" si="5"/>
        <v>1</v>
      </c>
      <c r="W17" s="239">
        <f t="shared" si="5"/>
        <v>1</v>
      </c>
      <c r="X17" s="239">
        <f t="shared" si="5"/>
        <v>1</v>
      </c>
      <c r="Y17" s="239">
        <f t="shared" si="5"/>
        <v>1</v>
      </c>
      <c r="Z17" s="248">
        <f t="shared" si="5"/>
        <v>1</v>
      </c>
      <c r="AA17" s="258">
        <f t="shared" si="5"/>
        <v>1</v>
      </c>
      <c r="AB17" s="243">
        <f t="shared" si="5"/>
        <v>1</v>
      </c>
      <c r="AC17" s="253">
        <f t="shared" si="5"/>
        <v>1</v>
      </c>
      <c r="AD17" s="239">
        <f t="shared" si="5"/>
        <v>1</v>
      </c>
      <c r="AE17" s="239">
        <f t="shared" si="5"/>
        <v>1</v>
      </c>
      <c r="AF17" s="239">
        <f t="shared" si="5"/>
        <v>1</v>
      </c>
      <c r="AG17" s="248">
        <f t="shared" si="5"/>
        <v>1</v>
      </c>
      <c r="AH17" s="301">
        <f>COUNTIFS(AH$3:AH$10,"D")+COUNTIFS(AH$3:AH$10,"DG")</f>
        <v>1</v>
      </c>
      <c r="AI17" s="345"/>
    </row>
    <row r="18" spans="1:35" ht="15.6" thickTop="1" thickBot="1">
      <c r="A18" s="345"/>
      <c r="B18" s="345"/>
      <c r="C18" s="272" t="s">
        <v>1</v>
      </c>
      <c r="D18" s="139">
        <f>COUNTIFS(D$3:D$10,"L")+COUNTIFS(D$3:D$10,"LG")</f>
        <v>2</v>
      </c>
      <c r="E18" s="48">
        <f t="shared" ref="E18:AG18" si="6">COUNTIFS(E$3:E$10,"L")+COUNTIFS(E$3:E$10,"LG")</f>
        <v>2</v>
      </c>
      <c r="F18" s="159">
        <f t="shared" si="6"/>
        <v>4</v>
      </c>
      <c r="G18" s="244">
        <f t="shared" si="6"/>
        <v>4</v>
      </c>
      <c r="H18" s="140">
        <f t="shared" si="6"/>
        <v>2</v>
      </c>
      <c r="I18" s="139">
        <f t="shared" si="6"/>
        <v>2</v>
      </c>
      <c r="J18" s="139">
        <f t="shared" si="6"/>
        <v>2</v>
      </c>
      <c r="K18" s="139">
        <f t="shared" si="6"/>
        <v>2</v>
      </c>
      <c r="L18" s="48">
        <f t="shared" si="6"/>
        <v>2</v>
      </c>
      <c r="M18" s="159">
        <f t="shared" si="6"/>
        <v>4</v>
      </c>
      <c r="N18" s="48">
        <f t="shared" si="6"/>
        <v>4</v>
      </c>
      <c r="O18" s="317">
        <f t="shared" si="6"/>
        <v>4</v>
      </c>
      <c r="P18" s="140">
        <f t="shared" si="6"/>
        <v>2</v>
      </c>
      <c r="Q18" s="139">
        <f t="shared" si="6"/>
        <v>2</v>
      </c>
      <c r="R18" s="139">
        <f t="shared" si="6"/>
        <v>2</v>
      </c>
      <c r="S18" s="48">
        <f t="shared" si="6"/>
        <v>2</v>
      </c>
      <c r="T18" s="159">
        <f t="shared" si="6"/>
        <v>4</v>
      </c>
      <c r="U18" s="244">
        <f t="shared" si="6"/>
        <v>4</v>
      </c>
      <c r="V18" s="140">
        <f t="shared" si="6"/>
        <v>2</v>
      </c>
      <c r="W18" s="139">
        <f t="shared" si="6"/>
        <v>2</v>
      </c>
      <c r="X18" s="139">
        <f t="shared" si="6"/>
        <v>2</v>
      </c>
      <c r="Y18" s="139">
        <f t="shared" si="6"/>
        <v>2</v>
      </c>
      <c r="Z18" s="48">
        <f t="shared" si="6"/>
        <v>2</v>
      </c>
      <c r="AA18" s="159">
        <f t="shared" si="6"/>
        <v>4</v>
      </c>
      <c r="AB18" s="244">
        <f t="shared" si="6"/>
        <v>4</v>
      </c>
      <c r="AC18" s="140">
        <f t="shared" si="6"/>
        <v>2</v>
      </c>
      <c r="AD18" s="139">
        <f t="shared" si="6"/>
        <v>2</v>
      </c>
      <c r="AE18" s="139">
        <f t="shared" si="6"/>
        <v>2</v>
      </c>
      <c r="AF18" s="139">
        <f t="shared" si="6"/>
        <v>2</v>
      </c>
      <c r="AG18" s="48">
        <f t="shared" si="6"/>
        <v>2</v>
      </c>
      <c r="AH18" s="302">
        <f>COUNTIFS(AH$3:AH$10,"L")+COUNTIFS(AH$3:AH$10,"LG")</f>
        <v>4</v>
      </c>
      <c r="AI18" s="345"/>
    </row>
    <row r="19" spans="1:35" ht="15.6" thickTop="1" thickBot="1">
      <c r="A19" s="345"/>
      <c r="B19" s="345"/>
      <c r="C19" s="272" t="s">
        <v>32</v>
      </c>
      <c r="D19" s="3">
        <f t="shared" ref="D19:AG19" si="7">COUNTIFS(D$3:D$10,"MG")+COUNTIFS(D$3:D$10,"TG")+COUNTIFS(D$3:D$10,"LG")+COUNTIFS(D$3:D$10,"DG")</f>
        <v>1</v>
      </c>
      <c r="E19" s="51">
        <f t="shared" si="7"/>
        <v>1</v>
      </c>
      <c r="F19" s="68">
        <f t="shared" si="7"/>
        <v>1</v>
      </c>
      <c r="G19" s="69">
        <f t="shared" si="7"/>
        <v>1</v>
      </c>
      <c r="H19" s="5">
        <f t="shared" si="7"/>
        <v>1</v>
      </c>
      <c r="I19" s="3">
        <f t="shared" si="7"/>
        <v>1</v>
      </c>
      <c r="J19" s="3">
        <f t="shared" si="7"/>
        <v>1</v>
      </c>
      <c r="K19" s="3">
        <f t="shared" si="7"/>
        <v>1</v>
      </c>
      <c r="L19" s="51">
        <f t="shared" si="7"/>
        <v>1</v>
      </c>
      <c r="M19" s="68">
        <f t="shared" si="7"/>
        <v>1</v>
      </c>
      <c r="N19" s="51">
        <f t="shared" si="7"/>
        <v>1</v>
      </c>
      <c r="O19" s="318">
        <f t="shared" si="7"/>
        <v>1</v>
      </c>
      <c r="P19" s="5">
        <f t="shared" si="7"/>
        <v>1</v>
      </c>
      <c r="Q19" s="3">
        <f t="shared" si="7"/>
        <v>1</v>
      </c>
      <c r="R19" s="3">
        <f t="shared" si="7"/>
        <v>1</v>
      </c>
      <c r="S19" s="51">
        <f t="shared" si="7"/>
        <v>1</v>
      </c>
      <c r="T19" s="68">
        <f t="shared" si="7"/>
        <v>1</v>
      </c>
      <c r="U19" s="69">
        <f t="shared" si="7"/>
        <v>1</v>
      </c>
      <c r="V19" s="5">
        <f t="shared" si="7"/>
        <v>1</v>
      </c>
      <c r="W19" s="3">
        <f t="shared" si="7"/>
        <v>1</v>
      </c>
      <c r="X19" s="3">
        <f t="shared" si="7"/>
        <v>1</v>
      </c>
      <c r="Y19" s="3">
        <f t="shared" si="7"/>
        <v>1</v>
      </c>
      <c r="Z19" s="51">
        <f t="shared" si="7"/>
        <v>1</v>
      </c>
      <c r="AA19" s="68">
        <f t="shared" si="7"/>
        <v>1</v>
      </c>
      <c r="AB19" s="69">
        <f t="shared" si="7"/>
        <v>1</v>
      </c>
      <c r="AC19" s="5">
        <f t="shared" si="7"/>
        <v>1</v>
      </c>
      <c r="AD19" s="3">
        <f t="shared" si="7"/>
        <v>1</v>
      </c>
      <c r="AE19" s="3">
        <f t="shared" si="7"/>
        <v>1</v>
      </c>
      <c r="AF19" s="3">
        <f t="shared" si="7"/>
        <v>1</v>
      </c>
      <c r="AG19" s="51">
        <f t="shared" si="7"/>
        <v>1</v>
      </c>
      <c r="AH19" s="303">
        <f>COUNTIFS(AH$3:AH$10,"MG")+COUNTIFS(AH$3:AH$10,"TG")+COUNTIFS(AH$3:AH$10,"LG")+COUNTIFS(AH$3:AH$10,"DG")</f>
        <v>1</v>
      </c>
      <c r="AI19" s="345"/>
    </row>
    <row r="20" spans="1:35" ht="15.6" thickTop="1" thickBot="1">
      <c r="A20" s="345"/>
      <c r="B20" s="345"/>
      <c r="C20" s="273" t="s">
        <v>5</v>
      </c>
      <c r="D20" s="139">
        <f>COUNTIFS(D$3:D$10,"V")</f>
        <v>0</v>
      </c>
      <c r="E20" s="48">
        <f t="shared" ref="E20:AG20" si="8">COUNTIFS(E$3:E$10,"V")</f>
        <v>0</v>
      </c>
      <c r="F20" s="160">
        <f t="shared" si="8"/>
        <v>0</v>
      </c>
      <c r="G20" s="101">
        <f t="shared" si="8"/>
        <v>0</v>
      </c>
      <c r="H20" s="140">
        <f t="shared" si="8"/>
        <v>0</v>
      </c>
      <c r="I20" s="139">
        <f t="shared" si="8"/>
        <v>0</v>
      </c>
      <c r="J20" s="139">
        <f t="shared" si="8"/>
        <v>0</v>
      </c>
      <c r="K20" s="139">
        <f t="shared" si="8"/>
        <v>0</v>
      </c>
      <c r="L20" s="48">
        <f t="shared" si="8"/>
        <v>0</v>
      </c>
      <c r="M20" s="160">
        <f t="shared" si="8"/>
        <v>0</v>
      </c>
      <c r="N20" s="236">
        <f t="shared" si="8"/>
        <v>0</v>
      </c>
      <c r="O20" s="317">
        <f t="shared" si="8"/>
        <v>0</v>
      </c>
      <c r="P20" s="140">
        <f t="shared" si="8"/>
        <v>0</v>
      </c>
      <c r="Q20" s="139">
        <f t="shared" si="8"/>
        <v>0</v>
      </c>
      <c r="R20" s="139">
        <f t="shared" si="8"/>
        <v>0</v>
      </c>
      <c r="S20" s="48">
        <f t="shared" si="8"/>
        <v>0</v>
      </c>
      <c r="T20" s="160">
        <f t="shared" si="8"/>
        <v>0</v>
      </c>
      <c r="U20" s="101">
        <f t="shared" si="8"/>
        <v>0</v>
      </c>
      <c r="V20" s="140">
        <f t="shared" si="8"/>
        <v>0</v>
      </c>
      <c r="W20" s="139">
        <f t="shared" si="8"/>
        <v>0</v>
      </c>
      <c r="X20" s="139">
        <f t="shared" si="8"/>
        <v>0</v>
      </c>
      <c r="Y20" s="139">
        <f t="shared" si="8"/>
        <v>0</v>
      </c>
      <c r="Z20" s="48">
        <f t="shared" si="8"/>
        <v>0</v>
      </c>
      <c r="AA20" s="160">
        <f t="shared" si="8"/>
        <v>0</v>
      </c>
      <c r="AB20" s="101">
        <f t="shared" si="8"/>
        <v>0</v>
      </c>
      <c r="AC20" s="140">
        <f t="shared" si="8"/>
        <v>0</v>
      </c>
      <c r="AD20" s="139">
        <f t="shared" si="8"/>
        <v>0</v>
      </c>
      <c r="AE20" s="139">
        <f t="shared" si="8"/>
        <v>0</v>
      </c>
      <c r="AF20" s="139">
        <f t="shared" si="8"/>
        <v>0</v>
      </c>
      <c r="AG20" s="48">
        <f t="shared" si="8"/>
        <v>0</v>
      </c>
      <c r="AH20" s="304">
        <f>COUNTIFS(AH$3:AH$10,"V")</f>
        <v>0</v>
      </c>
      <c r="AI20" s="345"/>
    </row>
    <row r="21" spans="1:35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  <c r="M21" s="345"/>
      <c r="N21" s="345"/>
      <c r="O21" s="345"/>
      <c r="P21" s="345"/>
      <c r="Q21" s="345"/>
      <c r="R21" s="345"/>
      <c r="S21" s="345"/>
      <c r="T21" s="345"/>
      <c r="U21" s="345"/>
      <c r="V21" s="345"/>
      <c r="W21" s="345"/>
      <c r="X21" s="345"/>
      <c r="Y21" s="345"/>
      <c r="Z21" s="345"/>
      <c r="AA21" s="345"/>
      <c r="AB21" s="345"/>
      <c r="AC21" s="345"/>
      <c r="AD21" s="345"/>
      <c r="AE21" s="345"/>
      <c r="AF21" s="345"/>
      <c r="AG21" s="345"/>
      <c r="AH21" s="345"/>
      <c r="AI21" s="345"/>
    </row>
    <row r="22" spans="1:35">
      <c r="A22" s="345"/>
      <c r="B22" s="345"/>
      <c r="C22" s="345"/>
      <c r="D22" s="345"/>
      <c r="E22" s="345"/>
      <c r="F22" s="345"/>
      <c r="G22" s="345"/>
      <c r="H22" s="345"/>
      <c r="I22" s="345"/>
      <c r="J22" s="345"/>
      <c r="K22" s="345"/>
      <c r="L22" s="345"/>
      <c r="M22" s="345"/>
      <c r="N22" s="345"/>
      <c r="O22" s="345"/>
      <c r="P22" s="345"/>
      <c r="Q22" s="345"/>
      <c r="R22" s="345"/>
      <c r="S22" s="345"/>
      <c r="T22" s="345"/>
      <c r="U22" s="345"/>
      <c r="V22" s="345"/>
      <c r="W22" s="345"/>
      <c r="X22" s="345"/>
      <c r="Y22" s="345"/>
      <c r="Z22" s="345"/>
      <c r="AA22" s="345"/>
      <c r="AB22" s="345"/>
      <c r="AC22" s="345"/>
      <c r="AD22" s="345"/>
      <c r="AE22" s="345"/>
      <c r="AF22" s="345"/>
      <c r="AG22" s="345"/>
      <c r="AH22" s="345"/>
      <c r="AI22" s="345"/>
    </row>
    <row r="23" spans="1:35">
      <c r="A23" s="345"/>
      <c r="B23" s="345"/>
      <c r="C23" s="345"/>
      <c r="D23" s="345"/>
      <c r="E23" s="345"/>
      <c r="F23" s="345"/>
      <c r="G23" s="345"/>
      <c r="H23" s="345"/>
      <c r="I23" s="345"/>
      <c r="J23" s="345"/>
      <c r="K23" s="345"/>
      <c r="L23" s="345"/>
      <c r="M23" s="345"/>
      <c r="N23" s="345"/>
      <c r="O23" s="345"/>
      <c r="P23" s="345"/>
      <c r="Q23" s="345"/>
      <c r="R23" s="345"/>
      <c r="S23" s="345"/>
      <c r="T23" s="345"/>
      <c r="U23" s="345"/>
      <c r="V23" s="345"/>
      <c r="W23" s="345"/>
      <c r="X23" s="345"/>
      <c r="Y23" s="345"/>
      <c r="Z23" s="345"/>
      <c r="AA23" s="345"/>
      <c r="AB23" s="345"/>
      <c r="AC23" s="345"/>
      <c r="AD23" s="345"/>
      <c r="AE23" s="345"/>
      <c r="AF23" s="345"/>
      <c r="AG23" s="345"/>
      <c r="AH23" s="345"/>
      <c r="AI23" s="345"/>
    </row>
    <row r="24" spans="1:35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345"/>
      <c r="L24" s="345"/>
      <c r="M24" s="345"/>
      <c r="N24" s="345"/>
      <c r="O24" s="345"/>
      <c r="P24" s="345"/>
      <c r="Q24" s="345"/>
      <c r="R24" s="345"/>
      <c r="S24" s="345"/>
      <c r="T24" s="345"/>
      <c r="U24" s="345"/>
      <c r="V24" s="345"/>
      <c r="W24" s="345"/>
      <c r="X24" s="345"/>
      <c r="Y24" s="345"/>
      <c r="Z24" s="345"/>
      <c r="AA24" s="345"/>
      <c r="AB24" s="345"/>
      <c r="AC24" s="345"/>
      <c r="AD24" s="345"/>
      <c r="AE24" s="345"/>
      <c r="AF24" s="345"/>
      <c r="AG24" s="345"/>
      <c r="AH24" s="345"/>
      <c r="AI24" s="345"/>
    </row>
    <row r="25" spans="1:35">
      <c r="A25" s="345"/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  <c r="AA25" s="345"/>
      <c r="AB25" s="345"/>
      <c r="AC25" s="345"/>
      <c r="AD25" s="345"/>
      <c r="AE25" s="345"/>
      <c r="AF25" s="345"/>
      <c r="AG25" s="345"/>
      <c r="AH25" s="345"/>
      <c r="AI25" s="345"/>
    </row>
    <row r="26" spans="1:35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  <c r="M26" s="345"/>
      <c r="N26" s="345"/>
      <c r="O26" s="345"/>
      <c r="P26" s="345"/>
      <c r="Q26" s="345"/>
      <c r="R26" s="345"/>
      <c r="S26" s="345"/>
      <c r="T26" s="345"/>
      <c r="U26" s="345"/>
      <c r="V26" s="345"/>
      <c r="W26" s="345"/>
      <c r="X26" s="345"/>
      <c r="Y26" s="345"/>
      <c r="Z26" s="345"/>
      <c r="AA26" s="345"/>
      <c r="AB26" s="345"/>
      <c r="AC26" s="345"/>
      <c r="AD26" s="345"/>
      <c r="AE26" s="345"/>
      <c r="AF26" s="345"/>
      <c r="AG26" s="345"/>
      <c r="AH26" s="345"/>
      <c r="AI26" s="345"/>
    </row>
    <row r="27" spans="1:35">
      <c r="A27" s="345"/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  <c r="M27" s="345"/>
      <c r="N27" s="345"/>
      <c r="O27" s="345"/>
      <c r="P27" s="345"/>
      <c r="Q27" s="345"/>
      <c r="R27" s="345"/>
      <c r="S27" s="345"/>
      <c r="T27" s="345"/>
      <c r="U27" s="345"/>
      <c r="V27" s="345"/>
      <c r="W27" s="345"/>
      <c r="X27" s="345"/>
      <c r="Y27" s="345"/>
      <c r="Z27" s="345"/>
      <c r="AA27" s="345"/>
      <c r="AB27" s="345"/>
      <c r="AC27" s="345"/>
      <c r="AD27" s="345"/>
      <c r="AE27" s="345"/>
      <c r="AF27" s="345"/>
      <c r="AG27" s="345"/>
      <c r="AH27" s="345"/>
      <c r="AI27" s="345"/>
    </row>
  </sheetData>
  <mergeCells count="12">
    <mergeCell ref="C11:AH12"/>
    <mergeCell ref="A21:AI27"/>
    <mergeCell ref="A1:C2"/>
    <mergeCell ref="AI1:AI20"/>
    <mergeCell ref="A3:B3"/>
    <mergeCell ref="A4:B4"/>
    <mergeCell ref="A5:B5"/>
    <mergeCell ref="A7:B7"/>
    <mergeCell ref="A8:B8"/>
    <mergeCell ref="A9:B9"/>
    <mergeCell ref="A10:B10"/>
    <mergeCell ref="A11:B2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3F0B-700D-44FD-8EEE-EB537A557114}">
  <dimension ref="A1:AO27"/>
  <sheetViews>
    <sheetView zoomScale="130" zoomScaleNormal="130" workbookViewId="0">
      <selection activeCell="AI1" sqref="AI1:AI20"/>
    </sheetView>
  </sheetViews>
  <sheetFormatPr defaultColWidth="11.42578125" defaultRowHeight="14.45"/>
  <cols>
    <col min="1" max="1" width="15.140625" customWidth="1"/>
    <col min="2" max="2" width="16.85546875" customWidth="1"/>
    <col min="3" max="3" width="3.42578125" customWidth="1"/>
    <col min="4" max="4" width="4.140625" customWidth="1"/>
    <col min="5" max="5" width="3.5703125" customWidth="1"/>
    <col min="6" max="6" width="3.42578125" customWidth="1"/>
    <col min="7" max="7" width="3.85546875" customWidth="1"/>
    <col min="8" max="10" width="3.140625" bestFit="1" customWidth="1"/>
    <col min="11" max="11" width="2.85546875" bestFit="1" customWidth="1"/>
    <col min="12" max="12" width="3.140625" customWidth="1"/>
    <col min="13" max="14" width="2.85546875" bestFit="1" customWidth="1"/>
    <col min="15" max="15" width="3" bestFit="1" customWidth="1"/>
    <col min="16" max="17" width="2.85546875" bestFit="1" customWidth="1"/>
    <col min="18" max="18" width="3.28515625" customWidth="1"/>
    <col min="19" max="22" width="3.140625" bestFit="1" customWidth="1"/>
    <col min="23" max="24" width="3" bestFit="1" customWidth="1"/>
    <col min="25" max="29" width="3.140625" bestFit="1" customWidth="1"/>
    <col min="30" max="33" width="2.85546875" bestFit="1" customWidth="1"/>
    <col min="34" max="34" width="2.85546875" customWidth="1"/>
    <col min="35" max="35" width="8.5703125" customWidth="1"/>
  </cols>
  <sheetData>
    <row r="1" spans="1:41" ht="15.6" thickTop="1" thickBot="1">
      <c r="A1" s="355" t="s">
        <v>0</v>
      </c>
      <c r="B1" s="355"/>
      <c r="C1" s="355"/>
      <c r="D1" s="282" t="s">
        <v>7</v>
      </c>
      <c r="E1" s="319" t="s">
        <v>1</v>
      </c>
      <c r="F1" s="290" t="s">
        <v>2</v>
      </c>
      <c r="G1" s="290" t="s">
        <v>3</v>
      </c>
      <c r="H1" s="290" t="s">
        <v>4</v>
      </c>
      <c r="I1" s="290" t="s">
        <v>5</v>
      </c>
      <c r="J1" s="218" t="s">
        <v>6</v>
      </c>
      <c r="K1" s="282" t="s">
        <v>7</v>
      </c>
      <c r="L1" s="319" t="s">
        <v>1</v>
      </c>
      <c r="M1" s="290" t="s">
        <v>2</v>
      </c>
      <c r="N1" s="290" t="s">
        <v>3</v>
      </c>
      <c r="O1" s="290" t="s">
        <v>4</v>
      </c>
      <c r="P1" s="290" t="s">
        <v>5</v>
      </c>
      <c r="Q1" s="218" t="s">
        <v>6</v>
      </c>
      <c r="R1" s="219" t="s">
        <v>7</v>
      </c>
      <c r="S1" s="290" t="s">
        <v>1</v>
      </c>
      <c r="T1" s="290" t="s">
        <v>2</v>
      </c>
      <c r="U1" s="290" t="s">
        <v>3</v>
      </c>
      <c r="V1" s="290" t="s">
        <v>4</v>
      </c>
      <c r="W1" s="290" t="s">
        <v>5</v>
      </c>
      <c r="X1" s="161" t="s">
        <v>6</v>
      </c>
      <c r="Y1" s="162" t="s">
        <v>7</v>
      </c>
      <c r="Z1" s="290" t="s">
        <v>1</v>
      </c>
      <c r="AA1" s="290" t="s">
        <v>2</v>
      </c>
      <c r="AB1" s="290" t="s">
        <v>3</v>
      </c>
      <c r="AC1" s="290" t="s">
        <v>4</v>
      </c>
      <c r="AD1" s="290" t="s">
        <v>5</v>
      </c>
      <c r="AE1" s="218" t="s">
        <v>6</v>
      </c>
      <c r="AF1" s="219" t="s">
        <v>7</v>
      </c>
      <c r="AG1" s="290" t="s">
        <v>1</v>
      </c>
      <c r="AH1" s="286"/>
      <c r="AI1" s="345"/>
    </row>
    <row r="2" spans="1:41" ht="15.6" thickTop="1" thickBot="1">
      <c r="A2" s="355"/>
      <c r="B2" s="355"/>
      <c r="C2" s="355"/>
      <c r="D2" s="322">
        <v>1</v>
      </c>
      <c r="E2" s="264">
        <v>2</v>
      </c>
      <c r="F2" s="325">
        <v>3</v>
      </c>
      <c r="G2" s="163">
        <v>4</v>
      </c>
      <c r="H2" s="164">
        <v>5</v>
      </c>
      <c r="I2" s="163">
        <v>6</v>
      </c>
      <c r="J2" s="164">
        <v>7</v>
      </c>
      <c r="K2" s="325">
        <v>8</v>
      </c>
      <c r="L2" s="264">
        <v>9</v>
      </c>
      <c r="M2" s="222">
        <v>10</v>
      </c>
      <c r="N2" s="220">
        <v>11</v>
      </c>
      <c r="O2" s="221">
        <v>12</v>
      </c>
      <c r="P2" s="163">
        <v>13</v>
      </c>
      <c r="Q2" s="221">
        <v>14</v>
      </c>
      <c r="R2" s="2">
        <v>15</v>
      </c>
      <c r="S2" s="222">
        <v>16</v>
      </c>
      <c r="T2" s="220">
        <v>17</v>
      </c>
      <c r="U2" s="220">
        <v>18</v>
      </c>
      <c r="V2" s="221">
        <v>19</v>
      </c>
      <c r="W2" s="163">
        <v>20</v>
      </c>
      <c r="X2" s="164">
        <v>21</v>
      </c>
      <c r="Y2" s="222">
        <v>22</v>
      </c>
      <c r="Z2" s="220">
        <v>23</v>
      </c>
      <c r="AA2" s="220">
        <v>24</v>
      </c>
      <c r="AB2" s="220">
        <v>25</v>
      </c>
      <c r="AC2" s="220">
        <v>26</v>
      </c>
      <c r="AD2" s="163">
        <v>27</v>
      </c>
      <c r="AE2" s="164">
        <v>28</v>
      </c>
      <c r="AF2" s="222">
        <v>29</v>
      </c>
      <c r="AG2" s="164">
        <v>30</v>
      </c>
      <c r="AH2" s="287"/>
      <c r="AI2" s="345"/>
      <c r="AJ2" s="113" t="s">
        <v>2</v>
      </c>
      <c r="AK2" s="75" t="s">
        <v>8</v>
      </c>
      <c r="AL2" s="73" t="s">
        <v>9</v>
      </c>
      <c r="AM2" s="70" t="s">
        <v>7</v>
      </c>
      <c r="AN2" s="114" t="s">
        <v>10</v>
      </c>
      <c r="AO2" s="155" t="s">
        <v>5</v>
      </c>
    </row>
    <row r="3" spans="1:41" ht="15.6" thickTop="1" thickBot="1">
      <c r="A3" s="357" t="s">
        <v>11</v>
      </c>
      <c r="B3" s="358"/>
      <c r="C3" s="157" t="s">
        <v>12</v>
      </c>
      <c r="D3" s="127" t="s">
        <v>14</v>
      </c>
      <c r="E3" s="266" t="s">
        <v>15</v>
      </c>
      <c r="F3" s="268" t="s">
        <v>15</v>
      </c>
      <c r="G3" s="130" t="s">
        <v>15</v>
      </c>
      <c r="H3" s="124" t="s">
        <v>13</v>
      </c>
      <c r="I3" s="127" t="s">
        <v>16</v>
      </c>
      <c r="J3" s="291" t="s">
        <v>1</v>
      </c>
      <c r="K3" s="305" t="s">
        <v>1</v>
      </c>
      <c r="L3" s="320" t="s">
        <v>1</v>
      </c>
      <c r="M3" s="310" t="s">
        <v>2</v>
      </c>
      <c r="N3" s="183" t="s">
        <v>2</v>
      </c>
      <c r="O3" s="183" t="s">
        <v>2</v>
      </c>
      <c r="P3" s="193" t="s">
        <v>2</v>
      </c>
      <c r="Q3" s="130" t="s">
        <v>16</v>
      </c>
      <c r="R3" s="131" t="s">
        <v>16</v>
      </c>
      <c r="S3" s="130" t="s">
        <v>16</v>
      </c>
      <c r="T3" s="130" t="s">
        <v>13</v>
      </c>
      <c r="U3" s="130" t="s">
        <v>14</v>
      </c>
      <c r="V3" s="124" t="s">
        <v>14</v>
      </c>
      <c r="W3" s="124" t="s">
        <v>14</v>
      </c>
      <c r="X3" s="166" t="s">
        <v>1</v>
      </c>
      <c r="Y3" s="269" t="s">
        <v>1</v>
      </c>
      <c r="Z3" s="168" t="s">
        <v>2</v>
      </c>
      <c r="AA3" s="169" t="s">
        <v>2</v>
      </c>
      <c r="AB3" s="169" t="s">
        <v>1</v>
      </c>
      <c r="AC3" s="169" t="s">
        <v>1</v>
      </c>
      <c r="AD3" s="170" t="s">
        <v>1</v>
      </c>
      <c r="AE3" s="130" t="s">
        <v>14</v>
      </c>
      <c r="AF3" s="131" t="s">
        <v>14</v>
      </c>
      <c r="AG3" s="130" t="s">
        <v>15</v>
      </c>
      <c r="AH3" s="288"/>
      <c r="AI3" s="345"/>
      <c r="AJ3">
        <f>COUNTIFS(D$3:AH$3,"M")+COUNTIFS(D$3:AH$3,"MG")</f>
        <v>12</v>
      </c>
      <c r="AK3">
        <f>COUNTIFS(D$3:AI$3,"T")+COUNTIFS(D$3:AI$3,"TG")</f>
        <v>4</v>
      </c>
      <c r="AL3">
        <f>COUNTIFS(D$3:AH$3,"N")+COUNTIFS(D$3:AH$3,"NG")</f>
        <v>0</v>
      </c>
      <c r="AM3">
        <f>COUNTIFS(D$3:AH$3,"D")+COUNTIFS(D$3:AH$3,"DG")</f>
        <v>4</v>
      </c>
      <c r="AN3">
        <f>SUM(AJ3:AM3)</f>
        <v>20</v>
      </c>
      <c r="AO3">
        <f>COUNTIFS(F$3:AJ$3,"V")</f>
        <v>0</v>
      </c>
    </row>
    <row r="4" spans="1:41" ht="15.6" thickTop="1" thickBot="1">
      <c r="A4" s="359" t="s">
        <v>17</v>
      </c>
      <c r="B4" s="360"/>
      <c r="C4" s="9" t="s">
        <v>18</v>
      </c>
      <c r="D4" s="323" t="s">
        <v>1</v>
      </c>
      <c r="E4" s="320" t="s">
        <v>2</v>
      </c>
      <c r="F4" s="326" t="s">
        <v>2</v>
      </c>
      <c r="G4" s="183" t="s">
        <v>2</v>
      </c>
      <c r="H4" s="183" t="s">
        <v>2</v>
      </c>
      <c r="I4" s="184" t="s">
        <v>2</v>
      </c>
      <c r="J4" s="124" t="s">
        <v>16</v>
      </c>
      <c r="K4" s="306" t="s">
        <v>16</v>
      </c>
      <c r="L4" s="266" t="s">
        <v>16</v>
      </c>
      <c r="M4" s="268" t="s">
        <v>13</v>
      </c>
      <c r="N4" s="130" t="s">
        <v>14</v>
      </c>
      <c r="O4" s="124" t="s">
        <v>14</v>
      </c>
      <c r="P4" s="124" t="s">
        <v>14</v>
      </c>
      <c r="Q4" s="128" t="s">
        <v>1</v>
      </c>
      <c r="R4" s="178" t="s">
        <v>1</v>
      </c>
      <c r="S4" s="132" t="s">
        <v>2</v>
      </c>
      <c r="T4" s="177" t="s">
        <v>2</v>
      </c>
      <c r="U4" s="129" t="s">
        <v>1</v>
      </c>
      <c r="V4" s="129" t="s">
        <v>1</v>
      </c>
      <c r="W4" s="129" t="s">
        <v>1</v>
      </c>
      <c r="X4" s="127" t="s">
        <v>14</v>
      </c>
      <c r="Y4" s="124" t="s">
        <v>14</v>
      </c>
      <c r="Z4" s="130" t="s">
        <v>15</v>
      </c>
      <c r="AA4" s="130" t="s">
        <v>15</v>
      </c>
      <c r="AB4" s="130" t="s">
        <v>15</v>
      </c>
      <c r="AC4" s="124" t="s">
        <v>13</v>
      </c>
      <c r="AD4" s="127" t="s">
        <v>16</v>
      </c>
      <c r="AE4" s="187" t="s">
        <v>1</v>
      </c>
      <c r="AF4" s="188" t="s">
        <v>1</v>
      </c>
      <c r="AG4" s="189" t="s">
        <v>2</v>
      </c>
      <c r="AH4" s="288"/>
      <c r="AI4" s="345"/>
      <c r="AJ4">
        <f>COUNTIFS(D$4:AH$4,"M")+COUNTIFS(D$4:AH$4,"MG")</f>
        <v>13</v>
      </c>
      <c r="AK4">
        <f>COUNTIFS(D$4:AI$4,"T")+COUNTIFS(D$4:AI$4,"TG")</f>
        <v>3</v>
      </c>
      <c r="AL4">
        <f>COUNTIFS(F$4:AG$4,"N")+COUNTIFS(F$4:AG$4,"NG")</f>
        <v>0</v>
      </c>
      <c r="AM4">
        <f>COUNTIFS(D$4:AH$4,"D")+COUNTIFS(D$4:AH$4,"DG")</f>
        <v>4</v>
      </c>
      <c r="AN4">
        <f t="shared" ref="AN4:AN10" si="0">SUM(AJ4:AM4)</f>
        <v>20</v>
      </c>
      <c r="AO4">
        <f>COUNTIFS(F$4:AJ$4,"V")</f>
        <v>0</v>
      </c>
    </row>
    <row r="5" spans="1:41" ht="15.6" thickTop="1" thickBot="1">
      <c r="A5" s="359" t="s">
        <v>19</v>
      </c>
      <c r="B5" s="360"/>
      <c r="C5" s="9" t="s">
        <v>20</v>
      </c>
      <c r="D5" s="324" t="s">
        <v>7</v>
      </c>
      <c r="E5" s="327" t="s">
        <v>7</v>
      </c>
      <c r="F5" s="132" t="s">
        <v>1</v>
      </c>
      <c r="G5" s="135" t="s">
        <v>2</v>
      </c>
      <c r="H5" s="135" t="s">
        <v>2</v>
      </c>
      <c r="I5" s="136" t="s">
        <v>2</v>
      </c>
      <c r="J5" s="291" t="s">
        <v>1</v>
      </c>
      <c r="K5" s="307" t="s">
        <v>1</v>
      </c>
      <c r="L5" s="320" t="s">
        <v>2</v>
      </c>
      <c r="M5" s="132" t="s">
        <v>2</v>
      </c>
      <c r="N5" s="135" t="s">
        <v>1</v>
      </c>
      <c r="O5" s="135" t="s">
        <v>1</v>
      </c>
      <c r="P5" s="136" t="s">
        <v>1</v>
      </c>
      <c r="Q5" s="187" t="s">
        <v>2</v>
      </c>
      <c r="R5" s="188" t="s">
        <v>2</v>
      </c>
      <c r="S5" s="181" t="s">
        <v>8</v>
      </c>
      <c r="T5" s="182" t="s">
        <v>8</v>
      </c>
      <c r="U5" s="182" t="s">
        <v>8</v>
      </c>
      <c r="V5" s="129" t="s">
        <v>1</v>
      </c>
      <c r="W5" s="224" t="s">
        <v>7</v>
      </c>
      <c r="X5" s="166" t="s">
        <v>1</v>
      </c>
      <c r="Y5" s="269" t="s">
        <v>1</v>
      </c>
      <c r="Z5" s="135" t="s">
        <v>2</v>
      </c>
      <c r="AA5" s="135" t="s">
        <v>2</v>
      </c>
      <c r="AB5" s="135" t="s">
        <v>2</v>
      </c>
      <c r="AC5" s="135" t="s">
        <v>2</v>
      </c>
      <c r="AD5" s="136" t="s">
        <v>2</v>
      </c>
      <c r="AE5" s="175" t="s">
        <v>7</v>
      </c>
      <c r="AF5" s="179" t="s">
        <v>7</v>
      </c>
      <c r="AG5" s="180" t="s">
        <v>7</v>
      </c>
      <c r="AH5" s="288"/>
      <c r="AI5" s="345"/>
      <c r="AJ5">
        <f>COUNTIFS(D$5:AH$5,"M")+COUNTIFS(D$5:AH$5,"MG")</f>
        <v>12</v>
      </c>
      <c r="AK5">
        <f>COUNTIFS(D$5:AI$5,"T")+COUNTIFS(E$5:AI$5,"TG")</f>
        <v>3</v>
      </c>
      <c r="AL5">
        <f>COUNTIFS(F$5:AG$5,"N")+COUNTIFS(F$5:AG$5,"NG")</f>
        <v>0</v>
      </c>
      <c r="AM5">
        <f>COUNTIFS(D$5:AH$5,"D")+COUNTIFS(D$5:AH$5,"DG")</f>
        <v>6</v>
      </c>
      <c r="AN5">
        <f t="shared" si="0"/>
        <v>21</v>
      </c>
      <c r="AO5">
        <f>COUNTIFS(F$5:AJ$5,"V")</f>
        <v>0</v>
      </c>
    </row>
    <row r="6" spans="1:41" ht="15.6" thickTop="1" thickBot="1">
      <c r="A6" s="116"/>
      <c r="B6" s="156" t="s">
        <v>21</v>
      </c>
      <c r="C6" s="158" t="s">
        <v>22</v>
      </c>
      <c r="D6" s="323" t="s">
        <v>1</v>
      </c>
      <c r="E6" s="320" t="s">
        <v>1</v>
      </c>
      <c r="F6" s="189" t="s">
        <v>2</v>
      </c>
      <c r="G6" s="183" t="s">
        <v>1</v>
      </c>
      <c r="H6" s="183" t="s">
        <v>1</v>
      </c>
      <c r="I6" s="184" t="s">
        <v>1</v>
      </c>
      <c r="J6" s="291" t="s">
        <v>2</v>
      </c>
      <c r="K6" s="305" t="s">
        <v>2</v>
      </c>
      <c r="L6" s="321" t="s">
        <v>8</v>
      </c>
      <c r="M6" s="190" t="s">
        <v>8</v>
      </c>
      <c r="N6" s="191" t="s">
        <v>8</v>
      </c>
      <c r="O6" s="183" t="s">
        <v>1</v>
      </c>
      <c r="P6" s="192" t="s">
        <v>7</v>
      </c>
      <c r="Q6" s="187" t="s">
        <v>1</v>
      </c>
      <c r="R6" s="188" t="s">
        <v>1</v>
      </c>
      <c r="S6" s="189" t="s">
        <v>2</v>
      </c>
      <c r="T6" s="193" t="s">
        <v>2</v>
      </c>
      <c r="U6" s="183" t="s">
        <v>2</v>
      </c>
      <c r="V6" s="183" t="s">
        <v>2</v>
      </c>
      <c r="W6" s="193" t="s">
        <v>2</v>
      </c>
      <c r="X6" s="185" t="s">
        <v>7</v>
      </c>
      <c r="Y6" s="186" t="s">
        <v>7</v>
      </c>
      <c r="Z6" s="186" t="s">
        <v>7</v>
      </c>
      <c r="AA6" s="183" t="s">
        <v>1</v>
      </c>
      <c r="AB6" s="183" t="s">
        <v>2</v>
      </c>
      <c r="AC6" s="183" t="s">
        <v>2</v>
      </c>
      <c r="AD6" s="184" t="s">
        <v>2</v>
      </c>
      <c r="AE6" s="187" t="s">
        <v>1</v>
      </c>
      <c r="AF6" s="188" t="s">
        <v>1</v>
      </c>
      <c r="AG6" s="189" t="s">
        <v>2</v>
      </c>
      <c r="AH6" s="288"/>
      <c r="AI6" s="345"/>
      <c r="AJ6">
        <f>COUNTIFS(D$6:AH$6,"M")+COUNTIFS(D$6:AH$6,"MG")</f>
        <v>12</v>
      </c>
      <c r="AK6">
        <f>COUNTIFS(D$6:AI$6,"T")+COUNTIFS(D$6:AI$6,"TG")</f>
        <v>3</v>
      </c>
      <c r="AL6">
        <f>COUNTIFS(F$6:AG$6,"N")+COUNTIFS(F$6:AG$6,"NG")</f>
        <v>0</v>
      </c>
      <c r="AM6">
        <f>COUNTIFS(D$6:AH$6,"D")+COUNTIFS(D$6:AH$6,"DG")</f>
        <v>4</v>
      </c>
      <c r="AN6">
        <f t="shared" si="0"/>
        <v>19</v>
      </c>
      <c r="AO6">
        <f>COUNTIFS(F$6:AJ$6,"V")</f>
        <v>0</v>
      </c>
    </row>
    <row r="7" spans="1:41" ht="15.6" thickTop="1" thickBot="1">
      <c r="A7" s="361" t="s">
        <v>23</v>
      </c>
      <c r="B7" s="362"/>
      <c r="C7" s="157" t="s">
        <v>24</v>
      </c>
      <c r="D7" s="283" t="s">
        <v>9</v>
      </c>
      <c r="E7" s="321" t="s">
        <v>1</v>
      </c>
      <c r="F7" s="171" t="s">
        <v>1</v>
      </c>
      <c r="G7" s="173" t="s">
        <v>7</v>
      </c>
      <c r="H7" s="195" t="s">
        <v>8</v>
      </c>
      <c r="I7" s="172" t="s">
        <v>8</v>
      </c>
      <c r="J7" s="291" t="s">
        <v>8</v>
      </c>
      <c r="K7" s="308" t="s">
        <v>8</v>
      </c>
      <c r="L7" s="321" t="s">
        <v>1</v>
      </c>
      <c r="M7" s="311" t="s">
        <v>7</v>
      </c>
      <c r="N7" s="195" t="s">
        <v>9</v>
      </c>
      <c r="O7" s="195" t="s">
        <v>9</v>
      </c>
      <c r="P7" s="172" t="s">
        <v>9</v>
      </c>
      <c r="Q7" s="166" t="s">
        <v>1</v>
      </c>
      <c r="R7" s="167" t="s">
        <v>1</v>
      </c>
      <c r="S7" s="171" t="s">
        <v>9</v>
      </c>
      <c r="T7" s="196" t="s">
        <v>9</v>
      </c>
      <c r="U7" s="169" t="s">
        <v>9</v>
      </c>
      <c r="V7" s="169" t="s">
        <v>9</v>
      </c>
      <c r="W7" s="226" t="s">
        <v>9</v>
      </c>
      <c r="X7" s="166" t="s">
        <v>1</v>
      </c>
      <c r="Y7" s="167" t="s">
        <v>1</v>
      </c>
      <c r="Z7" s="171" t="s">
        <v>9</v>
      </c>
      <c r="AA7" s="195" t="s">
        <v>9</v>
      </c>
      <c r="AB7" s="195" t="s">
        <v>1</v>
      </c>
      <c r="AC7" s="173" t="s">
        <v>7</v>
      </c>
      <c r="AD7" s="172" t="s">
        <v>1</v>
      </c>
      <c r="AE7" s="166" t="s">
        <v>9</v>
      </c>
      <c r="AF7" s="167" t="s">
        <v>9</v>
      </c>
      <c r="AG7" s="171" t="s">
        <v>1</v>
      </c>
      <c r="AH7" s="289"/>
      <c r="AI7" s="345"/>
      <c r="AJ7">
        <f>COUNTIFS(D$7:AG$7,"M")+COUNTIFS(D$7:AG$7,"MG")</f>
        <v>0</v>
      </c>
      <c r="AK7">
        <f>COUNTIFS(D$7:AI$7,"T")+COUNTIFS(D$7:AI$7,"TG")</f>
        <v>4</v>
      </c>
      <c r="AL7">
        <f>COUNTIFS(D$7:AH$7,"N")+COUNTIFS(D$7:AH$7,"NG")</f>
        <v>13</v>
      </c>
      <c r="AM7">
        <f>COUNTIFS(D$7:AH$7,"D")+COUNTIFS(D$7:AH$7,"DG")</f>
        <v>3</v>
      </c>
      <c r="AN7">
        <f t="shared" si="0"/>
        <v>20</v>
      </c>
      <c r="AO7">
        <f>COUNTIFS(F$7:AJ$7,"V")</f>
        <v>0</v>
      </c>
    </row>
    <row r="8" spans="1:41" ht="15.6" thickTop="1" thickBot="1">
      <c r="A8" s="346" t="s">
        <v>25</v>
      </c>
      <c r="B8" s="347"/>
      <c r="C8" s="9" t="s">
        <v>26</v>
      </c>
      <c r="D8" s="284" t="s">
        <v>8</v>
      </c>
      <c r="E8" s="321" t="s">
        <v>1</v>
      </c>
      <c r="F8" s="180" t="s">
        <v>7</v>
      </c>
      <c r="G8" s="137" t="s">
        <v>9</v>
      </c>
      <c r="H8" s="137" t="s">
        <v>9</v>
      </c>
      <c r="I8" s="199" t="s">
        <v>9</v>
      </c>
      <c r="J8" s="291" t="s">
        <v>1</v>
      </c>
      <c r="K8" s="307" t="s">
        <v>1</v>
      </c>
      <c r="L8" s="320" t="s">
        <v>1</v>
      </c>
      <c r="M8" s="132" t="s">
        <v>9</v>
      </c>
      <c r="N8" s="135" t="s">
        <v>9</v>
      </c>
      <c r="O8" s="135" t="s">
        <v>9</v>
      </c>
      <c r="P8" s="136" t="s">
        <v>9</v>
      </c>
      <c r="Q8" s="128" t="s">
        <v>1</v>
      </c>
      <c r="R8" s="178" t="s">
        <v>1</v>
      </c>
      <c r="S8" s="181" t="s">
        <v>9</v>
      </c>
      <c r="T8" s="182" t="s">
        <v>9</v>
      </c>
      <c r="U8" s="197" t="s">
        <v>1</v>
      </c>
      <c r="V8" s="198" t="s">
        <v>7</v>
      </c>
      <c r="W8" s="182" t="s">
        <v>1</v>
      </c>
      <c r="X8" s="128" t="s">
        <v>9</v>
      </c>
      <c r="Y8" s="178" t="s">
        <v>9</v>
      </c>
      <c r="Z8" s="137" t="s">
        <v>1</v>
      </c>
      <c r="AA8" s="137" t="s">
        <v>1</v>
      </c>
      <c r="AB8" s="175" t="s">
        <v>7</v>
      </c>
      <c r="AC8" s="137" t="s">
        <v>8</v>
      </c>
      <c r="AD8" s="199" t="s">
        <v>8</v>
      </c>
      <c r="AE8" s="128" t="s">
        <v>8</v>
      </c>
      <c r="AF8" s="178" t="s">
        <v>8</v>
      </c>
      <c r="AG8" s="181" t="s">
        <v>1</v>
      </c>
      <c r="AH8" s="289"/>
      <c r="AI8" s="345"/>
      <c r="AJ8">
        <f>COUNTIFS(D$7:AG$7,"M")+COUNTIFS(D$7:AG$7,"MG")</f>
        <v>0</v>
      </c>
      <c r="AK8">
        <f>COUNTIFS(D$8:AI$8,"T")+COUNTIFS(D$8:AI$8,"TG")</f>
        <v>5</v>
      </c>
      <c r="AL8">
        <f>COUNTIFS(D$8:AH$8,"N")+COUNTIFS(D$8:AH$8,"NG")</f>
        <v>11</v>
      </c>
      <c r="AM8">
        <f>COUNTIFS(D$8:AH$8,"D")+COUNTIFS(D$8:AH$8,"DG")</f>
        <v>3</v>
      </c>
      <c r="AN8">
        <f t="shared" si="0"/>
        <v>19</v>
      </c>
      <c r="AO8">
        <f>COUNTIFS(F$8:AJ$8,"V")</f>
        <v>0</v>
      </c>
    </row>
    <row r="9" spans="1:41" ht="15.6" thickTop="1" thickBot="1">
      <c r="A9" s="346" t="s">
        <v>27</v>
      </c>
      <c r="B9" s="347"/>
      <c r="C9" s="9" t="s">
        <v>28</v>
      </c>
      <c r="D9" s="284" t="s">
        <v>1</v>
      </c>
      <c r="E9" s="320" t="s">
        <v>9</v>
      </c>
      <c r="F9" s="132" t="s">
        <v>9</v>
      </c>
      <c r="G9" s="135" t="s">
        <v>9</v>
      </c>
      <c r="H9" s="135" t="s">
        <v>9</v>
      </c>
      <c r="I9" s="136" t="s">
        <v>9</v>
      </c>
      <c r="J9" s="291" t="s">
        <v>1</v>
      </c>
      <c r="K9" s="307" t="s">
        <v>1</v>
      </c>
      <c r="L9" s="321" t="s">
        <v>9</v>
      </c>
      <c r="M9" s="181" t="s">
        <v>9</v>
      </c>
      <c r="N9" s="137" t="s">
        <v>1</v>
      </c>
      <c r="O9" s="175" t="s">
        <v>7</v>
      </c>
      <c r="P9" s="199" t="s">
        <v>1</v>
      </c>
      <c r="Q9" s="128" t="s">
        <v>9</v>
      </c>
      <c r="R9" s="178" t="s">
        <v>9</v>
      </c>
      <c r="S9" s="182" t="s">
        <v>1</v>
      </c>
      <c r="T9" s="182" t="s">
        <v>1</v>
      </c>
      <c r="U9" s="198" t="s">
        <v>7</v>
      </c>
      <c r="V9" s="137" t="s">
        <v>8</v>
      </c>
      <c r="W9" s="182" t="s">
        <v>8</v>
      </c>
      <c r="X9" s="128" t="s">
        <v>8</v>
      </c>
      <c r="Y9" s="178" t="s">
        <v>8</v>
      </c>
      <c r="Z9" s="181" t="s">
        <v>1</v>
      </c>
      <c r="AA9" s="175" t="s">
        <v>7</v>
      </c>
      <c r="AB9" s="137" t="s">
        <v>9</v>
      </c>
      <c r="AC9" s="137" t="s">
        <v>9</v>
      </c>
      <c r="AD9" s="199" t="s">
        <v>9</v>
      </c>
      <c r="AE9" s="128" t="s">
        <v>1</v>
      </c>
      <c r="AF9" s="178" t="s">
        <v>1</v>
      </c>
      <c r="AG9" s="132" t="s">
        <v>9</v>
      </c>
      <c r="AH9" s="289"/>
      <c r="AI9" s="345"/>
      <c r="AJ9">
        <f>COUNTIFS(D$7:AG$7,"M")+COUNTIFS(D$7:AG$7,"MG")</f>
        <v>0</v>
      </c>
      <c r="AK9">
        <f>COUNTIFS(D$9:AI$9,"T")+COUNTIFS(D$9:AI$9,"TG")</f>
        <v>4</v>
      </c>
      <c r="AL9">
        <f>COUNTIFS(D$9:AH$9,"N")+COUNTIFS(D$9:AH$9,"NG")</f>
        <v>13</v>
      </c>
      <c r="AM9">
        <f>COUNTIFS(D$9:AH$9,"D")+COUNTIFS(D$9:AH$9,"DG")</f>
        <v>3</v>
      </c>
      <c r="AN9">
        <f t="shared" si="0"/>
        <v>20</v>
      </c>
      <c r="AO9">
        <f>COUNTIFS(F$9:AJ$9,"V")</f>
        <v>0</v>
      </c>
    </row>
    <row r="10" spans="1:41" ht="15.6" thickTop="1" thickBot="1">
      <c r="A10" s="348" t="s">
        <v>29</v>
      </c>
      <c r="B10" s="349"/>
      <c r="C10" s="9" t="s">
        <v>30</v>
      </c>
      <c r="D10" s="285" t="s">
        <v>1</v>
      </c>
      <c r="E10" s="321" t="s">
        <v>1</v>
      </c>
      <c r="F10" s="206" t="s">
        <v>9</v>
      </c>
      <c r="G10" s="200" t="s">
        <v>1</v>
      </c>
      <c r="H10" s="207" t="s">
        <v>7</v>
      </c>
      <c r="I10" s="201" t="s">
        <v>1</v>
      </c>
      <c r="J10" s="291" t="s">
        <v>9</v>
      </c>
      <c r="K10" s="309" t="s">
        <v>9</v>
      </c>
      <c r="L10" s="321" t="s">
        <v>1</v>
      </c>
      <c r="M10" s="206" t="s">
        <v>1</v>
      </c>
      <c r="N10" s="207" t="s">
        <v>7</v>
      </c>
      <c r="O10" s="200" t="s">
        <v>8</v>
      </c>
      <c r="P10" s="201" t="s">
        <v>8</v>
      </c>
      <c r="Q10" s="138" t="s">
        <v>8</v>
      </c>
      <c r="R10" s="202" t="s">
        <v>8</v>
      </c>
      <c r="S10" s="206" t="s">
        <v>1</v>
      </c>
      <c r="T10" s="208" t="s">
        <v>7</v>
      </c>
      <c r="U10" s="200" t="s">
        <v>9</v>
      </c>
      <c r="V10" s="200" t="s">
        <v>9</v>
      </c>
      <c r="W10" s="228" t="s">
        <v>9</v>
      </c>
      <c r="X10" s="138" t="s">
        <v>1</v>
      </c>
      <c r="Y10" s="202" t="s">
        <v>1</v>
      </c>
      <c r="Z10" s="203" t="s">
        <v>9</v>
      </c>
      <c r="AA10" s="204" t="s">
        <v>9</v>
      </c>
      <c r="AB10" s="204" t="s">
        <v>9</v>
      </c>
      <c r="AC10" s="204" t="s">
        <v>9</v>
      </c>
      <c r="AD10" s="205" t="s">
        <v>9</v>
      </c>
      <c r="AE10" s="138" t="s">
        <v>1</v>
      </c>
      <c r="AF10" s="202" t="s">
        <v>1</v>
      </c>
      <c r="AG10" s="206" t="s">
        <v>9</v>
      </c>
      <c r="AH10" s="288"/>
      <c r="AI10" s="345"/>
      <c r="AJ10">
        <f>COUNTIFS(D$7:AG$7,"M")+COUNTIFS(D$7:AG$7,"MG")</f>
        <v>0</v>
      </c>
      <c r="AK10">
        <f>COUNTIFS(D$10:AI$10,"T")+COUNTIFS(D$10:AI$10,"TG")</f>
        <v>4</v>
      </c>
      <c r="AL10">
        <f>COUNTIFS(D$10:AH$10,"N")+COUNTIFS(D$10:AH$10,"NG")</f>
        <v>12</v>
      </c>
      <c r="AM10">
        <f>COUNTIFS(D$10:AH$10,"D")+COUNTIFS(D$10:AH$10,"DG")</f>
        <v>3</v>
      </c>
      <c r="AN10">
        <f t="shared" si="0"/>
        <v>19</v>
      </c>
      <c r="AO10">
        <f>COUNTIFS(F$10:AJ$10,"V")</f>
        <v>0</v>
      </c>
    </row>
    <row r="11" spans="1:41">
      <c r="A11" s="353"/>
      <c r="B11" s="353"/>
      <c r="C11" s="345"/>
      <c r="D11" s="345"/>
      <c r="E11" s="345"/>
      <c r="F11" s="345"/>
      <c r="G11" s="345"/>
      <c r="H11" s="345"/>
      <c r="I11" s="345"/>
      <c r="J11" s="34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W11" s="345"/>
      <c r="X11" s="345"/>
      <c r="Y11" s="345"/>
      <c r="Z11" s="345"/>
      <c r="AA11" s="345"/>
      <c r="AB11" s="345"/>
      <c r="AC11" s="345"/>
      <c r="AD11" s="345"/>
      <c r="AE11" s="345"/>
      <c r="AF11" s="345"/>
      <c r="AG11" s="345"/>
      <c r="AH11" s="345"/>
      <c r="AI11" s="345"/>
    </row>
    <row r="12" spans="1:41" ht="15" thickBot="1">
      <c r="A12" s="345"/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345"/>
      <c r="M12" s="345"/>
      <c r="N12" s="345"/>
      <c r="O12" s="345"/>
      <c r="P12" s="345"/>
      <c r="Q12" s="345"/>
      <c r="R12" s="345"/>
      <c r="S12" s="345"/>
      <c r="T12" s="345"/>
      <c r="U12" s="345"/>
      <c r="V12" s="345"/>
      <c r="W12" s="345"/>
      <c r="X12" s="345"/>
      <c r="Y12" s="345"/>
      <c r="Z12" s="345"/>
      <c r="AA12" s="345"/>
      <c r="AB12" s="345"/>
      <c r="AC12" s="345"/>
      <c r="AD12" s="345"/>
      <c r="AE12" s="345"/>
      <c r="AF12" s="345"/>
      <c r="AG12" s="345"/>
      <c r="AH12" s="345"/>
      <c r="AI12" s="345"/>
    </row>
    <row r="13" spans="1:41" ht="15.6" thickTop="1" thickBot="1">
      <c r="A13" s="345"/>
      <c r="B13" s="345"/>
      <c r="C13" s="271" t="s">
        <v>31</v>
      </c>
      <c r="D13" s="328">
        <f>SUM(D14:D16)</f>
        <v>3</v>
      </c>
      <c r="E13" s="312">
        <f t="shared" ref="E13:AG13" si="1">SUM(E14:E16)</f>
        <v>3</v>
      </c>
      <c r="F13" s="249">
        <f t="shared" si="1"/>
        <v>5</v>
      </c>
      <c r="G13" s="240">
        <f t="shared" si="1"/>
        <v>5</v>
      </c>
      <c r="H13" s="240">
        <f t="shared" si="1"/>
        <v>5</v>
      </c>
      <c r="I13" s="246">
        <f t="shared" si="1"/>
        <v>5</v>
      </c>
      <c r="J13" s="255">
        <f t="shared" si="1"/>
        <v>3</v>
      </c>
      <c r="K13" s="246">
        <f t="shared" si="1"/>
        <v>3</v>
      </c>
      <c r="L13" s="312">
        <f t="shared" si="1"/>
        <v>3</v>
      </c>
      <c r="M13" s="249">
        <f t="shared" si="1"/>
        <v>5</v>
      </c>
      <c r="N13" s="240">
        <f t="shared" si="1"/>
        <v>5</v>
      </c>
      <c r="O13" s="240">
        <f t="shared" si="1"/>
        <v>5</v>
      </c>
      <c r="P13" s="246">
        <f t="shared" si="1"/>
        <v>5</v>
      </c>
      <c r="Q13" s="255">
        <f t="shared" si="1"/>
        <v>3</v>
      </c>
      <c r="R13" s="241">
        <f t="shared" si="1"/>
        <v>3</v>
      </c>
      <c r="S13" s="249">
        <f t="shared" si="1"/>
        <v>5</v>
      </c>
      <c r="T13" s="240">
        <f t="shared" si="1"/>
        <v>5</v>
      </c>
      <c r="U13" s="240">
        <f t="shared" si="1"/>
        <v>5</v>
      </c>
      <c r="V13" s="240">
        <f t="shared" si="1"/>
        <v>5</v>
      </c>
      <c r="W13" s="246">
        <f t="shared" si="1"/>
        <v>5</v>
      </c>
      <c r="X13" s="255">
        <f>SUM(X14:X16)</f>
        <v>3</v>
      </c>
      <c r="Y13" s="241">
        <f t="shared" si="1"/>
        <v>3</v>
      </c>
      <c r="Z13" s="249">
        <f t="shared" si="1"/>
        <v>5</v>
      </c>
      <c r="AA13" s="240">
        <f t="shared" si="1"/>
        <v>5</v>
      </c>
      <c r="AB13" s="240">
        <f t="shared" si="1"/>
        <v>5</v>
      </c>
      <c r="AC13" s="240">
        <f t="shared" si="1"/>
        <v>5</v>
      </c>
      <c r="AD13" s="246">
        <f t="shared" si="1"/>
        <v>5</v>
      </c>
      <c r="AE13" s="255">
        <f t="shared" si="1"/>
        <v>3</v>
      </c>
      <c r="AF13" s="241">
        <f t="shared" si="1"/>
        <v>3</v>
      </c>
      <c r="AG13" s="274">
        <f t="shared" si="1"/>
        <v>5</v>
      </c>
      <c r="AH13" s="368"/>
      <c r="AI13" s="345"/>
    </row>
    <row r="14" spans="1:41" ht="15.6" thickTop="1" thickBot="1">
      <c r="A14" s="345"/>
      <c r="B14" s="345"/>
      <c r="C14" s="272" t="s">
        <v>2</v>
      </c>
      <c r="D14" s="329">
        <f>COUNTIFS(D$3:D$10,"M")+COUNTIFS(D$3:D$10,"MG")</f>
        <v>1</v>
      </c>
      <c r="E14" s="313">
        <f>COUNTIFS(E$3:E$10,"M")+COUNTIFS(E$3:E$10,"MG")</f>
        <v>1</v>
      </c>
      <c r="F14" s="250">
        <f t="shared" ref="F14:AG14" si="2">COUNTIFS(F$3:F$10,"M")+COUNTIFS(F$3:F$10,"MG")</f>
        <v>2</v>
      </c>
      <c r="G14" s="237">
        <f t="shared" si="2"/>
        <v>2</v>
      </c>
      <c r="H14" s="237">
        <f t="shared" si="2"/>
        <v>2</v>
      </c>
      <c r="I14" s="247">
        <f t="shared" si="2"/>
        <v>2</v>
      </c>
      <c r="J14" s="256">
        <f t="shared" si="2"/>
        <v>1</v>
      </c>
      <c r="K14" s="247">
        <f t="shared" si="2"/>
        <v>1</v>
      </c>
      <c r="L14" s="313">
        <f t="shared" si="2"/>
        <v>1</v>
      </c>
      <c r="M14" s="250">
        <f t="shared" si="2"/>
        <v>2</v>
      </c>
      <c r="N14" s="237">
        <f t="shared" si="2"/>
        <v>2</v>
      </c>
      <c r="O14" s="237">
        <f t="shared" si="2"/>
        <v>2</v>
      </c>
      <c r="P14" s="247">
        <f t="shared" si="2"/>
        <v>2</v>
      </c>
      <c r="Q14" s="256">
        <f t="shared" si="2"/>
        <v>1</v>
      </c>
      <c r="R14" s="242">
        <f t="shared" si="2"/>
        <v>1</v>
      </c>
      <c r="S14" s="250">
        <f t="shared" si="2"/>
        <v>2</v>
      </c>
      <c r="T14" s="237">
        <f t="shared" si="2"/>
        <v>2</v>
      </c>
      <c r="U14" s="237">
        <f t="shared" si="2"/>
        <v>2</v>
      </c>
      <c r="V14" s="237">
        <f t="shared" si="2"/>
        <v>2</v>
      </c>
      <c r="W14" s="247">
        <f t="shared" si="2"/>
        <v>2</v>
      </c>
      <c r="X14" s="256">
        <f t="shared" si="2"/>
        <v>1</v>
      </c>
      <c r="Y14" s="242">
        <f t="shared" si="2"/>
        <v>1</v>
      </c>
      <c r="Z14" s="250">
        <f t="shared" si="2"/>
        <v>2</v>
      </c>
      <c r="AA14" s="237">
        <f t="shared" si="2"/>
        <v>2</v>
      </c>
      <c r="AB14" s="237">
        <f t="shared" si="2"/>
        <v>2</v>
      </c>
      <c r="AC14" s="237">
        <f t="shared" si="2"/>
        <v>2</v>
      </c>
      <c r="AD14" s="247">
        <f t="shared" si="2"/>
        <v>2</v>
      </c>
      <c r="AE14" s="256">
        <f t="shared" si="2"/>
        <v>1</v>
      </c>
      <c r="AF14" s="242">
        <f t="shared" si="2"/>
        <v>1</v>
      </c>
      <c r="AG14" s="275">
        <f t="shared" si="2"/>
        <v>2</v>
      </c>
      <c r="AH14" s="368"/>
      <c r="AI14" s="345"/>
    </row>
    <row r="15" spans="1:41" ht="15.6" thickTop="1" thickBot="1">
      <c r="A15" s="345"/>
      <c r="B15" s="345"/>
      <c r="C15" s="272" t="s">
        <v>8</v>
      </c>
      <c r="D15" s="90">
        <f>COUNTIFS(D$3:D$10,"T")+COUNTIFS(D$3:D$10,"TG")</f>
        <v>1</v>
      </c>
      <c r="E15" s="314">
        <f t="shared" ref="E15:AG15" si="3">COUNTIFS(E$3:E$10,"T")+COUNTIFS(E$3:E$10,"TG")</f>
        <v>1</v>
      </c>
      <c r="F15" s="251">
        <f t="shared" si="3"/>
        <v>1</v>
      </c>
      <c r="G15" s="238">
        <f t="shared" si="3"/>
        <v>1</v>
      </c>
      <c r="H15" s="238">
        <f t="shared" si="3"/>
        <v>1</v>
      </c>
      <c r="I15" s="43">
        <f t="shared" si="3"/>
        <v>1</v>
      </c>
      <c r="J15" s="257">
        <f t="shared" si="3"/>
        <v>1</v>
      </c>
      <c r="K15" s="43">
        <f t="shared" si="3"/>
        <v>1</v>
      </c>
      <c r="L15" s="314">
        <f t="shared" si="3"/>
        <v>1</v>
      </c>
      <c r="M15" s="251">
        <f t="shared" si="3"/>
        <v>1</v>
      </c>
      <c r="N15" s="238">
        <f t="shared" si="3"/>
        <v>1</v>
      </c>
      <c r="O15" s="238">
        <f t="shared" si="3"/>
        <v>1</v>
      </c>
      <c r="P15" s="43">
        <f t="shared" si="3"/>
        <v>1</v>
      </c>
      <c r="Q15" s="257">
        <f t="shared" si="3"/>
        <v>1</v>
      </c>
      <c r="R15" s="91">
        <f t="shared" si="3"/>
        <v>1</v>
      </c>
      <c r="S15" s="251">
        <f t="shared" si="3"/>
        <v>1</v>
      </c>
      <c r="T15" s="238">
        <f t="shared" si="3"/>
        <v>1</v>
      </c>
      <c r="U15" s="238">
        <f t="shared" si="3"/>
        <v>1</v>
      </c>
      <c r="V15" s="238">
        <f t="shared" si="3"/>
        <v>1</v>
      </c>
      <c r="W15" s="43">
        <f t="shared" si="3"/>
        <v>1</v>
      </c>
      <c r="X15" s="257">
        <f t="shared" si="3"/>
        <v>1</v>
      </c>
      <c r="Y15" s="91">
        <f t="shared" si="3"/>
        <v>1</v>
      </c>
      <c r="Z15" s="251">
        <f t="shared" si="3"/>
        <v>1</v>
      </c>
      <c r="AA15" s="238">
        <f t="shared" si="3"/>
        <v>1</v>
      </c>
      <c r="AB15" s="238">
        <f t="shared" si="3"/>
        <v>1</v>
      </c>
      <c r="AC15" s="238">
        <f t="shared" si="3"/>
        <v>1</v>
      </c>
      <c r="AD15" s="43">
        <f t="shared" si="3"/>
        <v>1</v>
      </c>
      <c r="AE15" s="257">
        <f t="shared" si="3"/>
        <v>1</v>
      </c>
      <c r="AF15" s="91">
        <f t="shared" si="3"/>
        <v>1</v>
      </c>
      <c r="AG15" s="276">
        <f t="shared" si="3"/>
        <v>1</v>
      </c>
      <c r="AH15" s="368"/>
      <c r="AI15" s="345"/>
    </row>
    <row r="16" spans="1:41" ht="15.6" thickTop="1" thickBot="1">
      <c r="A16" s="345"/>
      <c r="B16" s="345"/>
      <c r="C16" s="272" t="s">
        <v>9</v>
      </c>
      <c r="D16" s="92">
        <f>COUNTIFS(D$3:D$10,"N")+COUNTIFS(D$3:D$10,"NG")</f>
        <v>1</v>
      </c>
      <c r="E16" s="315">
        <f t="shared" ref="E16:AG16" si="4">COUNTIFS(E$3:E$10,"N")+COUNTIFS(E$3:E$10,"NG")</f>
        <v>1</v>
      </c>
      <c r="F16" s="252">
        <f t="shared" si="4"/>
        <v>2</v>
      </c>
      <c r="G16" s="150">
        <f t="shared" si="4"/>
        <v>2</v>
      </c>
      <c r="H16" s="150">
        <f t="shared" si="4"/>
        <v>2</v>
      </c>
      <c r="I16" s="44">
        <f t="shared" si="4"/>
        <v>2</v>
      </c>
      <c r="J16" s="66">
        <f t="shared" si="4"/>
        <v>1</v>
      </c>
      <c r="K16" s="44">
        <f t="shared" si="4"/>
        <v>1</v>
      </c>
      <c r="L16" s="315">
        <f t="shared" si="4"/>
        <v>1</v>
      </c>
      <c r="M16" s="252">
        <f t="shared" si="4"/>
        <v>2</v>
      </c>
      <c r="N16" s="150">
        <f t="shared" si="4"/>
        <v>2</v>
      </c>
      <c r="O16" s="150">
        <f t="shared" si="4"/>
        <v>2</v>
      </c>
      <c r="P16" s="44">
        <f t="shared" si="4"/>
        <v>2</v>
      </c>
      <c r="Q16" s="66">
        <f t="shared" si="4"/>
        <v>1</v>
      </c>
      <c r="R16" s="93">
        <f t="shared" si="4"/>
        <v>1</v>
      </c>
      <c r="S16" s="252">
        <f t="shared" si="4"/>
        <v>2</v>
      </c>
      <c r="T16" s="150">
        <f t="shared" si="4"/>
        <v>2</v>
      </c>
      <c r="U16" s="150">
        <f t="shared" si="4"/>
        <v>2</v>
      </c>
      <c r="V16" s="150">
        <f t="shared" si="4"/>
        <v>2</v>
      </c>
      <c r="W16" s="44">
        <f t="shared" si="4"/>
        <v>2</v>
      </c>
      <c r="X16" s="66">
        <f t="shared" si="4"/>
        <v>1</v>
      </c>
      <c r="Y16" s="93">
        <f t="shared" si="4"/>
        <v>1</v>
      </c>
      <c r="Z16" s="252">
        <f t="shared" si="4"/>
        <v>2</v>
      </c>
      <c r="AA16" s="150">
        <f t="shared" si="4"/>
        <v>2</v>
      </c>
      <c r="AB16" s="150">
        <f t="shared" si="4"/>
        <v>2</v>
      </c>
      <c r="AC16" s="150">
        <f t="shared" si="4"/>
        <v>2</v>
      </c>
      <c r="AD16" s="44">
        <f t="shared" si="4"/>
        <v>2</v>
      </c>
      <c r="AE16" s="66">
        <f t="shared" si="4"/>
        <v>1</v>
      </c>
      <c r="AF16" s="93">
        <f t="shared" si="4"/>
        <v>1</v>
      </c>
      <c r="AG16" s="277">
        <f t="shared" si="4"/>
        <v>2</v>
      </c>
      <c r="AH16" s="368"/>
      <c r="AI16" s="345"/>
    </row>
    <row r="17" spans="1:35" ht="15.6" thickTop="1" thickBot="1">
      <c r="A17" s="345"/>
      <c r="B17" s="345"/>
      <c r="C17" s="272" t="s">
        <v>7</v>
      </c>
      <c r="D17" s="330">
        <f>COUNTIFS(D$3:D$10,"D")+COUNTIFS(D$3:D$10,"DG")</f>
        <v>1</v>
      </c>
      <c r="E17" s="316">
        <f t="shared" ref="E17:AG17" si="5">COUNTIFS(E$3:E$10,"D")+COUNTIFS(E$3:E$10,"DG")</f>
        <v>1</v>
      </c>
      <c r="F17" s="253">
        <f t="shared" si="5"/>
        <v>1</v>
      </c>
      <c r="G17" s="239">
        <f t="shared" si="5"/>
        <v>1</v>
      </c>
      <c r="H17" s="239">
        <f t="shared" si="5"/>
        <v>1</v>
      </c>
      <c r="I17" s="248">
        <f t="shared" si="5"/>
        <v>1</v>
      </c>
      <c r="J17" s="258">
        <f t="shared" si="5"/>
        <v>1</v>
      </c>
      <c r="K17" s="248">
        <f t="shared" si="5"/>
        <v>1</v>
      </c>
      <c r="L17" s="316">
        <f t="shared" si="5"/>
        <v>1</v>
      </c>
      <c r="M17" s="253">
        <f t="shared" si="5"/>
        <v>1</v>
      </c>
      <c r="N17" s="239">
        <f t="shared" si="5"/>
        <v>1</v>
      </c>
      <c r="O17" s="239">
        <f t="shared" si="5"/>
        <v>1</v>
      </c>
      <c r="P17" s="248">
        <f t="shared" si="5"/>
        <v>1</v>
      </c>
      <c r="Q17" s="258">
        <f t="shared" si="5"/>
        <v>1</v>
      </c>
      <c r="R17" s="243">
        <f t="shared" si="5"/>
        <v>1</v>
      </c>
      <c r="S17" s="253">
        <f t="shared" si="5"/>
        <v>1</v>
      </c>
      <c r="T17" s="239">
        <f t="shared" si="5"/>
        <v>1</v>
      </c>
      <c r="U17" s="239">
        <f t="shared" si="5"/>
        <v>1</v>
      </c>
      <c r="V17" s="239">
        <f t="shared" si="5"/>
        <v>1</v>
      </c>
      <c r="W17" s="248">
        <f t="shared" si="5"/>
        <v>1</v>
      </c>
      <c r="X17" s="258">
        <f t="shared" si="5"/>
        <v>1</v>
      </c>
      <c r="Y17" s="243">
        <f t="shared" si="5"/>
        <v>1</v>
      </c>
      <c r="Z17" s="253">
        <f t="shared" si="5"/>
        <v>1</v>
      </c>
      <c r="AA17" s="239">
        <f t="shared" si="5"/>
        <v>1</v>
      </c>
      <c r="AB17" s="239">
        <f t="shared" si="5"/>
        <v>1</v>
      </c>
      <c r="AC17" s="239">
        <f t="shared" si="5"/>
        <v>1</v>
      </c>
      <c r="AD17" s="248">
        <f t="shared" si="5"/>
        <v>1</v>
      </c>
      <c r="AE17" s="258">
        <f t="shared" si="5"/>
        <v>1</v>
      </c>
      <c r="AF17" s="243">
        <f t="shared" si="5"/>
        <v>1</v>
      </c>
      <c r="AG17" s="278">
        <f t="shared" si="5"/>
        <v>1</v>
      </c>
      <c r="AH17" s="368"/>
      <c r="AI17" s="345"/>
    </row>
    <row r="18" spans="1:35" ht="15.6" thickTop="1" thickBot="1">
      <c r="A18" s="345"/>
      <c r="B18" s="345"/>
      <c r="C18" s="272" t="s">
        <v>1</v>
      </c>
      <c r="D18" s="331">
        <f>COUNTIFS(D$3:D$10,"L")+COUNTIFS(D$3:D$10,"LG")</f>
        <v>4</v>
      </c>
      <c r="E18" s="317">
        <f t="shared" ref="E18:AG18" si="6">COUNTIFS(E$3:E$10,"L")+COUNTIFS(E$3:E$10,"LG")</f>
        <v>4</v>
      </c>
      <c r="F18" s="140">
        <f t="shared" si="6"/>
        <v>2</v>
      </c>
      <c r="G18" s="139">
        <f t="shared" si="6"/>
        <v>2</v>
      </c>
      <c r="H18" s="139">
        <f t="shared" si="6"/>
        <v>2</v>
      </c>
      <c r="I18" s="48">
        <f t="shared" si="6"/>
        <v>2</v>
      </c>
      <c r="J18" s="159">
        <f t="shared" si="6"/>
        <v>4</v>
      </c>
      <c r="K18" s="48">
        <f t="shared" si="6"/>
        <v>4</v>
      </c>
      <c r="L18" s="317">
        <f t="shared" si="6"/>
        <v>4</v>
      </c>
      <c r="M18" s="140">
        <f t="shared" si="6"/>
        <v>2</v>
      </c>
      <c r="N18" s="139">
        <f t="shared" si="6"/>
        <v>2</v>
      </c>
      <c r="O18" s="139">
        <f t="shared" si="6"/>
        <v>2</v>
      </c>
      <c r="P18" s="48">
        <f t="shared" si="6"/>
        <v>2</v>
      </c>
      <c r="Q18" s="159">
        <f t="shared" si="6"/>
        <v>4</v>
      </c>
      <c r="R18" s="244">
        <f t="shared" si="6"/>
        <v>4</v>
      </c>
      <c r="S18" s="140">
        <f t="shared" si="6"/>
        <v>2</v>
      </c>
      <c r="T18" s="139">
        <f t="shared" si="6"/>
        <v>2</v>
      </c>
      <c r="U18" s="139">
        <f t="shared" si="6"/>
        <v>2</v>
      </c>
      <c r="V18" s="139">
        <f t="shared" si="6"/>
        <v>2</v>
      </c>
      <c r="W18" s="48">
        <f t="shared" si="6"/>
        <v>2</v>
      </c>
      <c r="X18" s="159">
        <f t="shared" si="6"/>
        <v>4</v>
      </c>
      <c r="Y18" s="244">
        <f t="shared" si="6"/>
        <v>4</v>
      </c>
      <c r="Z18" s="140">
        <f t="shared" si="6"/>
        <v>2</v>
      </c>
      <c r="AA18" s="139">
        <f t="shared" si="6"/>
        <v>2</v>
      </c>
      <c r="AB18" s="139">
        <f t="shared" si="6"/>
        <v>2</v>
      </c>
      <c r="AC18" s="139">
        <f t="shared" si="6"/>
        <v>2</v>
      </c>
      <c r="AD18" s="48">
        <f t="shared" si="6"/>
        <v>2</v>
      </c>
      <c r="AE18" s="159">
        <f t="shared" si="6"/>
        <v>4</v>
      </c>
      <c r="AF18" s="244">
        <f t="shared" si="6"/>
        <v>4</v>
      </c>
      <c r="AG18" s="279">
        <f t="shared" si="6"/>
        <v>2</v>
      </c>
      <c r="AH18" s="368"/>
      <c r="AI18" s="345"/>
    </row>
    <row r="19" spans="1:35" ht="15.6" thickTop="1" thickBot="1">
      <c r="A19" s="345"/>
      <c r="B19" s="345"/>
      <c r="C19" s="272" t="s">
        <v>32</v>
      </c>
      <c r="D19" s="332">
        <f t="shared" ref="D19:AG19" si="7">COUNTIFS(D$3:D$10,"MG")+COUNTIFS(D$3:D$10,"TG")+COUNTIFS(D$3:D$10,"LG")+COUNTIFS(D$3:D$10,"DG")</f>
        <v>1</v>
      </c>
      <c r="E19" s="318">
        <f t="shared" si="7"/>
        <v>1</v>
      </c>
      <c r="F19" s="5">
        <f t="shared" si="7"/>
        <v>1</v>
      </c>
      <c r="G19" s="3">
        <f t="shared" si="7"/>
        <v>1</v>
      </c>
      <c r="H19" s="3">
        <f t="shared" si="7"/>
        <v>1</v>
      </c>
      <c r="I19" s="51">
        <f t="shared" si="7"/>
        <v>1</v>
      </c>
      <c r="J19" s="68">
        <f t="shared" si="7"/>
        <v>1</v>
      </c>
      <c r="K19" s="51">
        <f t="shared" si="7"/>
        <v>1</v>
      </c>
      <c r="L19" s="318">
        <f t="shared" si="7"/>
        <v>1</v>
      </c>
      <c r="M19" s="5">
        <f t="shared" si="7"/>
        <v>1</v>
      </c>
      <c r="N19" s="3">
        <f t="shared" si="7"/>
        <v>1</v>
      </c>
      <c r="O19" s="3">
        <f t="shared" si="7"/>
        <v>1</v>
      </c>
      <c r="P19" s="51">
        <f t="shared" si="7"/>
        <v>1</v>
      </c>
      <c r="Q19" s="68">
        <f t="shared" si="7"/>
        <v>1</v>
      </c>
      <c r="R19" s="69">
        <f t="shared" si="7"/>
        <v>1</v>
      </c>
      <c r="S19" s="5">
        <f t="shared" si="7"/>
        <v>1</v>
      </c>
      <c r="T19" s="3">
        <f t="shared" si="7"/>
        <v>1</v>
      </c>
      <c r="U19" s="3">
        <f t="shared" si="7"/>
        <v>1</v>
      </c>
      <c r="V19" s="3">
        <f t="shared" si="7"/>
        <v>1</v>
      </c>
      <c r="W19" s="51">
        <f t="shared" si="7"/>
        <v>1</v>
      </c>
      <c r="X19" s="68">
        <f t="shared" si="7"/>
        <v>1</v>
      </c>
      <c r="Y19" s="69">
        <f t="shared" si="7"/>
        <v>1</v>
      </c>
      <c r="Z19" s="5">
        <f t="shared" si="7"/>
        <v>1</v>
      </c>
      <c r="AA19" s="3">
        <f t="shared" si="7"/>
        <v>1</v>
      </c>
      <c r="AB19" s="3">
        <f t="shared" si="7"/>
        <v>1</v>
      </c>
      <c r="AC19" s="3">
        <f t="shared" si="7"/>
        <v>1</v>
      </c>
      <c r="AD19" s="51">
        <f t="shared" si="7"/>
        <v>1</v>
      </c>
      <c r="AE19" s="68">
        <f t="shared" si="7"/>
        <v>1</v>
      </c>
      <c r="AF19" s="69">
        <f t="shared" si="7"/>
        <v>1</v>
      </c>
      <c r="AG19" s="280">
        <f t="shared" si="7"/>
        <v>1</v>
      </c>
      <c r="AH19" s="368"/>
      <c r="AI19" s="345"/>
    </row>
    <row r="20" spans="1:35" ht="15.6" thickTop="1" thickBot="1">
      <c r="A20" s="345"/>
      <c r="B20" s="345"/>
      <c r="C20" s="273" t="s">
        <v>5</v>
      </c>
      <c r="D20" s="100">
        <f>COUNTIFS(D$3:D$10,"V")</f>
        <v>0</v>
      </c>
      <c r="E20" s="317">
        <f t="shared" ref="E20:AG20" si="8">COUNTIFS(E$3:E$10,"V")</f>
        <v>0</v>
      </c>
      <c r="F20" s="254">
        <f t="shared" si="8"/>
        <v>0</v>
      </c>
      <c r="G20" s="245">
        <f t="shared" si="8"/>
        <v>0</v>
      </c>
      <c r="H20" s="245">
        <f t="shared" si="8"/>
        <v>0</v>
      </c>
      <c r="I20" s="236">
        <f t="shared" si="8"/>
        <v>0</v>
      </c>
      <c r="J20" s="160">
        <f t="shared" si="8"/>
        <v>0</v>
      </c>
      <c r="K20" s="236">
        <f t="shared" si="8"/>
        <v>0</v>
      </c>
      <c r="L20" s="317">
        <f t="shared" si="8"/>
        <v>0</v>
      </c>
      <c r="M20" s="254">
        <f t="shared" si="8"/>
        <v>0</v>
      </c>
      <c r="N20" s="245">
        <f t="shared" si="8"/>
        <v>0</v>
      </c>
      <c r="O20" s="245">
        <f t="shared" si="8"/>
        <v>0</v>
      </c>
      <c r="P20" s="236">
        <f t="shared" si="8"/>
        <v>0</v>
      </c>
      <c r="Q20" s="160">
        <f t="shared" si="8"/>
        <v>0</v>
      </c>
      <c r="R20" s="101">
        <f t="shared" si="8"/>
        <v>0</v>
      </c>
      <c r="S20" s="254">
        <f t="shared" si="8"/>
        <v>0</v>
      </c>
      <c r="T20" s="245">
        <f t="shared" si="8"/>
        <v>0</v>
      </c>
      <c r="U20" s="245">
        <f t="shared" si="8"/>
        <v>0</v>
      </c>
      <c r="V20" s="245">
        <f t="shared" si="8"/>
        <v>0</v>
      </c>
      <c r="W20" s="236">
        <f t="shared" si="8"/>
        <v>0</v>
      </c>
      <c r="X20" s="160">
        <f t="shared" si="8"/>
        <v>0</v>
      </c>
      <c r="Y20" s="101">
        <f t="shared" si="8"/>
        <v>0</v>
      </c>
      <c r="Z20" s="254">
        <f t="shared" si="8"/>
        <v>0</v>
      </c>
      <c r="AA20" s="245">
        <f t="shared" si="8"/>
        <v>0</v>
      </c>
      <c r="AB20" s="245">
        <f t="shared" si="8"/>
        <v>0</v>
      </c>
      <c r="AC20" s="245">
        <f t="shared" si="8"/>
        <v>0</v>
      </c>
      <c r="AD20" s="236">
        <f t="shared" si="8"/>
        <v>0</v>
      </c>
      <c r="AE20" s="160">
        <f t="shared" si="8"/>
        <v>0</v>
      </c>
      <c r="AF20" s="101">
        <f t="shared" si="8"/>
        <v>0</v>
      </c>
      <c r="AG20" s="281">
        <f t="shared" si="8"/>
        <v>0</v>
      </c>
      <c r="AH20" s="368"/>
      <c r="AI20" s="345"/>
    </row>
    <row r="21" spans="1:35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  <c r="M21" s="345"/>
      <c r="N21" s="345"/>
      <c r="O21" s="345"/>
      <c r="P21" s="345"/>
      <c r="Q21" s="345"/>
      <c r="R21" s="345"/>
      <c r="S21" s="345"/>
      <c r="T21" s="345"/>
      <c r="U21" s="345"/>
      <c r="V21" s="345"/>
      <c r="W21" s="345"/>
      <c r="X21" s="345"/>
      <c r="Y21" s="345"/>
      <c r="Z21" s="345"/>
      <c r="AA21" s="345"/>
      <c r="AB21" s="345"/>
      <c r="AC21" s="345"/>
      <c r="AD21" s="345"/>
      <c r="AE21" s="345"/>
      <c r="AF21" s="345"/>
      <c r="AG21" s="345"/>
      <c r="AH21" s="345"/>
      <c r="AI21" s="345"/>
    </row>
    <row r="22" spans="1:35">
      <c r="A22" s="345"/>
      <c r="B22" s="345"/>
      <c r="C22" s="345"/>
      <c r="D22" s="345"/>
      <c r="E22" s="345"/>
      <c r="F22" s="345"/>
      <c r="G22" s="345"/>
      <c r="H22" s="345"/>
      <c r="I22" s="345"/>
      <c r="J22" s="345"/>
      <c r="K22" s="345"/>
      <c r="L22" s="345"/>
      <c r="M22" s="345"/>
      <c r="N22" s="345"/>
      <c r="O22" s="345"/>
      <c r="P22" s="345"/>
      <c r="Q22" s="345"/>
      <c r="R22" s="345"/>
      <c r="S22" s="345"/>
      <c r="T22" s="345"/>
      <c r="U22" s="345"/>
      <c r="V22" s="345"/>
      <c r="W22" s="345"/>
      <c r="X22" s="345"/>
      <c r="Y22" s="345"/>
      <c r="Z22" s="345"/>
      <c r="AA22" s="345"/>
      <c r="AB22" s="345"/>
      <c r="AC22" s="345"/>
      <c r="AD22" s="345"/>
      <c r="AE22" s="345"/>
      <c r="AF22" s="345"/>
      <c r="AG22" s="345"/>
      <c r="AH22" s="345"/>
      <c r="AI22" s="345"/>
    </row>
    <row r="23" spans="1:35">
      <c r="A23" s="345"/>
      <c r="B23" s="345"/>
      <c r="C23" s="345"/>
      <c r="D23" s="345"/>
      <c r="E23" s="345"/>
      <c r="F23" s="345"/>
      <c r="G23" s="345"/>
      <c r="H23" s="345"/>
      <c r="I23" s="345"/>
      <c r="J23" s="345"/>
      <c r="K23" s="345"/>
      <c r="L23" s="345"/>
      <c r="M23" s="345"/>
      <c r="N23" s="345"/>
      <c r="O23" s="345"/>
      <c r="P23" s="345"/>
      <c r="Q23" s="345"/>
      <c r="R23" s="345"/>
      <c r="S23" s="345"/>
      <c r="T23" s="345"/>
      <c r="U23" s="345"/>
      <c r="V23" s="345"/>
      <c r="W23" s="345"/>
      <c r="X23" s="345"/>
      <c r="Y23" s="345"/>
      <c r="Z23" s="345"/>
      <c r="AA23" s="345"/>
      <c r="AB23" s="345"/>
      <c r="AC23" s="345"/>
      <c r="AD23" s="345"/>
      <c r="AE23" s="345"/>
      <c r="AF23" s="345"/>
      <c r="AG23" s="345"/>
      <c r="AH23" s="345"/>
      <c r="AI23" s="345"/>
    </row>
    <row r="24" spans="1:35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345"/>
      <c r="L24" s="345"/>
      <c r="M24" s="345"/>
      <c r="N24" s="345"/>
      <c r="O24" s="345"/>
      <c r="P24" s="345"/>
      <c r="Q24" s="345"/>
      <c r="R24" s="345"/>
      <c r="S24" s="345"/>
      <c r="T24" s="345"/>
      <c r="U24" s="345"/>
      <c r="V24" s="345"/>
      <c r="W24" s="345"/>
      <c r="X24" s="345"/>
      <c r="Y24" s="345"/>
      <c r="Z24" s="345"/>
      <c r="AA24" s="345"/>
      <c r="AB24" s="345"/>
      <c r="AC24" s="345"/>
      <c r="AD24" s="345"/>
      <c r="AE24" s="345"/>
      <c r="AF24" s="345"/>
      <c r="AG24" s="345"/>
      <c r="AH24" s="345"/>
      <c r="AI24" s="345"/>
    </row>
    <row r="25" spans="1:35">
      <c r="A25" s="345"/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  <c r="AA25" s="345"/>
      <c r="AB25" s="345"/>
      <c r="AC25" s="345"/>
      <c r="AD25" s="345"/>
      <c r="AE25" s="345"/>
      <c r="AF25" s="345"/>
      <c r="AG25" s="345"/>
      <c r="AH25" s="345"/>
      <c r="AI25" s="345"/>
    </row>
    <row r="26" spans="1:35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  <c r="M26" s="345"/>
      <c r="N26" s="345"/>
      <c r="O26" s="345"/>
      <c r="P26" s="345"/>
      <c r="Q26" s="345"/>
      <c r="R26" s="345"/>
      <c r="S26" s="345"/>
      <c r="T26" s="345"/>
      <c r="U26" s="345"/>
      <c r="V26" s="345"/>
      <c r="W26" s="345"/>
      <c r="X26" s="345"/>
      <c r="Y26" s="345"/>
      <c r="Z26" s="345"/>
      <c r="AA26" s="345"/>
      <c r="AB26" s="345"/>
      <c r="AC26" s="345"/>
      <c r="AD26" s="345"/>
      <c r="AE26" s="345"/>
      <c r="AF26" s="345"/>
      <c r="AG26" s="345"/>
      <c r="AH26" s="345"/>
      <c r="AI26" s="345"/>
    </row>
    <row r="27" spans="1:35">
      <c r="A27" s="345"/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  <c r="M27" s="345"/>
      <c r="N27" s="345"/>
      <c r="O27" s="345"/>
      <c r="P27" s="345"/>
      <c r="Q27" s="345"/>
      <c r="R27" s="345"/>
      <c r="S27" s="345"/>
      <c r="T27" s="345"/>
      <c r="U27" s="345"/>
      <c r="V27" s="345"/>
      <c r="W27" s="345"/>
      <c r="X27" s="345"/>
      <c r="Y27" s="345"/>
      <c r="Z27" s="345"/>
      <c r="AA27" s="345"/>
      <c r="AB27" s="345"/>
      <c r="AC27" s="345"/>
      <c r="AD27" s="345"/>
      <c r="AE27" s="345"/>
      <c r="AF27" s="345"/>
      <c r="AG27" s="345"/>
      <c r="AH27" s="345"/>
      <c r="AI27" s="345"/>
    </row>
  </sheetData>
  <mergeCells count="13">
    <mergeCell ref="C11:AH12"/>
    <mergeCell ref="AH13:AH20"/>
    <mergeCell ref="A21:AI27"/>
    <mergeCell ref="A1:C2"/>
    <mergeCell ref="AI1:AI20"/>
    <mergeCell ref="A3:B3"/>
    <mergeCell ref="A4:B4"/>
    <mergeCell ref="A5:B5"/>
    <mergeCell ref="A7:B7"/>
    <mergeCell ref="A8:B8"/>
    <mergeCell ref="A9:B9"/>
    <mergeCell ref="A10:B10"/>
    <mergeCell ref="A11:B2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235B-9E80-4271-A98A-5011D8AB7F24}">
  <dimension ref="A1:AO27"/>
  <sheetViews>
    <sheetView zoomScale="130" zoomScaleNormal="130" workbookViewId="0">
      <selection activeCell="V9" sqref="V9"/>
    </sheetView>
  </sheetViews>
  <sheetFormatPr defaultColWidth="11.42578125" defaultRowHeight="14.45"/>
  <cols>
    <col min="1" max="1" width="15.140625" customWidth="1"/>
    <col min="2" max="2" width="16.85546875" customWidth="1"/>
    <col min="3" max="3" width="3.42578125" customWidth="1"/>
    <col min="4" max="4" width="4.140625" customWidth="1"/>
    <col min="5" max="5" width="4.42578125" customWidth="1"/>
    <col min="6" max="6" width="3.42578125" customWidth="1"/>
    <col min="7" max="7" width="3.85546875" customWidth="1"/>
    <col min="8" max="10" width="3.140625" bestFit="1" customWidth="1"/>
    <col min="11" max="14" width="2.85546875" bestFit="1" customWidth="1"/>
    <col min="15" max="15" width="3" bestFit="1" customWidth="1"/>
    <col min="16" max="17" width="2.85546875" bestFit="1" customWidth="1"/>
    <col min="18" max="18" width="3.28515625" customWidth="1"/>
    <col min="19" max="22" width="3.140625" bestFit="1" customWidth="1"/>
    <col min="23" max="24" width="3" bestFit="1" customWidth="1"/>
    <col min="25" max="29" width="3.140625" bestFit="1" customWidth="1"/>
    <col min="30" max="33" width="2.85546875" bestFit="1" customWidth="1"/>
    <col min="34" max="34" width="2.85546875" customWidth="1"/>
    <col min="35" max="35" width="8.5703125" customWidth="1"/>
  </cols>
  <sheetData>
    <row r="1" spans="1:41" ht="15.6" thickTop="1" thickBot="1">
      <c r="A1" s="355" t="s">
        <v>0</v>
      </c>
      <c r="B1" s="355"/>
      <c r="C1" s="356"/>
      <c r="D1" s="290" t="s">
        <v>2</v>
      </c>
      <c r="E1" s="290" t="s">
        <v>3</v>
      </c>
      <c r="F1" s="290" t="s">
        <v>4</v>
      </c>
      <c r="G1" s="290" t="s">
        <v>5</v>
      </c>
      <c r="H1" s="218" t="s">
        <v>6</v>
      </c>
      <c r="I1" s="333" t="s">
        <v>7</v>
      </c>
      <c r="J1" s="319" t="s">
        <v>1</v>
      </c>
      <c r="K1" s="319" t="s">
        <v>2</v>
      </c>
      <c r="L1" s="290" t="s">
        <v>3</v>
      </c>
      <c r="M1" s="290" t="s">
        <v>4</v>
      </c>
      <c r="N1" s="290" t="s">
        <v>5</v>
      </c>
      <c r="O1" s="161" t="s">
        <v>6</v>
      </c>
      <c r="P1" s="162" t="s">
        <v>7</v>
      </c>
      <c r="Q1" s="290" t="s">
        <v>1</v>
      </c>
      <c r="R1" s="290" t="s">
        <v>2</v>
      </c>
      <c r="S1" s="290" t="s">
        <v>3</v>
      </c>
      <c r="T1" s="290" t="s">
        <v>4</v>
      </c>
      <c r="U1" s="290" t="s">
        <v>5</v>
      </c>
      <c r="V1" s="218" t="s">
        <v>6</v>
      </c>
      <c r="W1" s="219" t="s">
        <v>7</v>
      </c>
      <c r="X1" s="290" t="s">
        <v>1</v>
      </c>
      <c r="Y1" s="290" t="s">
        <v>2</v>
      </c>
      <c r="Z1" s="290" t="s">
        <v>3</v>
      </c>
      <c r="AA1" s="290" t="s">
        <v>4</v>
      </c>
      <c r="AB1" s="319" t="s">
        <v>5</v>
      </c>
      <c r="AC1" s="282" t="s">
        <v>6</v>
      </c>
      <c r="AD1" s="162" t="s">
        <v>7</v>
      </c>
      <c r="AE1" s="290" t="s">
        <v>1</v>
      </c>
      <c r="AF1" s="290" t="s">
        <v>2</v>
      </c>
      <c r="AG1" s="290" t="s">
        <v>3</v>
      </c>
      <c r="AH1" s="290" t="s">
        <v>4</v>
      </c>
      <c r="AI1" s="345"/>
    </row>
    <row r="2" spans="1:41" ht="15.6" thickTop="1" thickBot="1">
      <c r="A2" s="355"/>
      <c r="B2" s="355"/>
      <c r="C2" s="355"/>
      <c r="D2" s="163">
        <v>1</v>
      </c>
      <c r="E2" s="220">
        <v>2</v>
      </c>
      <c r="F2" s="221">
        <v>3</v>
      </c>
      <c r="G2" s="163">
        <v>4</v>
      </c>
      <c r="H2" s="164">
        <v>5</v>
      </c>
      <c r="I2" s="322">
        <v>6</v>
      </c>
      <c r="J2" s="264">
        <v>7</v>
      </c>
      <c r="K2" s="264">
        <v>8</v>
      </c>
      <c r="L2" s="222">
        <v>9</v>
      </c>
      <c r="M2" s="220">
        <v>10</v>
      </c>
      <c r="N2" s="220">
        <v>11</v>
      </c>
      <c r="O2" s="221">
        <v>12</v>
      </c>
      <c r="P2" s="163">
        <v>13</v>
      </c>
      <c r="Q2" s="164">
        <v>14</v>
      </c>
      <c r="R2" s="222">
        <v>15</v>
      </c>
      <c r="S2" s="220">
        <v>16</v>
      </c>
      <c r="T2" s="220">
        <v>17</v>
      </c>
      <c r="U2" s="220">
        <v>18</v>
      </c>
      <c r="V2" s="221">
        <v>19</v>
      </c>
      <c r="W2" s="163">
        <v>20</v>
      </c>
      <c r="X2" s="164">
        <v>21</v>
      </c>
      <c r="Y2" s="222">
        <v>22</v>
      </c>
      <c r="Z2" s="220">
        <v>23</v>
      </c>
      <c r="AA2" s="221">
        <v>24</v>
      </c>
      <c r="AB2" s="264">
        <v>25</v>
      </c>
      <c r="AC2" s="222">
        <v>26</v>
      </c>
      <c r="AD2" s="163">
        <v>27</v>
      </c>
      <c r="AE2" s="164">
        <v>28</v>
      </c>
      <c r="AF2" s="222">
        <v>29</v>
      </c>
      <c r="AG2" s="220">
        <v>30</v>
      </c>
      <c r="AH2" s="223">
        <v>31</v>
      </c>
      <c r="AI2" s="345"/>
      <c r="AJ2" s="113" t="s">
        <v>2</v>
      </c>
      <c r="AK2" s="75" t="s">
        <v>8</v>
      </c>
      <c r="AL2" s="73" t="s">
        <v>9</v>
      </c>
      <c r="AM2" s="70" t="s">
        <v>7</v>
      </c>
      <c r="AN2" s="114" t="s">
        <v>10</v>
      </c>
      <c r="AO2" s="155" t="s">
        <v>5</v>
      </c>
    </row>
    <row r="3" spans="1:41" ht="15.6" thickTop="1" thickBot="1">
      <c r="A3" s="357" t="s">
        <v>11</v>
      </c>
      <c r="B3" s="358"/>
      <c r="C3" s="157" t="s">
        <v>12</v>
      </c>
      <c r="D3" s="130" t="s">
        <v>15</v>
      </c>
      <c r="E3" s="130" t="s">
        <v>15</v>
      </c>
      <c r="F3" s="124" t="s">
        <v>13</v>
      </c>
      <c r="G3" s="127" t="s">
        <v>16</v>
      </c>
      <c r="H3" s="291" t="s">
        <v>1</v>
      </c>
      <c r="I3" s="305" t="s">
        <v>1</v>
      </c>
      <c r="J3" s="320" t="s">
        <v>2</v>
      </c>
      <c r="K3" s="320" t="s">
        <v>2</v>
      </c>
      <c r="L3" s="189" t="s">
        <v>2</v>
      </c>
      <c r="M3" s="183" t="s">
        <v>2</v>
      </c>
      <c r="N3" s="193" t="s">
        <v>2</v>
      </c>
      <c r="O3" s="130" t="s">
        <v>16</v>
      </c>
      <c r="P3" s="131" t="s">
        <v>16</v>
      </c>
      <c r="Q3" s="130" t="s">
        <v>16</v>
      </c>
      <c r="R3" s="130" t="s">
        <v>13</v>
      </c>
      <c r="S3" s="130" t="s">
        <v>14</v>
      </c>
      <c r="T3" s="124" t="s">
        <v>14</v>
      </c>
      <c r="U3" s="124" t="s">
        <v>14</v>
      </c>
      <c r="V3" s="166" t="s">
        <v>1</v>
      </c>
      <c r="W3" s="269" t="s">
        <v>1</v>
      </c>
      <c r="X3" s="168" t="s">
        <v>2</v>
      </c>
      <c r="Y3" s="169" t="s">
        <v>2</v>
      </c>
      <c r="Z3" s="169" t="s">
        <v>1</v>
      </c>
      <c r="AA3" s="194" t="s">
        <v>1</v>
      </c>
      <c r="AB3" s="340" t="s">
        <v>1</v>
      </c>
      <c r="AC3" s="268" t="s">
        <v>14</v>
      </c>
      <c r="AD3" s="131" t="s">
        <v>14</v>
      </c>
      <c r="AE3" s="130" t="s">
        <v>15</v>
      </c>
      <c r="AF3" s="130" t="s">
        <v>15</v>
      </c>
      <c r="AG3" s="130" t="s">
        <v>15</v>
      </c>
      <c r="AH3" s="124" t="s">
        <v>13</v>
      </c>
      <c r="AI3" s="345"/>
      <c r="AJ3">
        <f>COUNTIFS(D$3:AH$3,"M")+COUNTIFS(D$3:AH$3,"MG")</f>
        <v>12</v>
      </c>
      <c r="AK3">
        <f>COUNTIFS(D$3:AI$3,"T")+COUNTIFS(D$3:AI$3,"TG")</f>
        <v>5</v>
      </c>
      <c r="AL3">
        <f>COUNTIFS(D$3:AH$3,"N")+COUNTIFS(D$3:AH$3,"NG")</f>
        <v>0</v>
      </c>
      <c r="AM3">
        <f>COUNTIFS(D$3:AH$3,"D")+COUNTIFS(D$3:AH$3,"DG")</f>
        <v>4</v>
      </c>
      <c r="AN3">
        <f>SUM(AJ3:AM3)</f>
        <v>21</v>
      </c>
      <c r="AO3">
        <f>COUNTIFS(F$3:AJ$3,"V")</f>
        <v>0</v>
      </c>
    </row>
    <row r="4" spans="1:41" ht="15.6" thickTop="1" thickBot="1">
      <c r="A4" s="359" t="s">
        <v>17</v>
      </c>
      <c r="B4" s="360"/>
      <c r="C4" s="9" t="s">
        <v>18</v>
      </c>
      <c r="D4" s="193" t="s">
        <v>2</v>
      </c>
      <c r="E4" s="183" t="s">
        <v>2</v>
      </c>
      <c r="F4" s="183" t="s">
        <v>2</v>
      </c>
      <c r="G4" s="184" t="s">
        <v>2</v>
      </c>
      <c r="H4" s="124" t="s">
        <v>16</v>
      </c>
      <c r="I4" s="306" t="s">
        <v>16</v>
      </c>
      <c r="J4" s="266" t="s">
        <v>16</v>
      </c>
      <c r="K4" s="266" t="s">
        <v>13</v>
      </c>
      <c r="L4" s="268" t="s">
        <v>14</v>
      </c>
      <c r="M4" s="124" t="s">
        <v>14</v>
      </c>
      <c r="N4" s="124" t="s">
        <v>14</v>
      </c>
      <c r="O4" s="128" t="s">
        <v>1</v>
      </c>
      <c r="P4" s="178" t="s">
        <v>1</v>
      </c>
      <c r="Q4" s="132" t="s">
        <v>2</v>
      </c>
      <c r="R4" s="177" t="s">
        <v>2</v>
      </c>
      <c r="S4" s="129" t="s">
        <v>1</v>
      </c>
      <c r="T4" s="129" t="s">
        <v>1</v>
      </c>
      <c r="U4" s="129" t="s">
        <v>1</v>
      </c>
      <c r="V4" s="124" t="s">
        <v>14</v>
      </c>
      <c r="W4" s="124" t="s">
        <v>14</v>
      </c>
      <c r="X4" s="130" t="s">
        <v>15</v>
      </c>
      <c r="Y4" s="130" t="s">
        <v>15</v>
      </c>
      <c r="Z4" s="130" t="s">
        <v>15</v>
      </c>
      <c r="AA4" s="127" t="s">
        <v>13</v>
      </c>
      <c r="AB4" s="266" t="s">
        <v>16</v>
      </c>
      <c r="AC4" s="336" t="s">
        <v>1</v>
      </c>
      <c r="AD4" s="188" t="s">
        <v>1</v>
      </c>
      <c r="AE4" s="189" t="s">
        <v>2</v>
      </c>
      <c r="AF4" s="193" t="s">
        <v>2</v>
      </c>
      <c r="AG4" s="183" t="s">
        <v>2</v>
      </c>
      <c r="AH4" s="183" t="s">
        <v>2</v>
      </c>
      <c r="AI4" s="345"/>
      <c r="AJ4">
        <f>COUNTIFS(D$4:AH$4,"M")+COUNTIFS(D$4:AH$4,"MG")</f>
        <v>15</v>
      </c>
      <c r="AK4">
        <f>COUNTIFS(D$4:AI$4,"T")+COUNTIFS(D$4:AI$4,"TG")</f>
        <v>3</v>
      </c>
      <c r="AL4">
        <f>COUNTIFS(F$4:AG$4,"N")+COUNTIFS(F$4:AG$4,"NG")</f>
        <v>0</v>
      </c>
      <c r="AM4">
        <f>COUNTIFS(D$4:AH$4,"D")+COUNTIFS(D$4:AH$4,"DG")</f>
        <v>4</v>
      </c>
      <c r="AN4">
        <f t="shared" ref="AN4:AN10" si="0">SUM(AJ4:AM4)</f>
        <v>22</v>
      </c>
      <c r="AO4">
        <f>COUNTIFS(F$4:AJ$4,"V")</f>
        <v>0</v>
      </c>
    </row>
    <row r="5" spans="1:41" ht="15.6" thickTop="1" thickBot="1">
      <c r="A5" s="359" t="s">
        <v>19</v>
      </c>
      <c r="B5" s="360"/>
      <c r="C5" s="9" t="s">
        <v>20</v>
      </c>
      <c r="D5" s="135" t="s">
        <v>1</v>
      </c>
      <c r="E5" s="135" t="s">
        <v>2</v>
      </c>
      <c r="F5" s="135" t="s">
        <v>2</v>
      </c>
      <c r="G5" s="136" t="s">
        <v>2</v>
      </c>
      <c r="H5" s="291" t="s">
        <v>1</v>
      </c>
      <c r="I5" s="307" t="s">
        <v>1</v>
      </c>
      <c r="J5" s="320" t="s">
        <v>1</v>
      </c>
      <c r="K5" s="320" t="s">
        <v>1</v>
      </c>
      <c r="L5" s="132" t="s">
        <v>1</v>
      </c>
      <c r="M5" s="135" t="s">
        <v>1</v>
      </c>
      <c r="N5" s="136" t="s">
        <v>1</v>
      </c>
      <c r="O5" s="187" t="s">
        <v>2</v>
      </c>
      <c r="P5" s="188" t="s">
        <v>2</v>
      </c>
      <c r="Q5" s="181" t="s">
        <v>8</v>
      </c>
      <c r="R5" s="182" t="s">
        <v>8</v>
      </c>
      <c r="S5" s="182" t="s">
        <v>8</v>
      </c>
      <c r="T5" s="129" t="s">
        <v>1</v>
      </c>
      <c r="U5" s="224" t="s">
        <v>7</v>
      </c>
      <c r="V5" s="166" t="s">
        <v>1</v>
      </c>
      <c r="W5" s="269" t="s">
        <v>1</v>
      </c>
      <c r="X5" s="135" t="s">
        <v>2</v>
      </c>
      <c r="Y5" s="135" t="s">
        <v>2</v>
      </c>
      <c r="Z5" s="135" t="s">
        <v>2</v>
      </c>
      <c r="AA5" s="136" t="s">
        <v>2</v>
      </c>
      <c r="AB5" s="320" t="s">
        <v>2</v>
      </c>
      <c r="AC5" s="180" t="s">
        <v>7</v>
      </c>
      <c r="AD5" s="179" t="s">
        <v>7</v>
      </c>
      <c r="AE5" s="180" t="s">
        <v>7</v>
      </c>
      <c r="AF5" s="135" t="s">
        <v>1</v>
      </c>
      <c r="AG5" s="135" t="s">
        <v>2</v>
      </c>
      <c r="AH5" s="135" t="s">
        <v>2</v>
      </c>
      <c r="AI5" s="345"/>
      <c r="AJ5">
        <f>COUNTIFS(D$5:AH$5,"M")+COUNTIFS(D$5:AH$5,"MG")</f>
        <v>12</v>
      </c>
      <c r="AK5">
        <f>COUNTIFS(D$5:AI$5,"T")+COUNTIFS(E$5:AI$5,"TG")</f>
        <v>3</v>
      </c>
      <c r="AL5">
        <f>COUNTIFS(F$5:AG$5,"N")+COUNTIFS(F$5:AG$5,"NG")</f>
        <v>0</v>
      </c>
      <c r="AM5">
        <f>COUNTIFS(D$5:AH$5,"D")+COUNTIFS(D$5:AH$5,"DG")</f>
        <v>4</v>
      </c>
      <c r="AN5">
        <f t="shared" si="0"/>
        <v>19</v>
      </c>
      <c r="AO5">
        <f>COUNTIFS(F$5:AJ$5,"V")</f>
        <v>0</v>
      </c>
    </row>
    <row r="6" spans="1:41" ht="15.6" thickTop="1" thickBot="1">
      <c r="A6" s="116"/>
      <c r="B6" s="156" t="s">
        <v>21</v>
      </c>
      <c r="C6" s="158" t="s">
        <v>22</v>
      </c>
      <c r="D6" s="183" t="s">
        <v>2</v>
      </c>
      <c r="E6" s="183" t="s">
        <v>1</v>
      </c>
      <c r="F6" s="183" t="s">
        <v>1</v>
      </c>
      <c r="G6" s="184" t="s">
        <v>1</v>
      </c>
      <c r="H6" s="291" t="s">
        <v>2</v>
      </c>
      <c r="I6" s="305" t="s">
        <v>2</v>
      </c>
      <c r="J6" s="321" t="s">
        <v>8</v>
      </c>
      <c r="K6" s="321" t="s">
        <v>8</v>
      </c>
      <c r="L6" s="190" t="s">
        <v>8</v>
      </c>
      <c r="M6" s="183" t="s">
        <v>1</v>
      </c>
      <c r="N6" s="192" t="s">
        <v>7</v>
      </c>
      <c r="O6" s="187" t="s">
        <v>1</v>
      </c>
      <c r="P6" s="188" t="s">
        <v>1</v>
      </c>
      <c r="Q6" s="189" t="s">
        <v>2</v>
      </c>
      <c r="R6" s="193" t="s">
        <v>2</v>
      </c>
      <c r="S6" s="183" t="s">
        <v>2</v>
      </c>
      <c r="T6" s="183" t="s">
        <v>2</v>
      </c>
      <c r="U6" s="193" t="s">
        <v>2</v>
      </c>
      <c r="V6" s="185" t="s">
        <v>7</v>
      </c>
      <c r="W6" s="186" t="s">
        <v>7</v>
      </c>
      <c r="X6" s="186" t="s">
        <v>7</v>
      </c>
      <c r="Y6" s="183" t="s">
        <v>1</v>
      </c>
      <c r="Z6" s="183" t="s">
        <v>2</v>
      </c>
      <c r="AA6" s="184" t="s">
        <v>2</v>
      </c>
      <c r="AB6" s="320" t="s">
        <v>1</v>
      </c>
      <c r="AC6" s="336" t="s">
        <v>1</v>
      </c>
      <c r="AD6" s="188" t="s">
        <v>1</v>
      </c>
      <c r="AE6" s="189" t="s">
        <v>2</v>
      </c>
      <c r="AF6" s="183" t="s">
        <v>2</v>
      </c>
      <c r="AG6" s="183" t="s">
        <v>1</v>
      </c>
      <c r="AH6" s="183" t="s">
        <v>1</v>
      </c>
      <c r="AI6" s="345"/>
      <c r="AJ6">
        <f>COUNTIFS(D$6:AH$6,"M")+COUNTIFS(D$6:AH$6,"MG")</f>
        <v>12</v>
      </c>
      <c r="AK6">
        <f>COUNTIFS(D$6:AI$6,"T")+COUNTIFS(D$6:AI$6,"TG")</f>
        <v>3</v>
      </c>
      <c r="AL6">
        <f>COUNTIFS(F$6:AG$6,"N")+COUNTIFS(F$6:AG$6,"NG")</f>
        <v>0</v>
      </c>
      <c r="AM6">
        <f>COUNTIFS(D$6:AH$6,"D")+COUNTIFS(D$6:AH$6,"DG")</f>
        <v>4</v>
      </c>
      <c r="AN6">
        <f t="shared" si="0"/>
        <v>19</v>
      </c>
      <c r="AO6">
        <f>COUNTIFS(F$6:AJ$6,"V")</f>
        <v>0</v>
      </c>
    </row>
    <row r="7" spans="1:41" ht="15.6" thickTop="1" thickBot="1">
      <c r="A7" s="361" t="s">
        <v>23</v>
      </c>
      <c r="B7" s="362"/>
      <c r="C7" s="157" t="s">
        <v>24</v>
      </c>
      <c r="D7" s="195" t="s">
        <v>1</v>
      </c>
      <c r="E7" s="173" t="s">
        <v>7</v>
      </c>
      <c r="F7" s="195" t="s">
        <v>8</v>
      </c>
      <c r="G7" s="172" t="s">
        <v>8</v>
      </c>
      <c r="H7" s="291" t="s">
        <v>8</v>
      </c>
      <c r="I7" s="308" t="s">
        <v>8</v>
      </c>
      <c r="J7" s="321" t="s">
        <v>1</v>
      </c>
      <c r="K7" s="327" t="s">
        <v>7</v>
      </c>
      <c r="L7" s="171" t="s">
        <v>9</v>
      </c>
      <c r="M7" s="195" t="s">
        <v>9</v>
      </c>
      <c r="N7" s="172" t="s">
        <v>9</v>
      </c>
      <c r="O7" s="166" t="s">
        <v>1</v>
      </c>
      <c r="P7" s="167" t="s">
        <v>1</v>
      </c>
      <c r="Q7" s="171" t="s">
        <v>9</v>
      </c>
      <c r="R7" s="196" t="s">
        <v>9</v>
      </c>
      <c r="S7" s="169" t="s">
        <v>9</v>
      </c>
      <c r="T7" s="169" t="s">
        <v>9</v>
      </c>
      <c r="U7" s="226" t="s">
        <v>9</v>
      </c>
      <c r="V7" s="341" t="s">
        <v>8</v>
      </c>
      <c r="W7" s="167" t="s">
        <v>1</v>
      </c>
      <c r="X7" s="171" t="s">
        <v>9</v>
      </c>
      <c r="Y7" s="195" t="s">
        <v>9</v>
      </c>
      <c r="Z7" s="195" t="s">
        <v>1</v>
      </c>
      <c r="AA7" s="335" t="s">
        <v>7</v>
      </c>
      <c r="AB7" s="321" t="s">
        <v>1</v>
      </c>
      <c r="AC7" s="337" t="s">
        <v>9</v>
      </c>
      <c r="AD7" s="167" t="s">
        <v>9</v>
      </c>
      <c r="AE7" s="171" t="s">
        <v>1</v>
      </c>
      <c r="AF7" s="195" t="s">
        <v>1</v>
      </c>
      <c r="AG7" s="173" t="s">
        <v>7</v>
      </c>
      <c r="AH7" s="195" t="s">
        <v>8</v>
      </c>
      <c r="AI7" s="345"/>
      <c r="AJ7">
        <f>COUNTIFS(D$7:AG$7,"M")+COUNTIFS(D$7:AG$7,"MG")</f>
        <v>0</v>
      </c>
      <c r="AK7">
        <f>COUNTIFS(D$7:AI$7,"T")+COUNTIFS(D$7:AI$7,"TG")</f>
        <v>6</v>
      </c>
      <c r="AL7">
        <f>COUNTIFS(D$7:AH$7,"N")+COUNTIFS(D$7:AH$7,"NG")</f>
        <v>12</v>
      </c>
      <c r="AM7">
        <f>COUNTIFS(D$7:AH$7,"D")+COUNTIFS(D$7:AH$7,"DG")</f>
        <v>4</v>
      </c>
      <c r="AN7">
        <f t="shared" si="0"/>
        <v>22</v>
      </c>
      <c r="AO7">
        <f>COUNTIFS(F$7:AJ$7,"V")</f>
        <v>0</v>
      </c>
    </row>
    <row r="8" spans="1:41" ht="15.6" thickTop="1" thickBot="1">
      <c r="A8" s="346" t="s">
        <v>25</v>
      </c>
      <c r="B8" s="347"/>
      <c r="C8" s="9" t="s">
        <v>26</v>
      </c>
      <c r="D8" s="175" t="s">
        <v>7</v>
      </c>
      <c r="E8" s="137" t="s">
        <v>9</v>
      </c>
      <c r="F8" s="137" t="s">
        <v>9</v>
      </c>
      <c r="G8" s="199" t="s">
        <v>9</v>
      </c>
      <c r="H8" s="291" t="s">
        <v>1</v>
      </c>
      <c r="I8" s="307" t="s">
        <v>1</v>
      </c>
      <c r="J8" s="320" t="s">
        <v>9</v>
      </c>
      <c r="K8" s="320" t="s">
        <v>9</v>
      </c>
      <c r="L8" s="132" t="s">
        <v>9</v>
      </c>
      <c r="M8" s="135" t="s">
        <v>9</v>
      </c>
      <c r="N8" s="136" t="s">
        <v>9</v>
      </c>
      <c r="O8" s="128" t="s">
        <v>1</v>
      </c>
      <c r="P8" s="178" t="s">
        <v>1</v>
      </c>
      <c r="Q8" s="181" t="s">
        <v>9</v>
      </c>
      <c r="R8" s="182" t="s">
        <v>9</v>
      </c>
      <c r="S8" s="197" t="s">
        <v>1</v>
      </c>
      <c r="T8" s="198" t="s">
        <v>7</v>
      </c>
      <c r="U8" s="182" t="s">
        <v>1</v>
      </c>
      <c r="V8" s="128" t="s">
        <v>9</v>
      </c>
      <c r="W8" s="178" t="s">
        <v>9</v>
      </c>
      <c r="X8" s="137" t="s">
        <v>1</v>
      </c>
      <c r="Y8" s="137" t="s">
        <v>1</v>
      </c>
      <c r="Z8" s="175" t="s">
        <v>7</v>
      </c>
      <c r="AA8" s="199" t="s">
        <v>8</v>
      </c>
      <c r="AB8" s="321" t="s">
        <v>8</v>
      </c>
      <c r="AC8" s="338" t="s">
        <v>8</v>
      </c>
      <c r="AD8" s="178" t="s">
        <v>8</v>
      </c>
      <c r="AE8" s="181" t="s">
        <v>1</v>
      </c>
      <c r="AF8" s="175" t="s">
        <v>7</v>
      </c>
      <c r="AG8" s="137" t="s">
        <v>9</v>
      </c>
      <c r="AH8" s="137" t="s">
        <v>9</v>
      </c>
      <c r="AI8" s="345"/>
      <c r="AJ8">
        <f>COUNTIFS(D$7:AG$7,"M")+COUNTIFS(D$7:AG$7,"MG")</f>
        <v>0</v>
      </c>
      <c r="AK8">
        <f>COUNTIFS(D$8:AI$8,"T")+COUNTIFS(D$8:AI$8,"TG")</f>
        <v>4</v>
      </c>
      <c r="AL8">
        <f>COUNTIFS(D$8:AH$8,"N")+COUNTIFS(D$8:AH$8,"NG")</f>
        <v>14</v>
      </c>
      <c r="AM8">
        <f>COUNTIFS(D$8:AH$8,"D")+COUNTIFS(D$8:AH$8,"DG")</f>
        <v>4</v>
      </c>
      <c r="AN8">
        <f t="shared" si="0"/>
        <v>22</v>
      </c>
      <c r="AO8">
        <f>COUNTIFS(F$8:AJ$8,"V")</f>
        <v>0</v>
      </c>
    </row>
    <row r="9" spans="1:41" ht="15.6" thickTop="1" thickBot="1">
      <c r="A9" s="346" t="s">
        <v>27</v>
      </c>
      <c r="B9" s="347"/>
      <c r="C9" s="9" t="s">
        <v>28</v>
      </c>
      <c r="D9" s="135" t="s">
        <v>9</v>
      </c>
      <c r="E9" s="135" t="s">
        <v>9</v>
      </c>
      <c r="F9" s="135" t="s">
        <v>9</v>
      </c>
      <c r="G9" s="136" t="s">
        <v>9</v>
      </c>
      <c r="H9" s="291" t="s">
        <v>1</v>
      </c>
      <c r="I9" s="307" t="s">
        <v>1</v>
      </c>
      <c r="J9" s="321" t="s">
        <v>1</v>
      </c>
      <c r="K9" s="321" t="s">
        <v>1</v>
      </c>
      <c r="L9" s="181" t="s">
        <v>1</v>
      </c>
      <c r="M9" s="175" t="s">
        <v>7</v>
      </c>
      <c r="N9" s="199" t="s">
        <v>1</v>
      </c>
      <c r="O9" s="128" t="s">
        <v>9</v>
      </c>
      <c r="P9" s="178" t="s">
        <v>9</v>
      </c>
      <c r="Q9" s="182" t="s">
        <v>1</v>
      </c>
      <c r="R9" s="182" t="s">
        <v>1</v>
      </c>
      <c r="S9" s="198" t="s">
        <v>7</v>
      </c>
      <c r="T9" s="137" t="s">
        <v>8</v>
      </c>
      <c r="U9" s="182" t="s">
        <v>8</v>
      </c>
      <c r="V9" s="342" t="s">
        <v>1</v>
      </c>
      <c r="W9" s="178" t="s">
        <v>8</v>
      </c>
      <c r="X9" s="181" t="s">
        <v>1</v>
      </c>
      <c r="Y9" s="175" t="s">
        <v>7</v>
      </c>
      <c r="Z9" s="137" t="s">
        <v>9</v>
      </c>
      <c r="AA9" s="199" t="s">
        <v>9</v>
      </c>
      <c r="AB9" s="321" t="s">
        <v>9</v>
      </c>
      <c r="AC9" s="338" t="s">
        <v>1</v>
      </c>
      <c r="AD9" s="178" t="s">
        <v>1</v>
      </c>
      <c r="AE9" s="132" t="s">
        <v>9</v>
      </c>
      <c r="AF9" s="135" t="s">
        <v>9</v>
      </c>
      <c r="AG9" s="135" t="s">
        <v>9</v>
      </c>
      <c r="AH9" s="135" t="s">
        <v>9</v>
      </c>
      <c r="AI9" s="345"/>
      <c r="AJ9">
        <f>COUNTIFS(D$7:AG$7,"M")+COUNTIFS(D$7:AG$7,"MG")</f>
        <v>0</v>
      </c>
      <c r="AK9">
        <f>COUNTIFS(D$9:AI$9,"T")+COUNTIFS(D$9:AI$9,"TG")</f>
        <v>3</v>
      </c>
      <c r="AL9">
        <f>COUNTIFS(D$9:AH$9,"N")+COUNTIFS(D$9:AH$9,"NG")</f>
        <v>13</v>
      </c>
      <c r="AM9">
        <f>COUNTIFS(D$9:AH$9,"D")+COUNTIFS(D$9:AH$9,"DG")</f>
        <v>3</v>
      </c>
      <c r="AN9">
        <f t="shared" si="0"/>
        <v>19</v>
      </c>
      <c r="AO9">
        <f>COUNTIFS(F$9:AJ$9,"V")</f>
        <v>0</v>
      </c>
    </row>
    <row r="10" spans="1:41" ht="15.6" thickTop="1" thickBot="1">
      <c r="A10" s="348" t="s">
        <v>29</v>
      </c>
      <c r="B10" s="349"/>
      <c r="C10" s="9" t="s">
        <v>30</v>
      </c>
      <c r="D10" s="200" t="s">
        <v>9</v>
      </c>
      <c r="E10" s="200" t="s">
        <v>1</v>
      </c>
      <c r="F10" s="207" t="s">
        <v>7</v>
      </c>
      <c r="G10" s="201" t="s">
        <v>1</v>
      </c>
      <c r="H10" s="291" t="s">
        <v>9</v>
      </c>
      <c r="I10" s="309" t="s">
        <v>9</v>
      </c>
      <c r="J10" s="321" t="s">
        <v>1</v>
      </c>
      <c r="K10" s="321" t="s">
        <v>1</v>
      </c>
      <c r="L10" s="334" t="s">
        <v>7</v>
      </c>
      <c r="M10" s="200" t="s">
        <v>8</v>
      </c>
      <c r="N10" s="201" t="s">
        <v>8</v>
      </c>
      <c r="O10" s="138" t="s">
        <v>8</v>
      </c>
      <c r="P10" s="202" t="s">
        <v>8</v>
      </c>
      <c r="Q10" s="206" t="s">
        <v>1</v>
      </c>
      <c r="R10" s="208" t="s">
        <v>7</v>
      </c>
      <c r="S10" s="200" t="s">
        <v>9</v>
      </c>
      <c r="T10" s="200" t="s">
        <v>9</v>
      </c>
      <c r="U10" s="228" t="s">
        <v>9</v>
      </c>
      <c r="V10" s="138" t="s">
        <v>1</v>
      </c>
      <c r="W10" s="202" t="s">
        <v>1</v>
      </c>
      <c r="X10" s="203" t="s">
        <v>9</v>
      </c>
      <c r="Y10" s="204" t="s">
        <v>9</v>
      </c>
      <c r="Z10" s="204" t="s">
        <v>9</v>
      </c>
      <c r="AA10" s="205" t="s">
        <v>9</v>
      </c>
      <c r="AB10" s="320" t="s">
        <v>1</v>
      </c>
      <c r="AC10" s="339" t="s">
        <v>1</v>
      </c>
      <c r="AD10" s="202" t="s">
        <v>1</v>
      </c>
      <c r="AE10" s="206" t="s">
        <v>9</v>
      </c>
      <c r="AF10" s="200" t="s">
        <v>9</v>
      </c>
      <c r="AG10" s="200" t="s">
        <v>1</v>
      </c>
      <c r="AH10" s="207" t="s">
        <v>7</v>
      </c>
      <c r="AI10" s="345"/>
      <c r="AJ10">
        <f>COUNTIFS(D$7:AG$7,"M")+COUNTIFS(D$7:AG$7,"MG")</f>
        <v>0</v>
      </c>
      <c r="AK10">
        <f>COUNTIFS(D$10:AI$10,"T")+COUNTIFS(D$10:AI$10,"TG")</f>
        <v>4</v>
      </c>
      <c r="AL10">
        <f>COUNTIFS(D$10:AH$10,"N")+COUNTIFS(D$10:AH$10,"NG")</f>
        <v>12</v>
      </c>
      <c r="AM10">
        <f>COUNTIFS(D$10:AH$10,"D")+COUNTIFS(D$10:AH$10,"DG")</f>
        <v>4</v>
      </c>
      <c r="AN10">
        <f t="shared" si="0"/>
        <v>20</v>
      </c>
      <c r="AO10">
        <f>COUNTIFS(F$10:AJ$10,"V")</f>
        <v>0</v>
      </c>
    </row>
    <row r="11" spans="1:41">
      <c r="A11" s="353"/>
      <c r="B11" s="353"/>
      <c r="C11" s="345"/>
      <c r="D11" s="345"/>
      <c r="E11" s="345"/>
      <c r="F11" s="345"/>
      <c r="G11" s="345"/>
      <c r="H11" s="345"/>
      <c r="I11" s="345"/>
      <c r="J11" s="34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W11" s="345"/>
      <c r="X11" s="345"/>
      <c r="Y11" s="345"/>
      <c r="Z11" s="345"/>
      <c r="AA11" s="345"/>
      <c r="AB11" s="345"/>
      <c r="AC11" s="345"/>
      <c r="AD11" s="345"/>
      <c r="AE11" s="345"/>
      <c r="AF11" s="345"/>
      <c r="AG11" s="345"/>
      <c r="AH11" s="345"/>
      <c r="AI11" s="345"/>
    </row>
    <row r="12" spans="1:41" ht="15" thickBot="1">
      <c r="A12" s="345"/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345"/>
      <c r="M12" s="345"/>
      <c r="N12" s="345"/>
      <c r="O12" s="345"/>
      <c r="P12" s="345"/>
      <c r="Q12" s="345"/>
      <c r="R12" s="345"/>
      <c r="S12" s="345"/>
      <c r="T12" s="345"/>
      <c r="U12" s="345"/>
      <c r="V12" s="345"/>
      <c r="W12" s="345"/>
      <c r="X12" s="345"/>
      <c r="Y12" s="345"/>
      <c r="Z12" s="345"/>
      <c r="AA12" s="345"/>
      <c r="AB12" s="345"/>
      <c r="AC12" s="345"/>
      <c r="AD12" s="345"/>
      <c r="AE12" s="345"/>
      <c r="AF12" s="345"/>
      <c r="AG12" s="345"/>
      <c r="AH12" s="345"/>
      <c r="AI12" s="345"/>
    </row>
    <row r="13" spans="1:41" ht="15.6" thickTop="1" thickBot="1">
      <c r="A13" s="345"/>
      <c r="B13" s="345"/>
      <c r="C13" s="39" t="s">
        <v>31</v>
      </c>
      <c r="D13" s="270">
        <f>SUM(D14:D16)</f>
        <v>5</v>
      </c>
      <c r="E13" s="270">
        <f t="shared" ref="E13:AG13" si="1">SUM(E14:E16)</f>
        <v>5</v>
      </c>
      <c r="F13" s="270">
        <f t="shared" si="1"/>
        <v>5</v>
      </c>
      <c r="G13" s="296">
        <f t="shared" si="1"/>
        <v>5</v>
      </c>
      <c r="H13" s="255">
        <f t="shared" si="1"/>
        <v>3</v>
      </c>
      <c r="I13" s="246">
        <f t="shared" si="1"/>
        <v>3</v>
      </c>
      <c r="J13" s="312">
        <f t="shared" si="1"/>
        <v>3</v>
      </c>
      <c r="K13" s="312">
        <f t="shared" si="1"/>
        <v>3</v>
      </c>
      <c r="L13" s="295">
        <f t="shared" si="1"/>
        <v>5</v>
      </c>
      <c r="M13" s="270">
        <f t="shared" si="1"/>
        <v>5</v>
      </c>
      <c r="N13" s="296">
        <f t="shared" si="1"/>
        <v>5</v>
      </c>
      <c r="O13" s="255">
        <f t="shared" si="1"/>
        <v>3</v>
      </c>
      <c r="P13" s="241">
        <f t="shared" si="1"/>
        <v>3</v>
      </c>
      <c r="Q13" s="295">
        <f t="shared" si="1"/>
        <v>5</v>
      </c>
      <c r="R13" s="270">
        <f t="shared" si="1"/>
        <v>5</v>
      </c>
      <c r="S13" s="270">
        <f t="shared" si="1"/>
        <v>5</v>
      </c>
      <c r="T13" s="270">
        <f t="shared" si="1"/>
        <v>5</v>
      </c>
      <c r="U13" s="296">
        <f t="shared" si="1"/>
        <v>5</v>
      </c>
      <c r="V13" s="255">
        <f t="shared" si="1"/>
        <v>3</v>
      </c>
      <c r="W13" s="241">
        <f t="shared" si="1"/>
        <v>3</v>
      </c>
      <c r="X13" s="295">
        <f>SUM(X14:X16)</f>
        <v>5</v>
      </c>
      <c r="Y13" s="270">
        <f t="shared" si="1"/>
        <v>5</v>
      </c>
      <c r="Z13" s="270">
        <f t="shared" si="1"/>
        <v>5</v>
      </c>
      <c r="AA13" s="296">
        <f t="shared" si="1"/>
        <v>5</v>
      </c>
      <c r="AB13" s="312">
        <f t="shared" si="1"/>
        <v>3</v>
      </c>
      <c r="AC13" s="249">
        <f t="shared" si="1"/>
        <v>3</v>
      </c>
      <c r="AD13" s="241">
        <f t="shared" si="1"/>
        <v>3</v>
      </c>
      <c r="AE13" s="295">
        <f t="shared" si="1"/>
        <v>5</v>
      </c>
      <c r="AF13" s="270">
        <f t="shared" si="1"/>
        <v>5</v>
      </c>
      <c r="AG13" s="270">
        <f t="shared" si="1"/>
        <v>5</v>
      </c>
      <c r="AH13" s="270">
        <f>SUM(AH14:AH16)</f>
        <v>5</v>
      </c>
      <c r="AI13" s="345"/>
    </row>
    <row r="14" spans="1:41" ht="15.6" thickTop="1" thickBot="1">
      <c r="A14" s="345"/>
      <c r="B14" s="345"/>
      <c r="C14" s="39" t="s">
        <v>2</v>
      </c>
      <c r="D14" s="237">
        <f>COUNTIFS(D$3:D$10,"M")+COUNTIFS(D$3:D$10,"MG")</f>
        <v>2</v>
      </c>
      <c r="E14" s="237">
        <f>COUNTIFS(E$3:E$10,"M")+COUNTIFS(E$3:E$10,"MG")</f>
        <v>2</v>
      </c>
      <c r="F14" s="237">
        <f t="shared" ref="F14:AG14" si="2">COUNTIFS(F$3:F$10,"M")+COUNTIFS(F$3:F$10,"MG")</f>
        <v>2</v>
      </c>
      <c r="G14" s="247">
        <f t="shared" si="2"/>
        <v>2</v>
      </c>
      <c r="H14" s="256">
        <f t="shared" si="2"/>
        <v>1</v>
      </c>
      <c r="I14" s="247">
        <f t="shared" si="2"/>
        <v>1</v>
      </c>
      <c r="J14" s="313">
        <f t="shared" si="2"/>
        <v>1</v>
      </c>
      <c r="K14" s="313">
        <f t="shared" si="2"/>
        <v>1</v>
      </c>
      <c r="L14" s="250">
        <f t="shared" si="2"/>
        <v>2</v>
      </c>
      <c r="M14" s="237">
        <f t="shared" si="2"/>
        <v>2</v>
      </c>
      <c r="N14" s="247">
        <f t="shared" si="2"/>
        <v>2</v>
      </c>
      <c r="O14" s="256">
        <f t="shared" si="2"/>
        <v>1</v>
      </c>
      <c r="P14" s="242">
        <f t="shared" si="2"/>
        <v>1</v>
      </c>
      <c r="Q14" s="250">
        <f t="shared" si="2"/>
        <v>2</v>
      </c>
      <c r="R14" s="237">
        <f t="shared" si="2"/>
        <v>2</v>
      </c>
      <c r="S14" s="237">
        <f t="shared" si="2"/>
        <v>2</v>
      </c>
      <c r="T14" s="237">
        <f t="shared" si="2"/>
        <v>2</v>
      </c>
      <c r="U14" s="247">
        <f t="shared" si="2"/>
        <v>2</v>
      </c>
      <c r="V14" s="256">
        <f t="shared" si="2"/>
        <v>1</v>
      </c>
      <c r="W14" s="242">
        <f t="shared" si="2"/>
        <v>1</v>
      </c>
      <c r="X14" s="250">
        <f t="shared" si="2"/>
        <v>2</v>
      </c>
      <c r="Y14" s="237">
        <f t="shared" si="2"/>
        <v>2</v>
      </c>
      <c r="Z14" s="237">
        <f t="shared" si="2"/>
        <v>2</v>
      </c>
      <c r="AA14" s="247">
        <f t="shared" si="2"/>
        <v>2</v>
      </c>
      <c r="AB14" s="313">
        <f t="shared" si="2"/>
        <v>1</v>
      </c>
      <c r="AC14" s="250">
        <f t="shared" si="2"/>
        <v>1</v>
      </c>
      <c r="AD14" s="242">
        <f t="shared" si="2"/>
        <v>1</v>
      </c>
      <c r="AE14" s="250">
        <f t="shared" si="2"/>
        <v>2</v>
      </c>
      <c r="AF14" s="237">
        <f t="shared" si="2"/>
        <v>2</v>
      </c>
      <c r="AG14" s="237">
        <f t="shared" si="2"/>
        <v>2</v>
      </c>
      <c r="AH14" s="237">
        <f>COUNTIFS(AH$3:AH$10,"M")+COUNTIFS(AH$3:AH$10,"MG")</f>
        <v>2</v>
      </c>
      <c r="AI14" s="345"/>
    </row>
    <row r="15" spans="1:41" ht="15.6" thickTop="1" thickBot="1">
      <c r="A15" s="345"/>
      <c r="B15" s="345"/>
      <c r="C15" s="39" t="s">
        <v>8</v>
      </c>
      <c r="D15" s="238">
        <f>COUNTIFS(D$3:D$10,"T")+COUNTIFS(D$3:D$10,"TG")</f>
        <v>1</v>
      </c>
      <c r="E15" s="238">
        <f t="shared" ref="E15:AG15" si="3">COUNTIFS(E$3:E$10,"T")+COUNTIFS(E$3:E$10,"TG")</f>
        <v>1</v>
      </c>
      <c r="F15" s="238">
        <f t="shared" si="3"/>
        <v>1</v>
      </c>
      <c r="G15" s="43">
        <f t="shared" si="3"/>
        <v>1</v>
      </c>
      <c r="H15" s="257">
        <f t="shared" si="3"/>
        <v>1</v>
      </c>
      <c r="I15" s="43">
        <f t="shared" si="3"/>
        <v>1</v>
      </c>
      <c r="J15" s="314">
        <f t="shared" si="3"/>
        <v>1</v>
      </c>
      <c r="K15" s="314">
        <f t="shared" si="3"/>
        <v>1</v>
      </c>
      <c r="L15" s="251">
        <f t="shared" si="3"/>
        <v>1</v>
      </c>
      <c r="M15" s="238">
        <f t="shared" si="3"/>
        <v>1</v>
      </c>
      <c r="N15" s="43">
        <f t="shared" si="3"/>
        <v>1</v>
      </c>
      <c r="O15" s="257">
        <f t="shared" si="3"/>
        <v>1</v>
      </c>
      <c r="P15" s="91">
        <f t="shared" si="3"/>
        <v>1</v>
      </c>
      <c r="Q15" s="251">
        <f t="shared" si="3"/>
        <v>1</v>
      </c>
      <c r="R15" s="238">
        <f t="shared" si="3"/>
        <v>1</v>
      </c>
      <c r="S15" s="238">
        <f t="shared" si="3"/>
        <v>1</v>
      </c>
      <c r="T15" s="238">
        <f t="shared" si="3"/>
        <v>1</v>
      </c>
      <c r="U15" s="43">
        <f t="shared" si="3"/>
        <v>1</v>
      </c>
      <c r="V15" s="257">
        <f t="shared" si="3"/>
        <v>1</v>
      </c>
      <c r="W15" s="91">
        <f t="shared" si="3"/>
        <v>1</v>
      </c>
      <c r="X15" s="251">
        <f t="shared" si="3"/>
        <v>1</v>
      </c>
      <c r="Y15" s="238">
        <f t="shared" si="3"/>
        <v>1</v>
      </c>
      <c r="Z15" s="238">
        <f t="shared" si="3"/>
        <v>1</v>
      </c>
      <c r="AA15" s="43">
        <f t="shared" si="3"/>
        <v>1</v>
      </c>
      <c r="AB15" s="314">
        <f t="shared" si="3"/>
        <v>1</v>
      </c>
      <c r="AC15" s="251">
        <f t="shared" si="3"/>
        <v>1</v>
      </c>
      <c r="AD15" s="91">
        <f t="shared" si="3"/>
        <v>1</v>
      </c>
      <c r="AE15" s="251">
        <f t="shared" si="3"/>
        <v>1</v>
      </c>
      <c r="AF15" s="238">
        <f t="shared" si="3"/>
        <v>1</v>
      </c>
      <c r="AG15" s="238">
        <f t="shared" si="3"/>
        <v>1</v>
      </c>
      <c r="AH15" s="238">
        <f>COUNTIFS(AH$3:AH$10,"T")+COUNTIFS(AH$3:AH$10,"TG")</f>
        <v>1</v>
      </c>
      <c r="AI15" s="345"/>
    </row>
    <row r="16" spans="1:41" ht="15.6" thickTop="1" thickBot="1">
      <c r="A16" s="345"/>
      <c r="B16" s="345"/>
      <c r="C16" s="39" t="s">
        <v>9</v>
      </c>
      <c r="D16" s="150">
        <f>COUNTIFS(D$3:D$10,"N")+COUNTIFS(D$3:D$10,"NG")</f>
        <v>2</v>
      </c>
      <c r="E16" s="150">
        <f t="shared" ref="E16:AG16" si="4">COUNTIFS(E$3:E$10,"N")+COUNTIFS(E$3:E$10,"NG")</f>
        <v>2</v>
      </c>
      <c r="F16" s="150">
        <f t="shared" si="4"/>
        <v>2</v>
      </c>
      <c r="G16" s="44">
        <f t="shared" si="4"/>
        <v>2</v>
      </c>
      <c r="H16" s="66">
        <f t="shared" si="4"/>
        <v>1</v>
      </c>
      <c r="I16" s="44">
        <f t="shared" si="4"/>
        <v>1</v>
      </c>
      <c r="J16" s="315">
        <f t="shared" si="4"/>
        <v>1</v>
      </c>
      <c r="K16" s="315">
        <f t="shared" si="4"/>
        <v>1</v>
      </c>
      <c r="L16" s="252">
        <f t="shared" si="4"/>
        <v>2</v>
      </c>
      <c r="M16" s="150">
        <f t="shared" si="4"/>
        <v>2</v>
      </c>
      <c r="N16" s="44">
        <f t="shared" si="4"/>
        <v>2</v>
      </c>
      <c r="O16" s="66">
        <f t="shared" si="4"/>
        <v>1</v>
      </c>
      <c r="P16" s="93">
        <f t="shared" si="4"/>
        <v>1</v>
      </c>
      <c r="Q16" s="252">
        <f t="shared" si="4"/>
        <v>2</v>
      </c>
      <c r="R16" s="150">
        <f t="shared" si="4"/>
        <v>2</v>
      </c>
      <c r="S16" s="150">
        <f t="shared" si="4"/>
        <v>2</v>
      </c>
      <c r="T16" s="150">
        <f t="shared" si="4"/>
        <v>2</v>
      </c>
      <c r="U16" s="44">
        <f t="shared" si="4"/>
        <v>2</v>
      </c>
      <c r="V16" s="66">
        <f t="shared" si="4"/>
        <v>1</v>
      </c>
      <c r="W16" s="93">
        <f t="shared" si="4"/>
        <v>1</v>
      </c>
      <c r="X16" s="252">
        <f t="shared" si="4"/>
        <v>2</v>
      </c>
      <c r="Y16" s="150">
        <f t="shared" si="4"/>
        <v>2</v>
      </c>
      <c r="Z16" s="150">
        <f t="shared" si="4"/>
        <v>2</v>
      </c>
      <c r="AA16" s="44">
        <f t="shared" si="4"/>
        <v>2</v>
      </c>
      <c r="AB16" s="315">
        <f t="shared" si="4"/>
        <v>1</v>
      </c>
      <c r="AC16" s="252">
        <f t="shared" si="4"/>
        <v>1</v>
      </c>
      <c r="AD16" s="93">
        <f t="shared" si="4"/>
        <v>1</v>
      </c>
      <c r="AE16" s="252">
        <f t="shared" si="4"/>
        <v>2</v>
      </c>
      <c r="AF16" s="150">
        <f t="shared" si="4"/>
        <v>2</v>
      </c>
      <c r="AG16" s="150">
        <f t="shared" si="4"/>
        <v>2</v>
      </c>
      <c r="AH16" s="150">
        <f>COUNTIFS(AH$3:AH$10,"N")+COUNTIFS(AH$3:AH$10,"NG")</f>
        <v>2</v>
      </c>
      <c r="AI16" s="345"/>
    </row>
    <row r="17" spans="1:35" ht="15.6" thickTop="1" thickBot="1">
      <c r="A17" s="345"/>
      <c r="B17" s="345"/>
      <c r="C17" s="39" t="s">
        <v>7</v>
      </c>
      <c r="D17" s="239">
        <f>COUNTIFS(D$3:D$10,"D")+COUNTIFS(D$3:D$10,"DG")</f>
        <v>1</v>
      </c>
      <c r="E17" s="239">
        <f t="shared" ref="E17:AG17" si="5">COUNTIFS(E$3:E$10,"D")+COUNTIFS(E$3:E$10,"DG")</f>
        <v>1</v>
      </c>
      <c r="F17" s="239">
        <f t="shared" si="5"/>
        <v>1</v>
      </c>
      <c r="G17" s="248">
        <f t="shared" si="5"/>
        <v>1</v>
      </c>
      <c r="H17" s="258">
        <f t="shared" si="5"/>
        <v>1</v>
      </c>
      <c r="I17" s="248">
        <f t="shared" si="5"/>
        <v>1</v>
      </c>
      <c r="J17" s="316">
        <f t="shared" si="5"/>
        <v>1</v>
      </c>
      <c r="K17" s="316">
        <f t="shared" si="5"/>
        <v>1</v>
      </c>
      <c r="L17" s="253">
        <f t="shared" si="5"/>
        <v>1</v>
      </c>
      <c r="M17" s="239">
        <f t="shared" si="5"/>
        <v>1</v>
      </c>
      <c r="N17" s="248">
        <f t="shared" si="5"/>
        <v>1</v>
      </c>
      <c r="O17" s="258">
        <f t="shared" si="5"/>
        <v>1</v>
      </c>
      <c r="P17" s="243">
        <f t="shared" si="5"/>
        <v>1</v>
      </c>
      <c r="Q17" s="253">
        <f t="shared" si="5"/>
        <v>1</v>
      </c>
      <c r="R17" s="239">
        <f t="shared" si="5"/>
        <v>1</v>
      </c>
      <c r="S17" s="239">
        <f t="shared" si="5"/>
        <v>1</v>
      </c>
      <c r="T17" s="239">
        <f t="shared" si="5"/>
        <v>1</v>
      </c>
      <c r="U17" s="248">
        <f t="shared" si="5"/>
        <v>1</v>
      </c>
      <c r="V17" s="258">
        <f t="shared" si="5"/>
        <v>1</v>
      </c>
      <c r="W17" s="243">
        <f t="shared" si="5"/>
        <v>1</v>
      </c>
      <c r="X17" s="253">
        <f t="shared" si="5"/>
        <v>1</v>
      </c>
      <c r="Y17" s="239">
        <f t="shared" si="5"/>
        <v>1</v>
      </c>
      <c r="Z17" s="239">
        <f t="shared" si="5"/>
        <v>1</v>
      </c>
      <c r="AA17" s="248">
        <f t="shared" si="5"/>
        <v>1</v>
      </c>
      <c r="AB17" s="316">
        <f t="shared" si="5"/>
        <v>1</v>
      </c>
      <c r="AC17" s="253">
        <f t="shared" si="5"/>
        <v>1</v>
      </c>
      <c r="AD17" s="243">
        <f t="shared" si="5"/>
        <v>1</v>
      </c>
      <c r="AE17" s="253">
        <f t="shared" si="5"/>
        <v>1</v>
      </c>
      <c r="AF17" s="239">
        <f t="shared" si="5"/>
        <v>1</v>
      </c>
      <c r="AG17" s="239">
        <f t="shared" si="5"/>
        <v>1</v>
      </c>
      <c r="AH17" s="239">
        <f>COUNTIFS(AH$3:AH$10,"D")+COUNTIFS(AH$3:AH$10,"DG")</f>
        <v>1</v>
      </c>
      <c r="AI17" s="345"/>
    </row>
    <row r="18" spans="1:35" ht="15.6" thickTop="1" thickBot="1">
      <c r="A18" s="345"/>
      <c r="B18" s="345"/>
      <c r="C18" s="39" t="s">
        <v>1</v>
      </c>
      <c r="D18" s="139">
        <f>COUNTIFS(D$3:D$10,"L")+COUNTIFS(D$3:D$10,"LG")</f>
        <v>2</v>
      </c>
      <c r="E18" s="139">
        <f t="shared" ref="E18:AG18" si="6">COUNTIFS(E$3:E$10,"L")+COUNTIFS(E$3:E$10,"LG")</f>
        <v>2</v>
      </c>
      <c r="F18" s="139">
        <f t="shared" si="6"/>
        <v>2</v>
      </c>
      <c r="G18" s="48">
        <f t="shared" si="6"/>
        <v>2</v>
      </c>
      <c r="H18" s="159">
        <f t="shared" si="6"/>
        <v>4</v>
      </c>
      <c r="I18" s="48">
        <f t="shared" si="6"/>
        <v>4</v>
      </c>
      <c r="J18" s="317">
        <f t="shared" si="6"/>
        <v>4</v>
      </c>
      <c r="K18" s="317">
        <f t="shared" si="6"/>
        <v>4</v>
      </c>
      <c r="L18" s="140">
        <f t="shared" si="6"/>
        <v>2</v>
      </c>
      <c r="M18" s="139">
        <f t="shared" si="6"/>
        <v>2</v>
      </c>
      <c r="N18" s="48">
        <f t="shared" si="6"/>
        <v>2</v>
      </c>
      <c r="O18" s="159">
        <f t="shared" si="6"/>
        <v>4</v>
      </c>
      <c r="P18" s="244">
        <f t="shared" si="6"/>
        <v>4</v>
      </c>
      <c r="Q18" s="140">
        <f t="shared" si="6"/>
        <v>2</v>
      </c>
      <c r="R18" s="139">
        <f t="shared" si="6"/>
        <v>2</v>
      </c>
      <c r="S18" s="139">
        <f t="shared" si="6"/>
        <v>2</v>
      </c>
      <c r="T18" s="139">
        <f t="shared" si="6"/>
        <v>2</v>
      </c>
      <c r="U18" s="48">
        <f t="shared" si="6"/>
        <v>2</v>
      </c>
      <c r="V18" s="159">
        <f t="shared" si="6"/>
        <v>4</v>
      </c>
      <c r="W18" s="244">
        <f t="shared" si="6"/>
        <v>4</v>
      </c>
      <c r="X18" s="140">
        <f t="shared" si="6"/>
        <v>2</v>
      </c>
      <c r="Y18" s="139">
        <f t="shared" si="6"/>
        <v>2</v>
      </c>
      <c r="Z18" s="139">
        <f t="shared" si="6"/>
        <v>2</v>
      </c>
      <c r="AA18" s="48">
        <f t="shared" si="6"/>
        <v>2</v>
      </c>
      <c r="AB18" s="317">
        <f t="shared" si="6"/>
        <v>4</v>
      </c>
      <c r="AC18" s="140">
        <f t="shared" si="6"/>
        <v>4</v>
      </c>
      <c r="AD18" s="244">
        <f t="shared" si="6"/>
        <v>4</v>
      </c>
      <c r="AE18" s="140">
        <f t="shared" si="6"/>
        <v>2</v>
      </c>
      <c r="AF18" s="139">
        <f t="shared" si="6"/>
        <v>2</v>
      </c>
      <c r="AG18" s="139">
        <f t="shared" si="6"/>
        <v>2</v>
      </c>
      <c r="AH18" s="139">
        <f>COUNTIFS(AH$3:AH$10,"L")+COUNTIFS(AH$3:AH$10,"LG")</f>
        <v>2</v>
      </c>
      <c r="AI18" s="345"/>
    </row>
    <row r="19" spans="1:35" ht="15.6" thickTop="1" thickBot="1">
      <c r="A19" s="345"/>
      <c r="B19" s="345"/>
      <c r="C19" s="39" t="s">
        <v>32</v>
      </c>
      <c r="D19" s="3">
        <f t="shared" ref="D19:AG19" si="7">COUNTIFS(D$3:D$10,"MG")+COUNTIFS(D$3:D$10,"TG")+COUNTIFS(D$3:D$10,"LG")+COUNTIFS(D$3:D$10,"DG")</f>
        <v>1</v>
      </c>
      <c r="E19" s="3">
        <f t="shared" si="7"/>
        <v>1</v>
      </c>
      <c r="F19" s="3">
        <f t="shared" si="7"/>
        <v>1</v>
      </c>
      <c r="G19" s="51">
        <f t="shared" si="7"/>
        <v>1</v>
      </c>
      <c r="H19" s="68">
        <f t="shared" si="7"/>
        <v>1</v>
      </c>
      <c r="I19" s="51">
        <f t="shared" si="7"/>
        <v>1</v>
      </c>
      <c r="J19" s="318">
        <f t="shared" si="7"/>
        <v>1</v>
      </c>
      <c r="K19" s="318">
        <f t="shared" si="7"/>
        <v>1</v>
      </c>
      <c r="L19" s="5">
        <f t="shared" si="7"/>
        <v>1</v>
      </c>
      <c r="M19" s="3">
        <f t="shared" si="7"/>
        <v>1</v>
      </c>
      <c r="N19" s="51">
        <f t="shared" si="7"/>
        <v>1</v>
      </c>
      <c r="O19" s="68">
        <f t="shared" si="7"/>
        <v>1</v>
      </c>
      <c r="P19" s="69">
        <f t="shared" si="7"/>
        <v>1</v>
      </c>
      <c r="Q19" s="5">
        <f t="shared" si="7"/>
        <v>1</v>
      </c>
      <c r="R19" s="3">
        <f t="shared" si="7"/>
        <v>1</v>
      </c>
      <c r="S19" s="3">
        <f t="shared" si="7"/>
        <v>1</v>
      </c>
      <c r="T19" s="3">
        <f t="shared" si="7"/>
        <v>1</v>
      </c>
      <c r="U19" s="51">
        <f t="shared" si="7"/>
        <v>1</v>
      </c>
      <c r="V19" s="68">
        <f t="shared" si="7"/>
        <v>1</v>
      </c>
      <c r="W19" s="69">
        <f t="shared" si="7"/>
        <v>1</v>
      </c>
      <c r="X19" s="5">
        <f t="shared" si="7"/>
        <v>1</v>
      </c>
      <c r="Y19" s="3">
        <f t="shared" si="7"/>
        <v>1</v>
      </c>
      <c r="Z19" s="3">
        <f t="shared" si="7"/>
        <v>1</v>
      </c>
      <c r="AA19" s="51">
        <f t="shared" si="7"/>
        <v>1</v>
      </c>
      <c r="AB19" s="318">
        <f t="shared" si="7"/>
        <v>1</v>
      </c>
      <c r="AC19" s="5">
        <f t="shared" si="7"/>
        <v>1</v>
      </c>
      <c r="AD19" s="69">
        <f t="shared" si="7"/>
        <v>1</v>
      </c>
      <c r="AE19" s="5">
        <f t="shared" si="7"/>
        <v>1</v>
      </c>
      <c r="AF19" s="3">
        <f t="shared" si="7"/>
        <v>1</v>
      </c>
      <c r="AG19" s="3">
        <f t="shared" si="7"/>
        <v>1</v>
      </c>
      <c r="AH19" s="3">
        <f>COUNTIFS(AH$3:AH$10,"MG")+COUNTIFS(AH$3:AH$10,"TG")+COUNTIFS(AH$3:AH$10,"LG")+COUNTIFS(AH$3:AH$10,"DG")</f>
        <v>1</v>
      </c>
      <c r="AI19" s="345"/>
    </row>
    <row r="20" spans="1:35" ht="15.6" thickTop="1" thickBot="1">
      <c r="A20" s="345"/>
      <c r="B20" s="345"/>
      <c r="C20" s="39" t="s">
        <v>5</v>
      </c>
      <c r="D20" s="139">
        <f>COUNTIFS(D$3:D$10,"V")</f>
        <v>0</v>
      </c>
      <c r="E20" s="139">
        <f t="shared" ref="E20:AG20" si="8">COUNTIFS(E$3:E$10,"V")</f>
        <v>0</v>
      </c>
      <c r="F20" s="139">
        <f t="shared" si="8"/>
        <v>0</v>
      </c>
      <c r="G20" s="48">
        <f t="shared" si="8"/>
        <v>0</v>
      </c>
      <c r="H20" s="160">
        <f t="shared" si="8"/>
        <v>0</v>
      </c>
      <c r="I20" s="236">
        <f t="shared" si="8"/>
        <v>0</v>
      </c>
      <c r="J20" s="317">
        <f t="shared" si="8"/>
        <v>0</v>
      </c>
      <c r="K20" s="317">
        <f t="shared" si="8"/>
        <v>0</v>
      </c>
      <c r="L20" s="140">
        <f t="shared" si="8"/>
        <v>0</v>
      </c>
      <c r="M20" s="139">
        <f t="shared" si="8"/>
        <v>0</v>
      </c>
      <c r="N20" s="48">
        <f t="shared" si="8"/>
        <v>0</v>
      </c>
      <c r="O20" s="160">
        <f t="shared" si="8"/>
        <v>0</v>
      </c>
      <c r="P20" s="101">
        <f t="shared" si="8"/>
        <v>0</v>
      </c>
      <c r="Q20" s="140">
        <f t="shared" si="8"/>
        <v>0</v>
      </c>
      <c r="R20" s="139">
        <f t="shared" si="8"/>
        <v>0</v>
      </c>
      <c r="S20" s="139">
        <f t="shared" si="8"/>
        <v>0</v>
      </c>
      <c r="T20" s="139">
        <f t="shared" si="8"/>
        <v>0</v>
      </c>
      <c r="U20" s="48">
        <f t="shared" si="8"/>
        <v>0</v>
      </c>
      <c r="V20" s="160">
        <f t="shared" si="8"/>
        <v>0</v>
      </c>
      <c r="W20" s="101">
        <f t="shared" si="8"/>
        <v>0</v>
      </c>
      <c r="X20" s="140">
        <f t="shared" si="8"/>
        <v>0</v>
      </c>
      <c r="Y20" s="139">
        <f t="shared" si="8"/>
        <v>0</v>
      </c>
      <c r="Z20" s="139">
        <f t="shared" si="8"/>
        <v>0</v>
      </c>
      <c r="AA20" s="48">
        <f t="shared" si="8"/>
        <v>0</v>
      </c>
      <c r="AB20" s="317">
        <f t="shared" si="8"/>
        <v>0</v>
      </c>
      <c r="AC20" s="254">
        <f t="shared" si="8"/>
        <v>0</v>
      </c>
      <c r="AD20" s="101">
        <f t="shared" si="8"/>
        <v>0</v>
      </c>
      <c r="AE20" s="140">
        <f t="shared" si="8"/>
        <v>0</v>
      </c>
      <c r="AF20" s="139">
        <f t="shared" si="8"/>
        <v>0</v>
      </c>
      <c r="AG20" s="139">
        <f t="shared" si="8"/>
        <v>0</v>
      </c>
      <c r="AH20" s="139">
        <f>COUNTIFS(AH$3:AH$10,"V")</f>
        <v>0</v>
      </c>
      <c r="AI20" s="345"/>
    </row>
    <row r="21" spans="1:35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  <c r="M21" s="345"/>
      <c r="N21" s="345"/>
      <c r="O21" s="345"/>
      <c r="P21" s="345"/>
      <c r="Q21" s="345"/>
      <c r="R21" s="345"/>
      <c r="S21" s="345"/>
      <c r="T21" s="345"/>
      <c r="U21" s="345"/>
      <c r="V21" s="345"/>
      <c r="W21" s="345"/>
      <c r="X21" s="345"/>
      <c r="Y21" s="345"/>
      <c r="Z21" s="345"/>
      <c r="AA21" s="345"/>
      <c r="AB21" s="345"/>
      <c r="AC21" s="345"/>
      <c r="AD21" s="345"/>
      <c r="AE21" s="345"/>
      <c r="AF21" s="345"/>
      <c r="AG21" s="345"/>
      <c r="AH21" s="345"/>
      <c r="AI21" s="345"/>
    </row>
    <row r="22" spans="1:35">
      <c r="A22" s="345"/>
      <c r="B22" s="345"/>
      <c r="C22" s="345"/>
      <c r="D22" s="345"/>
      <c r="E22" s="345"/>
      <c r="F22" s="345"/>
      <c r="G22" s="345"/>
      <c r="H22" s="345"/>
      <c r="I22" s="345"/>
      <c r="J22" s="345"/>
      <c r="K22" s="345"/>
      <c r="L22" s="345"/>
      <c r="M22" s="345"/>
      <c r="N22" s="345"/>
      <c r="O22" s="345"/>
      <c r="P22" s="345"/>
      <c r="Q22" s="345"/>
      <c r="R22" s="345"/>
      <c r="S22" s="345"/>
      <c r="T22" s="345"/>
      <c r="U22" s="345"/>
      <c r="V22" s="345"/>
      <c r="W22" s="345"/>
      <c r="X22" s="345"/>
      <c r="Y22" s="345"/>
      <c r="Z22" s="345"/>
      <c r="AA22" s="345"/>
      <c r="AB22" s="345"/>
      <c r="AC22" s="345"/>
      <c r="AD22" s="345"/>
      <c r="AE22" s="345"/>
      <c r="AF22" s="345"/>
      <c r="AG22" s="345"/>
      <c r="AH22" s="345"/>
      <c r="AI22" s="345"/>
    </row>
    <row r="23" spans="1:35">
      <c r="A23" s="345"/>
      <c r="B23" s="345"/>
      <c r="C23" s="345"/>
      <c r="D23" s="345"/>
      <c r="E23" s="345"/>
      <c r="F23" s="345"/>
      <c r="G23" s="345"/>
      <c r="H23" s="345"/>
      <c r="I23" s="345"/>
      <c r="J23" s="345"/>
      <c r="K23" s="345"/>
      <c r="L23" s="345"/>
      <c r="M23" s="345"/>
      <c r="N23" s="345"/>
      <c r="O23" s="345"/>
      <c r="P23" s="345"/>
      <c r="Q23" s="345"/>
      <c r="R23" s="345"/>
      <c r="S23" s="345"/>
      <c r="T23" s="345"/>
      <c r="U23" s="345"/>
      <c r="V23" s="345"/>
      <c r="W23" s="345"/>
      <c r="X23" s="345"/>
      <c r="Y23" s="345"/>
      <c r="Z23" s="345"/>
      <c r="AA23" s="345"/>
      <c r="AB23" s="345"/>
      <c r="AC23" s="345"/>
      <c r="AD23" s="345"/>
      <c r="AE23" s="345"/>
      <c r="AF23" s="345"/>
      <c r="AG23" s="345"/>
      <c r="AH23" s="345"/>
      <c r="AI23" s="345"/>
    </row>
    <row r="24" spans="1:35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345"/>
      <c r="L24" s="345"/>
      <c r="M24" s="345"/>
      <c r="N24" s="345"/>
      <c r="O24" s="345"/>
      <c r="P24" s="345"/>
      <c r="Q24" s="345"/>
      <c r="R24" s="345"/>
      <c r="S24" s="345"/>
      <c r="T24" s="345"/>
      <c r="U24" s="345"/>
      <c r="V24" s="345"/>
      <c r="W24" s="345"/>
      <c r="X24" s="345"/>
      <c r="Y24" s="345"/>
      <c r="Z24" s="345"/>
      <c r="AA24" s="345"/>
      <c r="AB24" s="345"/>
      <c r="AC24" s="345"/>
      <c r="AD24" s="345"/>
      <c r="AE24" s="345"/>
      <c r="AF24" s="345"/>
      <c r="AG24" s="345"/>
      <c r="AH24" s="345"/>
      <c r="AI24" s="345"/>
    </row>
    <row r="25" spans="1:35">
      <c r="A25" s="345"/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  <c r="AA25" s="345"/>
      <c r="AB25" s="345"/>
      <c r="AC25" s="345"/>
      <c r="AD25" s="345"/>
      <c r="AE25" s="345"/>
      <c r="AF25" s="345"/>
      <c r="AG25" s="345"/>
      <c r="AH25" s="345"/>
      <c r="AI25" s="345"/>
    </row>
    <row r="26" spans="1:35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  <c r="M26" s="345"/>
      <c r="N26" s="345"/>
      <c r="O26" s="345"/>
      <c r="P26" s="345"/>
      <c r="Q26" s="345"/>
      <c r="R26" s="345"/>
      <c r="S26" s="345"/>
      <c r="T26" s="345"/>
      <c r="U26" s="345"/>
      <c r="V26" s="345"/>
      <c r="W26" s="345"/>
      <c r="X26" s="345"/>
      <c r="Y26" s="345"/>
      <c r="Z26" s="345"/>
      <c r="AA26" s="345"/>
      <c r="AB26" s="345"/>
      <c r="AC26" s="345"/>
      <c r="AD26" s="345"/>
      <c r="AE26" s="345"/>
      <c r="AF26" s="345"/>
      <c r="AG26" s="345"/>
      <c r="AH26" s="345"/>
      <c r="AI26" s="345"/>
    </row>
    <row r="27" spans="1:35">
      <c r="A27" s="345"/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  <c r="M27" s="345"/>
      <c r="N27" s="345"/>
      <c r="O27" s="345"/>
      <c r="P27" s="345"/>
      <c r="Q27" s="345"/>
      <c r="R27" s="345"/>
      <c r="S27" s="345"/>
      <c r="T27" s="345"/>
      <c r="U27" s="345"/>
      <c r="V27" s="345"/>
      <c r="W27" s="345"/>
      <c r="X27" s="345"/>
      <c r="Y27" s="345"/>
      <c r="Z27" s="345"/>
      <c r="AA27" s="345"/>
      <c r="AB27" s="345"/>
      <c r="AC27" s="345"/>
      <c r="AD27" s="345"/>
      <c r="AE27" s="345"/>
      <c r="AF27" s="345"/>
      <c r="AG27" s="345"/>
      <c r="AH27" s="345"/>
      <c r="AI27" s="345"/>
    </row>
  </sheetData>
  <mergeCells count="12">
    <mergeCell ref="C11:AH12"/>
    <mergeCell ref="A21:AI27"/>
    <mergeCell ref="A1:C2"/>
    <mergeCell ref="AI1:AI20"/>
    <mergeCell ref="A3:B3"/>
    <mergeCell ref="A4:B4"/>
    <mergeCell ref="A5:B5"/>
    <mergeCell ref="A7:B7"/>
    <mergeCell ref="A8:B8"/>
    <mergeCell ref="A9:B9"/>
    <mergeCell ref="A10:B10"/>
    <mergeCell ref="A11:B2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0533E4CB93744EA391F0A9817D55C7" ma:contentTypeVersion="14" ma:contentTypeDescription="Create a new document." ma:contentTypeScope="" ma:versionID="116837dea9449239325bb4829dcab56c">
  <xsd:schema xmlns:xsd="http://www.w3.org/2001/XMLSchema" xmlns:xs="http://www.w3.org/2001/XMLSchema" xmlns:p="http://schemas.microsoft.com/office/2006/metadata/properties" xmlns:ns2="5fa1bf74-9a69-48a2-9296-74439b2d6558" xmlns:ns3="c0094d01-527c-406c-8203-80928548660a" targetNamespace="http://schemas.microsoft.com/office/2006/metadata/properties" ma:root="true" ma:fieldsID="afa9d1fcf8c8a1cb4943203cea1acc2c" ns2:_="" ns3:_="">
    <xsd:import namespace="5fa1bf74-9a69-48a2-9296-74439b2d6558"/>
    <xsd:import namespace="c0094d01-527c-406c-8203-8092854866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1bf74-9a69-48a2-9296-74439b2d65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094d01-527c-406c-8203-80928548660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c1cbfc3a-39e7-4c4f-87bd-a396e248cab1}" ma:internalName="TaxCatchAll" ma:showField="CatchAllData" ma:web="c0094d01-527c-406c-8203-8092854866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094d01-527c-406c-8203-80928548660a" xsi:nil="true"/>
    <lcf76f155ced4ddcb4097134ff3c332f xmlns="5fa1bf74-9a69-48a2-9296-74439b2d655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D9AD5B-BBDD-47C4-ABC2-17B1DB836833}"/>
</file>

<file path=customXml/itemProps2.xml><?xml version="1.0" encoding="utf-8"?>
<ds:datastoreItem xmlns:ds="http://schemas.openxmlformats.org/officeDocument/2006/customXml" ds:itemID="{87E1CCB9-7AF3-4DD0-BDC9-B6F74F5C00CF}"/>
</file>

<file path=customXml/itemProps3.xml><?xml version="1.0" encoding="utf-8"?>
<ds:datastoreItem xmlns:ds="http://schemas.openxmlformats.org/officeDocument/2006/customXml" ds:itemID="{8BF56D84-A45B-4DF8-91C2-B935051AA7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Dirube Roll Jesus</dc:creator>
  <cp:keywords/>
  <dc:description/>
  <cp:lastModifiedBy/>
  <cp:revision/>
  <dcterms:created xsi:type="dcterms:W3CDTF">2026-05-27T04:06:25Z</dcterms:created>
  <dcterms:modified xsi:type="dcterms:W3CDTF">2026-06-22T07:23:53Z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2026-05-27T06:28:47Z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322186fe-5ed2-4409-9dd2-21a73f34abfa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0x010100AB0533E4CB93744EA391F0A9817D55C7</vt:lpwstr>
  </property>
  <property fmtid="{D5CDD505-2E9C-101B-9397-08002B2CF9AE}" pid="11" name="MediaServiceImageTags">
    <vt:lpwstr/>
  </property>
</Properties>
</file>