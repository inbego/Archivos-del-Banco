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733" documentId="8_{76D0025C-EE45-4809-AC8C-80584FA20F11}" xr6:coauthVersionLast="47" xr6:coauthVersionMax="47" xr10:uidLastSave="{D217E7A1-299D-4BE1-9203-E953790B3401}"/>
  <bookViews>
    <workbookView xWindow="3460" yWindow="14290" windowWidth="19420" windowHeight="1030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<sst xmlns="http://schemas.openxmlformats.org/spreadsheetml/2006/main" count="65" uniqueCount="45">
  <si>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</si>
  <si>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</si>
  <si>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</si>
  <si>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</si>
  <si>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</si>
  <si>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</si>
  <si>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</si>
  <si>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</si>
  <si>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</si>
  <si>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</si>
  <si>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</si>
  <si>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</si>
  <si>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</si>
  <si>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</si>
  <si>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</si>
  <si>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</si>
  <si>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</si>
  <si>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</si>
  <si>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</si>
  <si>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</si>
  <si>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</si>
  <si>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</si>
  <si>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</si>
  <si>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</si>
  <si>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</si>
  <si>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</si>
  <si>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</si>
  <si>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</si>
  <si>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</si>
  <si>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</si>
  <si>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</si>
  <si>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</si>
  <si>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</si>
  <si>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</si>
  <si>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Jose Luis</t>
  </si>
  <si>
    <t>de Juan Mejía</t>
  </si>
  <si>
    <t>Civir</t>
  </si>
  <si>
    <t>EUT Comunicaciones</t>
  </si>
  <si>
    <t>FEBRERO</t>
  </si>
  <si>
    <t>MARZO</t>
  </si>
  <si>
    <t>CHG002799195</t>
  </si>
  <si>
    <t>Sustitución del equipo BMS ESTJSD10 - Sótano de Cantabria</t>
  </si>
  <si>
    <t>Show tech en RSTRITONSBE-01 y RSTRITONSBW-01</t>
  </si>
  <si>
    <t>CHG002833345</t>
  </si>
  <si>
    <t>GUARDIA PENDIENTE DE FEBRERO Y LAS 2 GUARDIAS DE DICIEMBRE QUE SE ME OLVIDÓ PASAROS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</si>
</sst>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" fillId="0" borderId="0" xfId="2"/>
    <xf numFmtId="2" fontId="9" fillId="0" borderId="0" xfId="2" applyNumberFormat="1" applyFont="1" applyAlignment="1">
      <alignment horizontal="center" vertical="center"/>
    </xf>
    <xf numFmtId="44" fontId="9" fillId="0" borderId="0" xfId="3" applyFont="1" applyFill="1" applyBorder="1" applyAlignment="1">
      <alignment horizontal="center" vertical="center"/>
    </xf>
    <xf numFmtId="0" fontId="8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1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Empleado/Documents/Civir%20W/Almacenamiento/2021/Guardias-Intervenciones%20SGT_Abril2021%20HUB%20Espa&#241;a%20-%20DellEMC_Storage_CCC_CIVIR.xlsx" TargetMode="External"/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I6" sqref="I6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8.42578125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46076</v>
      </c>
      <c r="H2" s="36"/>
      <c r="I2" s="37">
        <v>46082</v>
      </c>
      <c r="J2" s="38" t="s">
        <v>38</v>
      </c>
      <c r="K2" s="38"/>
    </row>
    <row r="3" spans="1:11">
      <c r="A3" s="16" t="s">
        <v>29</v>
      </c>
      <c r="B3" s="34" t="s">
        <v>32</v>
      </c>
      <c r="C3" s="35" t="s">
        <v>33</v>
      </c>
      <c r="D3" s="34"/>
      <c r="E3" s="39"/>
      <c r="F3" s="39"/>
      <c r="G3" s="37">
        <v>46104</v>
      </c>
      <c r="H3" s="36"/>
      <c r="I3" s="37">
        <v>46110</v>
      </c>
      <c r="J3" s="38" t="s">
        <v>39</v>
      </c>
      <c r="K3" s="22"/>
    </row>
    <row r="4" spans="1:11">
      <c r="A4" s="16" t="s">
        <v>29</v>
      </c>
      <c r="B4" s="34" t="s">
        <v>32</v>
      </c>
      <c r="C4" s="35" t="s">
        <v>33</v>
      </c>
      <c r="D4" s="34"/>
      <c r="E4" s="39"/>
      <c r="F4" s="39"/>
      <c r="G4" s="37">
        <v>45992</v>
      </c>
      <c r="H4" s="36"/>
      <c r="I4" s="37">
        <v>45998</v>
      </c>
      <c r="J4" s="38">
        <v>45992</v>
      </c>
      <c r="K4" s="22"/>
    </row>
    <row r="5" spans="1:11">
      <c r="A5" s="16" t="s">
        <v>29</v>
      </c>
      <c r="B5" s="34" t="s">
        <v>32</v>
      </c>
      <c r="C5" s="35" t="s">
        <v>33</v>
      </c>
      <c r="D5" s="34"/>
      <c r="E5" s="39"/>
      <c r="F5" s="39"/>
      <c r="G5" s="37">
        <v>45628</v>
      </c>
      <c r="H5" s="36"/>
      <c r="I5" s="37">
        <v>45634</v>
      </c>
      <c r="J5" s="38">
        <v>45627</v>
      </c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abSelected="1" topLeftCell="E1" zoomScale="115" zoomScaleNormal="115" workbookViewId="0">
      <selection activeCell="L2" sqref="L2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 t="s">
        <v>36</v>
      </c>
      <c r="B2" s="34" t="s">
        <v>37</v>
      </c>
      <c r="C2" s="50" t="s">
        <v>29</v>
      </c>
      <c r="D2" s="41" t="s">
        <v>35</v>
      </c>
      <c r="E2" s="24" t="s">
        <v>34</v>
      </c>
      <c r="F2" s="42">
        <v>46085</v>
      </c>
      <c r="G2" s="42">
        <v>46086</v>
      </c>
      <c r="H2" s="43">
        <v>0.75</v>
      </c>
      <c r="I2" s="43">
        <v>0.125</v>
      </c>
      <c r="J2" s="44">
        <v>9</v>
      </c>
      <c r="K2" s="45" t="s">
        <v>39</v>
      </c>
      <c r="L2" s="24" t="s">
        <v>40</v>
      </c>
      <c r="M2" s="24" t="s">
        <v>41</v>
      </c>
      <c r="N2" s="49"/>
    </row>
    <row r="3" spans="1:14" ht="12" customHeight="1">
      <c r="A3" s="34"/>
      <c r="B3" s="34" t="s">
        <v>37</v>
      </c>
      <c r="C3" s="50" t="s">
        <v>29</v>
      </c>
      <c r="D3" s="41" t="s">
        <v>35</v>
      </c>
      <c r="E3" s="24" t="s">
        <v>34</v>
      </c>
      <c r="F3" s="42">
        <v>46092</v>
      </c>
      <c r="G3" s="42">
        <v>46092</v>
      </c>
      <c r="H3" s="43">
        <v>0.95833333333333337</v>
      </c>
      <c r="I3" s="43">
        <v>0</v>
      </c>
      <c r="J3" s="44">
        <v>1</v>
      </c>
      <c r="K3" s="45" t="s">
        <v>39</v>
      </c>
      <c r="L3" s="24" t="s">
        <v>43</v>
      </c>
      <c r="M3" s="24" t="s">
        <v>42</v>
      </c>
      <c r="N3" s="49"/>
    </row>
    <row r="4" spans="1:14" ht="12" customHeight="1">
      <c r="A4" s="34"/>
      <c r="B4" s="34"/>
      <c r="C4" s="50"/>
      <c r="D4" s="41"/>
      <c r="E4" s="24"/>
      <c r="F4" s="42"/>
      <c r="G4" s="42"/>
      <c r="H4" s="43"/>
      <c r="I4" s="43"/>
      <c r="J4" s="44"/>
      <c r="K4" s="45"/>
      <c r="L4" s="24"/>
      <c r="M4" s="24"/>
      <c r="N4" s="46"/>
    </row>
    <row r="5" spans="1:14" ht="12" customHeight="1">
      <c r="A5" s="34"/>
      <c r="B5" s="34"/>
      <c r="C5" s="50"/>
      <c r="D5" s="41"/>
      <c r="E5" s="24"/>
      <c r="F5" s="42"/>
      <c r="G5" s="42"/>
      <c r="H5" s="43"/>
      <c r="I5" s="43"/>
      <c r="J5" s="44"/>
      <c r="K5" s="45"/>
      <c r="L5" s="47"/>
      <c r="M5" s="24"/>
      <c r="N5" s="49"/>
    </row>
    <row r="6" spans="1:14" ht="12" customHeight="1">
      <c r="A6" s="47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4" ht="12" customHeight="1">
      <c r="A7" s="47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6"/>
    </row>
    <row r="8" spans="1:14" ht="12" customHeight="1">
      <c r="A8" s="47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6"/>
    </row>
    <row r="9" spans="1:14" ht="12" customHeight="1">
      <c r="A9" s="47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6"/>
    </row>
    <row r="10" spans="1:14" ht="12" customHeight="1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6"/>
    </row>
    <row r="11" spans="1:14" ht="12" customHeight="1">
      <c r="A11" s="47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6"/>
    </row>
    <row r="12" spans="1:14" ht="12" customHeight="1">
      <c r="A12" s="47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6"/>
    </row>
    <row r="13" spans="1:14" ht="12" customHeight="1">
      <c r="A13" s="47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6"/>
    </row>
    <row r="14" spans="1:14" ht="12" customHeight="1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6"/>
    </row>
    <row r="15" spans="1:14" ht="12" customHeight="1">
      <c r="A15" s="47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6"/>
    </row>
    <row r="16" spans="1:14" ht="12" customHeight="1">
      <c r="A16" s="47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6"/>
    </row>
    <row r="17" spans="1:14" ht="12" customHeight="1">
      <c r="A17" s="47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6"/>
    </row>
    <row r="18" spans="1:14" ht="12" customHeight="1">
      <c r="A18" s="47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/>
    </row>
    <row r="19" spans="1:14" ht="12" customHeight="1">
      <c r="A19" s="4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6"/>
    </row>
    <row r="20" spans="1:14" ht="12" customHeight="1">
      <c r="A20" s="47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6"/>
    </row>
    <row r="21" spans="1:14" ht="12" customHeight="1">
      <c r="A21" s="47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6"/>
    </row>
    <row r="22" spans="1:14" ht="12" customHeight="1">
      <c r="A22" s="4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6"/>
    </row>
    <row r="23" spans="1:14" ht="12" customHeight="1">
      <c r="A23" s="47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6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46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46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46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46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46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46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46"/>
    </row>
    <row r="31" spans="1:14" ht="12" customHeight="1">
      <c r="A31" s="47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1">
    <mergeCell ref="N32:N35"/>
  </mergeCells>
  <phoneticPr fontId="12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D7" sqref="D7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38.25">
      <c r="A2" s="30" t="s">
        <v>31</v>
      </c>
      <c r="B2" s="11" t="s">
        <v>30</v>
      </c>
      <c r="C2" s="9">
        <v>4</v>
      </c>
      <c r="D2" s="10">
        <v>300</v>
      </c>
      <c r="E2" s="9">
        <v>10</v>
      </c>
      <c r="F2" s="10">
        <v>30</v>
      </c>
      <c r="G2" s="31">
        <f>(Tabla1[[#This Row],[ Importe   ]]*Tabla1[[#This Row],[ Nº Interv. ]])+(Tabla1[[#This Row],[ Importe  ]]*Tabla1[[#This Row],[Nº Guardias ]])</f>
        <v>1500</v>
      </c>
      <c r="H2" s="49" t="s">
        <v>44</v>
      </c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2026-04-13T12:02:19Z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