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antandernet.sharepoint.com/sites/NaaS-Batch3/Shared Documents/General/Notificaciones/Pruebas_Formacion/"/>
    </mc:Choice>
  </mc:AlternateContent>
  <xr:revisionPtr revIDLastSave="827" documentId="13_ncr:1_{C5EC433F-61EA-453E-A03C-AFA1F360462F}" xr6:coauthVersionLast="47" xr6:coauthVersionMax="47" xr10:uidLastSave="{86F156AE-72FF-48BB-8DC6-F9E4442E59FE}"/>
  <bookViews>
    <workbookView xWindow="-110" yWindow="-110" windowWidth="19200" windowHeight="9020" firstSheet="1" activeTab="1" xr2:uid="{A56A25AF-F264-4809-849A-97F9AAB1E64A}"/>
  </bookViews>
  <sheets>
    <sheet name="NOTIFICACIÓN" sheetId="1" r:id="rId1"/>
    <sheet name="Incident Com. (COMPLETAR)" sheetId="2" r:id="rId2"/>
    <sheet name="BBDD" sheetId="4" r:id="rId3"/>
    <sheet name="Listas" sheetId="5" r:id="rId4"/>
    <sheet name="Fórmulas" sheetId="3" r:id="rId5"/>
    <sheet name="BCKP" sheetId="8" r:id="rId6"/>
  </sheets>
  <definedNames>
    <definedName name="_xlnm._FilterDatabase" localSheetId="2" hidden="1">BBDD!$A$1:$C$1456</definedName>
    <definedName name="_xleta.FIND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1" l="1"/>
  <c r="C15" i="8"/>
  <c r="C14" i="8"/>
  <c r="H13" i="8"/>
  <c r="C13" i="8"/>
  <c r="E12" i="8"/>
  <c r="C12" i="8"/>
  <c r="C11" i="8"/>
  <c r="E10" i="8"/>
  <c r="H13" i="1"/>
  <c r="I38" i="2" l="1"/>
  <c r="J38" i="2" s="1"/>
  <c r="I39" i="2"/>
  <c r="J39" i="2" s="1"/>
  <c r="I40" i="2"/>
  <c r="J40" i="2" s="1"/>
  <c r="I41" i="2"/>
  <c r="J41" i="2" s="1"/>
  <c r="I42" i="2"/>
  <c r="J42" i="2" s="1"/>
  <c r="I43" i="2"/>
  <c r="I44" i="2"/>
  <c r="I45" i="2"/>
  <c r="I46" i="2"/>
  <c r="J46" i="2" s="1"/>
  <c r="I47" i="2"/>
  <c r="I48" i="2"/>
  <c r="I49" i="2"/>
  <c r="I50" i="2"/>
  <c r="I51" i="2"/>
  <c r="J51" i="2" s="1"/>
  <c r="I52" i="2"/>
  <c r="J52" i="2" s="1"/>
  <c r="I37" i="2"/>
  <c r="X2" i="3"/>
  <c r="I6" i="2"/>
  <c r="I8" i="2"/>
  <c r="I10" i="2"/>
  <c r="I16" i="2"/>
  <c r="I20" i="2"/>
  <c r="I22" i="2"/>
  <c r="J22" i="2" s="1"/>
  <c r="I30" i="2"/>
  <c r="I36" i="2"/>
  <c r="J37" i="2"/>
  <c r="J47" i="2"/>
  <c r="J48" i="2"/>
  <c r="J49" i="2"/>
  <c r="J50" i="2"/>
  <c r="I53" i="2"/>
  <c r="J53" i="2" s="1"/>
  <c r="J43" i="2"/>
  <c r="J44" i="2"/>
  <c r="J45" i="2"/>
  <c r="G19" i="3"/>
  <c r="H19" i="3"/>
  <c r="G20" i="3"/>
  <c r="H20" i="3"/>
  <c r="I20" i="3" s="1"/>
  <c r="G21" i="3"/>
  <c r="H21" i="3"/>
  <c r="G22" i="3"/>
  <c r="K22" i="3" s="1"/>
  <c r="K23" i="3" s="1"/>
  <c r="H22" i="3"/>
  <c r="G23" i="3"/>
  <c r="H23" i="3"/>
  <c r="G24" i="3"/>
  <c r="H24" i="3"/>
  <c r="G25" i="3"/>
  <c r="I25" i="3" s="1"/>
  <c r="H25" i="3"/>
  <c r="G26" i="3"/>
  <c r="H26" i="3"/>
  <c r="G27" i="3"/>
  <c r="H27" i="3"/>
  <c r="G28" i="3"/>
  <c r="H28" i="3"/>
  <c r="I28" i="3" s="1"/>
  <c r="J30" i="2"/>
  <c r="C3" i="3"/>
  <c r="E14" i="2" l="1"/>
  <c r="C8" i="1" s="1"/>
  <c r="I22" i="3"/>
  <c r="M22" i="3" s="1"/>
  <c r="I21" i="3"/>
  <c r="J6" i="2"/>
  <c r="I23" i="3"/>
  <c r="M23" i="3" s="1"/>
  <c r="I27" i="3"/>
  <c r="L22" i="3"/>
  <c r="L23" i="3" s="1"/>
  <c r="L24" i="3" s="1"/>
  <c r="L25" i="3" s="1"/>
  <c r="L26" i="3" s="1"/>
  <c r="L27" i="3" s="1"/>
  <c r="L28" i="3" s="1"/>
  <c r="I14" i="2"/>
  <c r="K24" i="3"/>
  <c r="K25" i="3" s="1"/>
  <c r="K26" i="3" s="1"/>
  <c r="K27" i="3" s="1"/>
  <c r="K28" i="3" s="1"/>
  <c r="I24" i="3"/>
  <c r="M24" i="3" s="1"/>
  <c r="M25" i="3" s="1"/>
  <c r="I19" i="3"/>
  <c r="I26" i="3"/>
  <c r="Y2" i="3"/>
  <c r="S7" i="3" s="1"/>
  <c r="C7" i="3" a="1"/>
  <c r="C7" i="3" s="1"/>
  <c r="I18" i="2" s="1"/>
  <c r="AD2" i="3"/>
  <c r="AC2" i="3"/>
  <c r="AF2" i="3"/>
  <c r="AE2" i="3"/>
  <c r="J36" i="2"/>
  <c r="C8" i="8" l="1"/>
  <c r="G6" i="8"/>
  <c r="M26" i="3"/>
  <c r="M27" i="3" s="1"/>
  <c r="M28" i="3" s="1"/>
  <c r="J18" i="2"/>
  <c r="J20" i="2"/>
  <c r="J16" i="2"/>
  <c r="J8" i="2"/>
  <c r="J10" i="2" l="1"/>
  <c r="G12" i="3"/>
  <c r="C12" i="1"/>
  <c r="C11" i="1"/>
  <c r="H13" i="3"/>
  <c r="H14" i="3"/>
  <c r="H15" i="3"/>
  <c r="H16" i="3"/>
  <c r="H17" i="3"/>
  <c r="H18" i="3"/>
  <c r="H12" i="3"/>
  <c r="G13" i="3"/>
  <c r="G14" i="3"/>
  <c r="G15" i="3"/>
  <c r="G16" i="3"/>
  <c r="G17" i="3"/>
  <c r="G18" i="3"/>
  <c r="E12" i="1"/>
  <c r="L12" i="3" l="1"/>
  <c r="L13" i="3" s="1"/>
  <c r="L14" i="3" s="1"/>
  <c r="L15" i="3" s="1"/>
  <c r="L16" i="3" s="1"/>
  <c r="R11" i="3" a="1"/>
  <c r="R11" i="3" s="1"/>
  <c r="C5" i="3"/>
  <c r="E8" i="8" s="1"/>
  <c r="AB2" i="3"/>
  <c r="R7" i="3"/>
  <c r="E8" i="1" l="1"/>
  <c r="L17" i="3"/>
  <c r="L18" i="3" s="1"/>
  <c r="L19" i="3" s="1"/>
  <c r="L20" i="3" s="1"/>
  <c r="L21" i="3" s="1"/>
  <c r="C4" i="3"/>
  <c r="K12" i="3"/>
  <c r="K13" i="3" s="1"/>
  <c r="H12" i="1" l="1"/>
  <c r="H12" i="8"/>
  <c r="Z2" i="3"/>
  <c r="AA2" i="3"/>
  <c r="H7" i="3" a="1"/>
  <c r="H7" i="3" s="1"/>
  <c r="E9" i="8" s="1"/>
  <c r="I14" i="3"/>
  <c r="I18" i="3"/>
  <c r="I13" i="3"/>
  <c r="I16" i="3"/>
  <c r="I17" i="3"/>
  <c r="I12" i="3"/>
  <c r="M12" i="3" s="1"/>
  <c r="I15" i="3"/>
  <c r="C14" i="1"/>
  <c r="C15" i="1"/>
  <c r="E10" i="1"/>
  <c r="X4" i="3" l="1"/>
  <c r="G6" i="1"/>
  <c r="J14" i="2"/>
  <c r="M13" i="3"/>
  <c r="M14" i="3" s="1"/>
  <c r="M15" i="3" s="1"/>
  <c r="M16" i="3" s="1"/>
  <c r="K14" i="3"/>
  <c r="K15" i="3" s="1"/>
  <c r="K16" i="3" s="1"/>
  <c r="C3" i="1" l="1"/>
  <c r="C3" i="8"/>
  <c r="K17" i="3"/>
  <c r="K18" i="3" s="1"/>
  <c r="K19" i="3" s="1"/>
  <c r="K20" i="3" s="1"/>
  <c r="K21" i="3" s="1"/>
  <c r="M17" i="3"/>
  <c r="M18" i="3" s="1"/>
  <c r="M19" i="3" s="1"/>
  <c r="M20" i="3" s="1"/>
  <c r="M21" i="3" s="1"/>
  <c r="E9" i="1"/>
  <c r="G7" i="3" l="1" a="1"/>
  <c r="G7" i="3" s="1"/>
  <c r="C9" i="8" s="1"/>
  <c r="I7" i="3" a="1"/>
  <c r="I7" i="3" s="1"/>
  <c r="C10" i="8" s="1"/>
  <c r="C10" i="1" l="1"/>
  <c r="C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<sst xmlns="http://schemas.openxmlformats.org/spreadsheetml/2006/main" count="4601" uniqueCount="1721">
  <si>
    <t>Campus</t>
  </si>
  <si>
    <t>Asunto Correo:</t>
  </si>
  <si>
    <t>Incident communication</t>
  </si>
  <si>
    <t>Copiar plantilla como imagen</t>
  </si>
  <si>
    <t>Site / Entity:</t>
  </si>
  <si>
    <t>ITSM Ticket:</t>
  </si>
  <si>
    <t>Incident Start Time (GMT+2):</t>
  </si>
  <si>
    <t>Incident End Time (GMT+2):</t>
  </si>
  <si>
    <t>Verificar formato correcto "dd/mm/dd hh:mm"</t>
  </si>
  <si>
    <r>
      <t xml:space="preserve">&lt;&lt; </t>
    </r>
    <r>
      <rPr>
        <u/>
        <sz val="11"/>
        <color theme="1"/>
        <rFont val="Calibri"/>
        <family val="2"/>
        <scheme val="minor"/>
      </rPr>
      <t>Ajustar celdas</t>
    </r>
  </si>
  <si>
    <t>Incident Duration:</t>
  </si>
  <si>
    <t>Status:</t>
  </si>
  <si>
    <t>Verificar Duración correcta</t>
  </si>
  <si>
    <r>
      <t>&lt;&lt;</t>
    </r>
    <r>
      <rPr>
        <u/>
        <sz val="11"/>
        <color theme="1"/>
        <rFont val="Calibri"/>
        <family val="2"/>
        <scheme val="minor"/>
      </rPr>
      <t xml:space="preserve"> Ajustar celdas</t>
    </r>
  </si>
  <si>
    <t>Incident Description:</t>
  </si>
  <si>
    <t>Customer Impact:</t>
  </si>
  <si>
    <t>Impact Detail:</t>
  </si>
  <si>
    <t>TIEMPO RESTANTE</t>
  </si>
  <si>
    <t>Devices / Circuits affected:</t>
  </si>
  <si>
    <t>HORA ACTUAL</t>
  </si>
  <si>
    <t>ETR:</t>
  </si>
  <si>
    <t>RFO:</t>
  </si>
  <si>
    <t>Incident Timeline Summary</t>
  </si>
  <si>
    <t xml:space="preserve"> </t>
  </si>
  <si>
    <t>Time stamp (GMT+2)</t>
  </si>
  <si>
    <t>Events</t>
  </si>
  <si>
    <r>
      <t xml:space="preserve">* Estás utilizando la plantilla para el servicio </t>
    </r>
    <r>
      <rPr>
        <b/>
        <i/>
        <sz val="11"/>
        <color rgb="FFC00000"/>
        <rFont val="Calibri"/>
        <family val="2"/>
        <scheme val="minor"/>
      </rPr>
      <t>Campus</t>
    </r>
  </si>
  <si>
    <t>ERRORES</t>
  </si>
  <si>
    <t>INCIDENT COMUNICATION (CAMPUS)</t>
  </si>
  <si>
    <t>Completa los siguientes datos</t>
  </si>
  <si>
    <t>Tipo de Notificación:</t>
  </si>
  <si>
    <t>Aperture Incident</t>
  </si>
  <si>
    <t>Ticket Service Now:</t>
  </si>
  <si>
    <t>Nombre del circuito/equipo de la alerta:</t>
  </si>
  <si>
    <t>Nombre equipo extremo (Campus):</t>
  </si>
  <si>
    <r>
      <t xml:space="preserve">*Campus: </t>
    </r>
    <r>
      <rPr>
        <i/>
        <u/>
        <sz val="11"/>
        <color rgb="FFC00000"/>
        <rFont val="Calibri"/>
        <family val="2"/>
        <scheme val="minor"/>
      </rPr>
      <t>Indicar únicamente si la incidencia es entre el equipo de arriba y otro equipo (revisar interface description)</t>
    </r>
  </si>
  <si>
    <t>Nombre del Site de la alerta:</t>
  </si>
  <si>
    <t>Tipo incidencia</t>
  </si>
  <si>
    <t>Estado actual del servicio (interfaz/tunel)</t>
  </si>
  <si>
    <t>Breve Descripción de la incidencia:</t>
  </si>
  <si>
    <t>¿Nos han indicado que hay impacto al servicio?:</t>
  </si>
  <si>
    <t>Estado confirmación impacto:</t>
  </si>
  <si>
    <r>
      <rPr>
        <b/>
        <i/>
        <u/>
        <sz val="11"/>
        <color rgb="FFC00000"/>
        <rFont val="Calibri"/>
        <family val="2"/>
        <scheme val="minor"/>
      </rPr>
      <t>* Campus Estandar = REVISAR PROCEDIMIENTO = LCON
* Campus otras sedes: REVISAR PROCEDIMIENTO =</t>
    </r>
    <r>
      <rPr>
        <b/>
        <i/>
        <u/>
        <sz val="11"/>
        <color rgb="FF000000"/>
        <rFont val="Calibri"/>
        <family val="2"/>
        <scheme val="minor"/>
      </rPr>
      <t xml:space="preserve"> LCON
</t>
    </r>
    <r>
      <rPr>
        <b/>
        <i/>
        <u/>
        <sz val="11"/>
        <color rgb="FFC00000"/>
        <rFont val="Calibri"/>
        <family val="2"/>
        <scheme val="minor"/>
      </rPr>
      <t xml:space="preserve">* Unity / Tryton: Alertas N1 y N2 = </t>
    </r>
    <r>
      <rPr>
        <b/>
        <i/>
        <u/>
        <sz val="11"/>
        <color rgb="FF000000"/>
        <rFont val="Calibri"/>
        <family val="2"/>
        <scheme val="minor"/>
      </rPr>
      <t>N/A</t>
    </r>
    <r>
      <rPr>
        <b/>
        <i/>
        <u/>
        <sz val="11"/>
        <color rgb="FFC00000"/>
        <rFont val="Calibri"/>
        <family val="2"/>
        <scheme val="minor"/>
      </rPr>
      <t xml:space="preserve">. Alertas N3 y N4 = </t>
    </r>
    <r>
      <rPr>
        <b/>
        <i/>
        <u/>
        <sz val="11"/>
        <color rgb="FF000000"/>
        <rFont val="Calibri"/>
        <family val="2"/>
        <scheme val="minor"/>
      </rPr>
      <t>NOC UK</t>
    </r>
    <r>
      <rPr>
        <b/>
        <i/>
        <u/>
        <sz val="11"/>
        <color rgb="FFC00000"/>
        <rFont val="Calibri"/>
        <family val="2"/>
        <scheme val="minor"/>
      </rPr>
      <t>.</t>
    </r>
  </si>
  <si>
    <t>Tiempo estimado de Resolución (ETR):</t>
  </si>
  <si>
    <t>Causa de la alerta/caida. RFO:</t>
  </si>
  <si>
    <t>REVISED:</t>
  </si>
  <si>
    <t>Completa las horas siempre en horario España</t>
  </si>
  <si>
    <t>Fechas Inicio Alertas:</t>
  </si>
  <si>
    <t>Fechas Fin Alertas:</t>
  </si>
  <si>
    <t>Nombre</t>
  </si>
  <si>
    <t>Virtual DC</t>
  </si>
  <si>
    <t>Building</t>
  </si>
  <si>
    <t>CEJUNTA-VCIX1</t>
  </si>
  <si>
    <t>Campus Conectivity</t>
  </si>
  <si>
    <t>CGS</t>
  </si>
  <si>
    <t>Crítico Campus</t>
  </si>
  <si>
    <t>RIVCIXBE1</t>
  </si>
  <si>
    <t>GSNET Campus</t>
  </si>
  <si>
    <t>isblccbindp0001</t>
  </si>
  <si>
    <t>RIVCIXBO1</t>
  </si>
  <si>
    <t>isblccbindp0002</t>
  </si>
  <si>
    <t>RIVCIXCN1</t>
  </si>
  <si>
    <t>isblccbindp0003</t>
  </si>
  <si>
    <t>RIVCIXCS1</t>
  </si>
  <si>
    <t>isblccbindp0004</t>
  </si>
  <si>
    <t>VCIXBE1_NEW</t>
  </si>
  <si>
    <t>isblccbindp0005</t>
  </si>
  <si>
    <t>VCIXBO1_NEW</t>
  </si>
  <si>
    <t>isblccbindp0006</t>
  </si>
  <si>
    <t>VCIXCN1_NEW</t>
  </si>
  <si>
    <t>CTC</t>
  </si>
  <si>
    <t>isblccbindp0007</t>
  </si>
  <si>
    <t>VCIXCS1_NEW</t>
  </si>
  <si>
    <t>isblccbindp0008</t>
  </si>
  <si>
    <t>isblccbindp0009</t>
  </si>
  <si>
    <t>isblccbindp0010</t>
  </si>
  <si>
    <t>isblccbindp0011</t>
  </si>
  <si>
    <t>isblccbindp0012</t>
  </si>
  <si>
    <t>isblccbindp0013</t>
  </si>
  <si>
    <t>isblccbindp0014</t>
  </si>
  <si>
    <t>isblccbindp0015</t>
  </si>
  <si>
    <t>isblccbindp0016</t>
  </si>
  <si>
    <t>STRITONSBE-00</t>
  </si>
  <si>
    <t>TRITON SQUARE</t>
  </si>
  <si>
    <t>0c:8d:db:26:cc:7c</t>
  </si>
  <si>
    <t>88:15:44:03:9b:99</t>
  </si>
  <si>
    <t>88:15:44:06:87:40</t>
  </si>
  <si>
    <t>ASWARHISTORICO</t>
  </si>
  <si>
    <t>ASWECC1</t>
  </si>
  <si>
    <t>ASWECC2</t>
  </si>
  <si>
    <t>ASWMAABLPB1-01</t>
  </si>
  <si>
    <t>ASWMAALJN-01</t>
  </si>
  <si>
    <t>ASWMABLPB2-01</t>
  </si>
  <si>
    <t>ASWMACCN-01</t>
  </si>
  <si>
    <t>ASWMACPDNPB-01</t>
  </si>
  <si>
    <t>ASWMACPDNS1-1-01</t>
  </si>
  <si>
    <t>ASWMACPDNS1-2-01</t>
  </si>
  <si>
    <t>ASWMACPDSPB-01</t>
  </si>
  <si>
    <t>ASWMACPDSS1-1-01</t>
  </si>
  <si>
    <t>ASWMACPDSS1-2-01</t>
  </si>
  <si>
    <t>ASWMACT-01</t>
  </si>
  <si>
    <t>ASWMAUCIT</t>
  </si>
  <si>
    <t>ASWPPARD01</t>
  </si>
  <si>
    <t>PARIS</t>
  </si>
  <si>
    <t>ASWPPARD02</t>
  </si>
  <si>
    <t>ASWPPARD03</t>
  </si>
  <si>
    <t>ASWPPARD04</t>
  </si>
  <si>
    <t>ASWPPARD05</t>
  </si>
  <si>
    <t>CEABELIAS1</t>
  </si>
  <si>
    <t>Abelias</t>
  </si>
  <si>
    <t>CEABELIAS2</t>
  </si>
  <si>
    <t>CEABELIASPCN1</t>
  </si>
  <si>
    <t>CEABELIASPCN2</t>
  </si>
  <si>
    <t>CEAEGON1</t>
  </si>
  <si>
    <t>AEGON</t>
  </si>
  <si>
    <t>CEAEGON2</t>
  </si>
  <si>
    <t>CEBAHAMAS1</t>
  </si>
  <si>
    <t>BAHAMAS</t>
  </si>
  <si>
    <t>CEBAHAMAS1-2</t>
  </si>
  <si>
    <t>CEBOA421PCN01</t>
  </si>
  <si>
    <t>CEBOA421PCN02</t>
  </si>
  <si>
    <t>CECESC1</t>
  </si>
  <si>
    <t>Salia</t>
  </si>
  <si>
    <t>CECESC2</t>
  </si>
  <si>
    <t>CEFINCA4-1</t>
  </si>
  <si>
    <t>LA FINCA</t>
  </si>
  <si>
    <t>CEFINCA4-2</t>
  </si>
  <si>
    <t>CEJOSEFA1</t>
  </si>
  <si>
    <t>JOSEFA VALCARCEL 34-36</t>
  </si>
  <si>
    <t>CEJOSEFA2</t>
  </si>
  <si>
    <t>CEJUNTA1</t>
  </si>
  <si>
    <t>CEJUNTA2</t>
  </si>
  <si>
    <t>CEJUNTAI1</t>
  </si>
  <si>
    <t>CESB1</t>
  </si>
  <si>
    <t>SANTA BARBARA</t>
  </si>
  <si>
    <t>CESB2</t>
  </si>
  <si>
    <t>CETENA1</t>
  </si>
  <si>
    <t>Tena</t>
  </si>
  <si>
    <t>CETENA2</t>
  </si>
  <si>
    <t>CEVDCNNGG1_NEW</t>
  </si>
  <si>
    <t>CEVDCNNGG2_NEW</t>
  </si>
  <si>
    <t>CEVDCSAN1_NEW</t>
  </si>
  <si>
    <t>CEVDCSAN2_NEW</t>
  </si>
  <si>
    <t>CEWROCLAW1</t>
  </si>
  <si>
    <t>POLONIA -WROCLAW</t>
  </si>
  <si>
    <t>CEWROCLAW2</t>
  </si>
  <si>
    <t>CRACSGD1</t>
  </si>
  <si>
    <t>CRACSGD1-2</t>
  </si>
  <si>
    <t>CRACUSB1</t>
  </si>
  <si>
    <t>CRACUSD1</t>
  </si>
  <si>
    <t>CRACUSD1-2</t>
  </si>
  <si>
    <t>CRACUSD2</t>
  </si>
  <si>
    <t>CRACUSD2-2</t>
  </si>
  <si>
    <t>CRTCSEA1</t>
  </si>
  <si>
    <t>CRTCSEA1-2</t>
  </si>
  <si>
    <t>CRTCUSC1</t>
  </si>
  <si>
    <t>CRTJUSA1</t>
  </si>
  <si>
    <t>CRTJUSA1-2</t>
  </si>
  <si>
    <t>CSAAUSD1</t>
  </si>
  <si>
    <t>CSAAUSI7</t>
  </si>
  <si>
    <t>CSACSGA1</t>
  </si>
  <si>
    <t>CSACSGA2</t>
  </si>
  <si>
    <t>CSACSGA2-2</t>
  </si>
  <si>
    <t>CSACUSD2</t>
  </si>
  <si>
    <t>CSACUSD2-2</t>
  </si>
  <si>
    <t>CSACUSD3</t>
  </si>
  <si>
    <t>CSACUSI7</t>
  </si>
  <si>
    <t>CSACUSI7-2</t>
  </si>
  <si>
    <t>CSACUSI8</t>
  </si>
  <si>
    <t>CSACUSI8-2</t>
  </si>
  <si>
    <t>CSTCSEA1</t>
  </si>
  <si>
    <t>CSTCSEA1-2</t>
  </si>
  <si>
    <t>CSTJSGA1</t>
  </si>
  <si>
    <t>CSTJSGA1-2</t>
  </si>
  <si>
    <t>CSTJUSA1</t>
  </si>
  <si>
    <t>CSTJUSA1-2</t>
  </si>
  <si>
    <t>CSTJUSA1-3</t>
  </si>
  <si>
    <t>CSTJUSA2</t>
  </si>
  <si>
    <t>CSTJUSA2-2</t>
  </si>
  <si>
    <t>CSTJUSA3</t>
  </si>
  <si>
    <t>CSTJUSA3-2</t>
  </si>
  <si>
    <t>CSTJUSA3-3</t>
  </si>
  <si>
    <t>CSTJUSA4</t>
  </si>
  <si>
    <t>CZAAUSE1</t>
  </si>
  <si>
    <t>CZBAUSB2</t>
  </si>
  <si>
    <t>DSW-CARR</t>
  </si>
  <si>
    <t>SANTANDER</t>
  </si>
  <si>
    <t>DSWPPARD01</t>
  </si>
  <si>
    <t>DSWPPARD02</t>
  </si>
  <si>
    <t>e0:55:3d:d0:c3:cf</t>
  </si>
  <si>
    <t>ERKC0001</t>
  </si>
  <si>
    <t>ERKC0001-2</t>
  </si>
  <si>
    <t>ERKC0002</t>
  </si>
  <si>
    <t>ERKC0002-2</t>
  </si>
  <si>
    <t>ERRCS101</t>
  </si>
  <si>
    <t>Recoletos</t>
  </si>
  <si>
    <t>ERRCS101-2</t>
  </si>
  <si>
    <t>ERTJRG01</t>
  </si>
  <si>
    <t>ERTJRG01-2</t>
  </si>
  <si>
    <t>ERTJRG01-3</t>
  </si>
  <si>
    <t>ERTJRG01-4</t>
  </si>
  <si>
    <t>ERTJRG11</t>
  </si>
  <si>
    <t>ERTJRG11-2</t>
  </si>
  <si>
    <t>ERTJRG11-3</t>
  </si>
  <si>
    <t>ERTJRG11-4</t>
  </si>
  <si>
    <t>ES2017612</t>
  </si>
  <si>
    <t>ES2028443</t>
  </si>
  <si>
    <t>ES2028444</t>
  </si>
  <si>
    <t>ES2030435</t>
  </si>
  <si>
    <t>ESAA0101</t>
  </si>
  <si>
    <t>ESAC1D01</t>
  </si>
  <si>
    <t>ESAC1D01-2</t>
  </si>
  <si>
    <t>ESAC1D01-3</t>
  </si>
  <si>
    <t>ESAC1D02</t>
  </si>
  <si>
    <t>ESAC1D02-2</t>
  </si>
  <si>
    <t>ESAC1D02-3</t>
  </si>
  <si>
    <t>ESAC1D02-4</t>
  </si>
  <si>
    <t>ESAC1D03</t>
  </si>
  <si>
    <t>ESAC1D03-2</t>
  </si>
  <si>
    <t>ESAC5B01</t>
  </si>
  <si>
    <t>ESAC5B01-2</t>
  </si>
  <si>
    <t>ESAC5B01-3</t>
  </si>
  <si>
    <t>ESAC5B02</t>
  </si>
  <si>
    <t>ESAC5B02-2</t>
  </si>
  <si>
    <t>ESAC5B02-3</t>
  </si>
  <si>
    <t>ESAC5B03</t>
  </si>
  <si>
    <t>ESAC6A01</t>
  </si>
  <si>
    <t>ESAC6A01-2</t>
  </si>
  <si>
    <t>ESAC6A01-3</t>
  </si>
  <si>
    <t>ESAC6A01-4</t>
  </si>
  <si>
    <t>ESAC6A02</t>
  </si>
  <si>
    <t>ESAC6A02-2</t>
  </si>
  <si>
    <t>ESAC6A02-3</t>
  </si>
  <si>
    <t>ESAC6A03</t>
  </si>
  <si>
    <t>ESAC6C01</t>
  </si>
  <si>
    <t>ESAC6C01-2</t>
  </si>
  <si>
    <t>ESAC6C01-3</t>
  </si>
  <si>
    <t>ESAC6C01-4</t>
  </si>
  <si>
    <t>ESAC6C02</t>
  </si>
  <si>
    <t>ESAC6C02-2</t>
  </si>
  <si>
    <t>ESAC6C02-3</t>
  </si>
  <si>
    <t>ESAC6C03</t>
  </si>
  <si>
    <t>ESAC6D01</t>
  </si>
  <si>
    <t>ESAC6D01-2</t>
  </si>
  <si>
    <t>ESAC6D01-3</t>
  </si>
  <si>
    <t>ESAC6D01-4</t>
  </si>
  <si>
    <t>ESAC6D01-5</t>
  </si>
  <si>
    <t>ESAC6D02</t>
  </si>
  <si>
    <t>ESAC6D02-2</t>
  </si>
  <si>
    <t>ESAC6D02-3</t>
  </si>
  <si>
    <t>ESAC6D02-4</t>
  </si>
  <si>
    <t>ESAC6D03</t>
  </si>
  <si>
    <t>ESAC6E01</t>
  </si>
  <si>
    <t>ESAC6E01-2</t>
  </si>
  <si>
    <t>ESAC6E01-3</t>
  </si>
  <si>
    <t>ESAC6E01-4</t>
  </si>
  <si>
    <t>ESAC6E02</t>
  </si>
  <si>
    <t>ESAC6E02-2</t>
  </si>
  <si>
    <t>ESAC6E02-3</t>
  </si>
  <si>
    <t>ESAC6E02-4</t>
  </si>
  <si>
    <t>ESAC6E03</t>
  </si>
  <si>
    <t>ESACAA01</t>
  </si>
  <si>
    <t>ESACAA01-2</t>
  </si>
  <si>
    <t>ESACAA01-3</t>
  </si>
  <si>
    <t>ESACAA01-4</t>
  </si>
  <si>
    <t>ESACAA01-5</t>
  </si>
  <si>
    <t>ESACAA02</t>
  </si>
  <si>
    <t>ESACAB01</t>
  </si>
  <si>
    <t>ESACAB01-2</t>
  </si>
  <si>
    <t>ESACAB01-3</t>
  </si>
  <si>
    <t>ESACAB01-4</t>
  </si>
  <si>
    <t>ESACAB02</t>
  </si>
  <si>
    <t>ESACAB02-2</t>
  </si>
  <si>
    <t>ESACAB02-3</t>
  </si>
  <si>
    <t>ESACAB03</t>
  </si>
  <si>
    <t>ESACAB03-2</t>
  </si>
  <si>
    <t>ESACAC01</t>
  </si>
  <si>
    <t>ESACAC01-2</t>
  </si>
  <si>
    <t>ESACAC01-3</t>
  </si>
  <si>
    <t>ESACAC02</t>
  </si>
  <si>
    <t>ESACAC02-2</t>
  </si>
  <si>
    <t>ESACAC02-3</t>
  </si>
  <si>
    <t>ESACAC03</t>
  </si>
  <si>
    <t>ESACAE01</t>
  </si>
  <si>
    <t>ESACAE01-2</t>
  </si>
  <si>
    <t>ESACAE01-3</t>
  </si>
  <si>
    <t>ESACAE02</t>
  </si>
  <si>
    <t>ESACAE03</t>
  </si>
  <si>
    <t>ESACAE03-2</t>
  </si>
  <si>
    <t>ESACAE04</t>
  </si>
  <si>
    <t>ESACAE04-2</t>
  </si>
  <si>
    <t>ESACAE04-3</t>
  </si>
  <si>
    <t>ESACAT01</t>
  </si>
  <si>
    <t>ESACAT02</t>
  </si>
  <si>
    <t>ESACCA01</t>
  </si>
  <si>
    <t>ESACCA01-1</t>
  </si>
  <si>
    <t>ESACCB01</t>
  </si>
  <si>
    <t>ESACCB01-2</t>
  </si>
  <si>
    <t>ESACCS01</t>
  </si>
  <si>
    <t>ESACCS02</t>
  </si>
  <si>
    <t>ESACCS02-2</t>
  </si>
  <si>
    <t>ESACLB01</t>
  </si>
  <si>
    <t>ESACLB01-2</t>
  </si>
  <si>
    <t>ESACMT01</t>
  </si>
  <si>
    <t>ESACMT71</t>
  </si>
  <si>
    <t>ESACMT71-2</t>
  </si>
  <si>
    <t>ESACS202</t>
  </si>
  <si>
    <t>ESACS203</t>
  </si>
  <si>
    <t>ESACS203-2</t>
  </si>
  <si>
    <t>ESACS203-3</t>
  </si>
  <si>
    <t>ESACS204</t>
  </si>
  <si>
    <t>ESACS204-2</t>
  </si>
  <si>
    <t>ESACS301</t>
  </si>
  <si>
    <t>ESACS302</t>
  </si>
  <si>
    <t>ESACSG01</t>
  </si>
  <si>
    <t>ESACSG02</t>
  </si>
  <si>
    <t>ESACSG02-2</t>
  </si>
  <si>
    <t>ESJAA001</t>
  </si>
  <si>
    <t>ESJAA002</t>
  </si>
  <si>
    <t>ESJC0001</t>
  </si>
  <si>
    <t>ESJC0001-2</t>
  </si>
  <si>
    <t>ESJC0001-3</t>
  </si>
  <si>
    <t>ESJC0002</t>
  </si>
  <si>
    <t>ESJC0002-2</t>
  </si>
  <si>
    <t>ESJC0003</t>
  </si>
  <si>
    <t>ESJC0003-2</t>
  </si>
  <si>
    <t>ESJC0101</t>
  </si>
  <si>
    <t>ESJC0101-2</t>
  </si>
  <si>
    <t>ESJC0101-3</t>
  </si>
  <si>
    <t>ESJC0102</t>
  </si>
  <si>
    <t>ESJC0102-2</t>
  </si>
  <si>
    <t>ESJC0201</t>
  </si>
  <si>
    <t>ESJC0201-2</t>
  </si>
  <si>
    <t>ESJC0201-3</t>
  </si>
  <si>
    <t>ESJC0201-4</t>
  </si>
  <si>
    <t>ESJC0202</t>
  </si>
  <si>
    <t>ESJC0202-2</t>
  </si>
  <si>
    <t>ESJC0202-3</t>
  </si>
  <si>
    <t>ESJC0202-4</t>
  </si>
  <si>
    <t>ESJC0203</t>
  </si>
  <si>
    <t>ESJC0203-2</t>
  </si>
  <si>
    <t>ESJC0301</t>
  </si>
  <si>
    <t>ESJC0301-2</t>
  </si>
  <si>
    <t>ESJC0301-3</t>
  </si>
  <si>
    <t>ESJC0302</t>
  </si>
  <si>
    <t>ESJC0G01</t>
  </si>
  <si>
    <t>ESKC0001</t>
  </si>
  <si>
    <t>ESKC0001-2</t>
  </si>
  <si>
    <t>ESKC0002</t>
  </si>
  <si>
    <t>ESKC0002-2</t>
  </si>
  <si>
    <t>ESKC0003</t>
  </si>
  <si>
    <t>ESKC0201</t>
  </si>
  <si>
    <t>ESKC0201-2</t>
  </si>
  <si>
    <t>ESKC0202</t>
  </si>
  <si>
    <t>ESKC0202-2</t>
  </si>
  <si>
    <t>ESKC0203</t>
  </si>
  <si>
    <t>ESLC0001</t>
  </si>
  <si>
    <t>ESLC0001-2</t>
  </si>
  <si>
    <t>ESLC0001-3</t>
  </si>
  <si>
    <t>ESLC0002</t>
  </si>
  <si>
    <t>ESLC0002-2</t>
  </si>
  <si>
    <t>ESLC0002-3</t>
  </si>
  <si>
    <t>ESLC0003</t>
  </si>
  <si>
    <t>ESLC0003-2</t>
  </si>
  <si>
    <t>ESLC0101</t>
  </si>
  <si>
    <t>ESLC0101-2</t>
  </si>
  <si>
    <t>ESLC0101-3</t>
  </si>
  <si>
    <t>ESLC0101-4</t>
  </si>
  <si>
    <t>ESLC0101-5</t>
  </si>
  <si>
    <t>ESLC0102</t>
  </si>
  <si>
    <t>ESLC0102-2</t>
  </si>
  <si>
    <t>ESLC0102-3</t>
  </si>
  <si>
    <t>ESLC0102-4</t>
  </si>
  <si>
    <t>ESLC0102-5</t>
  </si>
  <si>
    <t>ESLC0103</t>
  </si>
  <si>
    <t>ESLC0G01</t>
  </si>
  <si>
    <t>ESMC0410</t>
  </si>
  <si>
    <t>Josefa Valcarcel 30</t>
  </si>
  <si>
    <t>ESRAA001</t>
  </si>
  <si>
    <t>ESRAA002</t>
  </si>
  <si>
    <t>ESRC0001</t>
  </si>
  <si>
    <t>ESRC0001-2</t>
  </si>
  <si>
    <t>ESRC0002</t>
  </si>
  <si>
    <t>ESRC0002-2</t>
  </si>
  <si>
    <t>ESRC0010</t>
  </si>
  <si>
    <t>ESRC0210</t>
  </si>
  <si>
    <t>ESRC0301</t>
  </si>
  <si>
    <t>ESRC0301-2</t>
  </si>
  <si>
    <t>ESRC0302</t>
  </si>
  <si>
    <t>ESRC0302-2</t>
  </si>
  <si>
    <t>ESRC0302-3</t>
  </si>
  <si>
    <t>ESRC0410</t>
  </si>
  <si>
    <t>ESRC0501</t>
  </si>
  <si>
    <t>ESRC0501-2</t>
  </si>
  <si>
    <t>ESRC0501-3</t>
  </si>
  <si>
    <t>ESRC0502</t>
  </si>
  <si>
    <t>ESRC0502-2</t>
  </si>
  <si>
    <t>ESRC0502-3</t>
  </si>
  <si>
    <t>ESRC0610</t>
  </si>
  <si>
    <t>ESRC0701</t>
  </si>
  <si>
    <t>ESRC0701-2</t>
  </si>
  <si>
    <t>ESRC0702</t>
  </si>
  <si>
    <t>ESRC0702-2</t>
  </si>
  <si>
    <t>ESRC0702-3</t>
  </si>
  <si>
    <t>ESRC0710</t>
  </si>
  <si>
    <t>ESRCS110</t>
  </si>
  <si>
    <t>ESRCS110-2</t>
  </si>
  <si>
    <t>ESSC0101</t>
  </si>
  <si>
    <t>ESSC0101-2</t>
  </si>
  <si>
    <t>ESSC0101-3</t>
  </si>
  <si>
    <t>ESSC0201</t>
  </si>
  <si>
    <t>ESSC0201-2</t>
  </si>
  <si>
    <t>ESSC0201-3</t>
  </si>
  <si>
    <t>ESSC0210</t>
  </si>
  <si>
    <t>ESTJ1A01</t>
  </si>
  <si>
    <t>ESTJ1A01-2</t>
  </si>
  <si>
    <t>ESTJ1A01-3</t>
  </si>
  <si>
    <t>ESTJ1A02</t>
  </si>
  <si>
    <t>ESTJ1A02-2</t>
  </si>
  <si>
    <t>ESTJ1A02-3</t>
  </si>
  <si>
    <t>ESTJ1A10</t>
  </si>
  <si>
    <t>ESTJ1A10-1</t>
  </si>
  <si>
    <t>ESTJ1B01</t>
  </si>
  <si>
    <t>ESTJ1B01-2</t>
  </si>
  <si>
    <t>ESTJ1B01-3</t>
  </si>
  <si>
    <t>ESTJ1B02</t>
  </si>
  <si>
    <t>ESTJ1B02-2</t>
  </si>
  <si>
    <t>ESTJ1B02-3</t>
  </si>
  <si>
    <t>ESTJ1B10</t>
  </si>
  <si>
    <t>ESTJ1B10-2</t>
  </si>
  <si>
    <t>ESTJ1C01</t>
  </si>
  <si>
    <t>ESTJ1C01-2</t>
  </si>
  <si>
    <t>ESTJ1C01-3</t>
  </si>
  <si>
    <t>ESTJ1C01-4</t>
  </si>
  <si>
    <t>ESTJ1C02</t>
  </si>
  <si>
    <t>ESTJ1C02-2</t>
  </si>
  <si>
    <t>ESTJ1C02-3</t>
  </si>
  <si>
    <t>ESTJ1C02-4</t>
  </si>
  <si>
    <t>ESTJ1C10</t>
  </si>
  <si>
    <t>ESTJ1C10-2</t>
  </si>
  <si>
    <t>ESTJ1D01</t>
  </si>
  <si>
    <t>ESTJ1D01-2</t>
  </si>
  <si>
    <t>ESTJ1D01-3</t>
  </si>
  <si>
    <t>ESTJ1D02</t>
  </si>
  <si>
    <t>ESTJ1D02-2</t>
  </si>
  <si>
    <t>ESTJ1D02-3</t>
  </si>
  <si>
    <t>ESTJ1D10</t>
  </si>
  <si>
    <t>ESTJ1D10-2</t>
  </si>
  <si>
    <t>ESTJ2A01</t>
  </si>
  <si>
    <t>ESTJ2A01-2</t>
  </si>
  <si>
    <t>ESTJ2A01-3</t>
  </si>
  <si>
    <t>ESTJ2A01-4</t>
  </si>
  <si>
    <t>ESTJ2A02</t>
  </si>
  <si>
    <t>ESTJ2A02-2</t>
  </si>
  <si>
    <t>ESTJ2A02-3</t>
  </si>
  <si>
    <t>ESTJ2A02-4</t>
  </si>
  <si>
    <t>ESTJ2A10</t>
  </si>
  <si>
    <t>ESTJ2A10-2</t>
  </si>
  <si>
    <t>ESTJ2B01</t>
  </si>
  <si>
    <t>ESTJ2B01-2</t>
  </si>
  <si>
    <t>ESTJ2B01-3</t>
  </si>
  <si>
    <t>ESTJ2B01-4</t>
  </si>
  <si>
    <t>ESTJ2B02</t>
  </si>
  <si>
    <t>ESTJ2B02-2</t>
  </si>
  <si>
    <t>ESTJ2B02-3</t>
  </si>
  <si>
    <t>ESTJ2B02-4</t>
  </si>
  <si>
    <t>ESTJ2B10</t>
  </si>
  <si>
    <t>ESTJ2C01</t>
  </si>
  <si>
    <t>ESTJ2C01-2</t>
  </si>
  <si>
    <t>ESTJ2C01-3</t>
  </si>
  <si>
    <t>ESTJ2C01-4</t>
  </si>
  <si>
    <t>ESTJ2C02</t>
  </si>
  <si>
    <t>ESTJ2C02-2</t>
  </si>
  <si>
    <t>ESTJ2C02-3</t>
  </si>
  <si>
    <t>ESTJ2C02-4</t>
  </si>
  <si>
    <t>ESTJ2C10</t>
  </si>
  <si>
    <t>ESTJ2C10-2</t>
  </si>
  <si>
    <t>ESTJ2D01</t>
  </si>
  <si>
    <t>ESTJ2D01-2</t>
  </si>
  <si>
    <t>ESTJ2D01-3</t>
  </si>
  <si>
    <t>ESTJ2D01-4</t>
  </si>
  <si>
    <t>ESTJ2D02</t>
  </si>
  <si>
    <t>ESTJ2D02-2</t>
  </si>
  <si>
    <t>ESTJ2D02-3</t>
  </si>
  <si>
    <t>ESTJ2D02-4</t>
  </si>
  <si>
    <t>ESTJ2D10</t>
  </si>
  <si>
    <t>ESTJ3A01</t>
  </si>
  <si>
    <t>ESTJ3A01-2</t>
  </si>
  <si>
    <t>ESTJ3A01-3</t>
  </si>
  <si>
    <t>ESTJ3A02</t>
  </si>
  <si>
    <t>ESTJ3A02-2</t>
  </si>
  <si>
    <t>ESTJ3A02-3</t>
  </si>
  <si>
    <t>ESTJ3A02-4</t>
  </si>
  <si>
    <t>ESTJ3A10</t>
  </si>
  <si>
    <t>ESTJ3A10-2</t>
  </si>
  <si>
    <t>ESTJ3A10-3</t>
  </si>
  <si>
    <t>ESTJ3B01</t>
  </si>
  <si>
    <t>ESTJ3B01-2</t>
  </si>
  <si>
    <t>ESTJ3B01-3</t>
  </si>
  <si>
    <t>ESTJ3B01-4</t>
  </si>
  <si>
    <t>ESTJ3B01-5</t>
  </si>
  <si>
    <t>ESTJ3B10</t>
  </si>
  <si>
    <t>ESTJ3B10-2</t>
  </si>
  <si>
    <t>ESTJ3C01</t>
  </si>
  <si>
    <t>ESTJ3C01-2</t>
  </si>
  <si>
    <t>ESTJ3C01-3</t>
  </si>
  <si>
    <t>ESTJ3C01-4</t>
  </si>
  <si>
    <t>ESTJ3C02</t>
  </si>
  <si>
    <t>ESTJ3C02-2</t>
  </si>
  <si>
    <t>ESTJ3C02-3</t>
  </si>
  <si>
    <t>ESTJ3C02-4</t>
  </si>
  <si>
    <t>ESTJ3C10</t>
  </si>
  <si>
    <t>ESTJ3C10-2</t>
  </si>
  <si>
    <t>ESTJ3D01</t>
  </si>
  <si>
    <t>ESTJ3D01-2</t>
  </si>
  <si>
    <t>ESTJ3D01-3</t>
  </si>
  <si>
    <t>ESTJ3D02</t>
  </si>
  <si>
    <t>ESTJ3D02-2</t>
  </si>
  <si>
    <t>ESTJ3D02-3</t>
  </si>
  <si>
    <t>ESTJ3D10</t>
  </si>
  <si>
    <t>ESTJ3D10-2</t>
  </si>
  <si>
    <t>ESTJ4A01</t>
  </si>
  <si>
    <t>ESTJ4A01-2</t>
  </si>
  <si>
    <t>ESTJ4A02</t>
  </si>
  <si>
    <t>ESTJ4A02-2</t>
  </si>
  <si>
    <t>ESTJ4A02-3</t>
  </si>
  <si>
    <t>ESTJ4A02-4</t>
  </si>
  <si>
    <t>ESTJ4A10</t>
  </si>
  <si>
    <t>ESTJ4B01</t>
  </si>
  <si>
    <t>ESTJ4B01-2</t>
  </si>
  <si>
    <t>ESTJ4B02</t>
  </si>
  <si>
    <t>ESTJ4B02-2</t>
  </si>
  <si>
    <t>ESTJ4B02-3</t>
  </si>
  <si>
    <t>ESTJ4B10</t>
  </si>
  <si>
    <t>ESTJ4C01</t>
  </si>
  <si>
    <t>ESTJ4C01-2</t>
  </si>
  <si>
    <t>ESTJ4C01-3</t>
  </si>
  <si>
    <t>ESTJ4C01-4</t>
  </si>
  <si>
    <t>ESTJ4C02</t>
  </si>
  <si>
    <t>ESTJ4C02-2</t>
  </si>
  <si>
    <t>ESTJ4C02-3</t>
  </si>
  <si>
    <t>ESTJ4C02-4</t>
  </si>
  <si>
    <t>ESTJ4C03</t>
  </si>
  <si>
    <t>ESTJ4C03-2</t>
  </si>
  <si>
    <t>ESTJ4C03-3</t>
  </si>
  <si>
    <t>ESTJ4C03-4</t>
  </si>
  <si>
    <t>ESTJ4C10</t>
  </si>
  <si>
    <t>ESTJ4C10-2</t>
  </si>
  <si>
    <t>ESTJ4D01</t>
  </si>
  <si>
    <t>ESTJ4D01-2</t>
  </si>
  <si>
    <t>ESTJ4D01-3</t>
  </si>
  <si>
    <t>ESTJ4D10</t>
  </si>
  <si>
    <t>ESTJAA01</t>
  </si>
  <si>
    <t>ESTJAA01-2</t>
  </si>
  <si>
    <t>ESTJAA01-3</t>
  </si>
  <si>
    <t>ESTJAA02</t>
  </si>
  <si>
    <t>ESTJAA02-2</t>
  </si>
  <si>
    <t>ESTJAA02-3</t>
  </si>
  <si>
    <t>ESTJAA02-4</t>
  </si>
  <si>
    <t>ESTJAA10</t>
  </si>
  <si>
    <t>ESTJAA10-2</t>
  </si>
  <si>
    <t>ESTJAA10-3</t>
  </si>
  <si>
    <t>ESTJAB01</t>
  </si>
  <si>
    <t>ESTJAB01-2</t>
  </si>
  <si>
    <t>ESTJAB01-3</t>
  </si>
  <si>
    <t>ESTJAB01-4</t>
  </si>
  <si>
    <t>ESTJAB01-5</t>
  </si>
  <si>
    <t>ESTJAB10</t>
  </si>
  <si>
    <t>ESTJAC01</t>
  </si>
  <si>
    <t>ESTJAC01-2</t>
  </si>
  <si>
    <t>ESTJAC01-3</t>
  </si>
  <si>
    <t>ESTJAC01-4</t>
  </si>
  <si>
    <t>ESTJAC02</t>
  </si>
  <si>
    <t>ESTJAC02-2</t>
  </si>
  <si>
    <t>ESTJAC02-3</t>
  </si>
  <si>
    <t>ESTJAC02-4</t>
  </si>
  <si>
    <t>ESTJAC03</t>
  </si>
  <si>
    <t>ESTJAC10</t>
  </si>
  <si>
    <t>ESTJAC10-2</t>
  </si>
  <si>
    <t>ESTJAD01</t>
  </si>
  <si>
    <t>ESTJAD01-2</t>
  </si>
  <si>
    <t>ESTJAD01-3</t>
  </si>
  <si>
    <t>ESTJAD01-4</t>
  </si>
  <si>
    <t>ESTJAD02</t>
  </si>
  <si>
    <t>ESTJAD02-2</t>
  </si>
  <si>
    <t>ESTJAD02-3</t>
  </si>
  <si>
    <t>ESTJAD10</t>
  </si>
  <si>
    <t>ESTJAD10-2</t>
  </si>
  <si>
    <t>ESTJCA01</t>
  </si>
  <si>
    <t>ESTJCA10</t>
  </si>
  <si>
    <t>ESTJCA10-2</t>
  </si>
  <si>
    <t>ESTJCB01</t>
  </si>
  <si>
    <t>ESTJCB10</t>
  </si>
  <si>
    <t>ESTJCB10-2</t>
  </si>
  <si>
    <t>ESTJCC01</t>
  </si>
  <si>
    <t>ESTJCC10</t>
  </si>
  <si>
    <t>ESTJCD01</t>
  </si>
  <si>
    <t>ESTJCD10</t>
  </si>
  <si>
    <t>ESTJCS01</t>
  </si>
  <si>
    <t>ESTJCS01-2</t>
  </si>
  <si>
    <t>ESTJCS02</t>
  </si>
  <si>
    <t>ESTJCS03</t>
  </si>
  <si>
    <t>ESTJCS04</t>
  </si>
  <si>
    <t>ESTJCS05</t>
  </si>
  <si>
    <t>ESTJCS06</t>
  </si>
  <si>
    <t>ESTJCS07</t>
  </si>
  <si>
    <t>ESTJCS10</t>
  </si>
  <si>
    <t>ESTJCS10-2</t>
  </si>
  <si>
    <t>ESTJCS10-3</t>
  </si>
  <si>
    <t>ESTJCS10-4</t>
  </si>
  <si>
    <t>ESTJCS11</t>
  </si>
  <si>
    <t>ESTJCS12</t>
  </si>
  <si>
    <t>ESTJCS13</t>
  </si>
  <si>
    <t>ESTJGA01</t>
  </si>
  <si>
    <t>ESTJGA02</t>
  </si>
  <si>
    <t>ESTJGA10</t>
  </si>
  <si>
    <t>ESTJGA11</t>
  </si>
  <si>
    <t>ESTJGD01</t>
  </si>
  <si>
    <t>ESTJGD02</t>
  </si>
  <si>
    <t>ESTJGD10</t>
  </si>
  <si>
    <t>ESTJGD11</t>
  </si>
  <si>
    <t>ESTJGD11-2</t>
  </si>
  <si>
    <t>ESTJSA01</t>
  </si>
  <si>
    <t>ESTJSA01-2</t>
  </si>
  <si>
    <t>ESTJSA01-3</t>
  </si>
  <si>
    <t>ESTJSA01-4</t>
  </si>
  <si>
    <t>ESTJSA10</t>
  </si>
  <si>
    <t>ESTJSA10-2</t>
  </si>
  <si>
    <t>ESTJSA10-3</t>
  </si>
  <si>
    <t>ESTJSB01</t>
  </si>
  <si>
    <t>ESTJSB01-2</t>
  </si>
  <si>
    <t>ESTJSB02</t>
  </si>
  <si>
    <t>ESTJSB02-2</t>
  </si>
  <si>
    <t>ESTJSB02-3</t>
  </si>
  <si>
    <t>ESTJSB02-4</t>
  </si>
  <si>
    <t>ESTJSB02-5</t>
  </si>
  <si>
    <t>ESTJSB03</t>
  </si>
  <si>
    <t>ESTJSB03-2</t>
  </si>
  <si>
    <t>ESTJSB10</t>
  </si>
  <si>
    <t>ESTJSB10-2</t>
  </si>
  <si>
    <t>ESTJSB10-3</t>
  </si>
  <si>
    <t>ESTJSB10-4</t>
  </si>
  <si>
    <t>ESTJSB11</t>
  </si>
  <si>
    <t>ESTJSB11-2</t>
  </si>
  <si>
    <t>ESTJSB11-3</t>
  </si>
  <si>
    <t>ESTJSB11-4</t>
  </si>
  <si>
    <t>ESTJSB12</t>
  </si>
  <si>
    <t>ESTJSC01</t>
  </si>
  <si>
    <t>ESTJSC01-2</t>
  </si>
  <si>
    <t>ESTJSC01-3</t>
  </si>
  <si>
    <t>ESTJSC01-4</t>
  </si>
  <si>
    <t>ESTJSC02</t>
  </si>
  <si>
    <t>ESTJSC02-2</t>
  </si>
  <si>
    <t>ESTJSC10</t>
  </si>
  <si>
    <t>ESTJSC10-2</t>
  </si>
  <si>
    <t>ESTJSC10-3</t>
  </si>
  <si>
    <t>ESTJSC10-4</t>
  </si>
  <si>
    <t>ESTJSC11</t>
  </si>
  <si>
    <t>ESTJSD01</t>
  </si>
  <si>
    <t>ESTJSD01-2</t>
  </si>
  <si>
    <t>ESTJSD01-3</t>
  </si>
  <si>
    <t>ESTJSD01-4</t>
  </si>
  <si>
    <t>ESTJSD10</t>
  </si>
  <si>
    <t>ESTJSD10-2</t>
  </si>
  <si>
    <t>ESTJSD10-3</t>
  </si>
  <si>
    <t>ESTJSD10-4</t>
  </si>
  <si>
    <t>FACONSUMERCANN-01</t>
  </si>
  <si>
    <t>FMCONSUMERCANN-01</t>
  </si>
  <si>
    <t>CPD_Cantabria_Norte</t>
  </si>
  <si>
    <t>FW - CASA PRINCIPAL</t>
  </si>
  <si>
    <t>CIUDAD REAL</t>
  </si>
  <si>
    <t>FW - Escuela Infantil</t>
  </si>
  <si>
    <t>FW - GARITA</t>
  </si>
  <si>
    <t>FW - Hornachuelos</t>
  </si>
  <si>
    <t>NAVAS DE LOS CORCHOS ALTOS</t>
  </si>
  <si>
    <t>FW - Hornachuelos - 2</t>
  </si>
  <si>
    <t>FW - Tormes</t>
  </si>
  <si>
    <t>MADRID</t>
  </si>
  <si>
    <t>FW1-MONTE-RESTAURANTE</t>
  </si>
  <si>
    <t>MONTEPRINCIPE</t>
  </si>
  <si>
    <t>FW-AMAZONIA-A</t>
  </si>
  <si>
    <t>FW-AMAZONIA-B</t>
  </si>
  <si>
    <t>FWCARR</t>
  </si>
  <si>
    <t>FW-CD-A</t>
  </si>
  <si>
    <t>FW-CD-B</t>
  </si>
  <si>
    <t>FW-CD-C</t>
  </si>
  <si>
    <t>FW-CD-D</t>
  </si>
  <si>
    <t>FW-CM</t>
  </si>
  <si>
    <t>FW-FARO</t>
  </si>
  <si>
    <t>FW-GOLF</t>
  </si>
  <si>
    <t>FW-HOTEL</t>
  </si>
  <si>
    <t>FW-KABUKI</t>
  </si>
  <si>
    <t>FW-LABO-COMMs</t>
  </si>
  <si>
    <t>FW-LANDMARK</t>
  </si>
  <si>
    <t>FW-LUXEMBURGO-WMI</t>
  </si>
  <si>
    <t>Luxemburgo</t>
  </si>
  <si>
    <t>FW-LUXEMBURGO-WMI-Spare</t>
  </si>
  <si>
    <t>FW-PINAR-A</t>
  </si>
  <si>
    <t>FW-PINAR-B</t>
  </si>
  <si>
    <t>FW-PUERTOCHICO</t>
  </si>
  <si>
    <t>FW-QUINTANAVIDES</t>
  </si>
  <si>
    <t>FW-SARDINERO</t>
  </si>
  <si>
    <t>FW-SB-PRIMARY</t>
  </si>
  <si>
    <t>FW-SB-Secundary</t>
  </si>
  <si>
    <t>FW-WIDEROOM</t>
  </si>
  <si>
    <t>FW-WR-CASTELLANA24</t>
  </si>
  <si>
    <t>CASTELLANA 24</t>
  </si>
  <si>
    <t>FW-WR-PEREDA</t>
  </si>
  <si>
    <t>LAN_DESKWALL</t>
  </si>
  <si>
    <t>LAN_DESKWALL_2</t>
  </si>
  <si>
    <t>MX - ALHAMBRA</t>
  </si>
  <si>
    <t>ALHAMBRA</t>
  </si>
  <si>
    <t>MX1-AMSTERDAM-SCIB</t>
  </si>
  <si>
    <t>AMSTERDAM</t>
  </si>
  <si>
    <t>MX2-AMSTERDAM-SCIB</t>
  </si>
  <si>
    <t>MX-FRAUDFENSE-1</t>
  </si>
  <si>
    <t>TRES CANTOS</t>
  </si>
  <si>
    <t>MX-FRAUDFENSE-2</t>
  </si>
  <si>
    <t>MXGUESTALH1</t>
  </si>
  <si>
    <t>MXGUESTALH2</t>
  </si>
  <si>
    <t>MXGUESTBE</t>
  </si>
  <si>
    <t>MXGUESTBO</t>
  </si>
  <si>
    <t>MXGUESTCAST24A</t>
  </si>
  <si>
    <t>MXGUESTCAST24B</t>
  </si>
  <si>
    <t>MXGUESTMLEGENDRE1</t>
  </si>
  <si>
    <t>M. LEGENDRE</t>
  </si>
  <si>
    <t>MXGUESTMLEGENDRE2</t>
  </si>
  <si>
    <t>MX-LandCo-BCN1</t>
  </si>
  <si>
    <t>BARCELONA</t>
  </si>
  <si>
    <t>MX-LandCo-BCN2</t>
  </si>
  <si>
    <t>MX-LandCo-SEV1</t>
  </si>
  <si>
    <t>SEVILLA</t>
  </si>
  <si>
    <t>MX-LandCo-SEV2</t>
  </si>
  <si>
    <t>MX-LandCo-VAL1</t>
  </si>
  <si>
    <t>VALENCIA</t>
  </si>
  <si>
    <t>MX-LandCo-VAL2</t>
  </si>
  <si>
    <t>MXMGUESTCTCCN</t>
  </si>
  <si>
    <t>MXMGUESTCTCCS</t>
  </si>
  <si>
    <t>MX-WARSAW-1</t>
  </si>
  <si>
    <t>POLONIA - WARSAW</t>
  </si>
  <si>
    <t>MX-WARSAW-2</t>
  </si>
  <si>
    <t>RIALHAMBRA1</t>
  </si>
  <si>
    <t>RIALHAMBRA2</t>
  </si>
  <si>
    <t>RIBOACC1</t>
  </si>
  <si>
    <t>RIBOACC2</t>
  </si>
  <si>
    <t>RICAST24A</t>
  </si>
  <si>
    <t>RICAST24B</t>
  </si>
  <si>
    <t>RICTCCN</t>
  </si>
  <si>
    <t>RICTCCS</t>
  </si>
  <si>
    <t>RIJUNTA1</t>
  </si>
  <si>
    <t>RIJUNTA2</t>
  </si>
  <si>
    <t>RILAFINCA1A</t>
  </si>
  <si>
    <t>LA FINCA 1</t>
  </si>
  <si>
    <t>RILAFINCA1B</t>
  </si>
  <si>
    <t>RIMLEGENDRE1</t>
  </si>
  <si>
    <t>RIMLEGENDRE2</t>
  </si>
  <si>
    <t>RISCONSUMERCANN-01</t>
  </si>
  <si>
    <t>RISCONSUMERCANS-01</t>
  </si>
  <si>
    <t>RIUNITYBA-01</t>
  </si>
  <si>
    <t>UNITY PLACE</t>
  </si>
  <si>
    <t>Crítico Unity</t>
  </si>
  <si>
    <t>RIUNITYBB-01</t>
  </si>
  <si>
    <t>RIVALLAD1A</t>
  </si>
  <si>
    <t>VALLADOLID</t>
  </si>
  <si>
    <t>RIVALLAD1B</t>
  </si>
  <si>
    <t>RMULTI1</t>
  </si>
  <si>
    <t>RMULTI2</t>
  </si>
  <si>
    <t>ROUTER_SANTANDER_VIDA_OESTE</t>
  </si>
  <si>
    <t>RSABELIASPCN1</t>
  </si>
  <si>
    <t>ABELIAS</t>
  </si>
  <si>
    <t>RSABELIASPCN2</t>
  </si>
  <si>
    <t>RSALHAMBRA1</t>
  </si>
  <si>
    <t>RSALHAMBRA2</t>
  </si>
  <si>
    <t>RSBOACC1</t>
  </si>
  <si>
    <t>RSBOACC2</t>
  </si>
  <si>
    <t>RSBOAD100A</t>
  </si>
  <si>
    <t>RSBOAD100B</t>
  </si>
  <si>
    <t>RSBOAD10A</t>
  </si>
  <si>
    <t>RSBOAD10B</t>
  </si>
  <si>
    <t>RSBOAD11A</t>
  </si>
  <si>
    <t>RSBOAD11B</t>
  </si>
  <si>
    <t>RSBOAD12A</t>
  </si>
  <si>
    <t>RSBOAD12B</t>
  </si>
  <si>
    <t>RSBOAD21A</t>
  </si>
  <si>
    <t>RSBOAD21B</t>
  </si>
  <si>
    <t>RSBOAD22A</t>
  </si>
  <si>
    <t>RSBOAD22B</t>
  </si>
  <si>
    <t>RSBOAD30A</t>
  </si>
  <si>
    <t>RSBOAD31A</t>
  </si>
  <si>
    <t>RSBOAD31B</t>
  </si>
  <si>
    <t>RSBOAD32A</t>
  </si>
  <si>
    <t>RSBOAD32B</t>
  </si>
  <si>
    <t>RSBOAD41A</t>
  </si>
  <si>
    <t>RSBOAD41B</t>
  </si>
  <si>
    <t>RSBOAD421PCN01</t>
  </si>
  <si>
    <t>RSBOAD421PCN02</t>
  </si>
  <si>
    <t>RSBOAD42A</t>
  </si>
  <si>
    <t>RSBOAD42B</t>
  </si>
  <si>
    <t>RSBOAD81A</t>
  </si>
  <si>
    <t>RSBOAD81B</t>
  </si>
  <si>
    <t>RSBOAD82A</t>
  </si>
  <si>
    <t>RSBOAD82B</t>
  </si>
  <si>
    <t>RSBOAD83A</t>
  </si>
  <si>
    <t>RSBOAD83B</t>
  </si>
  <si>
    <t>RSBOAD84A</t>
  </si>
  <si>
    <t>RSBOAD84B</t>
  </si>
  <si>
    <t>RSBOAD91A</t>
  </si>
  <si>
    <t>RSBOAD91B</t>
  </si>
  <si>
    <t>RSBOAD92A</t>
  </si>
  <si>
    <t>RSBOAD92B</t>
  </si>
  <si>
    <t>RSCAST24A</t>
  </si>
  <si>
    <t>RSCAST24B</t>
  </si>
  <si>
    <t>RSCESC1</t>
  </si>
  <si>
    <t>SALIA</t>
  </si>
  <si>
    <t>RSCESC2</t>
  </si>
  <si>
    <t>RSCTCCN</t>
  </si>
  <si>
    <t>RSCTCCS</t>
  </si>
  <si>
    <t>RSJUNTA1</t>
  </si>
  <si>
    <t>RSJUNTA1-2</t>
  </si>
  <si>
    <t>RSJUNTA1-3</t>
  </si>
  <si>
    <t>RSJUNTA2</t>
  </si>
  <si>
    <t>RSLAFIN4DA</t>
  </si>
  <si>
    <t>LA FINCA 4</t>
  </si>
  <si>
    <t>RSLAFIN4DB</t>
  </si>
  <si>
    <t>RSLAFINCA1A</t>
  </si>
  <si>
    <t>RSLAFINCA1B</t>
  </si>
  <si>
    <t>RSLEGENDRE1</t>
  </si>
  <si>
    <t>RSLEGENDRE2</t>
  </si>
  <si>
    <t>RSPOLONIA1</t>
  </si>
  <si>
    <t>POLONIA - GDYNIA</t>
  </si>
  <si>
    <t>RSPOLONIA2</t>
  </si>
  <si>
    <t>RSROZASA61</t>
  </si>
  <si>
    <t>RSROZASA62</t>
  </si>
  <si>
    <t>RSSB1</t>
  </si>
  <si>
    <t>RSSB2</t>
  </si>
  <si>
    <t>RSTRITONSBE-01</t>
  </si>
  <si>
    <t>RSTRITONSBW-01</t>
  </si>
  <si>
    <t>RSUNITYBA-01</t>
  </si>
  <si>
    <t>RSUNITYBB-01</t>
  </si>
  <si>
    <t>RSVALLAD1A</t>
  </si>
  <si>
    <t>RSVALLAD1B</t>
  </si>
  <si>
    <t>RSWROCLAW</t>
  </si>
  <si>
    <t>RSWROCLAW1</t>
  </si>
  <si>
    <t>RSWROCLAW2</t>
  </si>
  <si>
    <t>RTFW11FOX1INET-SD01</t>
  </si>
  <si>
    <t>FOX Datacenter</t>
  </si>
  <si>
    <t>RTFW12FOX2INET-SD02</t>
  </si>
  <si>
    <t>SAEGON1</t>
  </si>
  <si>
    <t>SAEGON2</t>
  </si>
  <si>
    <t>SALHAMBRA0A1</t>
  </si>
  <si>
    <t>SALHAMBRA0A2</t>
  </si>
  <si>
    <t>SALHAMBRA0B1</t>
  </si>
  <si>
    <t>SALHAMBRA0B2</t>
  </si>
  <si>
    <t>SALHAMBRA1A1</t>
  </si>
  <si>
    <t>SALHAMBRA1A2</t>
  </si>
  <si>
    <t>SALHAMBRA1B1</t>
  </si>
  <si>
    <t>SALHAMBRA1B2</t>
  </si>
  <si>
    <t>SALHAMBRA2B1</t>
  </si>
  <si>
    <t>SALHAMBRASA1</t>
  </si>
  <si>
    <t>SALHAMBRASA2</t>
  </si>
  <si>
    <t>SALHAMBRASA4</t>
  </si>
  <si>
    <t>SALHAMBRASEG01</t>
  </si>
  <si>
    <t>SALHAMBRASEGS11</t>
  </si>
  <si>
    <t>SALHAMBRASEGS12</t>
  </si>
  <si>
    <t>SALHAMBRASEGS13</t>
  </si>
  <si>
    <t>SALHAMBRASEGS13-2</t>
  </si>
  <si>
    <t>SALHAMBRASEGS51</t>
  </si>
  <si>
    <t>SALHAMBRASEGS52</t>
  </si>
  <si>
    <t>SALHAMBRASEGSS1</t>
  </si>
  <si>
    <t>SALHAMBRASEGSS2</t>
  </si>
  <si>
    <t>sancfs-scf00-rt1</t>
  </si>
  <si>
    <t>Branches Connectivity</t>
  </si>
  <si>
    <t>SCF_00 Torrelaguna</t>
  </si>
  <si>
    <t>sancfs-scf06-rt1</t>
  </si>
  <si>
    <t>SCF_06 Jaén</t>
  </si>
  <si>
    <t>sancfs-scf06-sw1</t>
  </si>
  <si>
    <t>sancfs-scf12-rt1</t>
  </si>
  <si>
    <t>SCF_12 Bilbao</t>
  </si>
  <si>
    <t>sancfs-scf12-sw1</t>
  </si>
  <si>
    <t>sancfs-scf16-rt1</t>
  </si>
  <si>
    <t>SCF_16 Algeciras</t>
  </si>
  <si>
    <t>sancfs-scf16-sw1</t>
  </si>
  <si>
    <t>sancfs-scf17-rt1</t>
  </si>
  <si>
    <t>SCF_17 Salamanca</t>
  </si>
  <si>
    <t>sancfs-scf17-sw1</t>
  </si>
  <si>
    <t>sancfs-scf18-rt1</t>
  </si>
  <si>
    <t>SCF_18 Burgos</t>
  </si>
  <si>
    <t>sancfs-scf18-sw1</t>
  </si>
  <si>
    <t>sancfs-scf20-rt1</t>
  </si>
  <si>
    <t>SCF_20 Valladolid</t>
  </si>
  <si>
    <t>sancfs-scf20-sw1</t>
  </si>
  <si>
    <t>sancfs-scf22-rt1</t>
  </si>
  <si>
    <t>SCF_22 Alcalá de Henares</t>
  </si>
  <si>
    <t>sancfs-scf22-sw1</t>
  </si>
  <si>
    <t>sancfs-scf27-rt1</t>
  </si>
  <si>
    <t>SCF_27 Ciudad Real</t>
  </si>
  <si>
    <t>sancfs-scf27-sw1</t>
  </si>
  <si>
    <t>sancfs-scf32-rt1</t>
  </si>
  <si>
    <t>SCF_32 Tarragona</t>
  </si>
  <si>
    <t>sancfs-scf32-sw1</t>
  </si>
  <si>
    <t>sancfs-scf33-rt1</t>
  </si>
  <si>
    <t>SCF_33 Sabadell</t>
  </si>
  <si>
    <t>sancfs-scf33-sw1</t>
  </si>
  <si>
    <t>sancfs-scf35-rt1</t>
  </si>
  <si>
    <t>SCF_35 Barcelona</t>
  </si>
  <si>
    <t>sancfs-scf35-sw1</t>
  </si>
  <si>
    <t>sancfs-scf36-rt1</t>
  </si>
  <si>
    <t>SCF_36 Palma de Mallorca</t>
  </si>
  <si>
    <t>sancfs-scf36-sw1</t>
  </si>
  <si>
    <t>sancfs-scf42-rt1</t>
  </si>
  <si>
    <t>SCF_42 Murcia</t>
  </si>
  <si>
    <t>sancfs-scf42-sw1</t>
  </si>
  <si>
    <t>sancfs-scf43-rt1</t>
  </si>
  <si>
    <t>SCF_43 Albacete</t>
  </si>
  <si>
    <t>sancfs-scf43-sw1</t>
  </si>
  <si>
    <t>sancfs-scf44-rt1</t>
  </si>
  <si>
    <t>SCF_44 Castellón</t>
  </si>
  <si>
    <t>sancfs-scf44-sw1</t>
  </si>
  <si>
    <t>sancfs-scf46-rt1</t>
  </si>
  <si>
    <t>SCF_46 Cartagena</t>
  </si>
  <si>
    <t>sancfs-scf46-sw1</t>
  </si>
  <si>
    <t>sancfs-scf49-rt1</t>
  </si>
  <si>
    <t>sancfs-scf49-sw1</t>
  </si>
  <si>
    <t>sancfs-scf51-rt1</t>
  </si>
  <si>
    <t>SCF_51 Sevilla</t>
  </si>
  <si>
    <t>sancfs-scf51-sw1</t>
  </si>
  <si>
    <t>sancfs-scf52-rt1</t>
  </si>
  <si>
    <t>SCF_52 Huelva</t>
  </si>
  <si>
    <t>sancfs-scf52-sw1</t>
  </si>
  <si>
    <t>sancfs-scf53-rt1</t>
  </si>
  <si>
    <t>SCF_53 Granada</t>
  </si>
  <si>
    <t>sancfs-scf53-sw1</t>
  </si>
  <si>
    <t>sancfs-scf54-rt1</t>
  </si>
  <si>
    <t>SCF_54 Almería</t>
  </si>
  <si>
    <t>sancfs-scf54-sw1</t>
  </si>
  <si>
    <t>sancfs-scf55-rt1</t>
  </si>
  <si>
    <t>SCF_55 Jerez</t>
  </si>
  <si>
    <t>sancfs-scf55-sw1</t>
  </si>
  <si>
    <t>sancfs-scf56-rt1</t>
  </si>
  <si>
    <t>SCF_56 Málaga</t>
  </si>
  <si>
    <t>sancfs-scf56-sw1</t>
  </si>
  <si>
    <t>sancfs-scf57-rt1</t>
  </si>
  <si>
    <t>SCF_57 Córdoba</t>
  </si>
  <si>
    <t>sancfs-scf57-sw1</t>
  </si>
  <si>
    <t>sancfs-scf61-rt1</t>
  </si>
  <si>
    <t>SCF_61 Las palmas</t>
  </si>
  <si>
    <t>sancfs-scf61-sw1</t>
  </si>
  <si>
    <t>sancfs-scf66-rt1</t>
  </si>
  <si>
    <t>SCF_66 Fuerteventura</t>
  </si>
  <si>
    <t>sancfs-scf66-sw1</t>
  </si>
  <si>
    <t>sancfs-scf71-rt1</t>
  </si>
  <si>
    <t>SCF_71 Zaragoza</t>
  </si>
  <si>
    <t>sancfs-scf71-sw1</t>
  </si>
  <si>
    <t>sancfs-scf81-rt1</t>
  </si>
  <si>
    <t>SCF_81 A Coruña</t>
  </si>
  <si>
    <t>sancfs-scf81-sw1</t>
  </si>
  <si>
    <t>sancfs-scf82-rt1</t>
  </si>
  <si>
    <t>SCF_82 Vigo</t>
  </si>
  <si>
    <t>sancfs-scf82-sw1</t>
  </si>
  <si>
    <t>sancfs-scf85-rt1</t>
  </si>
  <si>
    <t>SCF_85 Oviedo</t>
  </si>
  <si>
    <t>sancfs-scf85-sw1</t>
  </si>
  <si>
    <t>sancfs-scf86-rt1</t>
  </si>
  <si>
    <t>SCF_86 León</t>
  </si>
  <si>
    <t>sancfs-scf86-sw1</t>
  </si>
  <si>
    <t>sancfs-scf91-rt1</t>
  </si>
  <si>
    <t>SCF_91 Pamplona</t>
  </si>
  <si>
    <t>sancfs-scf91-sw1</t>
  </si>
  <si>
    <t>sancfs-scf92-rt1</t>
  </si>
  <si>
    <t>SCF_92 San Sebastián</t>
  </si>
  <si>
    <t>sancfs-scf92-sw1</t>
  </si>
  <si>
    <t>sancfs-scf98-rt1</t>
  </si>
  <si>
    <t>SCF_98 Mérida</t>
  </si>
  <si>
    <t>sancfs-scf98-sw1</t>
  </si>
  <si>
    <t>sancfs-scfB7-rt1</t>
  </si>
  <si>
    <t>SCF_B7 Santiago</t>
  </si>
  <si>
    <t>sancfs-scfB7-sw1</t>
  </si>
  <si>
    <t>sancfs-scfE5-rt1</t>
  </si>
  <si>
    <t>SCF_E5 Granollers</t>
  </si>
  <si>
    <t>sancfs-scfE5-sw1</t>
  </si>
  <si>
    <t>sancfs-scfEN-rt1</t>
  </si>
  <si>
    <t>SCF_EN Santander</t>
  </si>
  <si>
    <t>sancfs-scfEN-sw1</t>
  </si>
  <si>
    <t>sancfs-scfhp-rt1</t>
  </si>
  <si>
    <t>SCF_HP Valencia</t>
  </si>
  <si>
    <t>sancfs-scfHP-sw1</t>
  </si>
  <si>
    <t>sancfs-scfL3-rt1</t>
  </si>
  <si>
    <t>SCF_L3 Alicante</t>
  </si>
  <si>
    <t>sancfs-scfL3-sw1</t>
  </si>
  <si>
    <t>sancfs-scfs9-rt1</t>
  </si>
  <si>
    <t>SCF_S9 Pozuelo</t>
  </si>
  <si>
    <t>sancfs-scfS9-sw1</t>
  </si>
  <si>
    <t>sancfs-scfSWISS-rt1</t>
  </si>
  <si>
    <t>sancfs-scfSWISS-sw1</t>
  </si>
  <si>
    <t>SUIZA</t>
  </si>
  <si>
    <t>sancfs-scfSWISS-sw1_2</t>
  </si>
  <si>
    <t>sancfs-scfSWISS-sw1_3</t>
  </si>
  <si>
    <t>sancfs-scfTO-rt1</t>
  </si>
  <si>
    <t>SCF_TO Tenerife</t>
  </si>
  <si>
    <t>sancfs-scfTO-sw1</t>
  </si>
  <si>
    <t>sanvccawavp0001</t>
  </si>
  <si>
    <t>SBOA10010-1</t>
  </si>
  <si>
    <t>SBOA1011</t>
  </si>
  <si>
    <t>SBOA1012</t>
  </si>
  <si>
    <t>SBOA1031</t>
  </si>
  <si>
    <t>SBOA1091</t>
  </si>
  <si>
    <t>SBOA1092</t>
  </si>
  <si>
    <t>SBOA1110</t>
  </si>
  <si>
    <t>SBOA1111</t>
  </si>
  <si>
    <t>SBOA1112</t>
  </si>
  <si>
    <t>SBOA1113</t>
  </si>
  <si>
    <t>SBOA1120</t>
  </si>
  <si>
    <t>SBOA1121</t>
  </si>
  <si>
    <t>SBOA1122</t>
  </si>
  <si>
    <t>SBOA1123</t>
  </si>
  <si>
    <t>SBOA1180</t>
  </si>
  <si>
    <t>SBOA1181</t>
  </si>
  <si>
    <t>SBOA1182</t>
  </si>
  <si>
    <t>SBOA1183</t>
  </si>
  <si>
    <t>SBOA1191</t>
  </si>
  <si>
    <t>SBOA1192</t>
  </si>
  <si>
    <t>SBOA1193</t>
  </si>
  <si>
    <t>SBOA2210</t>
  </si>
  <si>
    <t>SBOA2211</t>
  </si>
  <si>
    <t>SBOA2212</t>
  </si>
  <si>
    <t>SBOA2212APS</t>
  </si>
  <si>
    <t>SBOA2213</t>
  </si>
  <si>
    <t>SBOA2220</t>
  </si>
  <si>
    <t>SBOA2221</t>
  </si>
  <si>
    <t>SBOA2222</t>
  </si>
  <si>
    <t>SBOA2223</t>
  </si>
  <si>
    <t>SBOA2270</t>
  </si>
  <si>
    <t>SBOA2271</t>
  </si>
  <si>
    <t>SBOA2272</t>
  </si>
  <si>
    <t>SBOA2273</t>
  </si>
  <si>
    <t>SBOA2274</t>
  </si>
  <si>
    <t>SBOA2280</t>
  </si>
  <si>
    <t>SBOA2281</t>
  </si>
  <si>
    <t>SBOA2282</t>
  </si>
  <si>
    <t>SBOA2283</t>
  </si>
  <si>
    <t>SBOA3011</t>
  </si>
  <si>
    <t>SBOA3110</t>
  </si>
  <si>
    <t>SBOA3111</t>
  </si>
  <si>
    <t>SBOA3112</t>
  </si>
  <si>
    <t>SBOA3120</t>
  </si>
  <si>
    <t>SBOA3121</t>
  </si>
  <si>
    <t>SBOA3122</t>
  </si>
  <si>
    <t>SBOA3180</t>
  </si>
  <si>
    <t>SBOA3181</t>
  </si>
  <si>
    <t>SBOA3182</t>
  </si>
  <si>
    <t>SBOA3183</t>
  </si>
  <si>
    <t>SBOA3202</t>
  </si>
  <si>
    <t>SBOA3203A</t>
  </si>
  <si>
    <t>SBOA3203A-2</t>
  </si>
  <si>
    <t>SBOA3204B</t>
  </si>
  <si>
    <t>SBOA3205</t>
  </si>
  <si>
    <t>SBOA4202A</t>
  </si>
  <si>
    <t>SBOA4202A-2</t>
  </si>
  <si>
    <t>SBOA4202C</t>
  </si>
  <si>
    <t>SBOA4203A</t>
  </si>
  <si>
    <t>SBOA819202</t>
  </si>
  <si>
    <t>SBOA8304</t>
  </si>
  <si>
    <t>SBOA8305</t>
  </si>
  <si>
    <t>SBOA8307</t>
  </si>
  <si>
    <t>SBOA8402</t>
  </si>
  <si>
    <t>SBOA8402APS</t>
  </si>
  <si>
    <t>SBOA8404</t>
  </si>
  <si>
    <t>SBOA8404APS</t>
  </si>
  <si>
    <t>SBOA8405</t>
  </si>
  <si>
    <t>SBOA8406</t>
  </si>
  <si>
    <t>SBOA8407</t>
  </si>
  <si>
    <t>SBOA8408</t>
  </si>
  <si>
    <t>SBOA9102A</t>
  </si>
  <si>
    <t>SBOA9102A-2</t>
  </si>
  <si>
    <t>SBOA9103A</t>
  </si>
  <si>
    <t>SBOA9202A</t>
  </si>
  <si>
    <t>SBOA9202A-2</t>
  </si>
  <si>
    <t>SBOA9202C</t>
  </si>
  <si>
    <t>SBOA9203A</t>
  </si>
  <si>
    <t>SBOASEG10001</t>
  </si>
  <si>
    <t>SBOASEG10002</t>
  </si>
  <si>
    <t>SBOASEG1001</t>
  </si>
  <si>
    <t>SBOASEG1002</t>
  </si>
  <si>
    <t>SBOASEG1003</t>
  </si>
  <si>
    <t>SBOASEG1004</t>
  </si>
  <si>
    <t>SBOASEG1005</t>
  </si>
  <si>
    <t>SBOASEG1101</t>
  </si>
  <si>
    <t>SBOASEG1102</t>
  </si>
  <si>
    <t>SBOASEG1103</t>
  </si>
  <si>
    <t>SBOASEG1104</t>
  </si>
  <si>
    <t>SBOASEG1105</t>
  </si>
  <si>
    <t>SBOASEG1106</t>
  </si>
  <si>
    <t>SBOASEG1201</t>
  </si>
  <si>
    <t>SBOASEG1202</t>
  </si>
  <si>
    <t>SBOASEG1203</t>
  </si>
  <si>
    <t>SBOASEG1204</t>
  </si>
  <si>
    <t>SBOASEG1205</t>
  </si>
  <si>
    <t>SBOASEG2101</t>
  </si>
  <si>
    <t>SBOASEG2102</t>
  </si>
  <si>
    <t>SBOASEG2201</t>
  </si>
  <si>
    <t>SBOASEG2202</t>
  </si>
  <si>
    <t>SBOASEG2203</t>
  </si>
  <si>
    <t>SBOASEG2204</t>
  </si>
  <si>
    <t>SBOASEG3001</t>
  </si>
  <si>
    <t>SBOASEG3002</t>
  </si>
  <si>
    <t>SBOASEG3003</t>
  </si>
  <si>
    <t>SBOASEG3101</t>
  </si>
  <si>
    <t>SBOASEG3102</t>
  </si>
  <si>
    <t>SBOASEG3103</t>
  </si>
  <si>
    <t>SBOASEG3104</t>
  </si>
  <si>
    <t>SBOASEG3201</t>
  </si>
  <si>
    <t>SBOASEG3202</t>
  </si>
  <si>
    <t>SBOASEG3203</t>
  </si>
  <si>
    <t>SBOASEG3204</t>
  </si>
  <si>
    <t>SBOASEG3205</t>
  </si>
  <si>
    <t>SBOASEG3206</t>
  </si>
  <si>
    <t>SBOASEG3207</t>
  </si>
  <si>
    <t>SBOASEG4101</t>
  </si>
  <si>
    <t>SBOASEG4102</t>
  </si>
  <si>
    <t>SBOASEG4103</t>
  </si>
  <si>
    <t>SBOASEG4104</t>
  </si>
  <si>
    <t>SBOASEG4201</t>
  </si>
  <si>
    <t>SBOASEG4202</t>
  </si>
  <si>
    <t>SBOASEG4203</t>
  </si>
  <si>
    <t>SBOASEG8101</t>
  </si>
  <si>
    <t>SBOASEG8102</t>
  </si>
  <si>
    <t>SBOASEG8201</t>
  </si>
  <si>
    <t>SBOASEG8301</t>
  </si>
  <si>
    <t>SBOASEG8302</t>
  </si>
  <si>
    <t>SBOASEG8303</t>
  </si>
  <si>
    <t>SBOASEG8401</t>
  </si>
  <si>
    <t>SBOASEG8402</t>
  </si>
  <si>
    <t>SBOASEG8403</t>
  </si>
  <si>
    <t>SBOASEG8404</t>
  </si>
  <si>
    <t>SBOASEG8405</t>
  </si>
  <si>
    <t>SBOASEG9101</t>
  </si>
  <si>
    <t>SBOASEG9102</t>
  </si>
  <si>
    <t>SBOASEG9103</t>
  </si>
  <si>
    <t>SBOASEG9104</t>
  </si>
  <si>
    <t>SBOASEG9201</t>
  </si>
  <si>
    <t>SBOASEG9202</t>
  </si>
  <si>
    <t>SBOASEG9203</t>
  </si>
  <si>
    <t>SBOASEG9204</t>
  </si>
  <si>
    <t>SBOASEGBOS1</t>
  </si>
  <si>
    <t>SBOASEGBOS2</t>
  </si>
  <si>
    <t>SBOASEGBOS3</t>
  </si>
  <si>
    <t>SBOASEGBOS4</t>
  </si>
  <si>
    <t>SBOASEGBOS5</t>
  </si>
  <si>
    <t>SBOASEGBOS6</t>
  </si>
  <si>
    <t>SBOASEGBOS7</t>
  </si>
  <si>
    <t>SBOASEGBOS8</t>
  </si>
  <si>
    <t>SDWAN_FORTIGATE_POC_O</t>
  </si>
  <si>
    <t>SJUNTA1</t>
  </si>
  <si>
    <t>SJUNTA3-2</t>
  </si>
  <si>
    <t>SJUNTABACKSTAGE</t>
  </si>
  <si>
    <t>SJUNTADESPACHOS</t>
  </si>
  <si>
    <t>SJUNTAEXPERTOS</t>
  </si>
  <si>
    <t>SJUNTAEXPERTOS-2</t>
  </si>
  <si>
    <t>SJUNTAEXPERTOS-3</t>
  </si>
  <si>
    <t>SJUNTANOTARIO2</t>
  </si>
  <si>
    <t>SJUNTAREGISTRO</t>
  </si>
  <si>
    <t>SJUNTAREGISTRO-2</t>
  </si>
  <si>
    <t>SJUNTAREGISTRO-3</t>
  </si>
  <si>
    <t>SJUNTAREGISTRO-4</t>
  </si>
  <si>
    <t>SJUNTASALACONTROL</t>
  </si>
  <si>
    <t>SKONECTA1</t>
  </si>
  <si>
    <t>Konecta</t>
  </si>
  <si>
    <t>SKONECTA2</t>
  </si>
  <si>
    <t>SLAFIN4P21</t>
  </si>
  <si>
    <t>SLAFIN4P22</t>
  </si>
  <si>
    <t>SLAFIN4P23</t>
  </si>
  <si>
    <t>SLAFIN4P24</t>
  </si>
  <si>
    <t>SMAQJUNTA</t>
  </si>
  <si>
    <t>SMAQJUNTA-2</t>
  </si>
  <si>
    <t>SMBOA10010</t>
  </si>
  <si>
    <t>SMBOA10011A</t>
  </si>
  <si>
    <t>SMBOA10011B</t>
  </si>
  <si>
    <t>SMBOA1211A</t>
  </si>
  <si>
    <t>SMBOA1211B</t>
  </si>
  <si>
    <t>SMBOA1212A</t>
  </si>
  <si>
    <t>SMBOA1212B</t>
  </si>
  <si>
    <t>SMBOA1221A</t>
  </si>
  <si>
    <t>SMBOA1221B</t>
  </si>
  <si>
    <t>SMBOA1222A</t>
  </si>
  <si>
    <t>SMBOA1222B</t>
  </si>
  <si>
    <t>SMBOA1281A</t>
  </si>
  <si>
    <t>SMBOA1281B</t>
  </si>
  <si>
    <t>SMBOA1282A</t>
  </si>
  <si>
    <t>SMBOA1282B</t>
  </si>
  <si>
    <t>SMBOA1291A</t>
  </si>
  <si>
    <t>SMBOA1291B</t>
  </si>
  <si>
    <t>SMBOA1291C</t>
  </si>
  <si>
    <t>SMBOA1292A</t>
  </si>
  <si>
    <t>SMBOA1292B</t>
  </si>
  <si>
    <t>SMBOA1292C</t>
  </si>
  <si>
    <t>SMBOA2111A</t>
  </si>
  <si>
    <t>SMBOA2111B</t>
  </si>
  <si>
    <t>SMBOA2112A</t>
  </si>
  <si>
    <t>SMBOA2112B</t>
  </si>
  <si>
    <t>SMBOA2121A</t>
  </si>
  <si>
    <t>SMBOA2121B</t>
  </si>
  <si>
    <t>SMBOA2122A</t>
  </si>
  <si>
    <t>SMBOA2122B</t>
  </si>
  <si>
    <t>SMBOA2181A</t>
  </si>
  <si>
    <t>SMBOA2181B</t>
  </si>
  <si>
    <t>SMBOA2182A</t>
  </si>
  <si>
    <t>SMBOA2182B</t>
  </si>
  <si>
    <t>SMBOA3204A</t>
  </si>
  <si>
    <t>SMBOA3204B</t>
  </si>
  <si>
    <t>SMBOA3211A</t>
  </si>
  <si>
    <t>SMBOA3211B</t>
  </si>
  <si>
    <t>SMBOA3212A</t>
  </si>
  <si>
    <t>SMBOA3212B</t>
  </si>
  <si>
    <t>SMBOA3221A</t>
  </si>
  <si>
    <t>SMBOA3221B</t>
  </si>
  <si>
    <t>SMBOA3222A</t>
  </si>
  <si>
    <t>SMBOA3222B</t>
  </si>
  <si>
    <t>SMBOA3281A</t>
  </si>
  <si>
    <t>SMBOA3281B</t>
  </si>
  <si>
    <t>SMBOA3282A</t>
  </si>
  <si>
    <t>SMBOA3282B</t>
  </si>
  <si>
    <t>SMBOA4111A</t>
  </si>
  <si>
    <t>SMBOA4111B</t>
  </si>
  <si>
    <t>SMBOA4112A</t>
  </si>
  <si>
    <t>SMBOA4112B</t>
  </si>
  <si>
    <t>SMBOA4121A</t>
  </si>
  <si>
    <t>SMBOA4121B</t>
  </si>
  <si>
    <t>SMBOA4122A</t>
  </si>
  <si>
    <t>SMBOA4122B</t>
  </si>
  <si>
    <t>SMBOA4122C</t>
  </si>
  <si>
    <t>SMBOA4181A</t>
  </si>
  <si>
    <t>SMBOA4181B</t>
  </si>
  <si>
    <t>SMBOA4182A</t>
  </si>
  <si>
    <t>SMBOA4182B</t>
  </si>
  <si>
    <t>SMBOA4211A</t>
  </si>
  <si>
    <t>SMBOA4211B</t>
  </si>
  <si>
    <t>SMBOA4212A</t>
  </si>
  <si>
    <t>SMBOA4212B</t>
  </si>
  <si>
    <t>SMBOA4221A</t>
  </si>
  <si>
    <t>SMBOA4221B</t>
  </si>
  <si>
    <t>SMBOA4222A</t>
  </si>
  <si>
    <t>SMBOA4222B</t>
  </si>
  <si>
    <t>SMBOA4281A</t>
  </si>
  <si>
    <t>SMBOA4281B</t>
  </si>
  <si>
    <t>SMBOA4282A</t>
  </si>
  <si>
    <t>SMBOA4282B</t>
  </si>
  <si>
    <t>SMBOA8111A</t>
  </si>
  <si>
    <t>SMBOA8111B</t>
  </si>
  <si>
    <t>SMBOA8112A</t>
  </si>
  <si>
    <t>SMBOA8112B</t>
  </si>
  <si>
    <t>SMBOA8181</t>
  </si>
  <si>
    <t>SMBOA8182A</t>
  </si>
  <si>
    <t>SMBOA8182B</t>
  </si>
  <si>
    <t>SMBOA8191</t>
  </si>
  <si>
    <t>SMBOA8211</t>
  </si>
  <si>
    <t>SMBOA8212</t>
  </si>
  <si>
    <t>SMBOA8221</t>
  </si>
  <si>
    <t>SMBOA8222</t>
  </si>
  <si>
    <t>SMBOA8281</t>
  </si>
  <si>
    <t>SMBOA8282A</t>
  </si>
  <si>
    <t>SMBOA8282B</t>
  </si>
  <si>
    <t>SMBOA8302A</t>
  </si>
  <si>
    <t>SMBOA8302B</t>
  </si>
  <si>
    <t>SMBOA8303A</t>
  </si>
  <si>
    <t>SMBOA8303B</t>
  </si>
  <si>
    <t>SMBOA8306</t>
  </si>
  <si>
    <t>SMBOASEG2103</t>
  </si>
  <si>
    <t>SMBOASEG2104</t>
  </si>
  <si>
    <t>SMBOASEG3105</t>
  </si>
  <si>
    <t>SMBOASEG4105</t>
  </si>
  <si>
    <t>SMBOASEG4106</t>
  </si>
  <si>
    <t>SMBOASEG4204</t>
  </si>
  <si>
    <t>SMBOASEG4205</t>
  </si>
  <si>
    <t>SMBOASEG4206</t>
  </si>
  <si>
    <t>SMBOASEG8304</t>
  </si>
  <si>
    <t>SMCAST24P00A</t>
  </si>
  <si>
    <t>SMCAST24P00B</t>
  </si>
  <si>
    <t>SMCAST24P01A</t>
  </si>
  <si>
    <t>SMCAST24P01B</t>
  </si>
  <si>
    <t>SMCAST24P01C</t>
  </si>
  <si>
    <t>SMCAST24P01D</t>
  </si>
  <si>
    <t>SMCAST24P02A</t>
  </si>
  <si>
    <t>SMCAST24P02B</t>
  </si>
  <si>
    <t>SMCAST24P032</t>
  </si>
  <si>
    <t>SMCAST24P03A</t>
  </si>
  <si>
    <t>SMCAST24P03B</t>
  </si>
  <si>
    <t>SMCAST24P04A</t>
  </si>
  <si>
    <t>SMCAST24P04B</t>
  </si>
  <si>
    <t>SMCAST24P04C</t>
  </si>
  <si>
    <t>SMCAST24PS1</t>
  </si>
  <si>
    <t>SMCAST24SUC</t>
  </si>
  <si>
    <t>SMLAFINCA1A</t>
  </si>
  <si>
    <t>LA FINCA1</t>
  </si>
  <si>
    <t>SMLAFINCA1B</t>
  </si>
  <si>
    <t>SMLAFINCA1C</t>
  </si>
  <si>
    <t>SMLEGENDREP00A</t>
  </si>
  <si>
    <t>SMLEGENDREP00B</t>
  </si>
  <si>
    <t>SMLEGENDREP00C</t>
  </si>
  <si>
    <t>SMLEGENDREPS1A</t>
  </si>
  <si>
    <t>SMLEGENDREPS1B</t>
  </si>
  <si>
    <t>SPOLONIA33</t>
  </si>
  <si>
    <t>SPOLONIA34</t>
  </si>
  <si>
    <t>SPOLONIA36</t>
  </si>
  <si>
    <t>SROZASA6P1</t>
  </si>
  <si>
    <t>SSB1NOC</t>
  </si>
  <si>
    <t>SSB1NOC-2</t>
  </si>
  <si>
    <t>SSB1P0</t>
  </si>
  <si>
    <t>SSB1P2</t>
  </si>
  <si>
    <t>SSB1P3</t>
  </si>
  <si>
    <t>SSB1P4</t>
  </si>
  <si>
    <t>SSB1P5</t>
  </si>
  <si>
    <t>SSB1P6</t>
  </si>
  <si>
    <t>SSB1P7</t>
  </si>
  <si>
    <t>SSB1SEGP0</t>
  </si>
  <si>
    <t>SSB2P1</t>
  </si>
  <si>
    <t>SSB2P2</t>
  </si>
  <si>
    <t>SSB2PS1</t>
  </si>
  <si>
    <t>SSB2SEGCAS</t>
  </si>
  <si>
    <t>SSB2SEGP1</t>
  </si>
  <si>
    <t>SSRDHCPBE01</t>
  </si>
  <si>
    <t>SSRDHCPBO01</t>
  </si>
  <si>
    <t>SSRDHCPBO02</t>
  </si>
  <si>
    <t>SSRDHCPBO03</t>
  </si>
  <si>
    <t>SSRWIFIBE01</t>
  </si>
  <si>
    <t>SSRWIFIBO01</t>
  </si>
  <si>
    <t>STACACSBE01</t>
  </si>
  <si>
    <t>STACACSBO01</t>
  </si>
  <si>
    <t>STRANSCOM1</t>
  </si>
  <si>
    <t>TRANSCOM</t>
  </si>
  <si>
    <t>STRANSCOM2</t>
  </si>
  <si>
    <t>STRITONS00E-01</t>
  </si>
  <si>
    <t>STRITONS00E-02</t>
  </si>
  <si>
    <t>STRITONS00W-01</t>
  </si>
  <si>
    <t>STRITONS00W-02</t>
  </si>
  <si>
    <t>STRITONS01E-01</t>
  </si>
  <si>
    <t>STRITONS01E-02</t>
  </si>
  <si>
    <t>STRITONS01E-03</t>
  </si>
  <si>
    <t>STRITONS01W-01</t>
  </si>
  <si>
    <t>STRITONS01W-02</t>
  </si>
  <si>
    <t>STRITONS01W-03</t>
  </si>
  <si>
    <t>STRITONS01W-04</t>
  </si>
  <si>
    <t>STRITONS02E-01</t>
  </si>
  <si>
    <t>STRITONS02E-02</t>
  </si>
  <si>
    <t>STRITONS02E-03</t>
  </si>
  <si>
    <t>STRITONS02W-01</t>
  </si>
  <si>
    <t>STRITONS02W-02</t>
  </si>
  <si>
    <t>STRITONS02W-03</t>
  </si>
  <si>
    <t>STRITONS02W-04</t>
  </si>
  <si>
    <t>STRITONS03E-01</t>
  </si>
  <si>
    <t>STRITONS03E-02</t>
  </si>
  <si>
    <t>STRITONS03E-03</t>
  </si>
  <si>
    <t>STRITONS03E-04</t>
  </si>
  <si>
    <t>STRITONS03W-01</t>
  </si>
  <si>
    <t>STRITONS03W-02</t>
  </si>
  <si>
    <t>STRITONS03W-03</t>
  </si>
  <si>
    <t>STRITONS03W-04</t>
  </si>
  <si>
    <t>STRITONS03W-05</t>
  </si>
  <si>
    <t>STRITONS04E-01</t>
  </si>
  <si>
    <t>STRITONS04E-02</t>
  </si>
  <si>
    <t>STRITONS04E-03</t>
  </si>
  <si>
    <t>STRITONS04E-04</t>
  </si>
  <si>
    <t>STRITONS04E-05</t>
  </si>
  <si>
    <t>STRITONS04E-06</t>
  </si>
  <si>
    <t>STRITONS04E-07</t>
  </si>
  <si>
    <t>STRITONS04E-08</t>
  </si>
  <si>
    <t>STRITONS04E-09</t>
  </si>
  <si>
    <t>STRITONS04E-10</t>
  </si>
  <si>
    <t>STRITONS04E-11</t>
  </si>
  <si>
    <t>STRITONS04W-01</t>
  </si>
  <si>
    <t>STRITONS04W-02</t>
  </si>
  <si>
    <t>STRITONS04W-03</t>
  </si>
  <si>
    <t>STRITONS04W-04</t>
  </si>
  <si>
    <t>STRITONS04W-05</t>
  </si>
  <si>
    <t>STRITONS04W-06</t>
  </si>
  <si>
    <t>STRITONS04W-07</t>
  </si>
  <si>
    <t>STRITONS04W-08</t>
  </si>
  <si>
    <t>STRITONS04W-09</t>
  </si>
  <si>
    <t>STRITONS04W-10</t>
  </si>
  <si>
    <t>STRITONS04W-11</t>
  </si>
  <si>
    <t>STRITONS04W-12</t>
  </si>
  <si>
    <t>STRITONS05E-01</t>
  </si>
  <si>
    <t>STRITONS05E-02</t>
  </si>
  <si>
    <t>STRITONS05E-03</t>
  </si>
  <si>
    <t>STRITONS05E-04</t>
  </si>
  <si>
    <t>STRITONS05E-05</t>
  </si>
  <si>
    <t>STRITONS05E-06</t>
  </si>
  <si>
    <t>STRITONS05E-07</t>
  </si>
  <si>
    <t>STRITONS05E-08</t>
  </si>
  <si>
    <t>STRITONS05E-09</t>
  </si>
  <si>
    <t>STRITONS05E-10</t>
  </si>
  <si>
    <t>STRITONS05E-11</t>
  </si>
  <si>
    <t>STRITONS05E-12</t>
  </si>
  <si>
    <t>STRITONS05E-13</t>
  </si>
  <si>
    <t>STRITONS05E-14</t>
  </si>
  <si>
    <t>STRITONS05E-15</t>
  </si>
  <si>
    <t>STRITONS05W-01</t>
  </si>
  <si>
    <t>STRITONS05W-02</t>
  </si>
  <si>
    <t>STRITONS05W-03</t>
  </si>
  <si>
    <t>STRITONS05W-04</t>
  </si>
  <si>
    <t>STRITONS05W-05</t>
  </si>
  <si>
    <t>STRITONS05W-06</t>
  </si>
  <si>
    <t>STRITONS05W-07</t>
  </si>
  <si>
    <t>STRITONS05W-08</t>
  </si>
  <si>
    <t>STRITONS05W-09</t>
  </si>
  <si>
    <t>STRITONS05W-10</t>
  </si>
  <si>
    <t>STRITONS05W-11</t>
  </si>
  <si>
    <t>STRITONS05W-12</t>
  </si>
  <si>
    <t>STRITONS05W-13</t>
  </si>
  <si>
    <t>STRITONS05W-14</t>
  </si>
  <si>
    <t>STRITONS05W-15</t>
  </si>
  <si>
    <t>STRITONS05W-16</t>
  </si>
  <si>
    <t>STRITONS05W-17</t>
  </si>
  <si>
    <t>STRITONS05W-18</t>
  </si>
  <si>
    <t>STRITONS05W-19</t>
  </si>
  <si>
    <t>STRITONS05W-20</t>
  </si>
  <si>
    <t>STRITONS06E-01</t>
  </si>
  <si>
    <t>STRITONS06E-02</t>
  </si>
  <si>
    <t>STRITONS06W-01</t>
  </si>
  <si>
    <t>STRITONS06W-02</t>
  </si>
  <si>
    <t>SUNITYP00A-01</t>
  </si>
  <si>
    <t>SUNITYP00A-02</t>
  </si>
  <si>
    <t>SUNITYP00A-03</t>
  </si>
  <si>
    <t>SUNITYP00A-04</t>
  </si>
  <si>
    <t>SUNITYP00AV-01</t>
  </si>
  <si>
    <t>SUNITYP00AV-02</t>
  </si>
  <si>
    <t>SUNITYP00AV-03</t>
  </si>
  <si>
    <t>SUNITYP00AV-04</t>
  </si>
  <si>
    <t>SUNITYP00AV-05</t>
  </si>
  <si>
    <t>SUNITYP00AV-06</t>
  </si>
  <si>
    <t>SUNITYP00B-01</t>
  </si>
  <si>
    <t>SUNITYP00B-02</t>
  </si>
  <si>
    <t>SUNITYP00B-03</t>
  </si>
  <si>
    <t>SUNITYP00B-04</t>
  </si>
  <si>
    <t>SUNITYP00BCC-01</t>
  </si>
  <si>
    <t>SUNITYP00BCC-02</t>
  </si>
  <si>
    <t>SUNITYP00BCC-03</t>
  </si>
  <si>
    <t>SUNITYP01A-01</t>
  </si>
  <si>
    <t>SUNITYP01A-02</t>
  </si>
  <si>
    <t>SUNITYP01B-01</t>
  </si>
  <si>
    <t>SUNITYP01B-02</t>
  </si>
  <si>
    <t>SUNITYP02A-01</t>
  </si>
  <si>
    <t>SUNITYP02A-02</t>
  </si>
  <si>
    <t>SUNITYP02B-01</t>
  </si>
  <si>
    <t>SUNITYP02B-02</t>
  </si>
  <si>
    <t>SUNITYP03A-01</t>
  </si>
  <si>
    <t>SUNITYP03A-02</t>
  </si>
  <si>
    <t>SUNITYP03B-01</t>
  </si>
  <si>
    <t>SUNITYP03B-02</t>
  </si>
  <si>
    <t>SUNITYP04A-01</t>
  </si>
  <si>
    <t>SUNITYP04A-02</t>
  </si>
  <si>
    <t>SUNITYP04A-03</t>
  </si>
  <si>
    <t>SUNITYP04A-04</t>
  </si>
  <si>
    <t>SUNITYP04A-05</t>
  </si>
  <si>
    <t>SUNITYP04B-01</t>
  </si>
  <si>
    <t>SUNITYP04B-02</t>
  </si>
  <si>
    <t>SUNITYP04B-03</t>
  </si>
  <si>
    <t>SUNITYP04B-04</t>
  </si>
  <si>
    <t>SUNITYP04B-05</t>
  </si>
  <si>
    <t>SUNITYP05A-01</t>
  </si>
  <si>
    <t>SUNITYP05A-02</t>
  </si>
  <si>
    <t>SUNITYP05A-03</t>
  </si>
  <si>
    <t>SUNITYP05A-04</t>
  </si>
  <si>
    <t>SUNITYP05A-05</t>
  </si>
  <si>
    <t>SUNITYP05B-01</t>
  </si>
  <si>
    <t>SUNITYP05B-02</t>
  </si>
  <si>
    <t>SUNITYP05B-03</t>
  </si>
  <si>
    <t>SUNITYP05B-04</t>
  </si>
  <si>
    <t>SUNITYP05B-05</t>
  </si>
  <si>
    <t>SUNITYP06A-01</t>
  </si>
  <si>
    <t>SUNITYP06A-02</t>
  </si>
  <si>
    <t>SUNITYP06A-03</t>
  </si>
  <si>
    <t>SUNITYP06A-04</t>
  </si>
  <si>
    <t>SUNITYP06A-05</t>
  </si>
  <si>
    <t>SUNITYP06B-01</t>
  </si>
  <si>
    <t>SUNITYP06B-02</t>
  </si>
  <si>
    <t>SUNITYP06B-03</t>
  </si>
  <si>
    <t>SUNITYP06B-04</t>
  </si>
  <si>
    <t>SUNITYP06B-05</t>
  </si>
  <si>
    <t>SUNITYP06B-06</t>
  </si>
  <si>
    <t>SUNITYP07A-01</t>
  </si>
  <si>
    <t>SUNITYP07A-02</t>
  </si>
  <si>
    <t>SUNITYP07A-03</t>
  </si>
  <si>
    <t>SUNITYP07A-04</t>
  </si>
  <si>
    <t>SUNITYP07A-05</t>
  </si>
  <si>
    <t>SUNITYP07B-01</t>
  </si>
  <si>
    <t>SUNITYP07B-02</t>
  </si>
  <si>
    <t>SUNITYP07B-03</t>
  </si>
  <si>
    <t>SUNITYP07B-04</t>
  </si>
  <si>
    <t>SUNITYP07B-05</t>
  </si>
  <si>
    <t>SUNITYPB1A-00</t>
  </si>
  <si>
    <t>SUNITYPB1A-01</t>
  </si>
  <si>
    <t>SUNITYPB1A-02</t>
  </si>
  <si>
    <t>SUNITYPB1A-03</t>
  </si>
  <si>
    <t>SUNITYPB1B-00</t>
  </si>
  <si>
    <t>SUNITYPB1B-01</t>
  </si>
  <si>
    <t>SUNITYPB1B-02</t>
  </si>
  <si>
    <t>SUNITYPB1B-03</t>
  </si>
  <si>
    <t>SUNITYPROA-01</t>
  </si>
  <si>
    <t>SUNITYPROB-01</t>
  </si>
  <si>
    <t>SW - ALHAMBRA</t>
  </si>
  <si>
    <t>SW - CASA PRINCIPAL</t>
  </si>
  <si>
    <t>SW - Escuela Infantil</t>
  </si>
  <si>
    <t>SW - HORNACHUELOS - COCINA</t>
  </si>
  <si>
    <t>SW - HORNACHUELOS - OFICINA</t>
  </si>
  <si>
    <t>SW - HORNACHUELOS - OFICINA BACKUP</t>
  </si>
  <si>
    <t>SW - Tormes - Buhardilla</t>
  </si>
  <si>
    <t>SW - Tormes - Rack</t>
  </si>
  <si>
    <t>SW-1</t>
  </si>
  <si>
    <t>sw1-monte-restaurante</t>
  </si>
  <si>
    <t>SW-2</t>
  </si>
  <si>
    <t>SWABELIASPCN0A</t>
  </si>
  <si>
    <t>SWABELIASPCN0A-2</t>
  </si>
  <si>
    <t>SWABELIASPCN0B</t>
  </si>
  <si>
    <t>SWABELIASPCN0B-2</t>
  </si>
  <si>
    <t>SWABELIASPCN0B-3</t>
  </si>
  <si>
    <t>SWABELIASPCN0B-4</t>
  </si>
  <si>
    <t>SWABELIASPCN0C</t>
  </si>
  <si>
    <t>SWABELIASPCN0C-2</t>
  </si>
  <si>
    <t>SWABELIASPCN0E</t>
  </si>
  <si>
    <t>SWABELIASPCN0E-2</t>
  </si>
  <si>
    <t>SWABELIASPCN0E-3</t>
  </si>
  <si>
    <t>SWABELIASPCN1D</t>
  </si>
  <si>
    <t>SWABELIASPCN1D-2</t>
  </si>
  <si>
    <t>SWABELIASPCN1D-3</t>
  </si>
  <si>
    <t>SWABELIASPCN1D-4</t>
  </si>
  <si>
    <t>SW-AMAZONIA-A</t>
  </si>
  <si>
    <t>SW-AMAZONIA-B</t>
  </si>
  <si>
    <t>SW-AMSTERDAM-SCIB</t>
  </si>
  <si>
    <t>SWBAHAMAS1</t>
  </si>
  <si>
    <t>SWBAHAMAS2</t>
  </si>
  <si>
    <t>SWBOA421PCN01</t>
  </si>
  <si>
    <t>SWBOA421PCN01-2</t>
  </si>
  <si>
    <t>SWBOA421PCN01-3</t>
  </si>
  <si>
    <t>SWBOA421PCN01-4</t>
  </si>
  <si>
    <t>SWBOA421PCN01-5</t>
  </si>
  <si>
    <t>SWBOA421PCN01-6</t>
  </si>
  <si>
    <t>SWBOA421PCN01-7</t>
  </si>
  <si>
    <t>SWBOA421PCN02</t>
  </si>
  <si>
    <t>SWBOA421PCN02-1</t>
  </si>
  <si>
    <t>SWBOA421PCN02-2</t>
  </si>
  <si>
    <t>SWBOA421PCN02-3</t>
  </si>
  <si>
    <t>SWBOA421PCN02-4</t>
  </si>
  <si>
    <t>SWBOA421PCN03</t>
  </si>
  <si>
    <t>SWBOA421PCN03-1</t>
  </si>
  <si>
    <t>SWBOA421PCN03-2</t>
  </si>
  <si>
    <t>SWBOA421PCN03-3</t>
  </si>
  <si>
    <t>SWBOA421PCN03-4</t>
  </si>
  <si>
    <t>SW-CARR1</t>
  </si>
  <si>
    <t>SW-CARR2</t>
  </si>
  <si>
    <t>SW-CM-P-1</t>
  </si>
  <si>
    <t>SW-CM-P-2</t>
  </si>
  <si>
    <t>SW-FARO</t>
  </si>
  <si>
    <t>SW-FRAUDFENSE-1</t>
  </si>
  <si>
    <t>SW-GOLF</t>
  </si>
  <si>
    <t>SW-HOTEL</t>
  </si>
  <si>
    <t>Switch Cocina</t>
  </si>
  <si>
    <t>Switch Oficinas</t>
  </si>
  <si>
    <t>SW-KABUKI</t>
  </si>
  <si>
    <t>SW-LABO-COMMs</t>
  </si>
  <si>
    <t>SW-LanCo-VAL1</t>
  </si>
  <si>
    <t>LANDCO VALENCIA</t>
  </si>
  <si>
    <t>SW-LandCo-BCN1</t>
  </si>
  <si>
    <t>LANDCO BARCELONA</t>
  </si>
  <si>
    <t>SW-LandCo-SEV1</t>
  </si>
  <si>
    <t>LANCO SEVILLA</t>
  </si>
  <si>
    <t>SW-LANDMARK</t>
  </si>
  <si>
    <t>LANDMARK</t>
  </si>
  <si>
    <t>SW-LANDMARK-2</t>
  </si>
  <si>
    <t>SW-LANDMARK-3</t>
  </si>
  <si>
    <t>SW-LUXEMBURGO-WMI</t>
  </si>
  <si>
    <t>LUXEMBURGO - WEALTH MANAGEMENT AND INSURANCE</t>
  </si>
  <si>
    <t>SW-PINAR-1</t>
  </si>
  <si>
    <t>SW-PINAR-2</t>
  </si>
  <si>
    <t>SW-PINAR-3</t>
  </si>
  <si>
    <t>SW-PINAR-A</t>
  </si>
  <si>
    <t>SW-PINAR-A-2</t>
  </si>
  <si>
    <t>SW-PUERTOCHICO</t>
  </si>
  <si>
    <t>PUERTO CHICO</t>
  </si>
  <si>
    <t>SW-QUINTANAVIDES</t>
  </si>
  <si>
    <t>RETAILCO - PL4 - QUINTANAVIDES</t>
  </si>
  <si>
    <t>SWROCLAW3</t>
  </si>
  <si>
    <t>SW-SARDINERO</t>
  </si>
  <si>
    <t>SW-WARSAW-1</t>
  </si>
  <si>
    <t>SW-WARSAW-2</t>
  </si>
  <si>
    <t>SW-WARSAW-3</t>
  </si>
  <si>
    <t>SW-WARSAW-Spare4</t>
  </si>
  <si>
    <t>SW-WIDEROOM</t>
  </si>
  <si>
    <t>SW-WR-CASTELLANA24</t>
  </si>
  <si>
    <t>SW-WR-PEREDA</t>
  </si>
  <si>
    <t>VMNXPRIME01</t>
  </si>
  <si>
    <t>WLC_TENA_01</t>
  </si>
  <si>
    <t>WLC_TENA_02</t>
  </si>
  <si>
    <t>WLCABELIASPCN1-1</t>
  </si>
  <si>
    <t>WLCABELIASPCN1-2</t>
  </si>
  <si>
    <t>WLCAEGON1</t>
  </si>
  <si>
    <t>WLCBOA421PCN01</t>
  </si>
  <si>
    <t>WLCBOA421PCN01-Standby</t>
  </si>
  <si>
    <t>WLCGUESTBE-EXT</t>
  </si>
  <si>
    <t>WLCGUESTBE-EXT-2</t>
  </si>
  <si>
    <t>WLC-JUNTA1</t>
  </si>
  <si>
    <t>WLC-JUNTA2</t>
  </si>
  <si>
    <t>WLCLAFIN16</t>
  </si>
  <si>
    <t>WLCLAFIN4</t>
  </si>
  <si>
    <t>WLCPOLONIA1</t>
  </si>
  <si>
    <t>WLCPOLONIA1-standby</t>
  </si>
  <si>
    <t>WLCPPARD01</t>
  </si>
  <si>
    <t>WLCPPARD02</t>
  </si>
  <si>
    <t>WLCSB1</t>
  </si>
  <si>
    <t>WLCSB1-standby</t>
  </si>
  <si>
    <t>WLCWROCLAW2</t>
  </si>
  <si>
    <t>WLCWROCLAW2-standby</t>
  </si>
  <si>
    <t>SANCFS-SCF25-RT1</t>
  </si>
  <si>
    <t>SCF_25 TOLEDO</t>
  </si>
  <si>
    <t>SANCFS-SCF25-SW1</t>
  </si>
  <si>
    <t>Estado Servicio</t>
  </si>
  <si>
    <t>Tipo afectación Incidencia</t>
  </si>
  <si>
    <t>Impact Detail</t>
  </si>
  <si>
    <t>Severidad</t>
  </si>
  <si>
    <t>Prioridad</t>
  </si>
  <si>
    <t>Impact</t>
  </si>
  <si>
    <t>REVISED</t>
  </si>
  <si>
    <t>Incident Description</t>
  </si>
  <si>
    <t>Tipo Notificación</t>
  </si>
  <si>
    <t>Up</t>
  </si>
  <si>
    <t>Saturation</t>
  </si>
  <si>
    <t>Confirmed by NOC UK</t>
  </si>
  <si>
    <t>P1</t>
  </si>
  <si>
    <t>YES</t>
  </si>
  <si>
    <t>Yes</t>
  </si>
  <si>
    <t>Down</t>
  </si>
  <si>
    <t>Latency</t>
  </si>
  <si>
    <t>Confirmed by LCON</t>
  </si>
  <si>
    <t>P2</t>
  </si>
  <si>
    <t>NO</t>
  </si>
  <si>
    <t>No</t>
  </si>
  <si>
    <t>Interface Utilization Fortinet &gt; 80% (Default) (IN) / (OUT)</t>
  </si>
  <si>
    <t>Update Incident</t>
  </si>
  <si>
    <t>Errors</t>
  </si>
  <si>
    <t>Confirmed by CCR</t>
  </si>
  <si>
    <t>P3</t>
  </si>
  <si>
    <t>Pending</t>
  </si>
  <si>
    <t>Interface Errors Fortinet &gt; 0.2% (Default) (IN) / (OUT)</t>
  </si>
  <si>
    <t>Closure Incident</t>
  </si>
  <si>
    <t>Discards</t>
  </si>
  <si>
    <t>N/A</t>
  </si>
  <si>
    <t>P4</t>
  </si>
  <si>
    <t>Outbound Discards (%): X Percent &lt; X Percent averaged over X</t>
  </si>
  <si>
    <t>BGP Down</t>
  </si>
  <si>
    <t>P5</t>
  </si>
  <si>
    <t>Outbound Errors (%): X Percent &lt; X Percent averaged over X minutes</t>
  </si>
  <si>
    <t>Link Down</t>
  </si>
  <si>
    <t>P3+</t>
  </si>
  <si>
    <t>Inbound Utilization: X Percent &gt; X% of the baseline of X Percent averaged over X minutes</t>
  </si>
  <si>
    <t>Device Down</t>
  </si>
  <si>
    <t>Inbound Utilization: X Percent &lt; X Percent averaged over X minutes</t>
  </si>
  <si>
    <t>Tunnel Down</t>
  </si>
  <si>
    <t>Inbound Errors (%): X Percent &lt; X Percent averaged over X minutes</t>
  </si>
  <si>
    <t>Interface Down</t>
  </si>
  <si>
    <t>loss_percentage: X Percent &lt; X Percent averaged over X minutes</t>
  </si>
  <si>
    <t>Flaps</t>
  </si>
  <si>
    <t>Link exceeding X% loss percentage. One or more tunnels are impacted</t>
  </si>
  <si>
    <t>availability: Time since newest data point X &gt; X</t>
  </si>
  <si>
    <t>Unity</t>
  </si>
  <si>
    <t>unity</t>
  </si>
  <si>
    <t>FortiNet (Switches) CPU &gt; 85</t>
  </si>
  <si>
    <t>Chassiss CPU Usage</t>
  </si>
  <si>
    <t>CPU USAGE THRESHOLD EXCEEDED</t>
  </si>
  <si>
    <t>MEMORY USAGE THRESHOLD EXCEEDED</t>
  </si>
  <si>
    <t>Disk Over 90%</t>
  </si>
  <si>
    <t>FE FAN FAILURE</t>
  </si>
  <si>
    <t>Trap message associated with fan sensor detection</t>
  </si>
  <si>
    <t>SNMP is no longer available</t>
  </si>
  <si>
    <t>CEFC MODULE STATUS CHANGE</t>
  </si>
  <si>
    <t>FRU INSERTED</t>
  </si>
  <si>
    <t>THE COMMUNICATION LINK IS DOWN  (Port Descriptions that do not include these tags:  Uplinks, Downlinks or Trunks)</t>
  </si>
  <si>
    <t>Interface Flapping Down/Up</t>
  </si>
  <si>
    <t>FE POWER SUPPLY FAILURE</t>
  </si>
  <si>
    <t>POWER SUPPLY FAILURE</t>
  </si>
  <si>
    <t>POWER USAGE ABOVE THRESHOLD</t>
  </si>
  <si>
    <t>Trap message associated with PSU status changes</t>
  </si>
  <si>
    <t>Trap messages for temperature, PoE, CPU, memory, and disk sensor alarm</t>
  </si>
  <si>
    <t>SPANNING TREE ROOT HAS CHANGED</t>
  </si>
  <si>
    <t>DEVICE HAS STOPPED RESPONDING PING</t>
  </si>
  <si>
    <t>Other alerts</t>
  </si>
  <si>
    <t>SevOne DEVICE HAS STOPPED RESPONDING TO POLLS</t>
  </si>
  <si>
    <t>FG FC SW DOWN</t>
  </si>
  <si>
    <t>HA MEMBER DOWN</t>
  </si>
  <si>
    <t>HA HEARTBEAT FAILURE THRESHOLD EXCEEDED</t>
  </si>
  <si>
    <t>A restart has been detected (COLD START)</t>
  </si>
  <si>
    <t>The device rebooted</t>
  </si>
  <si>
    <t>THE COMMUNICATION LINK IS DOWN (IntDescription: Uplinks, Downlinks or Trunks)</t>
  </si>
  <si>
    <t>THE COMMUNICATION LINK IS ADMINISTRATIVELY DOWN</t>
  </si>
  <si>
    <t>SDWAN OMP PEER STATE CHANGE</t>
  </si>
  <si>
    <t>All BFD sessions for the tloc are down [X]</t>
  </si>
  <si>
    <t>BGP backward transition. Peer router:</t>
  </si>
  <si>
    <t>HA SWITCH</t>
  </si>
  <si>
    <t>VPN TUNNEL DOWN :</t>
  </si>
  <si>
    <t>All BFD sessions for the node are down</t>
  </si>
  <si>
    <t>Asunto Correo</t>
  </si>
  <si>
    <t>Revised</t>
  </si>
  <si>
    <t>Tipo</t>
  </si>
  <si>
    <t>Servicio</t>
  </si>
  <si>
    <t>Site Entity</t>
  </si>
  <si>
    <t>Devices/Circuits</t>
  </si>
  <si>
    <t>Tipo Incidencia</t>
  </si>
  <si>
    <t>Estado Incidencia</t>
  </si>
  <si>
    <t>Service Now</t>
  </si>
  <si>
    <t>Impacto</t>
  </si>
  <si>
    <t>Sede</t>
  </si>
  <si>
    <t>ASUNTO</t>
  </si>
  <si>
    <t>ISM Ticket</t>
  </si>
  <si>
    <t>Time stamp (GMT +1)</t>
  </si>
  <si>
    <t>Closure Message</t>
  </si>
  <si>
    <t>Hora de Inicio Alertas</t>
  </si>
  <si>
    <t>Hora Fin de la alerta</t>
  </si>
  <si>
    <t>Minutos</t>
  </si>
  <si>
    <t>indicar como min + min</t>
  </si>
  <si>
    <t>Utiliza esta página para modificar manualmente la plantilla</t>
  </si>
  <si>
    <t>Incident Start Time (GMT+1):</t>
  </si>
  <si>
    <t>Incident End Time (GMT+1):</t>
  </si>
  <si>
    <t>Time stamp (GMT+1)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</si>
</sst>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"/>
  </numFmts>
  <fonts count="2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u/>
      <sz val="11"/>
      <color rgb="FFC00000"/>
      <name val="Calibri"/>
      <family val="2"/>
      <scheme val="minor"/>
    </font>
    <font>
      <sz val="36"/>
      <color theme="1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FFFF"/>
      <name val="Calibri"/>
      <family val="2"/>
    </font>
    <font>
      <i/>
      <sz val="11"/>
      <color theme="1"/>
      <name val="Calibri"/>
      <family val="2"/>
      <scheme val="minor"/>
    </font>
    <font>
      <i/>
      <sz val="11"/>
      <color rgb="FFC00000"/>
      <name val="Calibri"/>
      <family val="2"/>
      <scheme val="minor"/>
    </font>
    <font>
      <i/>
      <u/>
      <sz val="11"/>
      <color rgb="FFC00000"/>
      <name val="Calibri"/>
      <family val="2"/>
      <scheme val="minor"/>
    </font>
    <font>
      <sz val="11"/>
      <color rgb="FF181B1D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u/>
      <sz val="11"/>
      <color rgb="FF00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8B8B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0000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rgb="FF000000"/>
      </bottom>
      <diagonal/>
    </border>
    <border>
      <left/>
      <right/>
      <top style="thin">
        <color indexed="64"/>
      </top>
      <bottom style="medium">
        <color rgb="FF000000"/>
      </bottom>
      <diagonal/>
    </border>
    <border>
      <left/>
      <right style="medium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7030A0"/>
      </left>
      <right style="medium">
        <color rgb="FF7030A0"/>
      </right>
      <top style="medium">
        <color rgb="FF7030A0"/>
      </top>
      <bottom style="medium">
        <color rgb="FF7030A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" fillId="0" borderId="0"/>
  </cellStyleXfs>
  <cellXfs count="192">
    <xf numFmtId="0" fontId="0" fillId="0" borderId="0" xfId="0"/>
    <xf numFmtId="0" fontId="0" fillId="0" borderId="1" xfId="0" applyBorder="1"/>
    <xf numFmtId="0" fontId="1" fillId="3" borderId="2" xfId="0" applyFont="1" applyFill="1" applyBorder="1" applyAlignment="1">
      <alignment horizontal="right"/>
    </xf>
    <xf numFmtId="0" fontId="0" fillId="0" borderId="1" xfId="0" applyBorder="1" applyAlignment="1">
      <alignment horizontal="center"/>
    </xf>
    <xf numFmtId="22" fontId="0" fillId="0" borderId="0" xfId="0" applyNumberFormat="1"/>
    <xf numFmtId="2" fontId="0" fillId="0" borderId="0" xfId="0" applyNumberFormat="1"/>
    <xf numFmtId="22" fontId="0" fillId="0" borderId="1" xfId="0" applyNumberFormat="1" applyBorder="1"/>
    <xf numFmtId="22" fontId="0" fillId="4" borderId="1" xfId="0" applyNumberFormat="1" applyFill="1" applyBorder="1"/>
    <xf numFmtId="0" fontId="2" fillId="5" borderId="0" xfId="0" applyFont="1" applyFill="1"/>
    <xf numFmtId="0" fontId="0" fillId="0" borderId="0" xfId="0" applyAlignment="1">
      <alignment wrapText="1"/>
    </xf>
    <xf numFmtId="0" fontId="7" fillId="7" borderId="0" xfId="0" applyFont="1" applyFill="1"/>
    <xf numFmtId="0" fontId="3" fillId="3" borderId="2" xfId="0" applyFont="1" applyFill="1" applyBorder="1"/>
    <xf numFmtId="0" fontId="0" fillId="0" borderId="7" xfId="0" applyBorder="1"/>
    <xf numFmtId="0" fontId="0" fillId="8" borderId="5" xfId="0" applyFill="1" applyBorder="1"/>
    <xf numFmtId="0" fontId="0" fillId="0" borderId="18" xfId="0" applyBorder="1"/>
    <xf numFmtId="0" fontId="0" fillId="0" borderId="19" xfId="0" applyBorder="1"/>
    <xf numFmtId="0" fontId="2" fillId="0" borderId="16" xfId="0" applyFont="1" applyBorder="1"/>
    <xf numFmtId="0" fontId="2" fillId="4" borderId="16" xfId="0" applyFont="1" applyFill="1" applyBorder="1"/>
    <xf numFmtId="0" fontId="2" fillId="0" borderId="17" xfId="0" applyFont="1" applyBorder="1"/>
    <xf numFmtId="0" fontId="0" fillId="9" borderId="14" xfId="0" applyFill="1" applyBorder="1"/>
    <xf numFmtId="0" fontId="0" fillId="9" borderId="15" xfId="0" applyFill="1" applyBorder="1"/>
    <xf numFmtId="0" fontId="0" fillId="10" borderId="14" xfId="0" applyFill="1" applyBorder="1"/>
    <xf numFmtId="0" fontId="0" fillId="10" borderId="15" xfId="0" applyFill="1" applyBorder="1"/>
    <xf numFmtId="0" fontId="2" fillId="8" borderId="5" xfId="0" applyFont="1" applyFill="1" applyBorder="1"/>
    <xf numFmtId="0" fontId="0" fillId="0" borderId="0" xfId="0" applyAlignment="1">
      <alignment vertical="center"/>
    </xf>
    <xf numFmtId="22" fontId="0" fillId="0" borderId="18" xfId="0" applyNumberFormat="1" applyBorder="1"/>
    <xf numFmtId="0" fontId="0" fillId="0" borderId="0" xfId="0" applyAlignment="1">
      <alignment horizontal="left" wrapText="1"/>
    </xf>
    <xf numFmtId="22" fontId="0" fillId="0" borderId="11" xfId="0" applyNumberFormat="1" applyBorder="1" applyAlignment="1">
      <alignment wrapText="1"/>
    </xf>
    <xf numFmtId="0" fontId="2" fillId="6" borderId="1" xfId="0" applyFont="1" applyFill="1" applyBorder="1" applyAlignment="1">
      <alignment horizontal="right" vertical="center"/>
    </xf>
    <xf numFmtId="22" fontId="0" fillId="6" borderId="1" xfId="0" applyNumberFormat="1" applyFill="1" applyBorder="1" applyAlignment="1">
      <alignment horizontal="left" vertical="center" wrapText="1"/>
    </xf>
    <xf numFmtId="2" fontId="0" fillId="6" borderId="1" xfId="0" applyNumberFormat="1" applyFill="1" applyBorder="1" applyAlignment="1">
      <alignment vertical="center" wrapText="1"/>
    </xf>
    <xf numFmtId="0" fontId="0" fillId="6" borderId="1" xfId="0" applyFill="1" applyBorder="1" applyAlignment="1">
      <alignment vertical="center"/>
    </xf>
    <xf numFmtId="0" fontId="2" fillId="6" borderId="29" xfId="0" applyFont="1" applyFill="1" applyBorder="1" applyAlignment="1">
      <alignment horizontal="right" vertical="center"/>
    </xf>
    <xf numFmtId="0" fontId="0" fillId="6" borderId="30" xfId="0" applyFill="1" applyBorder="1" applyAlignment="1">
      <alignment vertical="center"/>
    </xf>
    <xf numFmtId="22" fontId="0" fillId="6" borderId="30" xfId="0" applyNumberFormat="1" applyFill="1" applyBorder="1" applyAlignment="1">
      <alignment horizontal="left" vertical="center" wrapText="1"/>
    </xf>
    <xf numFmtId="0" fontId="0" fillId="6" borderId="30" xfId="0" applyFill="1" applyBorder="1" applyAlignment="1">
      <alignment vertical="center" wrapText="1"/>
    </xf>
    <xf numFmtId="0" fontId="2" fillId="6" borderId="32" xfId="0" applyFont="1" applyFill="1" applyBorder="1" applyAlignment="1">
      <alignment horizontal="right" vertical="center"/>
    </xf>
    <xf numFmtId="22" fontId="0" fillId="0" borderId="0" xfId="0" applyNumberFormat="1" applyAlignment="1">
      <alignment horizontal="left" wrapText="1"/>
    </xf>
    <xf numFmtId="2" fontId="9" fillId="0" borderId="0" xfId="0" applyNumberFormat="1" applyFont="1" applyAlignment="1">
      <alignment horizontal="left" wrapText="1"/>
    </xf>
    <xf numFmtId="22" fontId="0" fillId="0" borderId="5" xfId="0" applyNumberFormat="1" applyBorder="1" applyAlignment="1">
      <alignment wrapText="1"/>
    </xf>
    <xf numFmtId="22" fontId="0" fillId="0" borderId="36" xfId="0" applyNumberFormat="1" applyBorder="1" applyAlignment="1">
      <alignment wrapText="1"/>
    </xf>
    <xf numFmtId="0" fontId="14" fillId="6" borderId="0" xfId="0" applyFont="1" applyFill="1" applyAlignment="1">
      <alignment horizontal="left" vertical="center"/>
    </xf>
    <xf numFmtId="0" fontId="0" fillId="12" borderId="0" xfId="0" applyFill="1"/>
    <xf numFmtId="0" fontId="0" fillId="11" borderId="0" xfId="0" applyFill="1"/>
    <xf numFmtId="0" fontId="2" fillId="5" borderId="5" xfId="0" applyFont="1" applyFill="1" applyBorder="1" applyAlignment="1">
      <alignment wrapText="1"/>
    </xf>
    <xf numFmtId="22" fontId="13" fillId="6" borderId="3" xfId="0" applyNumberFormat="1" applyFont="1" applyFill="1" applyBorder="1" applyAlignment="1">
      <alignment horizontal="center" vertical="center"/>
    </xf>
    <xf numFmtId="0" fontId="0" fillId="6" borderId="1" xfId="0" applyFill="1" applyBorder="1" applyAlignment="1">
      <alignment vertical="center" wrapText="1"/>
    </xf>
    <xf numFmtId="22" fontId="13" fillId="6" borderId="0" xfId="0" applyNumberFormat="1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0" fontId="1" fillId="3" borderId="37" xfId="0" applyFont="1" applyFill="1" applyBorder="1" applyAlignment="1">
      <alignment horizontal="center" vertical="center"/>
    </xf>
    <xf numFmtId="0" fontId="3" fillId="6" borderId="0" xfId="0" applyFont="1" applyFill="1" applyAlignment="1">
      <alignment vertical="center" wrapText="1"/>
    </xf>
    <xf numFmtId="0" fontId="2" fillId="0" borderId="5" xfId="0" applyFont="1" applyBorder="1" applyAlignment="1">
      <alignment horizontal="center" vertical="center"/>
    </xf>
    <xf numFmtId="0" fontId="0" fillId="6" borderId="0" xfId="0" applyFill="1" applyAlignment="1">
      <alignment vertical="center" wrapText="1"/>
    </xf>
    <xf numFmtId="1" fontId="0" fillId="0" borderId="1" xfId="0" applyNumberFormat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0" fillId="0" borderId="39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2" fillId="7" borderId="0" xfId="0" applyFont="1" applyFill="1" applyAlignment="1">
      <alignment horizontal="center" vertical="center" wrapText="1"/>
    </xf>
    <xf numFmtId="0" fontId="2" fillId="7" borderId="0" xfId="0" applyFont="1" applyFill="1" applyAlignment="1">
      <alignment horizontal="right" vertical="center" wrapText="1"/>
    </xf>
    <xf numFmtId="22" fontId="2" fillId="7" borderId="0" xfId="0" applyNumberFormat="1" applyFont="1" applyFill="1" applyAlignment="1">
      <alignment horizontal="center" vertical="center" wrapText="1"/>
    </xf>
    <xf numFmtId="22" fontId="2" fillId="7" borderId="0" xfId="0" applyNumberFormat="1" applyFont="1" applyFill="1" applyAlignment="1">
      <alignment horizontal="right" vertical="center" wrapText="1"/>
    </xf>
    <xf numFmtId="0" fontId="10" fillId="7" borderId="0" xfId="0" applyFont="1" applyFill="1" applyAlignment="1">
      <alignment horizontal="center" vertical="center" wrapText="1"/>
    </xf>
    <xf numFmtId="0" fontId="10" fillId="7" borderId="0" xfId="0" applyFont="1" applyFill="1" applyAlignment="1">
      <alignment horizontal="right" vertical="center" wrapText="1"/>
    </xf>
    <xf numFmtId="22" fontId="13" fillId="0" borderId="3" xfId="0" applyNumberFormat="1" applyFont="1" applyBorder="1" applyAlignment="1">
      <alignment horizontal="center" vertical="center"/>
    </xf>
    <xf numFmtId="22" fontId="13" fillId="0" borderId="1" xfId="0" applyNumberFormat="1" applyFont="1" applyBorder="1" applyAlignment="1">
      <alignment horizontal="center" vertical="center"/>
    </xf>
    <xf numFmtId="0" fontId="14" fillId="7" borderId="23" xfId="0" applyFont="1" applyFill="1" applyBorder="1" applyAlignment="1">
      <alignment horizontal="left" vertical="center"/>
    </xf>
    <xf numFmtId="0" fontId="14" fillId="7" borderId="25" xfId="0" applyFont="1" applyFill="1" applyBorder="1" applyAlignment="1">
      <alignment horizontal="left" vertical="center"/>
    </xf>
    <xf numFmtId="0" fontId="14" fillId="7" borderId="25" xfId="0" applyFont="1" applyFill="1" applyBorder="1" applyAlignment="1">
      <alignment horizontal="left" vertical="center" wrapText="1"/>
    </xf>
    <xf numFmtId="0" fontId="3" fillId="7" borderId="24" xfId="0" applyFont="1" applyFill="1" applyBorder="1" applyAlignment="1">
      <alignment vertical="center" wrapText="1"/>
    </xf>
    <xf numFmtId="0" fontId="3" fillId="7" borderId="25" xfId="0" applyFont="1" applyFill="1" applyBorder="1" applyAlignment="1">
      <alignment vertical="center" wrapText="1"/>
    </xf>
    <xf numFmtId="0" fontId="16" fillId="7" borderId="24" xfId="0" applyFont="1" applyFill="1" applyBorder="1" applyAlignment="1">
      <alignment horizontal="center" vertical="center" wrapText="1"/>
    </xf>
    <xf numFmtId="0" fontId="14" fillId="7" borderId="28" xfId="0" applyFont="1" applyFill="1" applyBorder="1" applyAlignment="1">
      <alignment horizontal="left" vertical="center"/>
    </xf>
    <xf numFmtId="0" fontId="0" fillId="0" borderId="0" xfId="0" applyAlignment="1">
      <alignment horizontal="right"/>
    </xf>
    <xf numFmtId="0" fontId="18" fillId="14" borderId="1" xfId="0" applyFont="1" applyFill="1" applyBorder="1" applyAlignment="1">
      <alignment vertical="center"/>
    </xf>
    <xf numFmtId="0" fontId="19" fillId="0" borderId="0" xfId="0" applyFont="1" applyAlignment="1">
      <alignment vertical="center"/>
    </xf>
    <xf numFmtId="164" fontId="0" fillId="0" borderId="1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5" fillId="2" borderId="8" xfId="0" applyFont="1" applyFill="1" applyBorder="1" applyAlignment="1">
      <alignment vertical="center"/>
    </xf>
    <xf numFmtId="0" fontId="2" fillId="16" borderId="1" xfId="0" applyFont="1" applyFill="1" applyBorder="1" applyAlignment="1">
      <alignment horizontal="right" vertical="center" wrapText="1"/>
    </xf>
    <xf numFmtId="0" fontId="2" fillId="16" borderId="40" xfId="0" applyFont="1" applyFill="1" applyBorder="1" applyAlignment="1">
      <alignment horizontal="right" vertical="center" wrapText="1"/>
    </xf>
    <xf numFmtId="22" fontId="2" fillId="16" borderId="1" xfId="0" applyNumberFormat="1" applyFont="1" applyFill="1" applyBorder="1" applyAlignment="1">
      <alignment horizontal="right" vertical="center" wrapText="1"/>
    </xf>
    <xf numFmtId="0" fontId="10" fillId="16" borderId="1" xfId="0" applyFont="1" applyFill="1" applyBorder="1" applyAlignment="1">
      <alignment horizontal="right" vertical="center" wrapText="1"/>
    </xf>
    <xf numFmtId="1" fontId="0" fillId="0" borderId="0" xfId="0" applyNumberFormat="1" applyAlignment="1">
      <alignment vertical="center"/>
    </xf>
    <xf numFmtId="0" fontId="18" fillId="14" borderId="0" xfId="0" applyFont="1" applyFill="1" applyAlignment="1">
      <alignment vertical="center"/>
    </xf>
    <xf numFmtId="0" fontId="17" fillId="0" borderId="0" xfId="0" applyFont="1" applyAlignment="1">
      <alignment vertical="center"/>
    </xf>
    <xf numFmtId="49" fontId="0" fillId="0" borderId="0" xfId="0" applyNumberFormat="1" applyAlignment="1">
      <alignment vertical="center" wrapText="1"/>
    </xf>
    <xf numFmtId="0" fontId="17" fillId="15" borderId="0" xfId="0" applyFont="1" applyFill="1" applyAlignment="1">
      <alignment vertical="center"/>
    </xf>
    <xf numFmtId="49" fontId="0" fillId="0" borderId="0" xfId="0" applyNumberFormat="1" applyAlignment="1">
      <alignment horizontal="left" vertical="center" wrapText="1"/>
    </xf>
    <xf numFmtId="0" fontId="17" fillId="17" borderId="0" xfId="0" applyFont="1" applyFill="1" applyAlignment="1">
      <alignment vertical="center"/>
    </xf>
    <xf numFmtId="0" fontId="17" fillId="17" borderId="0" xfId="0" applyFont="1" applyFill="1" applyAlignment="1">
      <alignment vertical="center" wrapText="1"/>
    </xf>
    <xf numFmtId="0" fontId="17" fillId="17" borderId="37" xfId="0" applyFont="1" applyFill="1" applyBorder="1" applyAlignment="1">
      <alignment vertical="center"/>
    </xf>
    <xf numFmtId="0" fontId="17" fillId="17" borderId="16" xfId="0" applyFont="1" applyFill="1" applyBorder="1" applyAlignment="1">
      <alignment vertical="center"/>
    </xf>
    <xf numFmtId="0" fontId="17" fillId="17" borderId="17" xfId="0" applyFont="1" applyFill="1" applyBorder="1" applyAlignment="1">
      <alignment vertical="center"/>
    </xf>
    <xf numFmtId="0" fontId="17" fillId="17" borderId="3" xfId="0" applyFont="1" applyFill="1" applyBorder="1" applyAlignment="1">
      <alignment vertical="center"/>
    </xf>
    <xf numFmtId="0" fontId="17" fillId="17" borderId="1" xfId="0" applyFont="1" applyFill="1" applyBorder="1" applyAlignment="1">
      <alignment vertical="center"/>
    </xf>
    <xf numFmtId="0" fontId="17" fillId="17" borderId="4" xfId="0" applyFont="1" applyFill="1" applyBorder="1" applyAlignment="1">
      <alignment vertical="center"/>
    </xf>
    <xf numFmtId="0" fontId="17" fillId="17" borderId="41" xfId="0" applyFont="1" applyFill="1" applyBorder="1" applyAlignment="1">
      <alignment vertical="center"/>
    </xf>
    <xf numFmtId="0" fontId="17" fillId="17" borderId="18" xfId="0" applyFont="1" applyFill="1" applyBorder="1" applyAlignment="1">
      <alignment vertical="center"/>
    </xf>
    <xf numFmtId="0" fontId="17" fillId="17" borderId="19" xfId="0" applyFont="1" applyFill="1" applyBorder="1" applyAlignment="1">
      <alignment vertical="center"/>
    </xf>
    <xf numFmtId="0" fontId="19" fillId="17" borderId="0" xfId="0" applyFont="1" applyFill="1" applyAlignment="1">
      <alignment vertical="center"/>
    </xf>
    <xf numFmtId="0" fontId="0" fillId="6" borderId="0" xfId="0" applyFill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0" fillId="7" borderId="24" xfId="0" applyFill="1" applyBorder="1" applyAlignment="1">
      <alignment horizontal="center" vertical="center"/>
    </xf>
    <xf numFmtId="22" fontId="0" fillId="7" borderId="25" xfId="0" applyNumberFormat="1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22" fontId="0" fillId="6" borderId="0" xfId="0" applyNumberFormat="1" applyFill="1" applyAlignment="1">
      <alignment horizontal="center" vertical="center"/>
    </xf>
    <xf numFmtId="0" fontId="0" fillId="7" borderId="25" xfId="0" applyFill="1" applyBorder="1" applyAlignment="1">
      <alignment horizontal="center" vertical="center"/>
    </xf>
    <xf numFmtId="22" fontId="0" fillId="7" borderId="0" xfId="0" applyNumberFormat="1" applyFill="1" applyAlignment="1">
      <alignment horizontal="center" vertical="center"/>
    </xf>
    <xf numFmtId="22" fontId="0" fillId="7" borderId="0" xfId="0" applyNumberFormat="1" applyFill="1" applyAlignment="1">
      <alignment horizontal="center" vertical="center" wrapText="1"/>
    </xf>
    <xf numFmtId="0" fontId="0" fillId="7" borderId="0" xfId="0" applyFill="1" applyAlignment="1">
      <alignment vertical="center" wrapText="1"/>
    </xf>
    <xf numFmtId="0" fontId="0" fillId="7" borderId="26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7" borderId="24" xfId="0" applyFont="1" applyFill="1" applyBorder="1" applyAlignment="1">
      <alignment vertical="center" wrapText="1"/>
    </xf>
    <xf numFmtId="0" fontId="1" fillId="7" borderId="24" xfId="0" applyFont="1" applyFill="1" applyBorder="1" applyAlignment="1">
      <alignment vertical="center"/>
    </xf>
    <xf numFmtId="0" fontId="0" fillId="6" borderId="0" xfId="0" applyFill="1" applyAlignment="1">
      <alignment vertical="center"/>
    </xf>
    <xf numFmtId="0" fontId="2" fillId="6" borderId="0" xfId="0" applyFont="1" applyFill="1" applyAlignment="1">
      <alignment vertical="center" wrapText="1"/>
    </xf>
    <xf numFmtId="0" fontId="0" fillId="7" borderId="24" xfId="0" applyFill="1" applyBorder="1" applyAlignment="1">
      <alignment vertical="center"/>
    </xf>
    <xf numFmtId="0" fontId="11" fillId="7" borderId="25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1" fontId="0" fillId="6" borderId="0" xfId="0" applyNumberFormat="1" applyFill="1" applyAlignment="1">
      <alignment vertical="center"/>
    </xf>
    <xf numFmtId="0" fontId="1" fillId="7" borderId="0" xfId="0" applyFont="1" applyFill="1" applyAlignment="1">
      <alignment horizontal="center" vertical="center"/>
    </xf>
    <xf numFmtId="0" fontId="1" fillId="7" borderId="25" xfId="0" applyFont="1" applyFill="1" applyBorder="1" applyAlignment="1">
      <alignment horizontal="center" vertical="center"/>
    </xf>
    <xf numFmtId="22" fontId="0" fillId="6" borderId="0" xfId="0" applyNumberFormat="1" applyFill="1" applyAlignment="1">
      <alignment horizontal="center" vertical="center" wrapText="1"/>
    </xf>
    <xf numFmtId="0" fontId="11" fillId="7" borderId="24" xfId="0" applyFont="1" applyFill="1" applyBorder="1" applyAlignment="1">
      <alignment vertical="center"/>
    </xf>
    <xf numFmtId="0" fontId="11" fillId="7" borderId="0" xfId="0" applyFont="1" applyFill="1" applyAlignment="1">
      <alignment vertical="center"/>
    </xf>
    <xf numFmtId="0" fontId="11" fillId="7" borderId="25" xfId="0" applyFont="1" applyFill="1" applyBorder="1" applyAlignment="1">
      <alignment vertical="center"/>
    </xf>
    <xf numFmtId="22" fontId="2" fillId="16" borderId="1" xfId="0" applyNumberFormat="1" applyFont="1" applyFill="1" applyBorder="1" applyAlignment="1">
      <alignment horizontal="center" vertical="center" wrapText="1"/>
    </xf>
    <xf numFmtId="0" fontId="2" fillId="7" borderId="0" xfId="0" applyFont="1" applyFill="1" applyAlignment="1">
      <alignment horizontal="center" vertical="center"/>
    </xf>
    <xf numFmtId="0" fontId="7" fillId="7" borderId="0" xfId="0" applyFont="1" applyFill="1" applyAlignment="1">
      <alignment vertical="center" wrapText="1"/>
    </xf>
    <xf numFmtId="0" fontId="7" fillId="7" borderId="25" xfId="0" applyFont="1" applyFill="1" applyBorder="1" applyAlignment="1">
      <alignment vertical="center" wrapText="1"/>
    </xf>
    <xf numFmtId="0" fontId="7" fillId="6" borderId="0" xfId="0" applyFont="1" applyFill="1" applyAlignment="1">
      <alignment vertical="center" wrapText="1"/>
    </xf>
    <xf numFmtId="22" fontId="0" fillId="7" borderId="25" xfId="0" applyNumberFormat="1" applyFill="1" applyBorder="1" applyAlignment="1">
      <alignment horizontal="center" vertical="center" wrapText="1"/>
    </xf>
    <xf numFmtId="0" fontId="0" fillId="7" borderId="26" xfId="0" applyFill="1" applyBorder="1" applyAlignment="1">
      <alignment vertical="center"/>
    </xf>
    <xf numFmtId="0" fontId="0" fillId="7" borderId="27" xfId="0" applyFill="1" applyBorder="1" applyAlignment="1">
      <alignment vertical="center" wrapText="1"/>
    </xf>
    <xf numFmtId="0" fontId="0" fillId="7" borderId="27" xfId="0" applyFill="1" applyBorder="1" applyAlignment="1">
      <alignment horizontal="center" vertical="center"/>
    </xf>
    <xf numFmtId="0" fontId="0" fillId="7" borderId="28" xfId="0" applyFill="1" applyBorder="1" applyAlignment="1">
      <alignment horizontal="center" vertical="center"/>
    </xf>
    <xf numFmtId="22" fontId="0" fillId="6" borderId="0" xfId="0" applyNumberFormat="1" applyFill="1" applyAlignment="1">
      <alignment vertical="center" wrapText="1"/>
    </xf>
    <xf numFmtId="22" fontId="0" fillId="6" borderId="12" xfId="0" applyNumberFormat="1" applyFill="1" applyBorder="1" applyAlignment="1">
      <alignment horizontal="left" vertical="center"/>
    </xf>
    <xf numFmtId="22" fontId="0" fillId="6" borderId="13" xfId="0" applyNumberFormat="1" applyFill="1" applyBorder="1" applyAlignment="1">
      <alignment horizontal="left" vertical="center"/>
    </xf>
    <xf numFmtId="22" fontId="0" fillId="6" borderId="31" xfId="0" applyNumberFormat="1" applyFill="1" applyBorder="1" applyAlignment="1">
      <alignment horizontal="left" vertical="center"/>
    </xf>
    <xf numFmtId="0" fontId="15" fillId="0" borderId="5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left" vertical="center" wrapText="1"/>
    </xf>
    <xf numFmtId="0" fontId="0" fillId="6" borderId="30" xfId="0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/>
    </xf>
    <xf numFmtId="0" fontId="0" fillId="6" borderId="30" xfId="0" applyFill="1" applyBorder="1" applyAlignment="1">
      <alignment horizontal="left" vertical="center"/>
    </xf>
    <xf numFmtId="0" fontId="11" fillId="11" borderId="1" xfId="0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horizontal="center" vertical="center"/>
    </xf>
    <xf numFmtId="22" fontId="20" fillId="6" borderId="38" xfId="0" applyNumberFormat="1" applyFont="1" applyFill="1" applyBorder="1" applyAlignment="1">
      <alignment horizontal="center" vertical="center"/>
    </xf>
    <xf numFmtId="0" fontId="1" fillId="3" borderId="16" xfId="0" applyFont="1" applyFill="1" applyBorder="1" applyAlignment="1">
      <alignment horizontal="left" vertical="center"/>
    </xf>
    <xf numFmtId="0" fontId="1" fillId="3" borderId="17" xfId="0" applyFont="1" applyFill="1" applyBorder="1" applyAlignment="1">
      <alignment horizontal="left" vertical="center"/>
    </xf>
    <xf numFmtId="0" fontId="5" fillId="2" borderId="26" xfId="0" applyFont="1" applyFill="1" applyBorder="1" applyAlignment="1">
      <alignment horizontal="left" vertical="center"/>
    </xf>
    <xf numFmtId="0" fontId="5" fillId="2" borderId="27" xfId="0" applyFont="1" applyFill="1" applyBorder="1" applyAlignment="1">
      <alignment horizontal="left" vertical="center"/>
    </xf>
    <xf numFmtId="0" fontId="5" fillId="2" borderId="28" xfId="0" applyFont="1" applyFill="1" applyBorder="1" applyAlignment="1">
      <alignment horizontal="left" vertical="center"/>
    </xf>
    <xf numFmtId="0" fontId="0" fillId="6" borderId="33" xfId="0" applyFill="1" applyBorder="1" applyAlignment="1">
      <alignment horizontal="left" vertical="center" wrapText="1"/>
    </xf>
    <xf numFmtId="0" fontId="0" fillId="6" borderId="34" xfId="0" applyFill="1" applyBorder="1" applyAlignment="1">
      <alignment horizontal="left" vertical="center" wrapText="1"/>
    </xf>
    <xf numFmtId="0" fontId="0" fillId="6" borderId="35" xfId="0" applyFill="1" applyBorder="1" applyAlignment="1">
      <alignment horizontal="left" vertical="center" wrapText="1"/>
    </xf>
    <xf numFmtId="0" fontId="0" fillId="6" borderId="4" xfId="0" applyFill="1" applyBorder="1" applyAlignment="1">
      <alignment horizontal="left" vertical="center" wrapText="1"/>
    </xf>
    <xf numFmtId="0" fontId="13" fillId="0" borderId="5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3" fillId="7" borderId="21" xfId="0" applyFont="1" applyFill="1" applyBorder="1" applyAlignment="1">
      <alignment horizontal="center" vertical="center" wrapText="1"/>
    </xf>
    <xf numFmtId="0" fontId="23" fillId="7" borderId="22" xfId="0" applyFont="1" applyFill="1" applyBorder="1" applyAlignment="1">
      <alignment horizontal="center" vertical="center" wrapText="1"/>
    </xf>
    <xf numFmtId="0" fontId="23" fillId="7" borderId="23" xfId="0" applyFont="1" applyFill="1" applyBorder="1" applyAlignment="1">
      <alignment horizontal="center" vertical="center" wrapText="1"/>
    </xf>
    <xf numFmtId="0" fontId="13" fillId="0" borderId="5" xfId="0" applyFont="1" applyBorder="1" applyAlignment="1">
      <alignment horizontal="left" vertical="center" wrapText="1"/>
    </xf>
    <xf numFmtId="0" fontId="13" fillId="0" borderId="7" xfId="0" applyFont="1" applyBorder="1" applyAlignment="1">
      <alignment horizontal="left" vertical="center" wrapText="1"/>
    </xf>
    <xf numFmtId="0" fontId="11" fillId="7" borderId="0" xfId="0" applyFont="1" applyFill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14" fillId="7" borderId="25" xfId="0" applyFont="1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11" fillId="7" borderId="24" xfId="0" applyFont="1" applyFill="1" applyBorder="1" applyAlignment="1">
      <alignment horizontal="center" vertical="center"/>
    </xf>
    <xf numFmtId="0" fontId="11" fillId="7" borderId="25" xfId="0" applyFont="1" applyFill="1" applyBorder="1" applyAlignment="1">
      <alignment horizontal="center" vertical="center"/>
    </xf>
    <xf numFmtId="22" fontId="0" fillId="0" borderId="5" xfId="0" applyNumberFormat="1" applyBorder="1" applyAlignment="1">
      <alignment horizontal="center" vertical="center"/>
    </xf>
    <xf numFmtId="22" fontId="0" fillId="0" borderId="7" xfId="0" applyNumberForma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0" fillId="0" borderId="22" xfId="0" applyBorder="1"/>
    <xf numFmtId="0" fontId="2" fillId="13" borderId="8" xfId="0" applyFont="1" applyFill="1" applyBorder="1" applyAlignment="1">
      <alignment horizontal="center" vertical="center"/>
    </xf>
    <xf numFmtId="0" fontId="2" fillId="13" borderId="20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6ADB719C-7905-4A83-BDAB-64EB9737DB82}"/>
  </cellStyles>
  <dxfs count="38">
    <dxf>
      <fill>
        <patternFill>
          <bgColor rgb="FFFF9F9F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9F9F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9B9B"/>
        </patternFill>
      </fill>
    </dxf>
    <dxf>
      <fill>
        <patternFill>
          <bgColor rgb="FFFF9F9F"/>
        </patternFill>
      </fill>
    </dxf>
    <dxf>
      <fill>
        <patternFill>
          <bgColor rgb="FFFF8B8B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9F9F"/>
        </patternFill>
      </fill>
    </dxf>
    <dxf>
      <fill>
        <patternFill>
          <bgColor rgb="FFFF9F9F"/>
        </patternFill>
      </fill>
    </dxf>
    <dxf>
      <fill>
        <patternFill>
          <bgColor rgb="FFFF9F9F"/>
        </patternFill>
      </fill>
    </dxf>
    <dxf>
      <fill>
        <patternFill>
          <bgColor rgb="FFFF9F9F"/>
        </patternFill>
      </fill>
    </dxf>
    <dxf>
      <fill>
        <patternFill>
          <bgColor rgb="FFFF9F9F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9F9F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9F9F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9B9B"/>
        </patternFill>
      </fill>
    </dxf>
    <dxf>
      <fill>
        <patternFill>
          <bgColor rgb="FFFF9F9F"/>
        </patternFill>
      </fill>
    </dxf>
    <dxf>
      <fill>
        <patternFill>
          <bgColor rgb="FFFF8B8B"/>
        </patternFill>
      </fill>
    </dxf>
  </dxfs>
  <tableStyles count="0" defaultTableStyle="TableStyleMedium2" defaultPivotStyle="PivotStyleLight16"/>
  <colors>
    <mruColors>
      <color rgb="FFC7A1E3"/>
      <color rgb="FFD3EDDA"/>
      <color rgb="FFFFF5C1"/>
      <color rgb="FFFCC0C1"/>
      <color rgb="FFFFFFCC"/>
      <color rgb="FFFF9F9F"/>
      <color rgb="FFFF9B9B"/>
      <color rgb="FFFFB7B7"/>
      <color rgb="FFFF8B8B"/>
      <color rgb="FFFF8F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</xdr:colOff>
      <xdr:row>14</xdr:row>
      <xdr:rowOff>0</xdr:rowOff>
    </xdr:from>
    <xdr:to>
      <xdr:col>8</xdr:col>
      <xdr:colOff>3810</xdr:colOff>
      <xdr:row>16</xdr:row>
      <xdr:rowOff>57150</xdr:rowOff>
    </xdr:to>
    <xdr:sp macro="[0]!Macro2" textlink="">
      <xdr:nvSpPr>
        <xdr:cNvPr id="6" name="Elipse 8">
          <a:extLst>
            <a:ext uri="{FF2B5EF4-FFF2-40B4-BE49-F238E27FC236}">
              <a16:creationId xmlns:a16="http://schemas.microsoft.com/office/drawing/2014/main" id="{293D4AC8-1028-F683-D47C-65FD9AF60DA8}"/>
            </a:ext>
            <a:ext uri="{147F2762-F138-4A5C-976F-8EAC2B608ADB}">
              <a16:predDERef xmlns:a16="http://schemas.microsoft.com/office/drawing/2014/main" pred="{B00A7F1B-6431-02D3-2244-1AB9CB994880}"/>
            </a:ext>
          </a:extLst>
        </xdr:cNvPr>
        <xdr:cNvSpPr/>
      </xdr:nvSpPr>
      <xdr:spPr>
        <a:xfrm>
          <a:off x="7639051" y="3952875"/>
          <a:ext cx="3004184" cy="638175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lt"/>
              <a:cs typeface="+mn-lt"/>
            </a:rPr>
            <a:t>INSERTAR LÍNEA</a:t>
          </a:r>
        </a:p>
      </xdr:txBody>
    </xdr:sp>
    <xdr:clientData/>
  </xdr:twoCellAnchor>
  <xdr:twoCellAnchor editAs="oneCell">
    <xdr:from>
      <xdr:col>3</xdr:col>
      <xdr:colOff>148254</xdr:colOff>
      <xdr:row>5</xdr:row>
      <xdr:rowOff>102534</xdr:rowOff>
    </xdr:from>
    <xdr:to>
      <xdr:col>3</xdr:col>
      <xdr:colOff>1502821</xdr:colOff>
      <xdr:row>5</xdr:row>
      <xdr:rowOff>592368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A612EFA-1B03-A777-73C0-E4364E355C1B}"/>
            </a:ext>
            <a:ext uri="{147F2762-F138-4A5C-976F-8EAC2B608ADB}">
              <a16:predDERef xmlns:a16="http://schemas.microsoft.com/office/drawing/2014/main" pred="{293D4AC8-1028-F683-D47C-65FD9AF60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34454" y="864534"/>
          <a:ext cx="1358377" cy="476499"/>
        </a:xfrm>
        <a:prstGeom prst="rect">
          <a:avLst/>
        </a:prstGeom>
      </xdr:spPr>
    </xdr:pic>
    <xdr:clientData/>
  </xdr:twoCellAnchor>
  <xdr:twoCellAnchor editAs="oneCell">
    <xdr:from>
      <xdr:col>1</xdr:col>
      <xdr:colOff>807497</xdr:colOff>
      <xdr:row>5</xdr:row>
      <xdr:rowOff>71046</xdr:rowOff>
    </xdr:from>
    <xdr:to>
      <xdr:col>1</xdr:col>
      <xdr:colOff>1793613</xdr:colOff>
      <xdr:row>5</xdr:row>
      <xdr:rowOff>660015</xdr:rowOff>
    </xdr:to>
    <xdr:pic>
      <xdr:nvPicPr>
        <xdr:cNvPr id="4" name="Imagen 2">
          <a:extLst>
            <a:ext uri="{FF2B5EF4-FFF2-40B4-BE49-F238E27FC236}">
              <a16:creationId xmlns:a16="http://schemas.microsoft.com/office/drawing/2014/main" id="{7CB40723-1051-4294-AF9B-3CDD578369D4}"/>
            </a:ext>
            <a:ext uri="{147F2762-F138-4A5C-976F-8EAC2B608ADB}">
              <a16:predDERef xmlns:a16="http://schemas.microsoft.com/office/drawing/2014/main" pred="{5A612EFA-1B03-A777-73C0-E4364E355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4222" y="833046"/>
          <a:ext cx="986116" cy="59595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</xdr:colOff>
      <xdr:row>14</xdr:row>
      <xdr:rowOff>0</xdr:rowOff>
    </xdr:from>
    <xdr:to>
      <xdr:col>8</xdr:col>
      <xdr:colOff>3810</xdr:colOff>
      <xdr:row>16</xdr:row>
      <xdr:rowOff>57150</xdr:rowOff>
    </xdr:to>
    <xdr:sp macro="[0]!Macro2" textlink="">
      <xdr:nvSpPr>
        <xdr:cNvPr id="2" name="Elipse 8">
          <a:extLst>
            <a:ext uri="{FF2B5EF4-FFF2-40B4-BE49-F238E27FC236}">
              <a16:creationId xmlns:a16="http://schemas.microsoft.com/office/drawing/2014/main" id="{21E8D579-4EBE-467A-A45D-E0747F0F1817}"/>
            </a:ext>
            <a:ext uri="{147F2762-F138-4A5C-976F-8EAC2B608ADB}">
              <a16:predDERef xmlns:a16="http://schemas.microsoft.com/office/drawing/2014/main" pred="{B00A7F1B-6431-02D3-2244-1AB9CB994880}"/>
            </a:ext>
          </a:extLst>
        </xdr:cNvPr>
        <xdr:cNvSpPr/>
      </xdr:nvSpPr>
      <xdr:spPr>
        <a:xfrm>
          <a:off x="7629526" y="4152900"/>
          <a:ext cx="2996564" cy="58674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lt"/>
              <a:cs typeface="+mn-lt"/>
            </a:rPr>
            <a:t>INSERTAR LÍNEA</a:t>
          </a:r>
        </a:p>
      </xdr:txBody>
    </xdr:sp>
    <xdr:clientData/>
  </xdr:twoCellAnchor>
  <xdr:twoCellAnchor editAs="oneCell">
    <xdr:from>
      <xdr:col>3</xdr:col>
      <xdr:colOff>148254</xdr:colOff>
      <xdr:row>5</xdr:row>
      <xdr:rowOff>102534</xdr:rowOff>
    </xdr:from>
    <xdr:to>
      <xdr:col>3</xdr:col>
      <xdr:colOff>1502821</xdr:colOff>
      <xdr:row>5</xdr:row>
      <xdr:rowOff>592368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7C3813B-6FA3-4536-8877-ED5C37716EEF}"/>
            </a:ext>
            <a:ext uri="{147F2762-F138-4A5C-976F-8EAC2B608ADB}">
              <a16:predDERef xmlns:a16="http://schemas.microsoft.com/office/drawing/2014/main" pred="{293D4AC8-1028-F683-D47C-65FD9AF60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37324" y="1241724"/>
          <a:ext cx="1360282" cy="489834"/>
        </a:xfrm>
        <a:prstGeom prst="rect">
          <a:avLst/>
        </a:prstGeom>
      </xdr:spPr>
    </xdr:pic>
    <xdr:clientData/>
  </xdr:twoCellAnchor>
  <xdr:twoCellAnchor editAs="oneCell">
    <xdr:from>
      <xdr:col>1</xdr:col>
      <xdr:colOff>807497</xdr:colOff>
      <xdr:row>5</xdr:row>
      <xdr:rowOff>71046</xdr:rowOff>
    </xdr:from>
    <xdr:to>
      <xdr:col>1</xdr:col>
      <xdr:colOff>1793613</xdr:colOff>
      <xdr:row>5</xdr:row>
      <xdr:rowOff>663190</xdr:rowOff>
    </xdr:to>
    <xdr:pic>
      <xdr:nvPicPr>
        <xdr:cNvPr id="4" name="Imagen 2">
          <a:extLst>
            <a:ext uri="{FF2B5EF4-FFF2-40B4-BE49-F238E27FC236}">
              <a16:creationId xmlns:a16="http://schemas.microsoft.com/office/drawing/2014/main" id="{CE6A5014-96F1-473F-A084-634A022B267F}"/>
            </a:ext>
            <a:ext uri="{147F2762-F138-4A5C-976F-8EAC2B608ADB}">
              <a16:predDERef xmlns:a16="http://schemas.microsoft.com/office/drawing/2014/main" pred="{5A612EFA-1B03-A777-73C0-E4364E355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5652" y="1212141"/>
          <a:ext cx="984211" cy="59785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A59A2-EFD7-41FF-9961-3681D41DDFC7}">
  <sheetPr codeName="Hoja1">
    <tabColor theme="0" tint="-0.249977111117893"/>
  </sheetPr>
  <dimension ref="B1:I394"/>
  <sheetViews>
    <sheetView showGridLines="0" zoomScaleNormal="100" workbookViewId="0">
      <selection activeCell="B17" sqref="B17"/>
    </sheetView>
  </sheetViews>
  <sheetFormatPr baseColWidth="10" defaultColWidth="11.453125" defaultRowHeight="14.5" x14ac:dyDescent="0.35"/>
  <cols>
    <col min="1" max="1" width="7" style="24" customWidth="1"/>
    <col min="2" max="2" width="30.453125" style="24" customWidth="1"/>
    <col min="3" max="3" width="20.7265625" style="24" customWidth="1"/>
    <col min="4" max="4" width="26.453125" style="24" customWidth="1"/>
    <col min="5" max="5" width="24.26953125" style="24" customWidth="1"/>
    <col min="6" max="6" width="2.54296875" style="24" customWidth="1"/>
    <col min="7" max="7" width="20.54296875" style="24" customWidth="1"/>
    <col min="8" max="8" width="23.26953125" style="24" customWidth="1"/>
    <col min="9" max="9" width="17.26953125" style="24" customWidth="1"/>
    <col min="10" max="10" width="18.54296875" style="24" customWidth="1"/>
    <col min="11" max="16384" width="11.453125" style="24"/>
  </cols>
  <sheetData>
    <row r="1" spans="2:9" ht="18" customHeight="1" x14ac:dyDescent="0.35">
      <c r="B1" s="75" t="s">
        <v>0</v>
      </c>
    </row>
    <row r="2" spans="2:9" ht="18" customHeight="1" thickBot="1" x14ac:dyDescent="0.4"/>
    <row r="3" spans="2:9" ht="18" customHeight="1" thickBot="1" x14ac:dyDescent="0.4">
      <c r="B3" s="51" t="s">
        <v>1</v>
      </c>
      <c r="C3" s="55" t="str">
        <f>Fórmulas!X4</f>
        <v>Aperture Incident // No encontrado. Completar // No encontrado. Completar // 0 // 0 // 0 // 0 (P5) - Impact: 0</v>
      </c>
      <c r="D3" s="56"/>
      <c r="E3" s="56"/>
      <c r="F3" s="56"/>
      <c r="G3" s="56"/>
      <c r="H3" s="57"/>
    </row>
    <row r="4" spans="2:9" ht="18" customHeight="1" x14ac:dyDescent="0.35">
      <c r="B4" s="77"/>
      <c r="C4" s="78"/>
      <c r="D4" s="78"/>
      <c r="E4" s="78"/>
      <c r="F4" s="78"/>
      <c r="G4" s="78"/>
      <c r="H4" s="78"/>
    </row>
    <row r="5" spans="2:9" ht="18" customHeight="1" thickBot="1" x14ac:dyDescent="0.4"/>
    <row r="6" spans="2:9" ht="60" customHeight="1" thickBot="1" x14ac:dyDescent="0.4">
      <c r="B6" s="144"/>
      <c r="C6" s="145"/>
      <c r="D6" s="145"/>
      <c r="E6" s="146"/>
      <c r="G6" s="142" t="str">
        <f>CONCATENATE(SUM('Incident Com. (COMPLETAR)'!I:I)," ERRORES")</f>
        <v>8 ERRORES</v>
      </c>
      <c r="H6" s="143"/>
    </row>
    <row r="7" spans="2:9" ht="21" customHeight="1" x14ac:dyDescent="0.35">
      <c r="B7" s="79" t="s">
        <v>2</v>
      </c>
      <c r="C7" s="147" t="s">
        <v>0</v>
      </c>
      <c r="D7" s="147"/>
      <c r="E7" s="148"/>
      <c r="G7" s="154" t="s">
        <v>3</v>
      </c>
      <c r="H7" s="154"/>
    </row>
    <row r="8" spans="2:9" ht="30" customHeight="1" x14ac:dyDescent="0.35">
      <c r="B8" s="32" t="s">
        <v>4</v>
      </c>
      <c r="C8" s="46" t="str">
        <f>'Incident Com. (COMPLETAR)'!E14</f>
        <v>No encontrado. Completar</v>
      </c>
      <c r="D8" s="28" t="s">
        <v>5</v>
      </c>
      <c r="E8" s="33" t="str">
        <f>IF('Incident Com. (COMPLETAR)'!E8="","",Fórmulas!C5)</f>
        <v/>
      </c>
    </row>
    <row r="9" spans="2:9" ht="21" customHeight="1" x14ac:dyDescent="0.35">
      <c r="B9" s="32" t="s">
        <v>6</v>
      </c>
      <c r="C9" s="29" t="str">
        <f>Fórmulas!G7</f>
        <v/>
      </c>
      <c r="D9" s="28" t="s">
        <v>7</v>
      </c>
      <c r="E9" s="34" t="str">
        <f>Fórmulas!H7</f>
        <v/>
      </c>
      <c r="G9" s="153" t="s">
        <v>8</v>
      </c>
      <c r="H9" s="153"/>
      <c r="I9" s="24" t="s">
        <v>9</v>
      </c>
    </row>
    <row r="10" spans="2:9" ht="21" customHeight="1" x14ac:dyDescent="0.35">
      <c r="B10" s="32" t="s">
        <v>10</v>
      </c>
      <c r="C10" s="30" t="str">
        <f>Fórmulas!I7</f>
        <v/>
      </c>
      <c r="D10" s="28" t="s">
        <v>11</v>
      </c>
      <c r="E10" s="33">
        <f>'Incident Com. (COMPLETAR)'!E18</f>
        <v>0</v>
      </c>
      <c r="G10" s="153" t="s">
        <v>12</v>
      </c>
      <c r="H10" s="153"/>
      <c r="I10" s="24" t="s">
        <v>13</v>
      </c>
    </row>
    <row r="11" spans="2:9" ht="21" customHeight="1" x14ac:dyDescent="0.35">
      <c r="B11" s="32" t="s">
        <v>14</v>
      </c>
      <c r="C11" s="149" t="str">
        <f>IF('Incident Com. (COMPLETAR)'!E20="","PENDIENTE",'Incident Com. (COMPLETAR)'!E20)</f>
        <v>PENDIENTE</v>
      </c>
      <c r="D11" s="149"/>
      <c r="E11" s="150"/>
    </row>
    <row r="12" spans="2:9" ht="21" customHeight="1" x14ac:dyDescent="0.35">
      <c r="B12" s="32" t="s">
        <v>15</v>
      </c>
      <c r="C12" s="31" t="str">
        <f>IF('Incident Com. (COMPLETAR)'!E22="","",'Incident Com. (COMPLETAR)'!E22)</f>
        <v/>
      </c>
      <c r="D12" s="28" t="s">
        <v>16</v>
      </c>
      <c r="E12" s="35" t="str">
        <f>IF('Incident Com. (COMPLETAR)'!E24="","",'Incident Com. (COMPLETAR)'!E24)</f>
        <v/>
      </c>
      <c r="G12" s="54" t="s">
        <v>17</v>
      </c>
      <c r="H12" s="53" t="str">
        <f ca="1">IF('Incident Com. (COMPLETAR)'!E6="Aperture Incident",IF('Incident Com. (COMPLETAR)'!C36="","",IF(AND(Fórmulas!C4="GSNET DATA",Fórmulas!AC2="Saturation"),45-((NOW()-'Incident Com. (COMPLETAR)'!C36)*1440),30-((NOW()-'Incident Com. (COMPLETAR)'!C36)*1440))),"")</f>
        <v/>
      </c>
    </row>
    <row r="13" spans="2:9" ht="21" customHeight="1" x14ac:dyDescent="0.35">
      <c r="B13" s="32" t="s">
        <v>18</v>
      </c>
      <c r="C13" s="151">
        <f>IF('Incident Com. (COMPLETAR)'!E12="",'Incident Com. (COMPLETAR)'!E10,_xlfn.CONCAT('Incident Com. (COMPLETAR)'!E10," to ",'Incident Com. (COMPLETAR)'!E12))</f>
        <v>0</v>
      </c>
      <c r="D13" s="151"/>
      <c r="E13" s="152"/>
      <c r="G13" s="54" t="s">
        <v>19</v>
      </c>
      <c r="H13" s="76">
        <f ca="1">NOW()</f>
        <v>45853.725240624997</v>
      </c>
    </row>
    <row r="14" spans="2:9" ht="21" customHeight="1" x14ac:dyDescent="0.35">
      <c r="B14" s="32" t="s">
        <v>20</v>
      </c>
      <c r="C14" s="139" t="str">
        <f>IF('Incident Com. (COMPLETAR)'!E26="","",'Incident Com. (COMPLETAR)'!E26)</f>
        <v/>
      </c>
      <c r="D14" s="140"/>
      <c r="E14" s="141"/>
    </row>
    <row r="15" spans="2:9" ht="21" customHeight="1" thickBot="1" x14ac:dyDescent="0.4">
      <c r="B15" s="36" t="s">
        <v>21</v>
      </c>
      <c r="C15" s="161" t="str">
        <f>IF('Incident Com. (COMPLETAR)'!E28="","",'Incident Com. (COMPLETAR)'!E28)</f>
        <v/>
      </c>
      <c r="D15" s="162"/>
      <c r="E15" s="163"/>
    </row>
    <row r="16" spans="2:9" ht="21" customHeight="1" thickBot="1" x14ac:dyDescent="0.4">
      <c r="B16" s="158" t="s">
        <v>22</v>
      </c>
      <c r="C16" s="159"/>
      <c r="D16" s="159"/>
      <c r="E16" s="160"/>
      <c r="G16" s="24" t="s">
        <v>23</v>
      </c>
    </row>
    <row r="17" spans="2:8" ht="21" customHeight="1" x14ac:dyDescent="0.35">
      <c r="B17" s="49" t="s">
        <v>24</v>
      </c>
      <c r="C17" s="156" t="s">
        <v>25</v>
      </c>
      <c r="D17" s="156"/>
      <c r="E17" s="157"/>
    </row>
    <row r="18" spans="2:8" ht="40" customHeight="1" x14ac:dyDescent="0.35">
      <c r="B18" s="45"/>
      <c r="C18" s="149"/>
      <c r="D18" s="149"/>
      <c r="E18" s="164"/>
    </row>
    <row r="19" spans="2:8" ht="14.65" customHeight="1" x14ac:dyDescent="0.35">
      <c r="B19" s="155" t="s">
        <v>26</v>
      </c>
      <c r="C19" s="155"/>
      <c r="D19" s="155"/>
      <c r="E19" s="155"/>
      <c r="H19" s="84"/>
    </row>
    <row r="20" spans="2:8" ht="40.15" customHeight="1" x14ac:dyDescent="0.35">
      <c r="B20" s="47"/>
      <c r="C20" s="48"/>
      <c r="D20" s="48"/>
      <c r="E20" s="48"/>
      <c r="H20" s="84"/>
    </row>
    <row r="21" spans="2:8" ht="40.15" customHeight="1" x14ac:dyDescent="0.35">
      <c r="B21" s="47"/>
      <c r="C21" s="48"/>
      <c r="D21" s="48"/>
      <c r="E21" s="48"/>
      <c r="H21" s="84"/>
    </row>
    <row r="22" spans="2:8" ht="40.15" customHeight="1" x14ac:dyDescent="0.35">
      <c r="B22" s="47"/>
      <c r="C22" s="48"/>
      <c r="D22" s="48"/>
      <c r="E22" s="48"/>
      <c r="H22" s="84"/>
    </row>
    <row r="23" spans="2:8" ht="14.65" customHeight="1" x14ac:dyDescent="0.35">
      <c r="B23" s="47"/>
      <c r="C23" s="48"/>
      <c r="D23" s="48"/>
      <c r="E23" s="48"/>
    </row>
    <row r="24" spans="2:8" ht="14.65" customHeight="1" x14ac:dyDescent="0.35">
      <c r="B24" s="47"/>
      <c r="C24" s="48"/>
      <c r="D24" s="48"/>
      <c r="E24" s="48"/>
    </row>
    <row r="25" spans="2:8" ht="14.65" customHeight="1" x14ac:dyDescent="0.35">
      <c r="B25" s="47"/>
      <c r="C25" s="48"/>
      <c r="D25" s="48"/>
      <c r="E25" s="48"/>
    </row>
    <row r="26" spans="2:8" ht="14.65" customHeight="1" x14ac:dyDescent="0.35">
      <c r="B26" s="47"/>
      <c r="C26" s="48"/>
      <c r="D26" s="48"/>
      <c r="E26" s="48"/>
    </row>
    <row r="27" spans="2:8" x14ac:dyDescent="0.35">
      <c r="B27" s="47"/>
      <c r="C27" s="48"/>
      <c r="D27" s="48"/>
      <c r="E27" s="48"/>
    </row>
    <row r="28" spans="2:8" x14ac:dyDescent="0.35">
      <c r="B28" s="47"/>
      <c r="C28" s="52"/>
      <c r="D28" s="48"/>
      <c r="E28" s="48"/>
    </row>
    <row r="29" spans="2:8" x14ac:dyDescent="0.35">
      <c r="B29" s="47"/>
      <c r="C29" s="48"/>
      <c r="D29" s="48"/>
      <c r="E29" s="48"/>
    </row>
    <row r="30" spans="2:8" x14ac:dyDescent="0.35">
      <c r="B30" s="47"/>
      <c r="C30" s="48"/>
      <c r="D30" s="48"/>
      <c r="E30" s="48"/>
    </row>
    <row r="31" spans="2:8" x14ac:dyDescent="0.35">
      <c r="B31" s="47"/>
      <c r="C31" s="48"/>
      <c r="D31" s="48"/>
      <c r="E31" s="48"/>
    </row>
    <row r="32" spans="2:8" x14ac:dyDescent="0.35">
      <c r="B32" s="47"/>
      <c r="C32" s="48"/>
      <c r="D32" s="48"/>
      <c r="E32" s="48"/>
    </row>
    <row r="33" spans="2:5" x14ac:dyDescent="0.35">
      <c r="B33" s="47"/>
      <c r="C33" s="48"/>
      <c r="D33" s="48"/>
      <c r="E33" s="48"/>
    </row>
    <row r="34" spans="2:5" x14ac:dyDescent="0.35">
      <c r="B34" s="47"/>
      <c r="C34" s="48"/>
      <c r="D34" s="48"/>
      <c r="E34" s="48"/>
    </row>
    <row r="35" spans="2:5" x14ac:dyDescent="0.35">
      <c r="B35" s="47"/>
      <c r="C35" s="48"/>
      <c r="D35" s="48"/>
      <c r="E35" s="48"/>
    </row>
    <row r="36" spans="2:5" x14ac:dyDescent="0.35">
      <c r="B36" s="47"/>
      <c r="C36" s="48"/>
      <c r="D36" s="48"/>
      <c r="E36" s="48"/>
    </row>
    <row r="37" spans="2:5" x14ac:dyDescent="0.35">
      <c r="B37" s="47"/>
      <c r="C37" s="48"/>
      <c r="D37" s="48"/>
      <c r="E37" s="48"/>
    </row>
    <row r="38" spans="2:5" x14ac:dyDescent="0.35">
      <c r="B38" s="47"/>
      <c r="C38" s="48"/>
      <c r="D38" s="48"/>
      <c r="E38" s="48"/>
    </row>
    <row r="39" spans="2:5" x14ac:dyDescent="0.35">
      <c r="B39" s="47"/>
      <c r="C39" s="48"/>
      <c r="D39" s="48"/>
      <c r="E39" s="48"/>
    </row>
    <row r="40" spans="2:5" x14ac:dyDescent="0.35">
      <c r="B40" s="47"/>
      <c r="C40" s="48"/>
      <c r="D40" s="48"/>
      <c r="E40" s="48"/>
    </row>
    <row r="41" spans="2:5" x14ac:dyDescent="0.35">
      <c r="B41" s="47"/>
      <c r="C41" s="48"/>
      <c r="D41" s="48"/>
      <c r="E41" s="48"/>
    </row>
    <row r="42" spans="2:5" x14ac:dyDescent="0.35">
      <c r="B42" s="47"/>
      <c r="C42" s="48"/>
      <c r="D42" s="48"/>
      <c r="E42" s="48"/>
    </row>
    <row r="43" spans="2:5" x14ac:dyDescent="0.35">
      <c r="B43" s="47"/>
      <c r="C43" s="48"/>
      <c r="D43" s="48"/>
      <c r="E43" s="48"/>
    </row>
    <row r="44" spans="2:5" x14ac:dyDescent="0.35">
      <c r="B44" s="47"/>
      <c r="C44" s="48"/>
      <c r="D44" s="48"/>
      <c r="E44" s="48"/>
    </row>
    <row r="45" spans="2:5" x14ac:dyDescent="0.35">
      <c r="B45" s="47"/>
      <c r="C45" s="48"/>
      <c r="D45" s="48"/>
      <c r="E45" s="48"/>
    </row>
    <row r="46" spans="2:5" x14ac:dyDescent="0.35">
      <c r="B46" s="47"/>
      <c r="C46" s="48"/>
      <c r="D46" s="48"/>
      <c r="E46" s="48"/>
    </row>
    <row r="47" spans="2:5" x14ac:dyDescent="0.35">
      <c r="B47" s="47"/>
      <c r="C47" s="48"/>
      <c r="D47" s="48"/>
      <c r="E47" s="48"/>
    </row>
    <row r="48" spans="2:5" x14ac:dyDescent="0.35">
      <c r="B48" s="47"/>
      <c r="C48" s="48"/>
      <c r="D48" s="48"/>
      <c r="E48" s="48"/>
    </row>
    <row r="49" spans="2:5" x14ac:dyDescent="0.35">
      <c r="B49" s="47"/>
      <c r="C49" s="48"/>
      <c r="D49" s="48"/>
      <c r="E49" s="48"/>
    </row>
    <row r="50" spans="2:5" x14ac:dyDescent="0.35">
      <c r="B50" s="47"/>
      <c r="C50" s="48"/>
      <c r="D50" s="48"/>
      <c r="E50" s="48"/>
    </row>
    <row r="51" spans="2:5" x14ac:dyDescent="0.35">
      <c r="B51" s="47"/>
      <c r="C51" s="48"/>
      <c r="D51" s="48"/>
      <c r="E51" s="48"/>
    </row>
    <row r="52" spans="2:5" x14ac:dyDescent="0.35">
      <c r="B52" s="47"/>
      <c r="C52" s="48"/>
      <c r="D52" s="48"/>
      <c r="E52" s="48"/>
    </row>
    <row r="53" spans="2:5" x14ac:dyDescent="0.35">
      <c r="B53" s="47"/>
      <c r="C53" s="48"/>
      <c r="D53" s="48"/>
      <c r="E53" s="48"/>
    </row>
    <row r="54" spans="2:5" x14ac:dyDescent="0.35">
      <c r="B54" s="47"/>
      <c r="C54" s="48"/>
      <c r="D54" s="48"/>
      <c r="E54" s="48"/>
    </row>
    <row r="55" spans="2:5" x14ac:dyDescent="0.35">
      <c r="B55" s="47"/>
      <c r="C55" s="48"/>
      <c r="D55" s="48"/>
      <c r="E55" s="48"/>
    </row>
    <row r="56" spans="2:5" x14ac:dyDescent="0.35">
      <c r="B56" s="47"/>
      <c r="C56" s="48"/>
      <c r="D56" s="48"/>
      <c r="E56" s="48"/>
    </row>
    <row r="57" spans="2:5" x14ac:dyDescent="0.35">
      <c r="B57" s="47"/>
      <c r="C57" s="48"/>
      <c r="D57" s="48"/>
      <c r="E57" s="48"/>
    </row>
    <row r="58" spans="2:5" x14ac:dyDescent="0.35">
      <c r="B58" s="47"/>
      <c r="C58" s="48"/>
      <c r="D58" s="48"/>
      <c r="E58" s="48"/>
    </row>
    <row r="59" spans="2:5" x14ac:dyDescent="0.35">
      <c r="B59" s="47"/>
      <c r="C59" s="48"/>
      <c r="D59" s="48"/>
      <c r="E59" s="48"/>
    </row>
    <row r="60" spans="2:5" x14ac:dyDescent="0.35">
      <c r="B60" s="47"/>
      <c r="C60" s="48"/>
      <c r="D60" s="48"/>
      <c r="E60" s="48"/>
    </row>
    <row r="61" spans="2:5" x14ac:dyDescent="0.35">
      <c r="B61" s="47"/>
      <c r="C61" s="48"/>
      <c r="D61" s="48"/>
      <c r="E61" s="48"/>
    </row>
    <row r="62" spans="2:5" x14ac:dyDescent="0.35">
      <c r="B62" s="47"/>
      <c r="C62" s="48"/>
      <c r="D62" s="48"/>
      <c r="E62" s="48"/>
    </row>
    <row r="63" spans="2:5" x14ac:dyDescent="0.35">
      <c r="B63" s="47"/>
      <c r="C63" s="48"/>
      <c r="D63" s="48"/>
      <c r="E63" s="48"/>
    </row>
    <row r="64" spans="2:5" x14ac:dyDescent="0.35">
      <c r="B64" s="47"/>
      <c r="C64" s="48"/>
      <c r="D64" s="48"/>
      <c r="E64" s="48"/>
    </row>
    <row r="65" spans="2:5" x14ac:dyDescent="0.35">
      <c r="B65" s="47"/>
      <c r="C65" s="48"/>
      <c r="D65" s="48"/>
      <c r="E65" s="48"/>
    </row>
    <row r="66" spans="2:5" x14ac:dyDescent="0.35">
      <c r="B66" s="47"/>
      <c r="C66" s="48"/>
      <c r="D66" s="48"/>
      <c r="E66" s="48"/>
    </row>
    <row r="67" spans="2:5" x14ac:dyDescent="0.35">
      <c r="B67" s="47"/>
      <c r="C67" s="48"/>
      <c r="D67" s="48"/>
      <c r="E67" s="48"/>
    </row>
    <row r="68" spans="2:5" x14ac:dyDescent="0.35">
      <c r="B68" s="47"/>
      <c r="C68" s="48"/>
      <c r="D68" s="48"/>
      <c r="E68" s="48"/>
    </row>
    <row r="69" spans="2:5" x14ac:dyDescent="0.35">
      <c r="B69" s="47"/>
      <c r="C69" s="48"/>
      <c r="D69" s="48"/>
      <c r="E69" s="48"/>
    </row>
    <row r="70" spans="2:5" x14ac:dyDescent="0.35">
      <c r="B70" s="47"/>
      <c r="C70" s="48"/>
      <c r="D70" s="48"/>
      <c r="E70" s="48"/>
    </row>
    <row r="71" spans="2:5" x14ac:dyDescent="0.35">
      <c r="B71" s="47"/>
      <c r="C71" s="48"/>
      <c r="D71" s="48"/>
      <c r="E71" s="48"/>
    </row>
    <row r="72" spans="2:5" x14ac:dyDescent="0.35">
      <c r="B72" s="47"/>
      <c r="C72" s="48"/>
      <c r="D72" s="48"/>
      <c r="E72" s="48"/>
    </row>
    <row r="73" spans="2:5" x14ac:dyDescent="0.35">
      <c r="B73" s="47"/>
      <c r="C73" s="48"/>
      <c r="D73" s="48"/>
      <c r="E73" s="48"/>
    </row>
    <row r="74" spans="2:5" x14ac:dyDescent="0.35">
      <c r="B74" s="47"/>
      <c r="C74" s="48"/>
      <c r="D74" s="48"/>
      <c r="E74" s="48"/>
    </row>
    <row r="75" spans="2:5" x14ac:dyDescent="0.35">
      <c r="B75" s="47"/>
      <c r="C75" s="48"/>
      <c r="D75" s="48"/>
      <c r="E75" s="48"/>
    </row>
    <row r="76" spans="2:5" x14ac:dyDescent="0.35">
      <c r="B76" s="47"/>
      <c r="C76" s="48"/>
      <c r="D76" s="48"/>
      <c r="E76" s="48"/>
    </row>
    <row r="77" spans="2:5" x14ac:dyDescent="0.35">
      <c r="B77" s="47"/>
      <c r="C77" s="48"/>
      <c r="D77" s="48"/>
      <c r="E77" s="48"/>
    </row>
    <row r="78" spans="2:5" x14ac:dyDescent="0.35">
      <c r="B78" s="47"/>
      <c r="C78" s="48"/>
      <c r="D78" s="48"/>
      <c r="E78" s="48"/>
    </row>
    <row r="79" spans="2:5" x14ac:dyDescent="0.35">
      <c r="B79" s="47"/>
      <c r="C79" s="48"/>
      <c r="D79" s="48"/>
      <c r="E79" s="48"/>
    </row>
    <row r="80" spans="2:5" x14ac:dyDescent="0.35">
      <c r="B80" s="47"/>
      <c r="C80" s="48"/>
      <c r="D80" s="48"/>
      <c r="E80" s="48"/>
    </row>
    <row r="81" spans="2:5" x14ac:dyDescent="0.35">
      <c r="B81" s="47"/>
      <c r="C81" s="48"/>
      <c r="D81" s="48"/>
      <c r="E81" s="48"/>
    </row>
    <row r="82" spans="2:5" x14ac:dyDescent="0.35">
      <c r="B82" s="47"/>
      <c r="C82" s="48"/>
      <c r="D82" s="48"/>
      <c r="E82" s="48"/>
    </row>
    <row r="83" spans="2:5" x14ac:dyDescent="0.35">
      <c r="B83" s="47"/>
      <c r="C83" s="48"/>
      <c r="D83" s="48"/>
      <c r="E83" s="48"/>
    </row>
    <row r="84" spans="2:5" x14ac:dyDescent="0.35">
      <c r="B84" s="47"/>
      <c r="C84" s="48"/>
      <c r="D84" s="48"/>
      <c r="E84" s="48"/>
    </row>
    <row r="85" spans="2:5" x14ac:dyDescent="0.35">
      <c r="B85" s="47"/>
      <c r="C85" s="48"/>
      <c r="D85" s="48"/>
      <c r="E85" s="48"/>
    </row>
    <row r="86" spans="2:5" x14ac:dyDescent="0.35">
      <c r="B86" s="47"/>
      <c r="C86" s="48"/>
      <c r="D86" s="48"/>
      <c r="E86" s="48"/>
    </row>
    <row r="87" spans="2:5" x14ac:dyDescent="0.35">
      <c r="B87" s="47"/>
      <c r="C87" s="48"/>
      <c r="D87" s="48"/>
      <c r="E87" s="48"/>
    </row>
    <row r="88" spans="2:5" x14ac:dyDescent="0.35">
      <c r="B88" s="47"/>
      <c r="C88" s="48"/>
      <c r="D88" s="48"/>
      <c r="E88" s="48"/>
    </row>
    <row r="89" spans="2:5" x14ac:dyDescent="0.35">
      <c r="B89" s="47"/>
      <c r="C89" s="48"/>
      <c r="D89" s="48"/>
      <c r="E89" s="48"/>
    </row>
    <row r="90" spans="2:5" x14ac:dyDescent="0.35">
      <c r="B90" s="47"/>
      <c r="C90" s="48"/>
      <c r="D90" s="48"/>
      <c r="E90" s="48"/>
    </row>
    <row r="91" spans="2:5" x14ac:dyDescent="0.35">
      <c r="B91" s="47"/>
      <c r="C91" s="48"/>
      <c r="D91" s="48"/>
      <c r="E91" s="48"/>
    </row>
    <row r="92" spans="2:5" x14ac:dyDescent="0.35">
      <c r="B92" s="47"/>
      <c r="C92" s="48"/>
      <c r="D92" s="48"/>
      <c r="E92" s="48"/>
    </row>
    <row r="93" spans="2:5" x14ac:dyDescent="0.35">
      <c r="B93" s="47"/>
      <c r="C93" s="48"/>
      <c r="D93" s="48"/>
      <c r="E93" s="48"/>
    </row>
    <row r="94" spans="2:5" x14ac:dyDescent="0.35">
      <c r="B94" s="47"/>
      <c r="C94" s="48"/>
      <c r="D94" s="48"/>
      <c r="E94" s="48"/>
    </row>
    <row r="95" spans="2:5" x14ac:dyDescent="0.35">
      <c r="B95" s="47"/>
      <c r="C95" s="48"/>
      <c r="D95" s="48"/>
      <c r="E95" s="48"/>
    </row>
    <row r="96" spans="2:5" x14ac:dyDescent="0.35">
      <c r="B96" s="47"/>
      <c r="C96" s="48"/>
      <c r="D96" s="48"/>
      <c r="E96" s="48"/>
    </row>
    <row r="97" spans="2:5" x14ac:dyDescent="0.35">
      <c r="B97" s="47"/>
      <c r="C97" s="48"/>
      <c r="D97" s="48"/>
      <c r="E97" s="48"/>
    </row>
    <row r="98" spans="2:5" x14ac:dyDescent="0.35">
      <c r="B98" s="47"/>
      <c r="C98" s="48"/>
      <c r="D98" s="48"/>
      <c r="E98" s="48"/>
    </row>
    <row r="99" spans="2:5" x14ac:dyDescent="0.35">
      <c r="B99" s="47"/>
      <c r="C99" s="48"/>
      <c r="D99" s="48"/>
      <c r="E99" s="48"/>
    </row>
    <row r="100" spans="2:5" x14ac:dyDescent="0.35">
      <c r="B100" s="47"/>
      <c r="C100" s="48"/>
      <c r="D100" s="48"/>
      <c r="E100" s="48"/>
    </row>
    <row r="101" spans="2:5" x14ac:dyDescent="0.35">
      <c r="B101" s="47"/>
      <c r="C101" s="48"/>
      <c r="D101" s="48"/>
      <c r="E101" s="48"/>
    </row>
    <row r="102" spans="2:5" x14ac:dyDescent="0.35">
      <c r="B102" s="47"/>
      <c r="C102" s="48"/>
      <c r="D102" s="48"/>
      <c r="E102" s="48"/>
    </row>
    <row r="103" spans="2:5" x14ac:dyDescent="0.35">
      <c r="B103" s="47"/>
      <c r="C103" s="48"/>
      <c r="D103" s="48"/>
      <c r="E103" s="48"/>
    </row>
    <row r="104" spans="2:5" x14ac:dyDescent="0.35">
      <c r="B104" s="47"/>
      <c r="C104" s="48"/>
      <c r="D104" s="48"/>
      <c r="E104" s="48"/>
    </row>
    <row r="105" spans="2:5" x14ac:dyDescent="0.35">
      <c r="B105" s="47"/>
      <c r="C105" s="48"/>
      <c r="D105" s="48"/>
      <c r="E105" s="48"/>
    </row>
    <row r="106" spans="2:5" x14ac:dyDescent="0.35">
      <c r="B106" s="47"/>
      <c r="C106" s="48"/>
      <c r="D106" s="48"/>
      <c r="E106" s="48"/>
    </row>
    <row r="107" spans="2:5" x14ac:dyDescent="0.35">
      <c r="B107" s="47"/>
      <c r="C107" s="48"/>
      <c r="D107" s="48"/>
      <c r="E107" s="48"/>
    </row>
    <row r="108" spans="2:5" x14ac:dyDescent="0.35">
      <c r="B108" s="47"/>
      <c r="C108" s="48"/>
      <c r="D108" s="48"/>
      <c r="E108" s="48"/>
    </row>
    <row r="109" spans="2:5" x14ac:dyDescent="0.35">
      <c r="B109" s="47"/>
      <c r="C109" s="48"/>
      <c r="D109" s="48"/>
      <c r="E109" s="48"/>
    </row>
    <row r="110" spans="2:5" x14ac:dyDescent="0.35">
      <c r="B110" s="47"/>
      <c r="C110" s="48"/>
      <c r="D110" s="48"/>
      <c r="E110" s="48"/>
    </row>
    <row r="111" spans="2:5" x14ac:dyDescent="0.35">
      <c r="B111" s="47"/>
      <c r="C111" s="48"/>
      <c r="D111" s="48"/>
      <c r="E111" s="48"/>
    </row>
    <row r="112" spans="2:5" x14ac:dyDescent="0.35">
      <c r="B112" s="47"/>
      <c r="C112" s="48"/>
      <c r="D112" s="48"/>
      <c r="E112" s="48"/>
    </row>
    <row r="113" spans="2:5" x14ac:dyDescent="0.35">
      <c r="B113" s="47"/>
      <c r="C113" s="48"/>
      <c r="D113" s="48"/>
      <c r="E113" s="48"/>
    </row>
    <row r="114" spans="2:5" x14ac:dyDescent="0.35">
      <c r="B114" s="47"/>
      <c r="C114" s="48"/>
      <c r="D114" s="48"/>
      <c r="E114" s="48"/>
    </row>
    <row r="115" spans="2:5" x14ac:dyDescent="0.35">
      <c r="B115" s="47"/>
      <c r="C115" s="48"/>
      <c r="D115" s="48"/>
      <c r="E115" s="48"/>
    </row>
    <row r="116" spans="2:5" x14ac:dyDescent="0.35">
      <c r="B116" s="47"/>
      <c r="C116" s="48"/>
      <c r="D116" s="48"/>
      <c r="E116" s="48"/>
    </row>
    <row r="117" spans="2:5" x14ac:dyDescent="0.35">
      <c r="B117" s="47"/>
      <c r="C117" s="48"/>
      <c r="D117" s="48"/>
      <c r="E117" s="48"/>
    </row>
    <row r="118" spans="2:5" x14ac:dyDescent="0.35">
      <c r="B118" s="47"/>
      <c r="C118" s="48"/>
      <c r="D118" s="48"/>
      <c r="E118" s="48"/>
    </row>
    <row r="119" spans="2:5" x14ac:dyDescent="0.35">
      <c r="B119" s="47"/>
      <c r="C119" s="48"/>
      <c r="D119" s="48"/>
      <c r="E119" s="48"/>
    </row>
    <row r="120" spans="2:5" x14ac:dyDescent="0.35">
      <c r="B120" s="47"/>
      <c r="C120" s="48"/>
      <c r="D120" s="48"/>
      <c r="E120" s="48"/>
    </row>
    <row r="121" spans="2:5" x14ac:dyDescent="0.35">
      <c r="B121" s="47"/>
      <c r="C121" s="48"/>
      <c r="D121" s="48"/>
      <c r="E121" s="48"/>
    </row>
    <row r="122" spans="2:5" x14ac:dyDescent="0.35">
      <c r="B122" s="47"/>
      <c r="C122" s="48"/>
      <c r="D122" s="48"/>
      <c r="E122" s="48"/>
    </row>
    <row r="123" spans="2:5" x14ac:dyDescent="0.35">
      <c r="B123" s="47"/>
      <c r="C123" s="48"/>
      <c r="D123" s="48"/>
      <c r="E123" s="48"/>
    </row>
    <row r="124" spans="2:5" x14ac:dyDescent="0.35">
      <c r="B124" s="47"/>
      <c r="C124" s="48"/>
      <c r="D124" s="48"/>
      <c r="E124" s="48"/>
    </row>
    <row r="125" spans="2:5" x14ac:dyDescent="0.35">
      <c r="B125" s="47"/>
      <c r="C125" s="48"/>
      <c r="D125" s="48"/>
      <c r="E125" s="48"/>
    </row>
    <row r="126" spans="2:5" x14ac:dyDescent="0.35">
      <c r="B126" s="47"/>
      <c r="C126" s="48"/>
      <c r="D126" s="48"/>
      <c r="E126" s="48"/>
    </row>
    <row r="127" spans="2:5" x14ac:dyDescent="0.35">
      <c r="B127" s="47"/>
      <c r="C127" s="48"/>
      <c r="D127" s="48"/>
      <c r="E127" s="48"/>
    </row>
    <row r="128" spans="2:5" x14ac:dyDescent="0.35">
      <c r="B128" s="47"/>
      <c r="C128" s="48"/>
      <c r="D128" s="48"/>
      <c r="E128" s="48"/>
    </row>
    <row r="129" spans="2:5" x14ac:dyDescent="0.35">
      <c r="B129" s="47"/>
      <c r="C129" s="48"/>
      <c r="D129" s="48"/>
      <c r="E129" s="48"/>
    </row>
    <row r="130" spans="2:5" x14ac:dyDescent="0.35">
      <c r="B130" s="47"/>
      <c r="C130" s="48"/>
      <c r="D130" s="48"/>
      <c r="E130" s="48"/>
    </row>
    <row r="131" spans="2:5" x14ac:dyDescent="0.35">
      <c r="B131" s="47"/>
      <c r="C131" s="48"/>
      <c r="D131" s="48"/>
      <c r="E131" s="48"/>
    </row>
    <row r="132" spans="2:5" x14ac:dyDescent="0.35">
      <c r="B132" s="47"/>
      <c r="C132" s="48"/>
      <c r="D132" s="48"/>
      <c r="E132" s="48"/>
    </row>
    <row r="133" spans="2:5" x14ac:dyDescent="0.35">
      <c r="B133" s="47"/>
      <c r="C133" s="48"/>
      <c r="D133" s="48"/>
      <c r="E133" s="48"/>
    </row>
    <row r="134" spans="2:5" x14ac:dyDescent="0.35">
      <c r="B134" s="47"/>
      <c r="C134" s="48"/>
      <c r="D134" s="48"/>
      <c r="E134" s="48"/>
    </row>
    <row r="135" spans="2:5" x14ac:dyDescent="0.35">
      <c r="B135" s="47"/>
      <c r="C135" s="48"/>
      <c r="D135" s="48"/>
      <c r="E135" s="48"/>
    </row>
    <row r="136" spans="2:5" x14ac:dyDescent="0.35">
      <c r="B136" s="47"/>
      <c r="C136" s="48"/>
      <c r="D136" s="48"/>
      <c r="E136" s="48"/>
    </row>
    <row r="137" spans="2:5" x14ac:dyDescent="0.35">
      <c r="B137" s="47"/>
      <c r="C137" s="48"/>
      <c r="D137" s="48"/>
      <c r="E137" s="48"/>
    </row>
    <row r="138" spans="2:5" x14ac:dyDescent="0.35">
      <c r="B138" s="47"/>
      <c r="C138" s="48"/>
      <c r="D138" s="48"/>
      <c r="E138" s="48"/>
    </row>
    <row r="139" spans="2:5" x14ac:dyDescent="0.35">
      <c r="B139" s="47"/>
      <c r="C139" s="48"/>
      <c r="D139" s="48"/>
      <c r="E139" s="48"/>
    </row>
    <row r="140" spans="2:5" x14ac:dyDescent="0.35">
      <c r="B140" s="47"/>
      <c r="C140" s="48"/>
      <c r="D140" s="48"/>
      <c r="E140" s="48"/>
    </row>
    <row r="141" spans="2:5" x14ac:dyDescent="0.35">
      <c r="B141" s="47"/>
      <c r="C141" s="48"/>
      <c r="D141" s="48"/>
      <c r="E141" s="48"/>
    </row>
    <row r="142" spans="2:5" x14ac:dyDescent="0.35">
      <c r="B142" s="47"/>
      <c r="C142" s="48"/>
      <c r="D142" s="48"/>
      <c r="E142" s="48"/>
    </row>
    <row r="143" spans="2:5" x14ac:dyDescent="0.35">
      <c r="B143" s="47"/>
      <c r="C143" s="48"/>
      <c r="D143" s="48"/>
      <c r="E143" s="48"/>
    </row>
    <row r="144" spans="2:5" x14ac:dyDescent="0.35">
      <c r="B144" s="47"/>
      <c r="C144" s="48"/>
      <c r="D144" s="48"/>
      <c r="E144" s="48"/>
    </row>
    <row r="145" spans="2:5" x14ac:dyDescent="0.35">
      <c r="B145" s="47"/>
      <c r="C145" s="48"/>
      <c r="D145" s="48"/>
      <c r="E145" s="48"/>
    </row>
    <row r="146" spans="2:5" x14ac:dyDescent="0.35">
      <c r="B146" s="47"/>
      <c r="C146" s="48"/>
      <c r="D146" s="48"/>
      <c r="E146" s="48"/>
    </row>
    <row r="147" spans="2:5" x14ac:dyDescent="0.35">
      <c r="B147" s="47"/>
      <c r="C147" s="48"/>
      <c r="D147" s="48"/>
      <c r="E147" s="48"/>
    </row>
    <row r="148" spans="2:5" x14ac:dyDescent="0.35">
      <c r="B148" s="47"/>
      <c r="C148" s="48"/>
      <c r="D148" s="48"/>
      <c r="E148" s="48"/>
    </row>
    <row r="149" spans="2:5" x14ac:dyDescent="0.35">
      <c r="B149" s="47"/>
      <c r="C149" s="48"/>
      <c r="D149" s="48"/>
      <c r="E149" s="48"/>
    </row>
    <row r="150" spans="2:5" x14ac:dyDescent="0.35">
      <c r="B150" s="47"/>
      <c r="C150" s="48"/>
      <c r="D150" s="48"/>
      <c r="E150" s="48"/>
    </row>
    <row r="151" spans="2:5" x14ac:dyDescent="0.35">
      <c r="B151" s="47"/>
      <c r="C151" s="48"/>
      <c r="D151" s="48"/>
      <c r="E151" s="48"/>
    </row>
    <row r="152" spans="2:5" x14ac:dyDescent="0.35">
      <c r="B152" s="47"/>
      <c r="C152" s="48"/>
      <c r="D152" s="48"/>
      <c r="E152" s="48"/>
    </row>
    <row r="153" spans="2:5" x14ac:dyDescent="0.35">
      <c r="B153" s="47"/>
      <c r="C153" s="48"/>
      <c r="D153" s="48"/>
      <c r="E153" s="48"/>
    </row>
    <row r="154" spans="2:5" x14ac:dyDescent="0.35">
      <c r="B154" s="47"/>
      <c r="C154" s="48"/>
      <c r="D154" s="48"/>
      <c r="E154" s="48"/>
    </row>
    <row r="155" spans="2:5" x14ac:dyDescent="0.35">
      <c r="B155" s="47"/>
      <c r="C155" s="48"/>
      <c r="D155" s="48"/>
      <c r="E155" s="48"/>
    </row>
    <row r="156" spans="2:5" x14ac:dyDescent="0.35">
      <c r="B156" s="47"/>
      <c r="C156" s="48"/>
      <c r="D156" s="48"/>
      <c r="E156" s="48"/>
    </row>
    <row r="157" spans="2:5" x14ac:dyDescent="0.35">
      <c r="B157" s="47"/>
      <c r="C157" s="48"/>
      <c r="D157" s="48"/>
      <c r="E157" s="48"/>
    </row>
    <row r="158" spans="2:5" x14ac:dyDescent="0.35">
      <c r="B158" s="47"/>
      <c r="C158" s="48"/>
      <c r="D158" s="48"/>
      <c r="E158" s="48"/>
    </row>
    <row r="159" spans="2:5" x14ac:dyDescent="0.35">
      <c r="B159" s="47"/>
      <c r="C159" s="48"/>
      <c r="D159" s="48"/>
      <c r="E159" s="48"/>
    </row>
    <row r="160" spans="2:5" x14ac:dyDescent="0.35">
      <c r="B160" s="47"/>
      <c r="C160" s="48"/>
      <c r="D160" s="48"/>
      <c r="E160" s="48"/>
    </row>
    <row r="161" spans="2:5" x14ac:dyDescent="0.35">
      <c r="B161" s="47"/>
      <c r="C161" s="48"/>
      <c r="D161" s="48"/>
      <c r="E161" s="48"/>
    </row>
    <row r="162" spans="2:5" x14ac:dyDescent="0.35">
      <c r="B162" s="47"/>
      <c r="C162" s="48"/>
      <c r="D162" s="48"/>
      <c r="E162" s="48"/>
    </row>
    <row r="163" spans="2:5" x14ac:dyDescent="0.35">
      <c r="B163" s="47"/>
      <c r="C163" s="48"/>
      <c r="D163" s="48"/>
      <c r="E163" s="48"/>
    </row>
    <row r="164" spans="2:5" x14ac:dyDescent="0.35">
      <c r="B164" s="47"/>
      <c r="C164" s="48"/>
      <c r="D164" s="48"/>
      <c r="E164" s="48"/>
    </row>
    <row r="165" spans="2:5" x14ac:dyDescent="0.35">
      <c r="B165" s="47"/>
      <c r="C165" s="48"/>
      <c r="D165" s="48"/>
      <c r="E165" s="48"/>
    </row>
    <row r="166" spans="2:5" x14ac:dyDescent="0.35">
      <c r="B166" s="47"/>
      <c r="C166" s="48"/>
      <c r="D166" s="48"/>
      <c r="E166" s="48"/>
    </row>
    <row r="167" spans="2:5" x14ac:dyDescent="0.35">
      <c r="B167" s="47"/>
      <c r="C167" s="48"/>
      <c r="D167" s="48"/>
      <c r="E167" s="48"/>
    </row>
    <row r="168" spans="2:5" x14ac:dyDescent="0.35">
      <c r="B168" s="47"/>
      <c r="C168" s="48"/>
      <c r="D168" s="48"/>
      <c r="E168" s="48"/>
    </row>
    <row r="169" spans="2:5" x14ac:dyDescent="0.35">
      <c r="B169" s="47"/>
      <c r="C169" s="48"/>
      <c r="D169" s="48"/>
      <c r="E169" s="48"/>
    </row>
    <row r="170" spans="2:5" x14ac:dyDescent="0.35">
      <c r="B170" s="47"/>
      <c r="C170" s="48"/>
      <c r="D170" s="48"/>
      <c r="E170" s="48"/>
    </row>
    <row r="171" spans="2:5" x14ac:dyDescent="0.35">
      <c r="B171" s="47"/>
      <c r="C171" s="48"/>
      <c r="D171" s="48"/>
      <c r="E171" s="48"/>
    </row>
    <row r="172" spans="2:5" x14ac:dyDescent="0.35">
      <c r="B172" s="47"/>
      <c r="C172" s="48"/>
      <c r="D172" s="48"/>
      <c r="E172" s="48"/>
    </row>
    <row r="173" spans="2:5" x14ac:dyDescent="0.35">
      <c r="B173" s="47"/>
      <c r="C173" s="48"/>
      <c r="D173" s="48"/>
      <c r="E173" s="48"/>
    </row>
    <row r="174" spans="2:5" x14ac:dyDescent="0.35">
      <c r="B174" s="47"/>
      <c r="C174" s="48"/>
      <c r="D174" s="48"/>
      <c r="E174" s="48"/>
    </row>
    <row r="175" spans="2:5" x14ac:dyDescent="0.35">
      <c r="B175" s="47"/>
      <c r="C175" s="48"/>
      <c r="D175" s="48"/>
      <c r="E175" s="48"/>
    </row>
    <row r="176" spans="2:5" x14ac:dyDescent="0.35">
      <c r="B176" s="47"/>
      <c r="C176" s="48"/>
      <c r="D176" s="48"/>
      <c r="E176" s="48"/>
    </row>
    <row r="177" spans="2:5" x14ac:dyDescent="0.35">
      <c r="B177" s="47"/>
      <c r="C177" s="48"/>
      <c r="D177" s="48"/>
      <c r="E177" s="48"/>
    </row>
    <row r="178" spans="2:5" x14ac:dyDescent="0.35">
      <c r="B178" s="47"/>
      <c r="C178" s="48"/>
      <c r="D178" s="48"/>
      <c r="E178" s="48"/>
    </row>
    <row r="179" spans="2:5" x14ac:dyDescent="0.35">
      <c r="B179" s="47"/>
      <c r="C179" s="48"/>
      <c r="D179" s="48"/>
      <c r="E179" s="48"/>
    </row>
    <row r="180" spans="2:5" x14ac:dyDescent="0.35">
      <c r="B180" s="47"/>
      <c r="C180" s="48"/>
      <c r="D180" s="48"/>
      <c r="E180" s="48"/>
    </row>
    <row r="181" spans="2:5" x14ac:dyDescent="0.35">
      <c r="B181" s="47"/>
      <c r="C181" s="48"/>
      <c r="D181" s="48"/>
      <c r="E181" s="48"/>
    </row>
    <row r="182" spans="2:5" x14ac:dyDescent="0.35">
      <c r="B182" s="47"/>
      <c r="C182" s="48"/>
      <c r="D182" s="48"/>
      <c r="E182" s="48"/>
    </row>
    <row r="183" spans="2:5" x14ac:dyDescent="0.35">
      <c r="B183" s="47"/>
      <c r="C183" s="48"/>
      <c r="D183" s="48"/>
      <c r="E183" s="48"/>
    </row>
    <row r="184" spans="2:5" x14ac:dyDescent="0.35">
      <c r="B184" s="47"/>
      <c r="C184" s="48"/>
      <c r="D184" s="48"/>
      <c r="E184" s="48"/>
    </row>
    <row r="185" spans="2:5" x14ac:dyDescent="0.35">
      <c r="B185" s="47"/>
      <c r="C185" s="48"/>
      <c r="D185" s="48"/>
      <c r="E185" s="48"/>
    </row>
    <row r="186" spans="2:5" x14ac:dyDescent="0.35">
      <c r="B186" s="47"/>
      <c r="C186" s="48"/>
      <c r="D186" s="48"/>
      <c r="E186" s="48"/>
    </row>
    <row r="187" spans="2:5" x14ac:dyDescent="0.35">
      <c r="B187" s="47"/>
      <c r="C187" s="48"/>
      <c r="D187" s="48"/>
      <c r="E187" s="48"/>
    </row>
    <row r="188" spans="2:5" x14ac:dyDescent="0.35">
      <c r="B188" s="47"/>
      <c r="C188" s="48"/>
      <c r="D188" s="48"/>
      <c r="E188" s="48"/>
    </row>
    <row r="189" spans="2:5" x14ac:dyDescent="0.35">
      <c r="B189" s="47"/>
      <c r="C189" s="48"/>
      <c r="D189" s="48"/>
      <c r="E189" s="48"/>
    </row>
    <row r="190" spans="2:5" x14ac:dyDescent="0.35">
      <c r="B190" s="47"/>
      <c r="C190" s="48"/>
      <c r="D190" s="48"/>
      <c r="E190" s="48"/>
    </row>
    <row r="191" spans="2:5" x14ac:dyDescent="0.35">
      <c r="B191" s="47"/>
      <c r="C191" s="48"/>
      <c r="D191" s="48"/>
      <c r="E191" s="48"/>
    </row>
    <row r="192" spans="2:5" x14ac:dyDescent="0.35">
      <c r="B192" s="47"/>
      <c r="C192" s="48"/>
      <c r="D192" s="48"/>
      <c r="E192" s="48"/>
    </row>
    <row r="193" spans="2:5" x14ac:dyDescent="0.35">
      <c r="B193" s="47"/>
      <c r="C193" s="48"/>
      <c r="D193" s="48"/>
      <c r="E193" s="48"/>
    </row>
    <row r="194" spans="2:5" x14ac:dyDescent="0.35">
      <c r="B194" s="47"/>
      <c r="C194" s="48"/>
      <c r="D194" s="48"/>
      <c r="E194" s="48"/>
    </row>
    <row r="195" spans="2:5" x14ac:dyDescent="0.35">
      <c r="B195" s="47"/>
      <c r="C195" s="48"/>
      <c r="D195" s="48"/>
      <c r="E195" s="48"/>
    </row>
    <row r="196" spans="2:5" x14ac:dyDescent="0.35">
      <c r="B196" s="47"/>
      <c r="C196" s="48"/>
      <c r="D196" s="48"/>
      <c r="E196" s="48"/>
    </row>
    <row r="197" spans="2:5" x14ac:dyDescent="0.35">
      <c r="B197" s="47"/>
      <c r="C197" s="48"/>
      <c r="D197" s="48"/>
      <c r="E197" s="48"/>
    </row>
    <row r="198" spans="2:5" x14ac:dyDescent="0.35">
      <c r="B198" s="47"/>
      <c r="C198" s="48"/>
      <c r="D198" s="48"/>
      <c r="E198" s="48"/>
    </row>
    <row r="199" spans="2:5" x14ac:dyDescent="0.35">
      <c r="B199" s="47"/>
      <c r="C199" s="48"/>
      <c r="D199" s="48"/>
      <c r="E199" s="48"/>
    </row>
    <row r="200" spans="2:5" x14ac:dyDescent="0.35">
      <c r="B200" s="47"/>
      <c r="C200" s="48"/>
      <c r="D200" s="48"/>
      <c r="E200" s="48"/>
    </row>
    <row r="201" spans="2:5" x14ac:dyDescent="0.35">
      <c r="B201" s="47"/>
      <c r="C201" s="48"/>
      <c r="D201" s="48"/>
      <c r="E201" s="48"/>
    </row>
    <row r="202" spans="2:5" x14ac:dyDescent="0.35">
      <c r="B202" s="47"/>
      <c r="C202" s="48"/>
      <c r="D202" s="48"/>
      <c r="E202" s="48"/>
    </row>
    <row r="203" spans="2:5" x14ac:dyDescent="0.35">
      <c r="B203" s="47"/>
      <c r="C203" s="48"/>
      <c r="D203" s="48"/>
      <c r="E203" s="48"/>
    </row>
    <row r="204" spans="2:5" x14ac:dyDescent="0.35">
      <c r="B204" s="47"/>
      <c r="C204" s="48"/>
      <c r="D204" s="48"/>
      <c r="E204" s="48"/>
    </row>
    <row r="205" spans="2:5" x14ac:dyDescent="0.35">
      <c r="B205" s="47"/>
      <c r="C205" s="48"/>
      <c r="D205" s="48"/>
      <c r="E205" s="48"/>
    </row>
    <row r="206" spans="2:5" x14ac:dyDescent="0.35">
      <c r="B206" s="47"/>
      <c r="C206" s="48"/>
      <c r="D206" s="48"/>
      <c r="E206" s="48"/>
    </row>
    <row r="207" spans="2:5" x14ac:dyDescent="0.35">
      <c r="B207" s="47"/>
      <c r="C207" s="48"/>
      <c r="D207" s="48"/>
      <c r="E207" s="48"/>
    </row>
    <row r="208" spans="2:5" x14ac:dyDescent="0.35">
      <c r="B208" s="47"/>
      <c r="C208" s="48"/>
      <c r="D208" s="48"/>
      <c r="E208" s="48"/>
    </row>
    <row r="209" spans="2:5" x14ac:dyDescent="0.35">
      <c r="B209" s="47"/>
      <c r="C209" s="48"/>
      <c r="D209" s="48"/>
      <c r="E209" s="48"/>
    </row>
    <row r="210" spans="2:5" x14ac:dyDescent="0.35">
      <c r="B210" s="47"/>
      <c r="C210" s="48"/>
      <c r="D210" s="48"/>
      <c r="E210" s="48"/>
    </row>
    <row r="211" spans="2:5" x14ac:dyDescent="0.35">
      <c r="B211" s="47"/>
      <c r="C211" s="48"/>
      <c r="D211" s="48"/>
      <c r="E211" s="48"/>
    </row>
    <row r="212" spans="2:5" x14ac:dyDescent="0.35">
      <c r="B212" s="47"/>
      <c r="C212" s="48"/>
      <c r="D212" s="48"/>
      <c r="E212" s="48"/>
    </row>
    <row r="213" spans="2:5" x14ac:dyDescent="0.35">
      <c r="B213" s="47"/>
      <c r="C213" s="48"/>
      <c r="D213" s="48"/>
      <c r="E213" s="48"/>
    </row>
    <row r="214" spans="2:5" x14ac:dyDescent="0.35">
      <c r="B214" s="47"/>
      <c r="C214" s="48"/>
      <c r="D214" s="48"/>
      <c r="E214" s="48"/>
    </row>
    <row r="215" spans="2:5" x14ac:dyDescent="0.35">
      <c r="B215" s="47"/>
      <c r="C215" s="48"/>
      <c r="D215" s="48"/>
      <c r="E215" s="48"/>
    </row>
    <row r="216" spans="2:5" x14ac:dyDescent="0.35">
      <c r="B216" s="47"/>
      <c r="C216" s="48"/>
      <c r="D216" s="48"/>
      <c r="E216" s="48"/>
    </row>
    <row r="217" spans="2:5" x14ac:dyDescent="0.35">
      <c r="B217" s="47"/>
      <c r="C217" s="48"/>
      <c r="D217" s="48"/>
      <c r="E217" s="48"/>
    </row>
    <row r="218" spans="2:5" x14ac:dyDescent="0.35">
      <c r="B218" s="47"/>
      <c r="C218" s="48"/>
      <c r="D218" s="48"/>
      <c r="E218" s="48"/>
    </row>
    <row r="219" spans="2:5" x14ac:dyDescent="0.35">
      <c r="B219" s="47"/>
      <c r="C219" s="48"/>
      <c r="D219" s="48"/>
      <c r="E219" s="48"/>
    </row>
    <row r="220" spans="2:5" x14ac:dyDescent="0.35">
      <c r="B220" s="47"/>
      <c r="C220" s="48"/>
      <c r="D220" s="48"/>
      <c r="E220" s="48"/>
    </row>
    <row r="221" spans="2:5" x14ac:dyDescent="0.35">
      <c r="B221" s="47"/>
      <c r="C221" s="48"/>
      <c r="D221" s="48"/>
      <c r="E221" s="48"/>
    </row>
    <row r="222" spans="2:5" x14ac:dyDescent="0.35">
      <c r="B222" s="47"/>
      <c r="C222" s="48"/>
      <c r="D222" s="48"/>
      <c r="E222" s="48"/>
    </row>
    <row r="223" spans="2:5" x14ac:dyDescent="0.35">
      <c r="B223" s="47"/>
      <c r="C223" s="48"/>
      <c r="D223" s="48"/>
      <c r="E223" s="48"/>
    </row>
    <row r="224" spans="2:5" x14ac:dyDescent="0.35">
      <c r="B224" s="47"/>
      <c r="C224" s="48"/>
      <c r="D224" s="48"/>
      <c r="E224" s="48"/>
    </row>
    <row r="225" spans="2:5" x14ac:dyDescent="0.35">
      <c r="B225" s="47"/>
      <c r="C225" s="48"/>
      <c r="D225" s="48"/>
      <c r="E225" s="48"/>
    </row>
    <row r="226" spans="2:5" x14ac:dyDescent="0.35">
      <c r="B226" s="47"/>
      <c r="C226" s="48"/>
      <c r="D226" s="48"/>
      <c r="E226" s="48"/>
    </row>
    <row r="227" spans="2:5" x14ac:dyDescent="0.35">
      <c r="B227" s="47"/>
      <c r="C227" s="48"/>
      <c r="D227" s="48"/>
      <c r="E227" s="48"/>
    </row>
    <row r="228" spans="2:5" x14ac:dyDescent="0.35">
      <c r="B228" s="47"/>
      <c r="C228" s="48"/>
      <c r="D228" s="48"/>
      <c r="E228" s="48"/>
    </row>
    <row r="229" spans="2:5" x14ac:dyDescent="0.35">
      <c r="B229" s="47"/>
      <c r="C229" s="48"/>
      <c r="D229" s="48"/>
      <c r="E229" s="48"/>
    </row>
    <row r="230" spans="2:5" x14ac:dyDescent="0.35">
      <c r="B230" s="47"/>
      <c r="C230" s="48"/>
      <c r="D230" s="48"/>
      <c r="E230" s="48"/>
    </row>
    <row r="231" spans="2:5" x14ac:dyDescent="0.35">
      <c r="B231" s="47"/>
      <c r="C231" s="48"/>
      <c r="D231" s="48"/>
      <c r="E231" s="48"/>
    </row>
    <row r="232" spans="2:5" x14ac:dyDescent="0.35">
      <c r="B232" s="47"/>
      <c r="C232" s="48"/>
      <c r="D232" s="48"/>
      <c r="E232" s="48"/>
    </row>
    <row r="233" spans="2:5" x14ac:dyDescent="0.35">
      <c r="B233" s="47"/>
      <c r="C233" s="48"/>
      <c r="D233" s="48"/>
      <c r="E233" s="48"/>
    </row>
    <row r="234" spans="2:5" x14ac:dyDescent="0.35">
      <c r="B234" s="47"/>
      <c r="C234" s="48"/>
      <c r="D234" s="48"/>
      <c r="E234" s="48"/>
    </row>
    <row r="235" spans="2:5" x14ac:dyDescent="0.35">
      <c r="B235" s="47"/>
      <c r="C235" s="48"/>
      <c r="D235" s="48"/>
      <c r="E235" s="48"/>
    </row>
    <row r="236" spans="2:5" x14ac:dyDescent="0.35">
      <c r="B236" s="47"/>
      <c r="C236" s="48"/>
      <c r="D236" s="48"/>
      <c r="E236" s="48"/>
    </row>
    <row r="237" spans="2:5" x14ac:dyDescent="0.35">
      <c r="B237" s="47"/>
      <c r="C237" s="48"/>
      <c r="D237" s="48"/>
      <c r="E237" s="48"/>
    </row>
    <row r="238" spans="2:5" x14ac:dyDescent="0.35">
      <c r="B238" s="47"/>
      <c r="C238" s="48"/>
      <c r="D238" s="48"/>
      <c r="E238" s="48"/>
    </row>
    <row r="239" spans="2:5" x14ac:dyDescent="0.35">
      <c r="B239" s="47"/>
      <c r="C239" s="48"/>
      <c r="D239" s="48"/>
      <c r="E239" s="48"/>
    </row>
    <row r="240" spans="2:5" x14ac:dyDescent="0.35">
      <c r="B240" s="47"/>
      <c r="C240" s="48"/>
      <c r="D240" s="48"/>
      <c r="E240" s="48"/>
    </row>
    <row r="241" spans="2:5" x14ac:dyDescent="0.35">
      <c r="B241" s="47"/>
      <c r="C241" s="48"/>
      <c r="D241" s="48"/>
      <c r="E241" s="48"/>
    </row>
    <row r="242" spans="2:5" x14ac:dyDescent="0.35">
      <c r="B242" s="47"/>
      <c r="C242" s="48"/>
      <c r="D242" s="48"/>
      <c r="E242" s="48"/>
    </row>
    <row r="243" spans="2:5" x14ac:dyDescent="0.35">
      <c r="B243" s="47"/>
      <c r="C243" s="48"/>
      <c r="D243" s="48"/>
      <c r="E243" s="48"/>
    </row>
    <row r="244" spans="2:5" x14ac:dyDescent="0.35">
      <c r="B244" s="47"/>
      <c r="C244" s="48"/>
      <c r="D244" s="48"/>
      <c r="E244" s="48"/>
    </row>
    <row r="245" spans="2:5" x14ac:dyDescent="0.35">
      <c r="B245" s="47"/>
      <c r="C245" s="48"/>
      <c r="D245" s="48"/>
      <c r="E245" s="48"/>
    </row>
    <row r="246" spans="2:5" x14ac:dyDescent="0.35">
      <c r="B246" s="47"/>
      <c r="C246" s="48"/>
      <c r="D246" s="48"/>
      <c r="E246" s="48"/>
    </row>
    <row r="247" spans="2:5" x14ac:dyDescent="0.35">
      <c r="B247" s="47"/>
      <c r="C247" s="48"/>
      <c r="D247" s="48"/>
      <c r="E247" s="48"/>
    </row>
    <row r="248" spans="2:5" x14ac:dyDescent="0.35">
      <c r="B248" s="47"/>
      <c r="C248" s="48"/>
      <c r="D248" s="48"/>
      <c r="E248" s="48"/>
    </row>
    <row r="249" spans="2:5" x14ac:dyDescent="0.35">
      <c r="B249" s="47"/>
      <c r="C249" s="48"/>
      <c r="D249" s="48"/>
      <c r="E249" s="48"/>
    </row>
    <row r="250" spans="2:5" x14ac:dyDescent="0.35">
      <c r="B250" s="47"/>
      <c r="C250" s="48"/>
      <c r="D250" s="48"/>
      <c r="E250" s="48"/>
    </row>
    <row r="251" spans="2:5" x14ac:dyDescent="0.35">
      <c r="B251" s="47"/>
      <c r="C251" s="48"/>
      <c r="D251" s="48"/>
      <c r="E251" s="48"/>
    </row>
    <row r="252" spans="2:5" x14ac:dyDescent="0.35">
      <c r="B252" s="47"/>
      <c r="C252" s="48"/>
      <c r="D252" s="48"/>
      <c r="E252" s="48"/>
    </row>
    <row r="253" spans="2:5" x14ac:dyDescent="0.35">
      <c r="B253" s="47"/>
      <c r="C253" s="48"/>
      <c r="D253" s="48"/>
      <c r="E253" s="48"/>
    </row>
    <row r="254" spans="2:5" x14ac:dyDescent="0.35">
      <c r="B254" s="47"/>
      <c r="C254" s="48"/>
      <c r="D254" s="48"/>
      <c r="E254" s="48"/>
    </row>
    <row r="255" spans="2:5" x14ac:dyDescent="0.35">
      <c r="B255" s="47"/>
      <c r="C255" s="48"/>
      <c r="D255" s="48"/>
      <c r="E255" s="48"/>
    </row>
    <row r="256" spans="2:5" x14ac:dyDescent="0.35">
      <c r="B256" s="47"/>
      <c r="C256" s="48"/>
      <c r="D256" s="48"/>
      <c r="E256" s="48"/>
    </row>
    <row r="257" spans="2:5" x14ac:dyDescent="0.35">
      <c r="B257" s="47"/>
      <c r="C257" s="48"/>
      <c r="D257" s="48"/>
      <c r="E257" s="48"/>
    </row>
    <row r="258" spans="2:5" x14ac:dyDescent="0.35">
      <c r="B258" s="47"/>
      <c r="C258" s="48"/>
      <c r="D258" s="48"/>
      <c r="E258" s="48"/>
    </row>
    <row r="259" spans="2:5" x14ac:dyDescent="0.35">
      <c r="B259" s="47"/>
      <c r="C259" s="48"/>
      <c r="D259" s="48"/>
      <c r="E259" s="48"/>
    </row>
    <row r="260" spans="2:5" x14ac:dyDescent="0.35">
      <c r="B260" s="47"/>
      <c r="C260" s="48"/>
      <c r="D260" s="48"/>
      <c r="E260" s="48"/>
    </row>
    <row r="261" spans="2:5" x14ac:dyDescent="0.35">
      <c r="B261" s="47"/>
      <c r="C261" s="48"/>
      <c r="D261" s="48"/>
      <c r="E261" s="48"/>
    </row>
    <row r="262" spans="2:5" x14ac:dyDescent="0.35">
      <c r="B262" s="47"/>
      <c r="C262" s="48"/>
      <c r="D262" s="48"/>
      <c r="E262" s="48"/>
    </row>
    <row r="263" spans="2:5" x14ac:dyDescent="0.35">
      <c r="B263" s="47"/>
      <c r="C263" s="48"/>
      <c r="D263" s="48"/>
      <c r="E263" s="48"/>
    </row>
    <row r="264" spans="2:5" x14ac:dyDescent="0.35">
      <c r="B264" s="47"/>
      <c r="C264" s="48"/>
      <c r="D264" s="48"/>
      <c r="E264" s="48"/>
    </row>
    <row r="265" spans="2:5" x14ac:dyDescent="0.35">
      <c r="B265" s="47"/>
      <c r="C265" s="48"/>
      <c r="D265" s="48"/>
      <c r="E265" s="48"/>
    </row>
    <row r="266" spans="2:5" x14ac:dyDescent="0.35">
      <c r="B266" s="47"/>
      <c r="C266" s="48"/>
      <c r="D266" s="48"/>
      <c r="E266" s="48"/>
    </row>
    <row r="267" spans="2:5" x14ac:dyDescent="0.35">
      <c r="B267" s="47"/>
      <c r="C267" s="48"/>
      <c r="D267" s="48"/>
      <c r="E267" s="48"/>
    </row>
    <row r="268" spans="2:5" x14ac:dyDescent="0.35">
      <c r="B268" s="47"/>
      <c r="C268" s="48"/>
      <c r="D268" s="48"/>
      <c r="E268" s="48"/>
    </row>
    <row r="269" spans="2:5" x14ac:dyDescent="0.35">
      <c r="B269" s="47"/>
      <c r="C269" s="48"/>
      <c r="D269" s="48"/>
      <c r="E269" s="48"/>
    </row>
    <row r="270" spans="2:5" x14ac:dyDescent="0.35">
      <c r="B270" s="47"/>
      <c r="C270" s="48"/>
      <c r="D270" s="48"/>
      <c r="E270" s="48"/>
    </row>
    <row r="271" spans="2:5" x14ac:dyDescent="0.35">
      <c r="B271" s="47"/>
      <c r="C271" s="48"/>
      <c r="D271" s="48"/>
      <c r="E271" s="48"/>
    </row>
    <row r="272" spans="2:5" x14ac:dyDescent="0.35">
      <c r="B272" s="47"/>
      <c r="C272" s="48"/>
      <c r="D272" s="48"/>
      <c r="E272" s="48"/>
    </row>
    <row r="273" spans="2:5" x14ac:dyDescent="0.35">
      <c r="B273" s="47"/>
      <c r="C273" s="48"/>
      <c r="D273" s="48"/>
      <c r="E273" s="48"/>
    </row>
    <row r="274" spans="2:5" x14ac:dyDescent="0.35">
      <c r="B274" s="47"/>
      <c r="C274" s="48"/>
      <c r="D274" s="48"/>
      <c r="E274" s="48"/>
    </row>
    <row r="275" spans="2:5" x14ac:dyDescent="0.35">
      <c r="B275" s="47"/>
      <c r="C275" s="48"/>
      <c r="D275" s="48"/>
      <c r="E275" s="48"/>
    </row>
    <row r="276" spans="2:5" x14ac:dyDescent="0.35">
      <c r="B276" s="47"/>
      <c r="C276" s="48"/>
      <c r="D276" s="48"/>
      <c r="E276" s="48"/>
    </row>
    <row r="277" spans="2:5" x14ac:dyDescent="0.35">
      <c r="B277" s="47"/>
      <c r="C277" s="48"/>
      <c r="D277" s="48"/>
      <c r="E277" s="48"/>
    </row>
    <row r="278" spans="2:5" x14ac:dyDescent="0.35">
      <c r="B278" s="47"/>
      <c r="C278" s="48"/>
      <c r="D278" s="48"/>
      <c r="E278" s="48"/>
    </row>
    <row r="279" spans="2:5" x14ac:dyDescent="0.35">
      <c r="B279" s="47"/>
      <c r="C279" s="48"/>
      <c r="D279" s="48"/>
      <c r="E279" s="48"/>
    </row>
    <row r="280" spans="2:5" x14ac:dyDescent="0.35">
      <c r="B280" s="47"/>
      <c r="C280" s="48"/>
      <c r="D280" s="48"/>
      <c r="E280" s="48"/>
    </row>
    <row r="281" spans="2:5" x14ac:dyDescent="0.35">
      <c r="B281" s="47"/>
      <c r="C281" s="48"/>
      <c r="D281" s="48"/>
      <c r="E281" s="48"/>
    </row>
    <row r="282" spans="2:5" x14ac:dyDescent="0.35">
      <c r="B282" s="47"/>
      <c r="C282" s="48"/>
      <c r="D282" s="48"/>
      <c r="E282" s="48"/>
    </row>
    <row r="283" spans="2:5" x14ac:dyDescent="0.35">
      <c r="B283" s="47"/>
      <c r="C283" s="48"/>
      <c r="D283" s="48"/>
      <c r="E283" s="48"/>
    </row>
    <row r="284" spans="2:5" x14ac:dyDescent="0.35">
      <c r="B284" s="47"/>
      <c r="C284" s="48"/>
      <c r="D284" s="48"/>
      <c r="E284" s="48"/>
    </row>
    <row r="285" spans="2:5" x14ac:dyDescent="0.35">
      <c r="B285" s="47"/>
      <c r="C285" s="48"/>
      <c r="D285" s="48"/>
      <c r="E285" s="48"/>
    </row>
    <row r="286" spans="2:5" x14ac:dyDescent="0.35">
      <c r="B286" s="47"/>
      <c r="C286" s="48"/>
      <c r="D286" s="48"/>
      <c r="E286" s="48"/>
    </row>
    <row r="287" spans="2:5" x14ac:dyDescent="0.35">
      <c r="B287" s="47"/>
      <c r="C287" s="48"/>
      <c r="D287" s="48"/>
      <c r="E287" s="48"/>
    </row>
    <row r="288" spans="2:5" x14ac:dyDescent="0.35">
      <c r="B288" s="47"/>
      <c r="C288" s="48"/>
      <c r="D288" s="48"/>
      <c r="E288" s="48"/>
    </row>
    <row r="289" spans="2:5" x14ac:dyDescent="0.35">
      <c r="B289" s="47"/>
      <c r="C289" s="48"/>
      <c r="D289" s="48"/>
      <c r="E289" s="48"/>
    </row>
    <row r="290" spans="2:5" x14ac:dyDescent="0.35">
      <c r="B290" s="47"/>
      <c r="C290" s="48"/>
      <c r="D290" s="48"/>
      <c r="E290" s="48"/>
    </row>
    <row r="291" spans="2:5" x14ac:dyDescent="0.35">
      <c r="B291" s="47"/>
      <c r="C291" s="48"/>
      <c r="D291" s="48"/>
      <c r="E291" s="48"/>
    </row>
    <row r="292" spans="2:5" x14ac:dyDescent="0.35">
      <c r="B292" s="47"/>
      <c r="C292" s="48"/>
      <c r="D292" s="48"/>
      <c r="E292" s="48"/>
    </row>
    <row r="293" spans="2:5" x14ac:dyDescent="0.35">
      <c r="B293" s="47"/>
      <c r="C293" s="48"/>
      <c r="D293" s="48"/>
      <c r="E293" s="48"/>
    </row>
    <row r="294" spans="2:5" x14ac:dyDescent="0.35">
      <c r="B294" s="47"/>
      <c r="C294" s="48"/>
      <c r="D294" s="48"/>
      <c r="E294" s="48"/>
    </row>
    <row r="295" spans="2:5" x14ac:dyDescent="0.35">
      <c r="B295" s="47"/>
      <c r="C295" s="48"/>
      <c r="D295" s="48"/>
      <c r="E295" s="48"/>
    </row>
    <row r="296" spans="2:5" x14ac:dyDescent="0.35">
      <c r="B296" s="47"/>
      <c r="C296" s="48"/>
      <c r="D296" s="48"/>
      <c r="E296" s="48"/>
    </row>
    <row r="297" spans="2:5" x14ac:dyDescent="0.35">
      <c r="B297" s="47"/>
      <c r="C297" s="48"/>
      <c r="D297" s="48"/>
      <c r="E297" s="48"/>
    </row>
    <row r="298" spans="2:5" x14ac:dyDescent="0.35">
      <c r="B298" s="47"/>
      <c r="C298" s="48"/>
      <c r="D298" s="48"/>
      <c r="E298" s="48"/>
    </row>
    <row r="299" spans="2:5" x14ac:dyDescent="0.35">
      <c r="B299" s="47"/>
      <c r="C299" s="48"/>
      <c r="D299" s="48"/>
      <c r="E299" s="48"/>
    </row>
    <row r="300" spans="2:5" x14ac:dyDescent="0.35">
      <c r="B300" s="47"/>
      <c r="C300" s="48"/>
      <c r="D300" s="48"/>
      <c r="E300" s="48"/>
    </row>
    <row r="301" spans="2:5" x14ac:dyDescent="0.35">
      <c r="B301" s="47"/>
      <c r="C301" s="48"/>
      <c r="D301" s="48"/>
      <c r="E301" s="48"/>
    </row>
    <row r="302" spans="2:5" x14ac:dyDescent="0.35">
      <c r="B302" s="47"/>
      <c r="C302" s="48"/>
      <c r="D302" s="48"/>
      <c r="E302" s="48"/>
    </row>
    <row r="303" spans="2:5" x14ac:dyDescent="0.35">
      <c r="B303" s="47"/>
      <c r="C303" s="48"/>
      <c r="D303" s="48"/>
      <c r="E303" s="48"/>
    </row>
    <row r="304" spans="2:5" x14ac:dyDescent="0.35">
      <c r="B304" s="47"/>
      <c r="C304" s="48"/>
      <c r="D304" s="48"/>
      <c r="E304" s="48"/>
    </row>
    <row r="305" spans="2:5" x14ac:dyDescent="0.35">
      <c r="B305" s="47"/>
      <c r="C305" s="48"/>
      <c r="D305" s="48"/>
      <c r="E305" s="48"/>
    </row>
    <row r="306" spans="2:5" x14ac:dyDescent="0.35">
      <c r="B306" s="47"/>
      <c r="C306" s="48"/>
      <c r="D306" s="48"/>
      <c r="E306" s="48"/>
    </row>
    <row r="307" spans="2:5" x14ac:dyDescent="0.35">
      <c r="B307" s="47"/>
      <c r="C307" s="48"/>
      <c r="D307" s="48"/>
      <c r="E307" s="48"/>
    </row>
    <row r="308" spans="2:5" x14ac:dyDescent="0.35">
      <c r="B308" s="47"/>
      <c r="C308" s="48"/>
      <c r="D308" s="48"/>
      <c r="E308" s="48"/>
    </row>
    <row r="309" spans="2:5" x14ac:dyDescent="0.35">
      <c r="B309" s="47"/>
      <c r="C309" s="48"/>
      <c r="D309" s="48"/>
      <c r="E309" s="48"/>
    </row>
    <row r="310" spans="2:5" x14ac:dyDescent="0.35">
      <c r="B310" s="47"/>
      <c r="C310" s="48"/>
      <c r="D310" s="48"/>
      <c r="E310" s="48"/>
    </row>
    <row r="311" spans="2:5" x14ac:dyDescent="0.35">
      <c r="B311" s="47"/>
      <c r="C311" s="48"/>
      <c r="D311" s="48"/>
      <c r="E311" s="48"/>
    </row>
    <row r="312" spans="2:5" x14ac:dyDescent="0.35">
      <c r="B312" s="47"/>
      <c r="C312" s="48"/>
      <c r="D312" s="48"/>
      <c r="E312" s="48"/>
    </row>
    <row r="313" spans="2:5" x14ac:dyDescent="0.35">
      <c r="B313" s="47"/>
      <c r="C313" s="48"/>
      <c r="D313" s="48"/>
      <c r="E313" s="48"/>
    </row>
    <row r="314" spans="2:5" x14ac:dyDescent="0.35">
      <c r="B314" s="47"/>
      <c r="C314" s="48"/>
      <c r="D314" s="48"/>
      <c r="E314" s="48"/>
    </row>
    <row r="315" spans="2:5" x14ac:dyDescent="0.35">
      <c r="B315" s="47"/>
      <c r="C315" s="48"/>
      <c r="D315" s="48"/>
      <c r="E315" s="48"/>
    </row>
    <row r="316" spans="2:5" x14ac:dyDescent="0.35">
      <c r="B316" s="47"/>
      <c r="C316" s="48"/>
      <c r="D316" s="48"/>
      <c r="E316" s="48"/>
    </row>
    <row r="317" spans="2:5" x14ac:dyDescent="0.35">
      <c r="B317" s="47"/>
      <c r="C317" s="48"/>
      <c r="D317" s="48"/>
      <c r="E317" s="48"/>
    </row>
    <row r="318" spans="2:5" x14ac:dyDescent="0.35">
      <c r="B318" s="47"/>
      <c r="C318" s="48"/>
      <c r="D318" s="48"/>
      <c r="E318" s="48"/>
    </row>
    <row r="319" spans="2:5" x14ac:dyDescent="0.35">
      <c r="B319" s="47"/>
      <c r="C319" s="48"/>
      <c r="D319" s="48"/>
      <c r="E319" s="48"/>
    </row>
    <row r="320" spans="2:5" x14ac:dyDescent="0.35">
      <c r="B320" s="47"/>
      <c r="C320" s="48"/>
      <c r="D320" s="48"/>
      <c r="E320" s="48"/>
    </row>
    <row r="321" spans="2:5" x14ac:dyDescent="0.35">
      <c r="B321" s="47"/>
      <c r="C321" s="48"/>
      <c r="D321" s="48"/>
      <c r="E321" s="48"/>
    </row>
    <row r="322" spans="2:5" x14ac:dyDescent="0.35">
      <c r="B322" s="47"/>
      <c r="C322" s="48"/>
      <c r="D322" s="48"/>
      <c r="E322" s="48"/>
    </row>
    <row r="323" spans="2:5" x14ac:dyDescent="0.35">
      <c r="B323" s="47"/>
      <c r="C323" s="48"/>
      <c r="D323" s="48"/>
      <c r="E323" s="48"/>
    </row>
    <row r="324" spans="2:5" x14ac:dyDescent="0.35">
      <c r="B324" s="47"/>
      <c r="C324" s="48"/>
      <c r="D324" s="48"/>
      <c r="E324" s="48"/>
    </row>
    <row r="325" spans="2:5" x14ac:dyDescent="0.35">
      <c r="B325" s="47"/>
      <c r="C325" s="48"/>
      <c r="D325" s="48"/>
      <c r="E325" s="48"/>
    </row>
    <row r="326" spans="2:5" x14ac:dyDescent="0.35">
      <c r="B326" s="47"/>
      <c r="C326" s="48"/>
      <c r="D326" s="48"/>
      <c r="E326" s="48"/>
    </row>
    <row r="327" spans="2:5" x14ac:dyDescent="0.35">
      <c r="B327" s="47"/>
      <c r="C327" s="48"/>
      <c r="D327" s="48"/>
      <c r="E327" s="48"/>
    </row>
    <row r="328" spans="2:5" x14ac:dyDescent="0.35">
      <c r="B328" s="47"/>
      <c r="C328" s="48"/>
      <c r="D328" s="48"/>
      <c r="E328" s="48"/>
    </row>
    <row r="329" spans="2:5" x14ac:dyDescent="0.35">
      <c r="B329" s="47"/>
      <c r="C329" s="48"/>
      <c r="D329" s="48"/>
      <c r="E329" s="48"/>
    </row>
    <row r="330" spans="2:5" x14ac:dyDescent="0.35">
      <c r="B330" s="47"/>
      <c r="C330" s="48"/>
      <c r="D330" s="48"/>
      <c r="E330" s="48"/>
    </row>
    <row r="331" spans="2:5" x14ac:dyDescent="0.35">
      <c r="B331" s="47"/>
      <c r="C331" s="48"/>
      <c r="D331" s="48"/>
      <c r="E331" s="48"/>
    </row>
    <row r="332" spans="2:5" x14ac:dyDescent="0.35">
      <c r="B332" s="47"/>
      <c r="C332" s="48"/>
      <c r="D332" s="48"/>
      <c r="E332" s="48"/>
    </row>
    <row r="333" spans="2:5" x14ac:dyDescent="0.35">
      <c r="B333" s="47"/>
      <c r="C333" s="48"/>
      <c r="D333" s="48"/>
      <c r="E333" s="48"/>
    </row>
    <row r="334" spans="2:5" x14ac:dyDescent="0.35">
      <c r="B334" s="47"/>
      <c r="C334" s="48"/>
      <c r="D334" s="48"/>
      <c r="E334" s="48"/>
    </row>
    <row r="335" spans="2:5" x14ac:dyDescent="0.35">
      <c r="B335" s="47"/>
      <c r="C335" s="48"/>
      <c r="D335" s="48"/>
      <c r="E335" s="48"/>
    </row>
    <row r="336" spans="2:5" x14ac:dyDescent="0.35">
      <c r="B336" s="47"/>
      <c r="C336" s="48"/>
      <c r="D336" s="48"/>
      <c r="E336" s="48"/>
    </row>
    <row r="337" spans="2:5" x14ac:dyDescent="0.35">
      <c r="B337" s="47"/>
      <c r="C337" s="48"/>
      <c r="D337" s="48"/>
      <c r="E337" s="48"/>
    </row>
    <row r="338" spans="2:5" x14ac:dyDescent="0.35">
      <c r="B338" s="47"/>
      <c r="C338" s="48"/>
      <c r="D338" s="48"/>
      <c r="E338" s="48"/>
    </row>
    <row r="339" spans="2:5" x14ac:dyDescent="0.35">
      <c r="B339" s="47"/>
      <c r="C339" s="48"/>
      <c r="D339" s="48"/>
      <c r="E339" s="48"/>
    </row>
    <row r="340" spans="2:5" x14ac:dyDescent="0.35">
      <c r="B340" s="47"/>
      <c r="C340" s="48"/>
      <c r="D340" s="48"/>
      <c r="E340" s="48"/>
    </row>
    <row r="341" spans="2:5" x14ac:dyDescent="0.35">
      <c r="B341" s="47"/>
      <c r="C341" s="48"/>
      <c r="D341" s="48"/>
      <c r="E341" s="48"/>
    </row>
    <row r="342" spans="2:5" x14ac:dyDescent="0.35">
      <c r="B342" s="47"/>
      <c r="C342" s="48"/>
      <c r="D342" s="48"/>
      <c r="E342" s="48"/>
    </row>
    <row r="343" spans="2:5" x14ac:dyDescent="0.35">
      <c r="B343" s="47"/>
      <c r="C343" s="48"/>
      <c r="D343" s="48"/>
      <c r="E343" s="48"/>
    </row>
    <row r="344" spans="2:5" x14ac:dyDescent="0.35">
      <c r="B344" s="47"/>
      <c r="C344" s="48"/>
      <c r="D344" s="48"/>
      <c r="E344" s="48"/>
    </row>
    <row r="345" spans="2:5" x14ac:dyDescent="0.35">
      <c r="B345" s="47"/>
      <c r="C345" s="48"/>
      <c r="D345" s="48"/>
      <c r="E345" s="48"/>
    </row>
    <row r="346" spans="2:5" x14ac:dyDescent="0.35">
      <c r="B346" s="47"/>
      <c r="C346" s="48"/>
      <c r="D346" s="48"/>
      <c r="E346" s="48"/>
    </row>
    <row r="347" spans="2:5" x14ac:dyDescent="0.35">
      <c r="B347" s="47"/>
      <c r="C347" s="48"/>
      <c r="D347" s="48"/>
      <c r="E347" s="48"/>
    </row>
    <row r="348" spans="2:5" x14ac:dyDescent="0.35">
      <c r="B348" s="47"/>
      <c r="C348" s="48"/>
      <c r="D348" s="48"/>
      <c r="E348" s="48"/>
    </row>
    <row r="349" spans="2:5" x14ac:dyDescent="0.35">
      <c r="B349" s="47"/>
      <c r="C349" s="48"/>
      <c r="D349" s="48"/>
      <c r="E349" s="48"/>
    </row>
    <row r="350" spans="2:5" x14ac:dyDescent="0.35">
      <c r="B350" s="47"/>
      <c r="C350" s="48"/>
      <c r="D350" s="48"/>
      <c r="E350" s="48"/>
    </row>
    <row r="351" spans="2:5" x14ac:dyDescent="0.35">
      <c r="B351" s="47"/>
      <c r="C351" s="48"/>
      <c r="D351" s="48"/>
      <c r="E351" s="48"/>
    </row>
    <row r="352" spans="2:5" x14ac:dyDescent="0.35">
      <c r="B352" s="47"/>
      <c r="C352" s="48"/>
      <c r="D352" s="48"/>
      <c r="E352" s="48"/>
    </row>
    <row r="353" spans="2:5" x14ac:dyDescent="0.35">
      <c r="B353" s="47"/>
      <c r="C353" s="48"/>
      <c r="D353" s="48"/>
      <c r="E353" s="48"/>
    </row>
    <row r="354" spans="2:5" x14ac:dyDescent="0.35">
      <c r="B354" s="47"/>
      <c r="C354" s="48"/>
      <c r="D354" s="48"/>
      <c r="E354" s="48"/>
    </row>
    <row r="355" spans="2:5" x14ac:dyDescent="0.35">
      <c r="B355" s="47"/>
      <c r="C355" s="48"/>
      <c r="D355" s="48"/>
      <c r="E355" s="48"/>
    </row>
    <row r="356" spans="2:5" x14ac:dyDescent="0.35">
      <c r="B356" s="47"/>
      <c r="C356" s="48"/>
      <c r="D356" s="48"/>
      <c r="E356" s="48"/>
    </row>
    <row r="357" spans="2:5" x14ac:dyDescent="0.35">
      <c r="B357" s="47"/>
      <c r="C357" s="48"/>
      <c r="D357" s="48"/>
      <c r="E357" s="48"/>
    </row>
    <row r="358" spans="2:5" x14ac:dyDescent="0.35">
      <c r="B358" s="47"/>
      <c r="C358" s="48"/>
      <c r="D358" s="48"/>
      <c r="E358" s="48"/>
    </row>
    <row r="359" spans="2:5" x14ac:dyDescent="0.35">
      <c r="B359" s="47"/>
      <c r="C359" s="48"/>
      <c r="D359" s="48"/>
      <c r="E359" s="48"/>
    </row>
    <row r="360" spans="2:5" x14ac:dyDescent="0.35">
      <c r="B360" s="47"/>
      <c r="C360" s="48"/>
      <c r="D360" s="48"/>
      <c r="E360" s="48"/>
    </row>
    <row r="361" spans="2:5" x14ac:dyDescent="0.35">
      <c r="B361" s="47"/>
      <c r="C361" s="48"/>
      <c r="D361" s="48"/>
      <c r="E361" s="48"/>
    </row>
    <row r="362" spans="2:5" x14ac:dyDescent="0.35">
      <c r="B362" s="47"/>
      <c r="C362" s="48"/>
      <c r="D362" s="48"/>
      <c r="E362" s="48"/>
    </row>
    <row r="363" spans="2:5" x14ac:dyDescent="0.35">
      <c r="B363" s="47"/>
      <c r="C363" s="48"/>
      <c r="D363" s="48"/>
      <c r="E363" s="48"/>
    </row>
    <row r="364" spans="2:5" x14ac:dyDescent="0.35">
      <c r="B364" s="47"/>
      <c r="C364" s="48"/>
      <c r="D364" s="48"/>
      <c r="E364" s="48"/>
    </row>
    <row r="365" spans="2:5" x14ac:dyDescent="0.35">
      <c r="B365" s="47"/>
      <c r="C365" s="48"/>
      <c r="D365" s="48"/>
      <c r="E365" s="48"/>
    </row>
    <row r="366" spans="2:5" x14ac:dyDescent="0.35">
      <c r="B366" s="47"/>
      <c r="C366" s="48"/>
      <c r="D366" s="48"/>
      <c r="E366" s="48"/>
    </row>
    <row r="367" spans="2:5" x14ac:dyDescent="0.35">
      <c r="B367" s="47"/>
      <c r="C367" s="48"/>
      <c r="D367" s="48"/>
      <c r="E367" s="48"/>
    </row>
    <row r="368" spans="2:5" x14ac:dyDescent="0.35">
      <c r="B368" s="47"/>
      <c r="C368" s="48"/>
      <c r="D368" s="48"/>
      <c r="E368" s="48"/>
    </row>
    <row r="369" spans="2:5" x14ac:dyDescent="0.35">
      <c r="B369" s="47"/>
      <c r="C369" s="48"/>
      <c r="D369" s="48"/>
      <c r="E369" s="48"/>
    </row>
    <row r="370" spans="2:5" x14ac:dyDescent="0.35">
      <c r="B370" s="47"/>
      <c r="C370" s="48"/>
      <c r="D370" s="48"/>
      <c r="E370" s="48"/>
    </row>
    <row r="371" spans="2:5" x14ac:dyDescent="0.35">
      <c r="B371" s="47"/>
      <c r="C371" s="48"/>
      <c r="D371" s="48"/>
      <c r="E371" s="48"/>
    </row>
    <row r="372" spans="2:5" x14ac:dyDescent="0.35">
      <c r="B372" s="47"/>
      <c r="C372" s="48"/>
      <c r="D372" s="48"/>
      <c r="E372" s="48"/>
    </row>
    <row r="373" spans="2:5" x14ac:dyDescent="0.35">
      <c r="B373" s="47"/>
      <c r="C373" s="48"/>
      <c r="D373" s="48"/>
      <c r="E373" s="48"/>
    </row>
    <row r="374" spans="2:5" x14ac:dyDescent="0.35">
      <c r="B374" s="47"/>
      <c r="C374" s="48"/>
      <c r="D374" s="48"/>
      <c r="E374" s="48"/>
    </row>
    <row r="375" spans="2:5" x14ac:dyDescent="0.35">
      <c r="B375" s="47"/>
      <c r="C375" s="48"/>
      <c r="D375" s="48"/>
      <c r="E375" s="48"/>
    </row>
    <row r="376" spans="2:5" x14ac:dyDescent="0.35">
      <c r="B376" s="47"/>
      <c r="C376" s="48"/>
      <c r="D376" s="48"/>
      <c r="E376" s="48"/>
    </row>
    <row r="377" spans="2:5" x14ac:dyDescent="0.35">
      <c r="B377" s="47"/>
      <c r="C377" s="48"/>
      <c r="D377" s="48"/>
      <c r="E377" s="48"/>
    </row>
    <row r="378" spans="2:5" x14ac:dyDescent="0.35">
      <c r="B378" s="47"/>
      <c r="C378" s="48"/>
      <c r="D378" s="48"/>
      <c r="E378" s="48"/>
    </row>
    <row r="379" spans="2:5" x14ac:dyDescent="0.35">
      <c r="B379" s="47"/>
      <c r="C379" s="48"/>
      <c r="D379" s="48"/>
      <c r="E379" s="48"/>
    </row>
    <row r="380" spans="2:5" x14ac:dyDescent="0.35">
      <c r="B380" s="47"/>
      <c r="C380" s="48"/>
      <c r="D380" s="48"/>
      <c r="E380" s="48"/>
    </row>
    <row r="381" spans="2:5" x14ac:dyDescent="0.35">
      <c r="B381" s="47"/>
      <c r="C381" s="48"/>
      <c r="D381" s="48"/>
      <c r="E381" s="48"/>
    </row>
    <row r="382" spans="2:5" x14ac:dyDescent="0.35">
      <c r="B382" s="47"/>
      <c r="C382" s="48"/>
      <c r="D382" s="48"/>
      <c r="E382" s="48"/>
    </row>
    <row r="383" spans="2:5" x14ac:dyDescent="0.35">
      <c r="B383" s="47"/>
      <c r="C383" s="48"/>
      <c r="D383" s="48"/>
      <c r="E383" s="48"/>
    </row>
    <row r="384" spans="2:5" x14ac:dyDescent="0.35">
      <c r="B384" s="47"/>
      <c r="C384" s="48"/>
      <c r="D384" s="48"/>
      <c r="E384" s="48"/>
    </row>
    <row r="385" spans="2:5" x14ac:dyDescent="0.35">
      <c r="B385" s="47"/>
      <c r="C385" s="48"/>
      <c r="D385" s="48"/>
      <c r="E385" s="48"/>
    </row>
    <row r="386" spans="2:5" x14ac:dyDescent="0.35">
      <c r="B386" s="47"/>
      <c r="C386" s="48"/>
      <c r="D386" s="48"/>
      <c r="E386" s="48"/>
    </row>
    <row r="387" spans="2:5" x14ac:dyDescent="0.35">
      <c r="B387" s="47"/>
      <c r="C387" s="48"/>
      <c r="D387" s="48"/>
      <c r="E387" s="48"/>
    </row>
    <row r="388" spans="2:5" x14ac:dyDescent="0.35">
      <c r="B388" s="47"/>
      <c r="C388" s="48"/>
      <c r="D388" s="48"/>
      <c r="E388" s="48"/>
    </row>
    <row r="389" spans="2:5" x14ac:dyDescent="0.35">
      <c r="B389" s="47"/>
      <c r="C389" s="48"/>
      <c r="D389" s="48"/>
      <c r="E389" s="48"/>
    </row>
    <row r="390" spans="2:5" x14ac:dyDescent="0.35">
      <c r="B390" s="47"/>
      <c r="C390" s="48"/>
      <c r="D390" s="48"/>
      <c r="E390" s="48"/>
    </row>
    <row r="391" spans="2:5" x14ac:dyDescent="0.35">
      <c r="B391" s="47"/>
      <c r="C391" s="48"/>
      <c r="D391" s="48"/>
      <c r="E391" s="48"/>
    </row>
    <row r="392" spans="2:5" x14ac:dyDescent="0.35">
      <c r="B392" s="47"/>
      <c r="C392" s="48"/>
      <c r="D392" s="48"/>
      <c r="E392" s="48"/>
    </row>
    <row r="393" spans="2:5" x14ac:dyDescent="0.35">
      <c r="B393" s="47"/>
      <c r="C393" s="48"/>
      <c r="D393" s="48"/>
      <c r="E393" s="48"/>
    </row>
    <row r="394" spans="2:5" x14ac:dyDescent="0.35">
      <c r="B394" s="47"/>
      <c r="C394" s="48"/>
      <c r="D394" s="48"/>
      <c r="E394" s="48"/>
    </row>
  </sheetData>
  <mergeCells count="14">
    <mergeCell ref="B19:E19"/>
    <mergeCell ref="C17:E17"/>
    <mergeCell ref="B16:E16"/>
    <mergeCell ref="C15:E15"/>
    <mergeCell ref="C18:E18"/>
    <mergeCell ref="C14:E14"/>
    <mergeCell ref="G6:H6"/>
    <mergeCell ref="B6:E6"/>
    <mergeCell ref="C7:E7"/>
    <mergeCell ref="C11:E11"/>
    <mergeCell ref="C13:E13"/>
    <mergeCell ref="G9:H9"/>
    <mergeCell ref="G10:H10"/>
    <mergeCell ref="G7:H7"/>
  </mergeCells>
  <phoneticPr fontId="8" type="noConversion"/>
  <conditionalFormatting sqref="C8">
    <cfRule type="expression" dxfId="37" priority="16">
      <formula>$C$8="No encontrado. Completar"</formula>
    </cfRule>
  </conditionalFormatting>
  <conditionalFormatting sqref="C11:E11">
    <cfRule type="expression" dxfId="36" priority="15">
      <formula>$C$11="PENDIENTE"</formula>
    </cfRule>
  </conditionalFormatting>
  <conditionalFormatting sqref="H12">
    <cfRule type="colorScale" priority="2">
      <colorScale>
        <cfvo type="num" val="10"/>
        <cfvo type="num" val="20"/>
        <cfvo type="num" val="25"/>
        <color rgb="FFFCC0C1"/>
        <color rgb="FFFFF5C1"/>
        <color rgb="FFD3EDDA"/>
      </colorScale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00000000-000E-0000-0000-000002000000}">
            <xm:f>SUM('Incident Com. (COMPLETAR)'!$I$4:$I$57)&gt;0</xm:f>
            <x14:dxf>
              <fill>
                <patternFill>
                  <bgColor rgb="FFFF9B9B"/>
                </patternFill>
              </fill>
            </x14:dxf>
          </x14:cfRule>
          <xm:sqref>C3:J3</xm:sqref>
        </x14:conditionalFormatting>
        <x14:conditionalFormatting xmlns:xm="http://schemas.microsoft.com/office/excel/2006/main">
          <x14:cfRule type="expression" priority="29" id="{E96BABB5-E792-4469-9D0F-630FC631734B}">
            <xm:f>'Incident Com. (COMPLETAR)'!$E$6="Aperture Incident"</xm:f>
            <x14:dxf>
              <fill>
                <patternFill>
                  <bgColor theme="5" tint="0.39994506668294322"/>
                </patternFill>
              </fill>
            </x14:dxf>
          </x14:cfRule>
          <x14:cfRule type="expression" priority="30" id="{55C2B2BA-2F5F-4B3B-86A4-094B2EE47FD6}">
            <xm:f>'Incident Com. (COMPLETAR)'!$E$6="Update Incident"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31" id="{80FECBD0-FAD6-4BDD-BD9B-09CEDA142FC6}">
            <xm:f>'Incident Com. (COMPLETAR)'!$E$6="Closure Incident"</xm:f>
            <x14:dxf>
              <fill>
                <patternFill>
                  <bgColor theme="9" tint="0.59996337778862885"/>
                </patternFill>
              </fill>
            </x14:dxf>
          </x14:cfRule>
          <xm:sqref>B3</xm:sqref>
        </x14:conditionalFormatting>
        <x14:conditionalFormatting xmlns:xm="http://schemas.microsoft.com/office/excel/2006/main">
          <x14:cfRule type="expression" priority="13" id="{C766D623-3580-48FF-81AF-B3E9CB84BED1}">
            <xm:f>LEN('Incident Com. (COMPLETAR)'!$E$8:$F$8)&lt;&gt;12</xm:f>
            <x14:dxf>
              <fill>
                <patternFill>
                  <bgColor rgb="FFFF9F9F"/>
                </patternFill>
              </fill>
            </x14:dxf>
          </x14:cfRule>
          <xm:sqref>E8</xm:sqref>
        </x14:conditionalFormatting>
        <x14:conditionalFormatting xmlns:xm="http://schemas.microsoft.com/office/excel/2006/main">
          <x14:cfRule type="expression" priority="11" id="{E467AAA0-CFA8-428E-8E2C-8F0066973EBB}">
            <xm:f>SUM('Incident Com. (COMPLETAR)'!$I:$I)&gt;0</xm:f>
            <x14:dxf>
              <fill>
                <patternFill>
                  <bgColor rgb="FFFF0000"/>
                </patternFill>
              </fill>
            </x14:dxf>
          </x14:cfRule>
          <x14:cfRule type="expression" priority="12" id="{E484BBF6-3388-408C-AAB0-DE42FB6F422C}">
            <xm:f>SUM('Incident Com. (COMPLETAR)'!$I:$I)=0</xm:f>
            <x14:dxf>
              <fill>
                <patternFill>
                  <bgColor rgb="FF00B050"/>
                </patternFill>
              </fill>
            </x14:dxf>
          </x14:cfRule>
          <xm:sqref>G6:H6</xm:sqref>
        </x14:conditionalFormatting>
        <x14:conditionalFormatting xmlns:xm="http://schemas.microsoft.com/office/excel/2006/main">
          <x14:cfRule type="expression" priority="5" id="{F191A620-91DD-4D3F-9CA2-3E1ACDBB911B}">
            <xm:f>'Incident Com. (COMPLETAR)'!$I$18=1</xm:f>
            <x14:dxf>
              <fill>
                <patternFill>
                  <bgColor rgb="FFFF9F9F"/>
                </patternFill>
              </fill>
            </x14:dxf>
          </x14:cfRule>
          <xm:sqref>E10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B2D89-3CD3-4EAA-AED5-DD96EE0B21BB}">
  <sheetPr codeName="Hoja2">
    <tabColor theme="7"/>
  </sheetPr>
  <dimension ref="A1:AH107"/>
  <sheetViews>
    <sheetView tabSelected="1" zoomScaleNormal="100" workbookViewId="0">
      <pane ySplit="1" topLeftCell="A4" activePane="bottomLeft" state="frozen"/>
      <selection pane="bottomLeft" activeCell="E8" sqref="E8:F8"/>
    </sheetView>
  </sheetViews>
  <sheetFormatPr baseColWidth="10" defaultColWidth="6.54296875" defaultRowHeight="14.5" x14ac:dyDescent="0.35"/>
  <cols>
    <col min="1" max="1" width="4.453125" style="116" customWidth="1"/>
    <col min="2" max="2" width="2.54296875" style="24" customWidth="1"/>
    <col min="3" max="3" width="32.26953125" style="48" customWidth="1"/>
    <col min="4" max="4" width="2" style="48" customWidth="1"/>
    <col min="5" max="5" width="31.26953125" style="48" customWidth="1"/>
    <col min="6" max="6" width="4.54296875" style="113" customWidth="1"/>
    <col min="7" max="7" width="3" style="113" customWidth="1"/>
    <col min="8" max="8" width="4.54296875" style="113" customWidth="1"/>
    <col min="9" max="9" width="9.54296875" style="102" customWidth="1"/>
    <col min="10" max="10" width="64.7265625" style="41" customWidth="1"/>
    <col min="11" max="11" width="6.54296875" style="116"/>
    <col min="12" max="12" width="29.26953125" style="116" customWidth="1"/>
    <col min="13" max="34" width="6.54296875" style="116"/>
    <col min="35" max="16384" width="6.54296875" style="24"/>
  </cols>
  <sheetData>
    <row r="1" spans="2:12" ht="15" thickBot="1" x14ac:dyDescent="0.4">
      <c r="B1" s="116"/>
      <c r="C1" s="52"/>
      <c r="D1" s="52"/>
      <c r="E1" s="52"/>
      <c r="F1" s="102"/>
      <c r="G1" s="102"/>
      <c r="H1" s="102"/>
      <c r="I1" s="169" t="s">
        <v>27</v>
      </c>
      <c r="J1" s="170"/>
    </row>
    <row r="2" spans="2:12" ht="26.25" customHeight="1" thickBot="1" x14ac:dyDescent="0.4">
      <c r="B2" s="171" t="s">
        <v>28</v>
      </c>
      <c r="C2" s="172"/>
      <c r="D2" s="172"/>
      <c r="E2" s="172"/>
      <c r="F2" s="172"/>
      <c r="G2" s="173"/>
      <c r="H2" s="117"/>
    </row>
    <row r="3" spans="2:12" ht="7.5" customHeight="1" x14ac:dyDescent="0.35">
      <c r="B3" s="118"/>
      <c r="C3" s="176" t="s">
        <v>29</v>
      </c>
      <c r="D3" s="176"/>
      <c r="E3" s="176"/>
      <c r="F3" s="176"/>
      <c r="G3" s="119"/>
      <c r="H3" s="102"/>
      <c r="I3" s="103"/>
      <c r="J3" s="66"/>
    </row>
    <row r="4" spans="2:12" ht="15" customHeight="1" x14ac:dyDescent="0.35">
      <c r="B4" s="114"/>
      <c r="C4" s="176"/>
      <c r="D4" s="176"/>
      <c r="E4" s="176"/>
      <c r="F4" s="176"/>
      <c r="G4" s="119"/>
      <c r="H4" s="120"/>
      <c r="I4" s="104"/>
      <c r="J4" s="67"/>
      <c r="L4" s="121"/>
    </row>
    <row r="5" spans="2:12" ht="3.75" customHeight="1" thickBot="1" x14ac:dyDescent="0.4">
      <c r="B5" s="114"/>
      <c r="C5" s="111"/>
      <c r="D5" s="111"/>
      <c r="E5" s="111"/>
      <c r="F5" s="122"/>
      <c r="G5" s="123"/>
      <c r="H5" s="120"/>
      <c r="I5" s="104"/>
      <c r="J5" s="67"/>
    </row>
    <row r="6" spans="2:12" ht="30" customHeight="1" thickBot="1" x14ac:dyDescent="0.4">
      <c r="B6" s="115"/>
      <c r="C6" s="80" t="s">
        <v>30</v>
      </c>
      <c r="D6" s="58"/>
      <c r="E6" s="167" t="s">
        <v>31</v>
      </c>
      <c r="F6" s="168"/>
      <c r="G6" s="105"/>
      <c r="H6" s="102"/>
      <c r="I6" s="104">
        <f>IF(E6="",1,IF(AND(E6="Aperture Incident",COUNTA(NOTIFICACIÓN!B17:B18)&gt;2),1,0))</f>
        <v>0</v>
      </c>
      <c r="J6" s="67" t="str">
        <f>IF(I6=0,"","Aperture = 1 Comentario")</f>
        <v/>
      </c>
      <c r="L6" s="121"/>
    </row>
    <row r="7" spans="2:12" ht="3.75" customHeight="1" thickBot="1" x14ac:dyDescent="0.4">
      <c r="B7" s="115"/>
      <c r="C7" s="59"/>
      <c r="D7" s="58"/>
      <c r="E7" s="58"/>
      <c r="F7" s="106"/>
      <c r="G7" s="105"/>
      <c r="H7" s="102"/>
      <c r="I7" s="104"/>
      <c r="J7" s="67"/>
    </row>
    <row r="8" spans="2:12" ht="30" customHeight="1" thickBot="1" x14ac:dyDescent="0.4">
      <c r="B8" s="115"/>
      <c r="C8" s="80" t="s">
        <v>32</v>
      </c>
      <c r="D8" s="58"/>
      <c r="E8" s="167"/>
      <c r="F8" s="168"/>
      <c r="G8" s="105"/>
      <c r="H8" s="102"/>
      <c r="I8" s="104">
        <f>IF(LEN(E8)&lt;&gt;12,1,0)</f>
        <v>1</v>
      </c>
      <c r="J8" s="67" t="str">
        <f>IF(I8=0,"","El ticket debe contener 12 digitos (incluido INC)")</f>
        <v>El ticket debe contener 12 digitos (incluido INC)</v>
      </c>
    </row>
    <row r="9" spans="2:12" ht="3.75" customHeight="1" thickBot="1" x14ac:dyDescent="0.4">
      <c r="B9" s="115"/>
      <c r="C9" s="59"/>
      <c r="D9" s="58"/>
      <c r="E9" s="58"/>
      <c r="F9" s="106"/>
      <c r="G9" s="105"/>
      <c r="H9" s="102"/>
      <c r="I9" s="104"/>
      <c r="J9" s="67"/>
    </row>
    <row r="10" spans="2:12" ht="30" customHeight="1" thickBot="1" x14ac:dyDescent="0.4">
      <c r="B10" s="115"/>
      <c r="C10" s="80" t="s">
        <v>33</v>
      </c>
      <c r="D10" s="58"/>
      <c r="E10" s="177"/>
      <c r="F10" s="168"/>
      <c r="G10" s="105"/>
      <c r="H10" s="102"/>
      <c r="I10" s="104">
        <f>IF(LEN(E10)&lt;1,1,0)</f>
        <v>1</v>
      </c>
      <c r="J10" s="67" t="str">
        <f>IF(I10=0,"","Debes elegir un circuito/equipo que reportar")</f>
        <v>Debes elegir un circuito/equipo que reportar</v>
      </c>
    </row>
    <row r="11" spans="2:12" ht="3.75" customHeight="1" thickBot="1" x14ac:dyDescent="0.4">
      <c r="B11" s="115"/>
      <c r="C11" s="59"/>
      <c r="D11" s="58"/>
      <c r="E11" s="58"/>
      <c r="F11" s="106"/>
      <c r="G11" s="105"/>
      <c r="H11" s="102"/>
      <c r="I11" s="104"/>
      <c r="J11" s="67"/>
    </row>
    <row r="12" spans="2:12" ht="30" customHeight="1" thickBot="1" x14ac:dyDescent="0.4">
      <c r="B12" s="115"/>
      <c r="C12" s="81" t="s">
        <v>34</v>
      </c>
      <c r="D12" s="58"/>
      <c r="E12" s="165"/>
      <c r="F12" s="168"/>
      <c r="G12" s="105"/>
      <c r="H12" s="102"/>
      <c r="I12" s="104"/>
      <c r="J12" s="68" t="s">
        <v>35</v>
      </c>
    </row>
    <row r="13" spans="2:12" ht="3.75" customHeight="1" thickBot="1" x14ac:dyDescent="0.4">
      <c r="B13" s="115"/>
      <c r="C13" s="59"/>
      <c r="D13" s="58"/>
      <c r="E13" s="58"/>
      <c r="F13" s="106"/>
      <c r="G13" s="105"/>
      <c r="H13" s="102"/>
      <c r="I13" s="104"/>
      <c r="J13" s="67"/>
    </row>
    <row r="14" spans="2:12" ht="30" customHeight="1" thickBot="1" x14ac:dyDescent="0.4">
      <c r="B14" s="115"/>
      <c r="C14" s="80" t="s">
        <v>36</v>
      </c>
      <c r="D14" s="58"/>
      <c r="E14" s="165" t="str">
        <f>Fórmulas!C3</f>
        <v>No encontrado. Completar</v>
      </c>
      <c r="F14" s="166"/>
      <c r="G14" s="105"/>
      <c r="H14" s="107"/>
      <c r="I14" s="104">
        <f>IF(Fórmulas!C3="No encontrado. Completar",1,0)</f>
        <v>1</v>
      </c>
      <c r="J14" s="68" t="str">
        <f>IF(I14=0,"","Si al indicar el circuito no completa el nombre de la sede, hay que incluirlo manualmente en la pestaña BBDD")</f>
        <v>Si al indicar el circuito no completa el nombre de la sede, hay que incluirlo manualmente en la pestaña BBDD</v>
      </c>
    </row>
    <row r="15" spans="2:12" ht="3.75" customHeight="1" thickBot="1" x14ac:dyDescent="0.4">
      <c r="B15" s="115"/>
      <c r="C15" s="59"/>
      <c r="D15" s="58"/>
      <c r="E15" s="58"/>
      <c r="F15" s="106"/>
      <c r="G15" s="105"/>
      <c r="H15" s="107"/>
      <c r="I15" s="104"/>
      <c r="J15" s="67"/>
    </row>
    <row r="16" spans="2:12" ht="30" customHeight="1" thickBot="1" x14ac:dyDescent="0.4">
      <c r="B16" s="115"/>
      <c r="C16" s="80" t="s">
        <v>37</v>
      </c>
      <c r="D16" s="58"/>
      <c r="E16" s="165"/>
      <c r="F16" s="166"/>
      <c r="G16" s="105"/>
      <c r="H16" s="102"/>
      <c r="I16" s="104">
        <f>IF(E16="",1,0)</f>
        <v>1</v>
      </c>
      <c r="J16" s="67" t="str">
        <f>IF(I16=0,"","Debes indicar el estado de la incidencia")</f>
        <v>Debes indicar el estado de la incidencia</v>
      </c>
    </row>
    <row r="17" spans="2:11" ht="3.75" customHeight="1" thickBot="1" x14ac:dyDescent="0.4">
      <c r="B17" s="115"/>
      <c r="C17" s="59"/>
      <c r="D17" s="58"/>
      <c r="E17" s="58"/>
      <c r="F17" s="106"/>
      <c r="G17" s="105"/>
      <c r="H17" s="107"/>
      <c r="I17" s="104"/>
      <c r="J17" s="67"/>
    </row>
    <row r="18" spans="2:11" ht="30" customHeight="1" thickBot="1" x14ac:dyDescent="0.4">
      <c r="B18" s="115"/>
      <c r="C18" s="80" t="s">
        <v>38</v>
      </c>
      <c r="D18" s="58"/>
      <c r="E18" s="165"/>
      <c r="F18" s="166"/>
      <c r="G18" s="105"/>
      <c r="H18" s="102"/>
      <c r="I18" s="104">
        <f>IF(E18="",1,IF(Fórmulas!C7=1,0,IF(AND(Fórmulas!C7=0,'Incident Com. (COMPLETAR)'!E18="Down"),1,0)))</f>
        <v>1</v>
      </c>
      <c r="J18" s="67" t="str">
        <f>IF(I18=0,"","No puede ser degradación y estar el servicio DOWN")</f>
        <v>No puede ser degradación y estar el servicio DOWN</v>
      </c>
    </row>
    <row r="19" spans="2:11" ht="3.75" customHeight="1" thickBot="1" x14ac:dyDescent="0.4">
      <c r="B19" s="115"/>
      <c r="C19" s="59"/>
      <c r="D19" s="58"/>
      <c r="E19" s="58"/>
      <c r="F19" s="106"/>
      <c r="G19" s="105"/>
      <c r="H19" s="102"/>
      <c r="I19" s="104"/>
      <c r="J19" s="67"/>
    </row>
    <row r="20" spans="2:11" ht="36.75" customHeight="1" x14ac:dyDescent="0.35">
      <c r="B20" s="115"/>
      <c r="C20" s="82" t="s">
        <v>39</v>
      </c>
      <c r="D20" s="60"/>
      <c r="E20" s="174"/>
      <c r="F20" s="175"/>
      <c r="G20" s="105"/>
      <c r="H20" s="107"/>
      <c r="I20" s="104">
        <f>IF(E20="",1,0)</f>
        <v>1</v>
      </c>
      <c r="J20" s="67" t="str">
        <f>IF(I20=0,"","Debes indicar una breve descripción de la incidencia")</f>
        <v>Debes indicar una breve descripción de la incidencia</v>
      </c>
    </row>
    <row r="21" spans="2:11" ht="3.75" customHeight="1" thickBot="1" x14ac:dyDescent="0.4">
      <c r="B21" s="115"/>
      <c r="C21" s="61"/>
      <c r="D21" s="60"/>
      <c r="E21" s="60"/>
      <c r="F21" s="106"/>
      <c r="G21" s="105"/>
      <c r="H21" s="107"/>
      <c r="I21" s="104"/>
      <c r="J21" s="67"/>
    </row>
    <row r="22" spans="2:11" ht="30" customHeight="1" thickBot="1" x14ac:dyDescent="0.4">
      <c r="B22" s="115"/>
      <c r="C22" s="80" t="s">
        <v>40</v>
      </c>
      <c r="D22" s="58"/>
      <c r="E22" s="165"/>
      <c r="F22" s="166"/>
      <c r="G22" s="105"/>
      <c r="H22" s="102"/>
      <c r="I22" s="104">
        <f>IF(E22="",1,0)</f>
        <v>1</v>
      </c>
      <c r="J22" s="67" t="str">
        <f>IF(I22=0,"","* Campus: Si han caido PPL y BCKP, hay impacto, si no, no.")</f>
        <v>* Campus: Si han caido PPL y BCKP, hay impacto, si no, no.</v>
      </c>
    </row>
    <row r="23" spans="2:11" ht="3.75" customHeight="1" x14ac:dyDescent="0.35">
      <c r="B23" s="115"/>
      <c r="C23" s="59"/>
      <c r="D23" s="58"/>
      <c r="E23" s="58"/>
      <c r="F23" s="106"/>
      <c r="G23" s="105"/>
      <c r="H23" s="102"/>
      <c r="I23" s="104"/>
      <c r="J23" s="67"/>
    </row>
    <row r="24" spans="2:11" ht="43.5" customHeight="1" x14ac:dyDescent="0.35">
      <c r="B24" s="115"/>
      <c r="C24" s="82" t="s">
        <v>41</v>
      </c>
      <c r="D24" s="60"/>
      <c r="E24" s="165"/>
      <c r="F24" s="166"/>
      <c r="G24" s="105"/>
      <c r="H24" s="107"/>
      <c r="I24" s="104"/>
      <c r="J24" s="178" t="s">
        <v>42</v>
      </c>
    </row>
    <row r="25" spans="2:11" ht="3.75" customHeight="1" x14ac:dyDescent="0.35">
      <c r="B25" s="115"/>
      <c r="C25" s="61"/>
      <c r="D25" s="60"/>
      <c r="E25" s="60"/>
      <c r="F25" s="106"/>
      <c r="G25" s="105"/>
      <c r="H25" s="107"/>
      <c r="I25" s="104"/>
      <c r="J25" s="178"/>
    </row>
    <row r="26" spans="2:11" ht="30" customHeight="1" x14ac:dyDescent="0.35">
      <c r="B26" s="115"/>
      <c r="C26" s="83" t="s">
        <v>43</v>
      </c>
      <c r="D26" s="62"/>
      <c r="E26" s="183"/>
      <c r="F26" s="184"/>
      <c r="G26" s="105"/>
      <c r="H26" s="107"/>
      <c r="I26" s="104"/>
      <c r="J26" s="67"/>
    </row>
    <row r="27" spans="2:11" ht="3.75" customHeight="1" thickBot="1" x14ac:dyDescent="0.4">
      <c r="B27" s="115"/>
      <c r="C27" s="63"/>
      <c r="D27" s="62"/>
      <c r="E27" s="62"/>
      <c r="F27" s="106"/>
      <c r="G27" s="105"/>
      <c r="H27" s="107"/>
      <c r="I27" s="104"/>
      <c r="J27" s="67"/>
    </row>
    <row r="28" spans="2:11" ht="30" customHeight="1" thickBot="1" x14ac:dyDescent="0.4">
      <c r="B28" s="115"/>
      <c r="C28" s="83" t="s">
        <v>44</v>
      </c>
      <c r="D28" s="62"/>
      <c r="E28" s="185"/>
      <c r="F28" s="186"/>
      <c r="G28" s="105"/>
      <c r="H28" s="102"/>
      <c r="I28" s="69"/>
      <c r="J28" s="70"/>
      <c r="K28" s="50"/>
    </row>
    <row r="29" spans="2:11" ht="3.75" customHeight="1" thickBot="1" x14ac:dyDescent="0.4">
      <c r="B29" s="115"/>
      <c r="C29" s="63"/>
      <c r="D29" s="62"/>
      <c r="E29" s="62"/>
      <c r="F29" s="106"/>
      <c r="G29" s="105"/>
      <c r="H29" s="107"/>
      <c r="I29" s="104"/>
      <c r="J29" s="67"/>
    </row>
    <row r="30" spans="2:11" ht="30" customHeight="1" thickBot="1" x14ac:dyDescent="0.4">
      <c r="B30" s="115"/>
      <c r="C30" s="83" t="s">
        <v>45</v>
      </c>
      <c r="D30" s="62"/>
      <c r="E30" s="167"/>
      <c r="F30" s="168"/>
      <c r="G30" s="105"/>
      <c r="H30" s="102"/>
      <c r="I30" s="71" t="str">
        <f>IF(E30="Yes","!","")</f>
        <v/>
      </c>
      <c r="J30" s="68" t="str">
        <f>IF(E30="Yes","Recuerda cambiar el asunto del correo !!","")</f>
        <v/>
      </c>
      <c r="K30" s="50"/>
    </row>
    <row r="31" spans="2:11" x14ac:dyDescent="0.35">
      <c r="B31" s="118"/>
      <c r="C31" s="106"/>
      <c r="D31" s="106"/>
      <c r="E31" s="106"/>
      <c r="F31" s="106"/>
      <c r="G31" s="108"/>
      <c r="H31" s="102"/>
      <c r="I31" s="69"/>
      <c r="J31" s="70"/>
      <c r="K31" s="50"/>
    </row>
    <row r="32" spans="2:11" ht="14.65" customHeight="1" x14ac:dyDescent="0.35">
      <c r="B32" s="181" t="s">
        <v>46</v>
      </c>
      <c r="C32" s="176"/>
      <c r="D32" s="176"/>
      <c r="E32" s="176"/>
      <c r="F32" s="176"/>
      <c r="G32" s="182"/>
      <c r="H32" s="124"/>
      <c r="I32" s="69"/>
      <c r="J32" s="70"/>
      <c r="K32" s="50"/>
    </row>
    <row r="33" spans="2:10" ht="4.5" customHeight="1" x14ac:dyDescent="0.35">
      <c r="B33" s="125"/>
      <c r="C33" s="126"/>
      <c r="D33" s="126"/>
      <c r="E33" s="126"/>
      <c r="F33" s="126"/>
      <c r="G33" s="127"/>
      <c r="H33" s="102"/>
      <c r="I33" s="104"/>
      <c r="J33" s="67"/>
    </row>
    <row r="34" spans="2:10" x14ac:dyDescent="0.35">
      <c r="B34" s="118"/>
      <c r="C34" s="128" t="s">
        <v>47</v>
      </c>
      <c r="D34" s="129"/>
      <c r="E34" s="128" t="s">
        <v>48</v>
      </c>
      <c r="F34" s="130"/>
      <c r="G34" s="131"/>
      <c r="H34" s="132"/>
      <c r="I34" s="104"/>
      <c r="J34" s="67"/>
    </row>
    <row r="35" spans="2:10" ht="2.25" customHeight="1" x14ac:dyDescent="0.35">
      <c r="B35" s="118"/>
      <c r="C35" s="60"/>
      <c r="D35" s="129"/>
      <c r="E35" s="60"/>
      <c r="F35" s="130"/>
      <c r="G35" s="131"/>
      <c r="H35" s="132"/>
      <c r="I35" s="104"/>
      <c r="J35" s="67"/>
    </row>
    <row r="36" spans="2:10" x14ac:dyDescent="0.35">
      <c r="B36" s="118"/>
      <c r="C36" s="65"/>
      <c r="D36" s="109"/>
      <c r="E36" s="65"/>
      <c r="F36" s="106"/>
      <c r="G36" s="133"/>
      <c r="H36" s="124"/>
      <c r="I36" s="104">
        <f>IF(C36="",1,IF(E36="",0,IF(E36&lt;=C36,1,0)))</f>
        <v>1</v>
      </c>
      <c r="J36" s="67" t="str">
        <f>IF(I36=0,"","Las horas de impacto están mal")</f>
        <v>Las horas de impacto están mal</v>
      </c>
    </row>
    <row r="37" spans="2:10" x14ac:dyDescent="0.35">
      <c r="B37" s="118"/>
      <c r="C37" s="65"/>
      <c r="D37" s="109"/>
      <c r="E37" s="65"/>
      <c r="F37" s="106"/>
      <c r="G37" s="133"/>
      <c r="H37" s="124"/>
      <c r="I37" s="104" t="str">
        <f>IF(E37="","",IF(E37&lt;C37,1,0))</f>
        <v/>
      </c>
      <c r="J37" s="67" t="str">
        <f>IF(I37=1,"Las horas de impacto están mal","")</f>
        <v/>
      </c>
    </row>
    <row r="38" spans="2:10" x14ac:dyDescent="0.35">
      <c r="B38" s="118"/>
      <c r="C38" s="65"/>
      <c r="D38" s="109"/>
      <c r="E38" s="65"/>
      <c r="F38" s="106"/>
      <c r="G38" s="133"/>
      <c r="H38" s="124"/>
      <c r="I38" s="104" t="str">
        <f t="shared" ref="I38:I52" si="0">IF(E38="","",IF(E38&lt;C38,1,0))</f>
        <v/>
      </c>
      <c r="J38" s="67" t="str">
        <f t="shared" ref="J38:J53" si="1">IF(I38=1,"Las horas de impacto están mal","")</f>
        <v/>
      </c>
    </row>
    <row r="39" spans="2:10" x14ac:dyDescent="0.35">
      <c r="B39" s="118"/>
      <c r="C39" s="65"/>
      <c r="D39" s="109"/>
      <c r="E39" s="65"/>
      <c r="F39" s="106"/>
      <c r="G39" s="133"/>
      <c r="H39" s="124"/>
      <c r="I39" s="104" t="str">
        <f t="shared" si="0"/>
        <v/>
      </c>
      <c r="J39" s="67" t="str">
        <f t="shared" si="1"/>
        <v/>
      </c>
    </row>
    <row r="40" spans="2:10" x14ac:dyDescent="0.35">
      <c r="B40" s="118"/>
      <c r="C40" s="65"/>
      <c r="D40" s="109"/>
      <c r="E40" s="65"/>
      <c r="F40" s="106"/>
      <c r="G40" s="133"/>
      <c r="H40" s="124"/>
      <c r="I40" s="104" t="str">
        <f t="shared" si="0"/>
        <v/>
      </c>
      <c r="J40" s="67" t="str">
        <f t="shared" si="1"/>
        <v/>
      </c>
    </row>
    <row r="41" spans="2:10" x14ac:dyDescent="0.35">
      <c r="B41" s="118"/>
      <c r="C41" s="65"/>
      <c r="D41" s="109"/>
      <c r="E41" s="65"/>
      <c r="F41" s="106"/>
      <c r="G41" s="133"/>
      <c r="H41" s="124"/>
      <c r="I41" s="104" t="str">
        <f t="shared" si="0"/>
        <v/>
      </c>
      <c r="J41" s="67" t="str">
        <f t="shared" si="1"/>
        <v/>
      </c>
    </row>
    <row r="42" spans="2:10" x14ac:dyDescent="0.35">
      <c r="B42" s="118"/>
      <c r="C42" s="65"/>
      <c r="D42" s="109"/>
      <c r="E42" s="65"/>
      <c r="F42" s="106"/>
      <c r="G42" s="133"/>
      <c r="H42" s="124"/>
      <c r="I42" s="104" t="str">
        <f t="shared" si="0"/>
        <v/>
      </c>
      <c r="J42" s="67" t="str">
        <f t="shared" si="1"/>
        <v/>
      </c>
    </row>
    <row r="43" spans="2:10" x14ac:dyDescent="0.35">
      <c r="B43" s="118"/>
      <c r="C43" s="65"/>
      <c r="D43" s="109"/>
      <c r="E43" s="65"/>
      <c r="F43" s="106"/>
      <c r="G43" s="133"/>
      <c r="H43" s="124"/>
      <c r="I43" s="104" t="str">
        <f t="shared" si="0"/>
        <v/>
      </c>
      <c r="J43" s="67" t="str">
        <f t="shared" si="1"/>
        <v/>
      </c>
    </row>
    <row r="44" spans="2:10" x14ac:dyDescent="0.35">
      <c r="B44" s="118"/>
      <c r="C44" s="65"/>
      <c r="D44" s="109"/>
      <c r="E44" s="65"/>
      <c r="F44" s="106"/>
      <c r="G44" s="133"/>
      <c r="H44" s="124"/>
      <c r="I44" s="104" t="str">
        <f t="shared" si="0"/>
        <v/>
      </c>
      <c r="J44" s="67" t="str">
        <f t="shared" si="1"/>
        <v/>
      </c>
    </row>
    <row r="45" spans="2:10" x14ac:dyDescent="0.35">
      <c r="B45" s="118"/>
      <c r="C45" s="65"/>
      <c r="D45" s="109"/>
      <c r="E45" s="65"/>
      <c r="F45" s="106"/>
      <c r="G45" s="133"/>
      <c r="H45" s="124"/>
      <c r="I45" s="104" t="str">
        <f t="shared" si="0"/>
        <v/>
      </c>
      <c r="J45" s="67" t="str">
        <f t="shared" si="1"/>
        <v/>
      </c>
    </row>
    <row r="46" spans="2:10" x14ac:dyDescent="0.35">
      <c r="B46" s="118"/>
      <c r="C46" s="65"/>
      <c r="D46" s="109"/>
      <c r="E46" s="65"/>
      <c r="F46" s="106"/>
      <c r="G46" s="133"/>
      <c r="H46" s="124"/>
      <c r="I46" s="104" t="str">
        <f t="shared" si="0"/>
        <v/>
      </c>
      <c r="J46" s="67" t="str">
        <f t="shared" si="1"/>
        <v/>
      </c>
    </row>
    <row r="47" spans="2:10" x14ac:dyDescent="0.35">
      <c r="B47" s="118"/>
      <c r="C47" s="65"/>
      <c r="D47" s="109"/>
      <c r="E47" s="65"/>
      <c r="F47" s="106"/>
      <c r="G47" s="133"/>
      <c r="H47" s="124"/>
      <c r="I47" s="104" t="str">
        <f t="shared" si="0"/>
        <v/>
      </c>
      <c r="J47" s="67" t="str">
        <f t="shared" si="1"/>
        <v/>
      </c>
    </row>
    <row r="48" spans="2:10" x14ac:dyDescent="0.35">
      <c r="B48" s="118"/>
      <c r="C48" s="65"/>
      <c r="D48" s="109"/>
      <c r="E48" s="65"/>
      <c r="F48" s="106"/>
      <c r="G48" s="133"/>
      <c r="H48" s="124"/>
      <c r="I48" s="104" t="str">
        <f t="shared" si="0"/>
        <v/>
      </c>
      <c r="J48" s="67" t="str">
        <f t="shared" si="1"/>
        <v/>
      </c>
    </row>
    <row r="49" spans="2:11" x14ac:dyDescent="0.35">
      <c r="B49" s="118"/>
      <c r="C49" s="65"/>
      <c r="D49" s="109"/>
      <c r="E49" s="65"/>
      <c r="F49" s="106"/>
      <c r="G49" s="133"/>
      <c r="H49" s="124"/>
      <c r="I49" s="104" t="str">
        <f t="shared" si="0"/>
        <v/>
      </c>
      <c r="J49" s="67" t="str">
        <f t="shared" si="1"/>
        <v/>
      </c>
    </row>
    <row r="50" spans="2:11" x14ac:dyDescent="0.35">
      <c r="B50" s="118"/>
      <c r="C50" s="65"/>
      <c r="D50" s="109"/>
      <c r="E50" s="65"/>
      <c r="F50" s="106"/>
      <c r="G50" s="133"/>
      <c r="H50" s="124"/>
      <c r="I50" s="104" t="str">
        <f t="shared" si="0"/>
        <v/>
      </c>
      <c r="J50" s="67" t="str">
        <f t="shared" si="1"/>
        <v/>
      </c>
    </row>
    <row r="51" spans="2:11" x14ac:dyDescent="0.35">
      <c r="B51" s="118"/>
      <c r="C51" s="65"/>
      <c r="D51" s="109"/>
      <c r="E51" s="65"/>
      <c r="F51" s="106"/>
      <c r="G51" s="133"/>
      <c r="H51" s="124"/>
      <c r="I51" s="104" t="str">
        <f t="shared" si="0"/>
        <v/>
      </c>
      <c r="J51" s="67" t="str">
        <f t="shared" si="1"/>
        <v/>
      </c>
    </row>
    <row r="52" spans="2:11" x14ac:dyDescent="0.35">
      <c r="B52" s="118"/>
      <c r="C52" s="65"/>
      <c r="D52" s="109"/>
      <c r="E52" s="65"/>
      <c r="F52" s="106"/>
      <c r="G52" s="133"/>
      <c r="H52" s="124"/>
      <c r="I52" s="104" t="str">
        <f t="shared" si="0"/>
        <v/>
      </c>
      <c r="J52" s="67" t="str">
        <f t="shared" si="1"/>
        <v/>
      </c>
    </row>
    <row r="53" spans="2:11" ht="3" customHeight="1" x14ac:dyDescent="0.35">
      <c r="B53" s="118"/>
      <c r="C53" s="109"/>
      <c r="D53" s="109"/>
      <c r="E53" s="110"/>
      <c r="F53" s="106"/>
      <c r="G53" s="133"/>
      <c r="H53" s="124"/>
      <c r="I53" s="104" t="str">
        <f t="shared" ref="I53" si="2">IF(C53="","",IF(E53&lt;C53,0,1))</f>
        <v/>
      </c>
      <c r="J53" s="67" t="str">
        <f t="shared" si="1"/>
        <v/>
      </c>
    </row>
    <row r="54" spans="2:11" ht="3" customHeight="1" x14ac:dyDescent="0.35">
      <c r="B54" s="118"/>
      <c r="C54" s="111"/>
      <c r="D54" s="111"/>
      <c r="E54" s="111"/>
      <c r="F54" s="106"/>
      <c r="G54" s="108"/>
      <c r="H54" s="102"/>
      <c r="I54" s="104"/>
      <c r="J54" s="67"/>
    </row>
    <row r="55" spans="2:11" ht="10.5" customHeight="1" x14ac:dyDescent="0.35">
      <c r="B55" s="118"/>
      <c r="C55" s="111"/>
      <c r="D55" s="111"/>
      <c r="E55" s="111"/>
      <c r="F55" s="106"/>
      <c r="G55" s="108"/>
      <c r="I55" s="104"/>
      <c r="J55" s="67"/>
    </row>
    <row r="56" spans="2:11" ht="73.5" customHeight="1" x14ac:dyDescent="0.35">
      <c r="B56" s="115"/>
      <c r="C56" s="64"/>
      <c r="D56" s="179"/>
      <c r="E56" s="179"/>
      <c r="F56" s="180"/>
      <c r="G56" s="108"/>
      <c r="H56" s="102"/>
      <c r="I56" s="104"/>
      <c r="J56" s="67"/>
      <c r="K56" s="41"/>
    </row>
    <row r="57" spans="2:11" ht="15" thickBot="1" x14ac:dyDescent="0.4">
      <c r="B57" s="134"/>
      <c r="C57" s="135"/>
      <c r="D57" s="135"/>
      <c r="E57" s="135"/>
      <c r="F57" s="136"/>
      <c r="G57" s="137"/>
      <c r="H57" s="102"/>
      <c r="I57" s="112"/>
      <c r="J57" s="72"/>
      <c r="K57" s="41"/>
    </row>
    <row r="58" spans="2:11" x14ac:dyDescent="0.35">
      <c r="B58" s="116"/>
      <c r="C58" s="52"/>
      <c r="D58" s="52"/>
      <c r="E58" s="52"/>
      <c r="F58" s="102"/>
      <c r="G58" s="102"/>
      <c r="H58" s="102"/>
      <c r="K58" s="41"/>
    </row>
    <row r="59" spans="2:11" x14ac:dyDescent="0.35">
      <c r="B59" s="116"/>
      <c r="C59" s="52"/>
      <c r="D59" s="52"/>
      <c r="E59" s="52"/>
      <c r="F59" s="102"/>
      <c r="G59" s="102"/>
      <c r="H59" s="102"/>
      <c r="K59" s="41"/>
    </row>
    <row r="60" spans="2:11" x14ac:dyDescent="0.35">
      <c r="B60" s="116"/>
      <c r="C60" s="52"/>
      <c r="D60" s="52"/>
      <c r="E60" s="52"/>
      <c r="F60" s="102"/>
      <c r="G60" s="102"/>
      <c r="H60" s="102"/>
      <c r="I60" s="113"/>
      <c r="K60" s="41"/>
    </row>
    <row r="61" spans="2:11" x14ac:dyDescent="0.35">
      <c r="B61" s="116"/>
      <c r="C61" s="52"/>
      <c r="D61" s="52"/>
      <c r="E61" s="52"/>
      <c r="F61" s="102"/>
      <c r="G61" s="102"/>
      <c r="H61" s="102"/>
    </row>
    <row r="62" spans="2:11" x14ac:dyDescent="0.35">
      <c r="B62" s="116"/>
      <c r="C62" s="52"/>
      <c r="D62" s="52"/>
      <c r="E62" s="52"/>
      <c r="F62" s="102"/>
      <c r="G62" s="102"/>
      <c r="H62" s="102"/>
    </row>
    <row r="63" spans="2:11" x14ac:dyDescent="0.35">
      <c r="B63" s="116"/>
      <c r="C63" s="52"/>
      <c r="D63" s="52"/>
      <c r="E63" s="52"/>
      <c r="F63" s="102"/>
      <c r="G63" s="102"/>
      <c r="H63" s="102"/>
    </row>
    <row r="64" spans="2:11" x14ac:dyDescent="0.35">
      <c r="B64" s="116"/>
      <c r="C64" s="52"/>
      <c r="D64" s="52"/>
      <c r="E64" s="138"/>
      <c r="F64" s="102"/>
      <c r="G64" s="102"/>
      <c r="H64" s="102"/>
    </row>
    <row r="65" spans="2:8" x14ac:dyDescent="0.35">
      <c r="B65" s="116"/>
      <c r="C65" s="52"/>
      <c r="D65" s="52"/>
      <c r="E65" s="52"/>
      <c r="F65" s="102"/>
      <c r="G65" s="102"/>
      <c r="H65" s="102"/>
    </row>
    <row r="66" spans="2:8" x14ac:dyDescent="0.35">
      <c r="B66" s="116"/>
      <c r="C66" s="52"/>
      <c r="D66" s="52"/>
      <c r="E66" s="52"/>
      <c r="F66" s="102"/>
      <c r="G66" s="102"/>
      <c r="H66" s="102"/>
    </row>
    <row r="67" spans="2:8" x14ac:dyDescent="0.35">
      <c r="B67" s="116"/>
      <c r="C67" s="52"/>
      <c r="D67" s="52"/>
      <c r="E67" s="52"/>
      <c r="F67" s="102"/>
      <c r="G67" s="102"/>
      <c r="H67" s="102"/>
    </row>
    <row r="68" spans="2:8" x14ac:dyDescent="0.35">
      <c r="B68" s="116"/>
      <c r="C68" s="52"/>
      <c r="D68" s="52"/>
      <c r="E68" s="52"/>
      <c r="F68" s="102"/>
      <c r="G68" s="102"/>
      <c r="H68" s="102"/>
    </row>
    <row r="69" spans="2:8" x14ac:dyDescent="0.35">
      <c r="B69" s="116"/>
      <c r="C69" s="52"/>
      <c r="D69" s="52"/>
      <c r="E69" s="52"/>
      <c r="F69" s="102"/>
      <c r="G69" s="102"/>
      <c r="H69" s="102"/>
    </row>
    <row r="70" spans="2:8" x14ac:dyDescent="0.35">
      <c r="B70" s="116"/>
      <c r="C70" s="52"/>
      <c r="D70" s="52"/>
      <c r="E70" s="52"/>
      <c r="F70" s="102"/>
      <c r="G70" s="102"/>
      <c r="H70" s="102"/>
    </row>
    <row r="71" spans="2:8" x14ac:dyDescent="0.35">
      <c r="B71" s="116"/>
      <c r="C71" s="52"/>
      <c r="D71" s="52"/>
      <c r="E71" s="52"/>
      <c r="F71" s="102"/>
      <c r="G71" s="102"/>
      <c r="H71" s="102"/>
    </row>
    <row r="72" spans="2:8" x14ac:dyDescent="0.35">
      <c r="B72" s="116"/>
      <c r="C72" s="52"/>
      <c r="D72" s="52"/>
      <c r="E72" s="52"/>
      <c r="F72" s="102"/>
      <c r="G72" s="102"/>
      <c r="H72" s="102"/>
    </row>
    <row r="73" spans="2:8" x14ac:dyDescent="0.35">
      <c r="B73" s="116"/>
      <c r="C73" s="52"/>
      <c r="D73" s="52"/>
      <c r="E73" s="52"/>
      <c r="F73" s="102"/>
      <c r="G73" s="102"/>
      <c r="H73" s="102"/>
    </row>
    <row r="74" spans="2:8" x14ac:dyDescent="0.35">
      <c r="B74" s="116"/>
      <c r="C74" s="52"/>
      <c r="D74" s="52"/>
      <c r="E74" s="52"/>
      <c r="F74" s="102"/>
      <c r="G74" s="102"/>
      <c r="H74" s="102"/>
    </row>
    <row r="75" spans="2:8" x14ac:dyDescent="0.35">
      <c r="B75" s="116"/>
      <c r="C75" s="52"/>
      <c r="D75" s="52"/>
      <c r="E75" s="52"/>
      <c r="F75" s="102"/>
      <c r="G75" s="102"/>
      <c r="H75" s="102"/>
    </row>
    <row r="76" spans="2:8" x14ac:dyDescent="0.35">
      <c r="B76" s="116"/>
      <c r="C76" s="52"/>
      <c r="D76" s="52"/>
      <c r="E76" s="52"/>
      <c r="F76" s="102"/>
      <c r="G76" s="102"/>
      <c r="H76" s="102"/>
    </row>
    <row r="77" spans="2:8" x14ac:dyDescent="0.35">
      <c r="B77" s="116"/>
      <c r="C77" s="52"/>
      <c r="D77" s="52"/>
      <c r="E77" s="52"/>
      <c r="F77" s="102"/>
      <c r="G77" s="102"/>
      <c r="H77" s="102"/>
    </row>
    <row r="78" spans="2:8" x14ac:dyDescent="0.35">
      <c r="B78" s="116"/>
      <c r="C78" s="52"/>
      <c r="D78" s="52"/>
      <c r="E78" s="52"/>
      <c r="F78" s="102"/>
      <c r="G78" s="102"/>
      <c r="H78" s="102"/>
    </row>
    <row r="79" spans="2:8" x14ac:dyDescent="0.35">
      <c r="B79" s="116"/>
      <c r="C79" s="52"/>
      <c r="D79" s="52"/>
      <c r="E79" s="52"/>
      <c r="F79" s="102"/>
      <c r="G79" s="102"/>
      <c r="H79" s="102"/>
    </row>
    <row r="80" spans="2:8" x14ac:dyDescent="0.35">
      <c r="B80" s="116"/>
      <c r="C80" s="52"/>
      <c r="D80" s="52"/>
      <c r="E80" s="52"/>
      <c r="F80" s="102"/>
      <c r="G80" s="102"/>
      <c r="H80" s="102"/>
    </row>
    <row r="81" spans="2:8" x14ac:dyDescent="0.35">
      <c r="B81" s="116"/>
      <c r="C81" s="52"/>
      <c r="D81" s="52"/>
      <c r="E81" s="52"/>
      <c r="F81" s="102"/>
      <c r="G81" s="102"/>
      <c r="H81" s="102"/>
    </row>
    <row r="82" spans="2:8" x14ac:dyDescent="0.35">
      <c r="B82" s="116"/>
      <c r="C82" s="52"/>
      <c r="D82" s="52"/>
      <c r="E82" s="52"/>
      <c r="F82" s="102"/>
      <c r="G82" s="102"/>
      <c r="H82" s="102"/>
    </row>
    <row r="83" spans="2:8" x14ac:dyDescent="0.35">
      <c r="B83" s="116"/>
      <c r="C83" s="52"/>
      <c r="D83" s="52"/>
      <c r="E83" s="52"/>
      <c r="F83" s="102"/>
      <c r="G83" s="102"/>
      <c r="H83" s="102"/>
    </row>
    <row r="84" spans="2:8" x14ac:dyDescent="0.35">
      <c r="B84" s="116"/>
      <c r="C84" s="52"/>
      <c r="D84" s="52"/>
      <c r="E84" s="52"/>
      <c r="F84" s="102"/>
      <c r="G84" s="102"/>
      <c r="H84" s="102"/>
    </row>
    <row r="85" spans="2:8" x14ac:dyDescent="0.35">
      <c r="B85" s="116"/>
      <c r="C85" s="52"/>
      <c r="D85" s="52"/>
      <c r="E85" s="52"/>
      <c r="F85" s="102"/>
      <c r="G85" s="102"/>
      <c r="H85" s="102"/>
    </row>
    <row r="86" spans="2:8" x14ac:dyDescent="0.35">
      <c r="B86" s="116"/>
      <c r="C86" s="52"/>
      <c r="D86" s="52"/>
      <c r="E86" s="52"/>
      <c r="F86" s="102"/>
      <c r="G86" s="102"/>
      <c r="H86" s="102"/>
    </row>
    <row r="87" spans="2:8" x14ac:dyDescent="0.35">
      <c r="B87" s="116"/>
      <c r="C87" s="52"/>
      <c r="D87" s="52"/>
      <c r="E87" s="52"/>
      <c r="F87" s="102"/>
      <c r="G87" s="102"/>
      <c r="H87" s="102"/>
    </row>
    <row r="88" spans="2:8" x14ac:dyDescent="0.35">
      <c r="B88" s="116"/>
      <c r="C88" s="52"/>
      <c r="D88" s="52"/>
      <c r="E88" s="52"/>
      <c r="F88" s="102"/>
      <c r="G88" s="102"/>
      <c r="H88" s="102"/>
    </row>
    <row r="89" spans="2:8" x14ac:dyDescent="0.35">
      <c r="B89" s="116"/>
      <c r="C89" s="52"/>
      <c r="D89" s="52"/>
      <c r="E89" s="52"/>
      <c r="F89" s="102"/>
      <c r="G89" s="102"/>
      <c r="H89" s="102"/>
    </row>
    <row r="90" spans="2:8" x14ac:dyDescent="0.35">
      <c r="B90" s="116"/>
      <c r="C90" s="52"/>
      <c r="D90" s="52"/>
      <c r="E90" s="52"/>
      <c r="F90" s="102"/>
      <c r="G90" s="102"/>
      <c r="H90" s="102"/>
    </row>
    <row r="91" spans="2:8" x14ac:dyDescent="0.35">
      <c r="B91" s="116"/>
      <c r="C91" s="52"/>
      <c r="D91" s="52"/>
      <c r="E91" s="52"/>
      <c r="F91" s="102"/>
      <c r="G91" s="102"/>
      <c r="H91" s="102"/>
    </row>
    <row r="92" spans="2:8" x14ac:dyDescent="0.35">
      <c r="B92" s="116"/>
      <c r="C92" s="52"/>
      <c r="D92" s="52"/>
      <c r="E92" s="52"/>
      <c r="F92" s="102"/>
      <c r="G92" s="102"/>
      <c r="H92" s="102"/>
    </row>
    <row r="93" spans="2:8" x14ac:dyDescent="0.35">
      <c r="B93" s="116"/>
      <c r="C93" s="52"/>
      <c r="D93" s="52"/>
      <c r="E93" s="52"/>
      <c r="F93" s="102"/>
      <c r="G93" s="102"/>
      <c r="H93" s="102"/>
    </row>
    <row r="94" spans="2:8" x14ac:dyDescent="0.35">
      <c r="B94" s="116"/>
      <c r="C94" s="52"/>
      <c r="D94" s="52"/>
      <c r="E94" s="52"/>
      <c r="F94" s="102"/>
      <c r="G94" s="102"/>
      <c r="H94" s="102"/>
    </row>
    <row r="95" spans="2:8" x14ac:dyDescent="0.35">
      <c r="B95" s="116"/>
      <c r="C95" s="52"/>
      <c r="D95" s="52"/>
      <c r="E95" s="52"/>
      <c r="F95" s="102"/>
      <c r="G95" s="102"/>
      <c r="H95" s="102"/>
    </row>
    <row r="96" spans="2:8" x14ac:dyDescent="0.35">
      <c r="B96" s="116"/>
      <c r="C96" s="52"/>
      <c r="D96" s="52"/>
      <c r="E96" s="52"/>
      <c r="F96" s="102"/>
      <c r="G96" s="102"/>
      <c r="H96" s="102"/>
    </row>
    <row r="97" spans="2:8" x14ac:dyDescent="0.35">
      <c r="B97" s="116"/>
      <c r="C97" s="52"/>
      <c r="D97" s="52"/>
      <c r="E97" s="52"/>
      <c r="F97" s="102"/>
      <c r="G97" s="102"/>
      <c r="H97" s="102"/>
    </row>
    <row r="98" spans="2:8" x14ac:dyDescent="0.35">
      <c r="B98" s="116"/>
      <c r="C98" s="52"/>
      <c r="D98" s="52"/>
      <c r="E98" s="52"/>
      <c r="F98" s="102"/>
      <c r="G98" s="102"/>
      <c r="H98" s="102"/>
    </row>
    <row r="99" spans="2:8" x14ac:dyDescent="0.35">
      <c r="B99" s="116"/>
      <c r="C99" s="52"/>
      <c r="D99" s="52"/>
      <c r="E99" s="52"/>
      <c r="F99" s="102"/>
      <c r="G99" s="102"/>
      <c r="H99" s="102"/>
    </row>
    <row r="100" spans="2:8" x14ac:dyDescent="0.35">
      <c r="B100" s="116"/>
      <c r="C100" s="52"/>
      <c r="D100" s="52"/>
      <c r="E100" s="52"/>
      <c r="F100" s="102"/>
      <c r="G100" s="102"/>
      <c r="H100" s="102"/>
    </row>
    <row r="101" spans="2:8" x14ac:dyDescent="0.35">
      <c r="B101" s="116"/>
      <c r="C101" s="52"/>
      <c r="D101" s="52"/>
      <c r="E101" s="52"/>
      <c r="F101" s="102"/>
      <c r="G101" s="102"/>
      <c r="H101" s="102"/>
    </row>
    <row r="102" spans="2:8" x14ac:dyDescent="0.35">
      <c r="B102" s="116"/>
      <c r="C102" s="52"/>
      <c r="D102" s="52"/>
      <c r="E102" s="52"/>
      <c r="F102" s="102"/>
      <c r="G102" s="102"/>
      <c r="H102" s="102"/>
    </row>
    <row r="103" spans="2:8" x14ac:dyDescent="0.35">
      <c r="B103" s="116"/>
      <c r="C103" s="52"/>
      <c r="D103" s="52"/>
      <c r="E103" s="52"/>
      <c r="F103" s="102"/>
      <c r="G103" s="102"/>
      <c r="H103" s="102"/>
    </row>
    <row r="104" spans="2:8" x14ac:dyDescent="0.35">
      <c r="B104" s="116"/>
      <c r="C104" s="52"/>
      <c r="D104" s="52"/>
      <c r="E104" s="52"/>
      <c r="F104" s="102"/>
      <c r="G104" s="102"/>
      <c r="H104" s="102"/>
    </row>
    <row r="105" spans="2:8" x14ac:dyDescent="0.35">
      <c r="B105" s="116"/>
      <c r="C105" s="52"/>
      <c r="D105" s="52"/>
      <c r="E105" s="52"/>
      <c r="F105" s="102"/>
      <c r="G105" s="102"/>
      <c r="H105" s="102"/>
    </row>
    <row r="106" spans="2:8" x14ac:dyDescent="0.35">
      <c r="B106" s="116"/>
      <c r="C106" s="52"/>
      <c r="D106" s="52"/>
      <c r="E106" s="52"/>
      <c r="F106" s="102"/>
      <c r="G106" s="102"/>
      <c r="H106" s="102"/>
    </row>
    <row r="107" spans="2:8" x14ac:dyDescent="0.35">
      <c r="B107" s="116"/>
      <c r="C107" s="52"/>
      <c r="D107" s="52"/>
      <c r="E107" s="52"/>
      <c r="F107" s="102"/>
      <c r="G107" s="102"/>
      <c r="H107" s="102"/>
    </row>
  </sheetData>
  <mergeCells count="19">
    <mergeCell ref="D56:F56"/>
    <mergeCell ref="B32:G32"/>
    <mergeCell ref="E26:F26"/>
    <mergeCell ref="E24:F24"/>
    <mergeCell ref="E22:F22"/>
    <mergeCell ref="E28:F28"/>
    <mergeCell ref="E14:F14"/>
    <mergeCell ref="E18:F18"/>
    <mergeCell ref="E16:F16"/>
    <mergeCell ref="E30:F30"/>
    <mergeCell ref="I1:J1"/>
    <mergeCell ref="B2:G2"/>
    <mergeCell ref="E20:F20"/>
    <mergeCell ref="C3:F4"/>
    <mergeCell ref="E6:F6"/>
    <mergeCell ref="E8:F8"/>
    <mergeCell ref="E10:F10"/>
    <mergeCell ref="E12:F12"/>
    <mergeCell ref="J24:J25"/>
  </mergeCells>
  <conditionalFormatting sqref="E6:F6">
    <cfRule type="expression" dxfId="27" priority="23">
      <formula>$E$6="Aperture Incident"</formula>
    </cfRule>
    <cfRule type="expression" dxfId="26" priority="24">
      <formula>$E$6="Update Incident"</formula>
    </cfRule>
    <cfRule type="expression" dxfId="25" priority="25">
      <formula>$E$6="Closure Incident"</formula>
    </cfRule>
  </conditionalFormatting>
  <conditionalFormatting sqref="E8:F8">
    <cfRule type="expression" dxfId="24" priority="16">
      <formula>LEN($E$8)&lt;&gt;12</formula>
    </cfRule>
  </conditionalFormatting>
  <conditionalFormatting sqref="E10:F10">
    <cfRule type="expression" dxfId="23" priority="15">
      <formula>LEN($E$10)&lt;1</formula>
    </cfRule>
  </conditionalFormatting>
  <conditionalFormatting sqref="E14:F14">
    <cfRule type="expression" dxfId="22" priority="14">
      <formula>$E$14="No encontrado. Completar"</formula>
    </cfRule>
  </conditionalFormatting>
  <conditionalFormatting sqref="E16:F16">
    <cfRule type="expression" dxfId="21" priority="8">
      <formula>$E$16=""</formula>
    </cfRule>
  </conditionalFormatting>
  <conditionalFormatting sqref="E18:F18">
    <cfRule type="expression" dxfId="20" priority="9">
      <formula>$E$18=""</formula>
    </cfRule>
  </conditionalFormatting>
  <conditionalFormatting sqref="E20:F20">
    <cfRule type="expression" dxfId="19" priority="12">
      <formula>$E$20=""</formula>
    </cfRule>
  </conditionalFormatting>
  <conditionalFormatting sqref="E22:F22">
    <cfRule type="expression" dxfId="18" priority="11">
      <formula>$E$22=""</formula>
    </cfRule>
  </conditionalFormatting>
  <conditionalFormatting sqref="I33:I1048576 I1:I3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4:F24">
    <cfRule type="expression" dxfId="17" priority="2">
      <formula>$E$24=""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34682B21-9B80-40BF-BC4F-3DACDEC1CDC7}">
          <x14:formula1>
            <xm:f>Listas!$A$2:$A$3</xm:f>
          </x14:formula1>
          <xm:sqref>H18:H19 E18:F18</xm:sqref>
        </x14:dataValidation>
        <x14:dataValidation type="list" allowBlank="1" showInputMessage="1" showErrorMessage="1" xr:uid="{C8703923-EEDA-4270-9463-1FE52F773CCD}">
          <x14:formula1>
            <xm:f>Listas!$I$2:$I$4</xm:f>
          </x14:formula1>
          <xm:sqref>E6 H6</xm:sqref>
        </x14:dataValidation>
        <x14:dataValidation type="list" allowBlank="1" showInputMessage="1" showErrorMessage="1" xr:uid="{D76884ED-9454-41E6-8818-D9B725C87DA8}">
          <x14:formula1>
            <xm:f>Listas!$G$2:$G$4</xm:f>
          </x14:formula1>
          <xm:sqref>E30:F30</xm:sqref>
        </x14:dataValidation>
        <x14:dataValidation type="list" allowBlank="1" xr:uid="{089E6924-EB65-454F-8375-0E85D8DF23B1}">
          <x14:formula1>
            <xm:f>Listas!$H$2:$H$46</xm:f>
          </x14:formula1>
          <xm:sqref>E20:F20</xm:sqref>
        </x14:dataValidation>
        <x14:dataValidation type="list" allowBlank="1" showInputMessage="1" showErrorMessage="1" xr:uid="{8314F936-76B4-4105-A884-5B0276A36526}">
          <x14:formula1>
            <xm:f>Listas!$F$3:$F$4</xm:f>
          </x14:formula1>
          <xm:sqref>H22:H23</xm:sqref>
        </x14:dataValidation>
        <x14:dataValidation type="list" allowBlank="1" showInputMessage="1" showErrorMessage="1" xr:uid="{F6A1D53B-063E-4AEE-B633-0182AD4FA591}">
          <x14:formula1>
            <xm:f>Listas!$F$2:$F$5</xm:f>
          </x14:formula1>
          <xm:sqref>E22:F22</xm:sqref>
        </x14:dataValidation>
        <x14:dataValidation type="list" allowBlank="1" showInputMessage="1" showErrorMessage="1" xr:uid="{BC87CDC6-B892-4541-B995-36EEB1F6B092}">
          <x14:formula1>
            <xm:f>BBDD!$A$2:$A$1493</xm:f>
          </x14:formula1>
          <xm:sqref>E10:F10</xm:sqref>
        </x14:dataValidation>
        <x14:dataValidation type="list" allowBlank="1" showInputMessage="1" showErrorMessage="1" xr:uid="{DD2A1F3B-9C3F-4E85-BA9C-0CA8661C7ADB}">
          <x14:formula1>
            <xm:f>BBDD!$A:$A</xm:f>
          </x14:formula1>
          <xm:sqref>H10:H13</xm:sqref>
        </x14:dataValidation>
        <x14:dataValidation type="list" allowBlank="1" showInputMessage="1" xr:uid="{26C458B9-ABFC-4C76-97CC-F3397F1F282F}">
          <x14:formula1>
            <xm:f>BBDD!$F:$F</xm:f>
          </x14:formula1>
          <xm:sqref>E12:F12</xm:sqref>
        </x14:dataValidation>
        <x14:dataValidation type="list" allowBlank="1" showInputMessage="1" showErrorMessage="1" xr:uid="{5961279B-4BED-4A83-AAD5-2A442F6E8AF2}">
          <x14:formula1>
            <xm:f>Listas!$C$2:$C$5</xm:f>
          </x14:formula1>
          <xm:sqref>H24:H25</xm:sqref>
        </x14:dataValidation>
        <x14:dataValidation type="list" allowBlank="1" showInputMessage="1" showErrorMessage="1" xr:uid="{A1DB02B9-409F-434A-9731-870B01283477}">
          <x14:formula1>
            <xm:f>Listas!$C$2:$C$7</xm:f>
          </x14:formula1>
          <xm:sqref>E24:F24</xm:sqref>
        </x14:dataValidation>
        <x14:dataValidation type="list" allowBlank="1" xr:uid="{F4B5DBC8-46E8-40E0-8A38-DCDD35EA67BD}">
          <x14:formula1>
            <xm:f>Listas!$B$2:$B$11</xm:f>
          </x14:formula1>
          <xm:sqref>E16:F16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09E9A-CB7A-4F0F-BC90-605086AF3A1A}">
  <sheetPr codeName="Hoja3"/>
  <dimension ref="A1:I1458"/>
  <sheetViews>
    <sheetView workbookViewId="0">
      <pane ySplit="1" topLeftCell="A1441" activePane="bottomLeft" state="frozen"/>
      <selection pane="bottomLeft" activeCell="B1460" sqref="B1460"/>
    </sheetView>
  </sheetViews>
  <sheetFormatPr baseColWidth="10" defaultColWidth="11.453125" defaultRowHeight="18" customHeight="1" x14ac:dyDescent="0.35"/>
  <cols>
    <col min="1" max="1" width="36.453125" style="24" bestFit="1" customWidth="1"/>
    <col min="2" max="2" width="26.54296875" style="24" customWidth="1"/>
    <col min="3" max="3" width="50.453125" style="24" bestFit="1" customWidth="1"/>
    <col min="4" max="4" width="14.26953125" style="75" bestFit="1" customWidth="1"/>
    <col min="5" max="5" width="11.453125" style="24"/>
    <col min="6" max="6" width="13.453125" style="24" bestFit="1" customWidth="1"/>
    <col min="7" max="16384" width="11.453125" style="24"/>
  </cols>
  <sheetData>
    <row r="1" spans="1:9" ht="18" customHeight="1" thickBot="1" x14ac:dyDescent="0.4">
      <c r="A1" s="85" t="s">
        <v>49</v>
      </c>
      <c r="B1" s="85" t="s">
        <v>50</v>
      </c>
      <c r="C1" s="85" t="s">
        <v>51</v>
      </c>
      <c r="F1" s="74" t="s">
        <v>49</v>
      </c>
      <c r="G1" s="74" t="s">
        <v>50</v>
      </c>
      <c r="H1" s="74" t="s">
        <v>51</v>
      </c>
    </row>
    <row r="2" spans="1:9" ht="18" customHeight="1" x14ac:dyDescent="0.35">
      <c r="A2" s="90" t="s">
        <v>52</v>
      </c>
      <c r="B2" s="90" t="s">
        <v>53</v>
      </c>
      <c r="C2" s="90" t="s">
        <v>54</v>
      </c>
      <c r="D2" s="101" t="s">
        <v>55</v>
      </c>
      <c r="F2" s="92" t="s">
        <v>56</v>
      </c>
      <c r="G2" s="93" t="s">
        <v>57</v>
      </c>
      <c r="H2" s="94" t="s">
        <v>54</v>
      </c>
      <c r="I2" s="101" t="s">
        <v>55</v>
      </c>
    </row>
    <row r="3" spans="1:9" ht="18" customHeight="1" x14ac:dyDescent="0.35">
      <c r="A3" s="91" t="s">
        <v>58</v>
      </c>
      <c r="B3" s="90" t="s">
        <v>53</v>
      </c>
      <c r="C3" s="91"/>
      <c r="D3" s="101" t="s">
        <v>55</v>
      </c>
      <c r="F3" s="95" t="s">
        <v>59</v>
      </c>
      <c r="G3" s="96" t="s">
        <v>57</v>
      </c>
      <c r="H3" s="97" t="s">
        <v>54</v>
      </c>
      <c r="I3" s="101" t="s">
        <v>55</v>
      </c>
    </row>
    <row r="4" spans="1:9" ht="18" customHeight="1" x14ac:dyDescent="0.35">
      <c r="A4" s="91" t="s">
        <v>60</v>
      </c>
      <c r="B4" s="90" t="s">
        <v>53</v>
      </c>
      <c r="C4" s="91"/>
      <c r="D4" s="101" t="s">
        <v>55</v>
      </c>
      <c r="F4" s="95" t="s">
        <v>61</v>
      </c>
      <c r="G4" s="96" t="s">
        <v>57</v>
      </c>
      <c r="H4" s="97" t="s">
        <v>54</v>
      </c>
      <c r="I4" s="101" t="s">
        <v>55</v>
      </c>
    </row>
    <row r="5" spans="1:9" ht="18" customHeight="1" x14ac:dyDescent="0.35">
      <c r="A5" s="91" t="s">
        <v>62</v>
      </c>
      <c r="B5" s="90" t="s">
        <v>53</v>
      </c>
      <c r="C5" s="91"/>
      <c r="D5" s="101" t="s">
        <v>55</v>
      </c>
      <c r="F5" s="95" t="s">
        <v>63</v>
      </c>
      <c r="G5" s="96" t="s">
        <v>57</v>
      </c>
      <c r="H5" s="97" t="s">
        <v>54</v>
      </c>
      <c r="I5" s="101" t="s">
        <v>55</v>
      </c>
    </row>
    <row r="6" spans="1:9" ht="18" customHeight="1" x14ac:dyDescent="0.35">
      <c r="A6" s="91" t="s">
        <v>64</v>
      </c>
      <c r="B6" s="90" t="s">
        <v>53</v>
      </c>
      <c r="C6" s="91"/>
      <c r="D6" s="101" t="s">
        <v>55</v>
      </c>
      <c r="F6" s="95" t="s">
        <v>65</v>
      </c>
      <c r="G6" s="96" t="s">
        <v>57</v>
      </c>
      <c r="H6" s="97" t="s">
        <v>54</v>
      </c>
      <c r="I6" s="101" t="s">
        <v>55</v>
      </c>
    </row>
    <row r="7" spans="1:9" ht="18" customHeight="1" x14ac:dyDescent="0.35">
      <c r="A7" s="91" t="s">
        <v>66</v>
      </c>
      <c r="B7" s="90" t="s">
        <v>53</v>
      </c>
      <c r="C7" s="91"/>
      <c r="D7" s="101" t="s">
        <v>55</v>
      </c>
      <c r="F7" s="95" t="s">
        <v>67</v>
      </c>
      <c r="G7" s="96" t="s">
        <v>57</v>
      </c>
      <c r="H7" s="97" t="s">
        <v>54</v>
      </c>
      <c r="I7" s="101" t="s">
        <v>55</v>
      </c>
    </row>
    <row r="8" spans="1:9" ht="18" customHeight="1" x14ac:dyDescent="0.35">
      <c r="A8" s="91" t="s">
        <v>68</v>
      </c>
      <c r="B8" s="90" t="s">
        <v>53</v>
      </c>
      <c r="C8" s="91"/>
      <c r="D8" s="101" t="s">
        <v>55</v>
      </c>
      <c r="F8" s="95" t="s">
        <v>69</v>
      </c>
      <c r="G8" s="96" t="s">
        <v>57</v>
      </c>
      <c r="H8" s="97" t="s">
        <v>70</v>
      </c>
      <c r="I8" s="101" t="s">
        <v>55</v>
      </c>
    </row>
    <row r="9" spans="1:9" ht="18" customHeight="1" thickBot="1" x14ac:dyDescent="0.4">
      <c r="A9" s="91" t="s">
        <v>71</v>
      </c>
      <c r="B9" s="90" t="s">
        <v>53</v>
      </c>
      <c r="C9" s="91"/>
      <c r="D9" s="101" t="s">
        <v>55</v>
      </c>
      <c r="F9" s="98" t="s">
        <v>72</v>
      </c>
      <c r="G9" s="99" t="s">
        <v>57</v>
      </c>
      <c r="H9" s="100" t="s">
        <v>70</v>
      </c>
      <c r="I9" s="101" t="s">
        <v>55</v>
      </c>
    </row>
    <row r="10" spans="1:9" ht="18" customHeight="1" x14ac:dyDescent="0.35">
      <c r="A10" s="91" t="s">
        <v>73</v>
      </c>
      <c r="B10" s="90" t="s">
        <v>53</v>
      </c>
      <c r="C10" s="91"/>
      <c r="D10" s="101" t="s">
        <v>55</v>
      </c>
    </row>
    <row r="11" spans="1:9" ht="18" customHeight="1" x14ac:dyDescent="0.35">
      <c r="A11" s="91" t="s">
        <v>74</v>
      </c>
      <c r="B11" s="90" t="s">
        <v>53</v>
      </c>
      <c r="C11" s="91"/>
      <c r="D11" s="101" t="s">
        <v>55</v>
      </c>
    </row>
    <row r="12" spans="1:9" ht="18" customHeight="1" x14ac:dyDescent="0.35">
      <c r="A12" s="91" t="s">
        <v>75</v>
      </c>
      <c r="B12" s="90" t="s">
        <v>53</v>
      </c>
      <c r="C12" s="91"/>
      <c r="D12" s="101" t="s">
        <v>55</v>
      </c>
    </row>
    <row r="13" spans="1:9" ht="18" customHeight="1" x14ac:dyDescent="0.35">
      <c r="A13" s="91" t="s">
        <v>76</v>
      </c>
      <c r="B13" s="90" t="s">
        <v>53</v>
      </c>
      <c r="C13" s="91"/>
      <c r="D13" s="101" t="s">
        <v>55</v>
      </c>
    </row>
    <row r="14" spans="1:9" ht="18" customHeight="1" x14ac:dyDescent="0.35">
      <c r="A14" s="91" t="s">
        <v>77</v>
      </c>
      <c r="B14" s="90" t="s">
        <v>53</v>
      </c>
      <c r="C14" s="91"/>
      <c r="D14" s="101" t="s">
        <v>55</v>
      </c>
    </row>
    <row r="15" spans="1:9" ht="18" customHeight="1" x14ac:dyDescent="0.35">
      <c r="A15" s="91" t="s">
        <v>78</v>
      </c>
      <c r="B15" s="90" t="s">
        <v>53</v>
      </c>
      <c r="C15" s="91"/>
      <c r="D15" s="101" t="s">
        <v>55</v>
      </c>
    </row>
    <row r="16" spans="1:9" ht="18" customHeight="1" x14ac:dyDescent="0.35">
      <c r="A16" s="91" t="s">
        <v>79</v>
      </c>
      <c r="B16" s="90" t="s">
        <v>53</v>
      </c>
      <c r="C16" s="91"/>
      <c r="D16" s="101" t="s">
        <v>55</v>
      </c>
    </row>
    <row r="17" spans="1:4" ht="18" customHeight="1" x14ac:dyDescent="0.35">
      <c r="A17" s="91" t="s">
        <v>80</v>
      </c>
      <c r="B17" s="90" t="s">
        <v>53</v>
      </c>
      <c r="C17" s="91"/>
      <c r="D17" s="101" t="s">
        <v>55</v>
      </c>
    </row>
    <row r="18" spans="1:4" ht="18" customHeight="1" x14ac:dyDescent="0.35">
      <c r="A18" s="91" t="s">
        <v>81</v>
      </c>
      <c r="B18" s="90" t="s">
        <v>53</v>
      </c>
      <c r="C18" s="91"/>
      <c r="D18" s="101" t="s">
        <v>55</v>
      </c>
    </row>
    <row r="19" spans="1:4" ht="18" customHeight="1" x14ac:dyDescent="0.35">
      <c r="A19" s="91" t="s">
        <v>82</v>
      </c>
      <c r="B19" s="90" t="s">
        <v>53</v>
      </c>
      <c r="C19" s="91" t="s">
        <v>83</v>
      </c>
    </row>
    <row r="20" spans="1:4" ht="18" customHeight="1" x14ac:dyDescent="0.35">
      <c r="A20" s="86" t="s">
        <v>84</v>
      </c>
      <c r="B20" s="90" t="s">
        <v>53</v>
      </c>
      <c r="C20" s="86" t="s">
        <v>54</v>
      </c>
    </row>
    <row r="21" spans="1:4" ht="18" customHeight="1" x14ac:dyDescent="0.35">
      <c r="A21" s="86" t="s">
        <v>85</v>
      </c>
      <c r="B21" s="90" t="s">
        <v>53</v>
      </c>
      <c r="C21" s="86" t="s">
        <v>54</v>
      </c>
    </row>
    <row r="22" spans="1:4" ht="18" customHeight="1" x14ac:dyDescent="0.35">
      <c r="A22" s="86" t="s">
        <v>86</v>
      </c>
      <c r="B22" s="90" t="s">
        <v>53</v>
      </c>
      <c r="C22" s="86" t="s">
        <v>54</v>
      </c>
    </row>
    <row r="23" spans="1:4" ht="18" customHeight="1" x14ac:dyDescent="0.35">
      <c r="A23" s="86" t="s">
        <v>87</v>
      </c>
      <c r="B23" s="90" t="s">
        <v>53</v>
      </c>
      <c r="C23" s="86" t="s">
        <v>70</v>
      </c>
    </row>
    <row r="24" spans="1:4" ht="18" customHeight="1" x14ac:dyDescent="0.35">
      <c r="A24" s="86" t="s">
        <v>88</v>
      </c>
      <c r="B24" s="90" t="s">
        <v>53</v>
      </c>
      <c r="C24" s="86" t="s">
        <v>70</v>
      </c>
    </row>
    <row r="25" spans="1:4" ht="18" customHeight="1" x14ac:dyDescent="0.35">
      <c r="A25" s="86" t="s">
        <v>89</v>
      </c>
      <c r="B25" s="90" t="s">
        <v>53</v>
      </c>
      <c r="C25" s="86" t="s">
        <v>70</v>
      </c>
    </row>
    <row r="26" spans="1:4" ht="18" customHeight="1" x14ac:dyDescent="0.35">
      <c r="A26" s="86" t="s">
        <v>90</v>
      </c>
      <c r="B26" s="90" t="s">
        <v>53</v>
      </c>
      <c r="C26" s="86" t="s">
        <v>70</v>
      </c>
    </row>
    <row r="27" spans="1:4" ht="18" customHeight="1" x14ac:dyDescent="0.35">
      <c r="A27" s="86" t="s">
        <v>91</v>
      </c>
      <c r="B27" s="90" t="s">
        <v>53</v>
      </c>
      <c r="C27" s="86" t="s">
        <v>70</v>
      </c>
    </row>
    <row r="28" spans="1:4" ht="18" customHeight="1" x14ac:dyDescent="0.35">
      <c r="A28" s="86" t="s">
        <v>92</v>
      </c>
      <c r="B28" s="90" t="s">
        <v>53</v>
      </c>
      <c r="C28" s="86" t="s">
        <v>70</v>
      </c>
    </row>
    <row r="29" spans="1:4" ht="18" customHeight="1" x14ac:dyDescent="0.35">
      <c r="A29" s="86" t="s">
        <v>93</v>
      </c>
      <c r="B29" s="90" t="s">
        <v>53</v>
      </c>
      <c r="C29" s="86" t="s">
        <v>70</v>
      </c>
    </row>
    <row r="30" spans="1:4" ht="18" customHeight="1" x14ac:dyDescent="0.35">
      <c r="A30" s="86" t="s">
        <v>94</v>
      </c>
      <c r="B30" s="90" t="s">
        <v>53</v>
      </c>
      <c r="C30" s="86" t="s">
        <v>70</v>
      </c>
    </row>
    <row r="31" spans="1:4" ht="18" customHeight="1" x14ac:dyDescent="0.35">
      <c r="A31" s="86" t="s">
        <v>95</v>
      </c>
      <c r="B31" s="90" t="s">
        <v>53</v>
      </c>
      <c r="C31" s="86" t="s">
        <v>70</v>
      </c>
    </row>
    <row r="32" spans="1:4" ht="18" customHeight="1" x14ac:dyDescent="0.35">
      <c r="A32" s="86" t="s">
        <v>96</v>
      </c>
      <c r="B32" s="90" t="s">
        <v>53</v>
      </c>
      <c r="C32" s="86" t="s">
        <v>70</v>
      </c>
    </row>
    <row r="33" spans="1:3" ht="18" customHeight="1" x14ac:dyDescent="0.35">
      <c r="A33" s="86" t="s">
        <v>97</v>
      </c>
      <c r="B33" s="90" t="s">
        <v>53</v>
      </c>
      <c r="C33" s="86" t="s">
        <v>70</v>
      </c>
    </row>
    <row r="34" spans="1:3" ht="18" customHeight="1" x14ac:dyDescent="0.35">
      <c r="A34" s="86" t="s">
        <v>98</v>
      </c>
      <c r="B34" s="90" t="s">
        <v>53</v>
      </c>
      <c r="C34" s="86" t="s">
        <v>70</v>
      </c>
    </row>
    <row r="35" spans="1:3" ht="18" customHeight="1" x14ac:dyDescent="0.35">
      <c r="A35" s="86" t="s">
        <v>99</v>
      </c>
      <c r="B35" s="90" t="s">
        <v>53</v>
      </c>
      <c r="C35" s="86" t="s">
        <v>70</v>
      </c>
    </row>
    <row r="36" spans="1:3" ht="18" customHeight="1" x14ac:dyDescent="0.35">
      <c r="A36" s="86" t="s">
        <v>100</v>
      </c>
      <c r="B36" s="90" t="s">
        <v>53</v>
      </c>
      <c r="C36" s="86" t="s">
        <v>70</v>
      </c>
    </row>
    <row r="37" spans="1:3" ht="18" customHeight="1" x14ac:dyDescent="0.35">
      <c r="A37" s="86" t="s">
        <v>101</v>
      </c>
      <c r="B37" s="90" t="s">
        <v>53</v>
      </c>
      <c r="C37" s="86" t="s">
        <v>70</v>
      </c>
    </row>
    <row r="38" spans="1:3" ht="18" customHeight="1" x14ac:dyDescent="0.35">
      <c r="A38" s="86" t="s">
        <v>102</v>
      </c>
      <c r="B38" s="90" t="s">
        <v>53</v>
      </c>
      <c r="C38" s="86" t="s">
        <v>103</v>
      </c>
    </row>
    <row r="39" spans="1:3" ht="18" customHeight="1" x14ac:dyDescent="0.35">
      <c r="A39" s="86" t="s">
        <v>104</v>
      </c>
      <c r="B39" s="90" t="s">
        <v>53</v>
      </c>
      <c r="C39" s="86" t="s">
        <v>103</v>
      </c>
    </row>
    <row r="40" spans="1:3" ht="18" customHeight="1" x14ac:dyDescent="0.35">
      <c r="A40" s="86" t="s">
        <v>105</v>
      </c>
      <c r="B40" s="90" t="s">
        <v>53</v>
      </c>
      <c r="C40" s="86" t="s">
        <v>103</v>
      </c>
    </row>
    <row r="41" spans="1:3" ht="18" customHeight="1" x14ac:dyDescent="0.35">
      <c r="A41" s="86" t="s">
        <v>106</v>
      </c>
      <c r="B41" s="90" t="s">
        <v>53</v>
      </c>
      <c r="C41" s="86" t="s">
        <v>103</v>
      </c>
    </row>
    <row r="42" spans="1:3" ht="18" customHeight="1" x14ac:dyDescent="0.35">
      <c r="A42" s="86" t="s">
        <v>107</v>
      </c>
      <c r="B42" s="90" t="s">
        <v>53</v>
      </c>
      <c r="C42" s="86" t="s">
        <v>103</v>
      </c>
    </row>
    <row r="43" spans="1:3" ht="18" customHeight="1" x14ac:dyDescent="0.35">
      <c r="A43" s="86" t="s">
        <v>108</v>
      </c>
      <c r="B43" s="90" t="s">
        <v>53</v>
      </c>
      <c r="C43" s="86" t="s">
        <v>109</v>
      </c>
    </row>
    <row r="44" spans="1:3" ht="18" customHeight="1" x14ac:dyDescent="0.35">
      <c r="A44" s="86" t="s">
        <v>110</v>
      </c>
      <c r="B44" s="90" t="s">
        <v>53</v>
      </c>
      <c r="C44" s="86" t="s">
        <v>109</v>
      </c>
    </row>
    <row r="45" spans="1:3" ht="18" customHeight="1" x14ac:dyDescent="0.35">
      <c r="A45" s="86" t="s">
        <v>111</v>
      </c>
      <c r="B45" s="90" t="s">
        <v>53</v>
      </c>
      <c r="C45" s="86" t="s">
        <v>109</v>
      </c>
    </row>
    <row r="46" spans="1:3" ht="18" customHeight="1" x14ac:dyDescent="0.35">
      <c r="A46" s="86" t="s">
        <v>112</v>
      </c>
      <c r="B46" s="90" t="s">
        <v>53</v>
      </c>
      <c r="C46" s="86" t="s">
        <v>109</v>
      </c>
    </row>
    <row r="47" spans="1:3" ht="18" customHeight="1" x14ac:dyDescent="0.35">
      <c r="A47" s="86" t="s">
        <v>113</v>
      </c>
      <c r="B47" s="90" t="s">
        <v>53</v>
      </c>
      <c r="C47" s="86" t="s">
        <v>114</v>
      </c>
    </row>
    <row r="48" spans="1:3" ht="18" customHeight="1" x14ac:dyDescent="0.35">
      <c r="A48" s="86" t="s">
        <v>115</v>
      </c>
      <c r="B48" s="90" t="s">
        <v>53</v>
      </c>
      <c r="C48" s="86" t="s">
        <v>114</v>
      </c>
    </row>
    <row r="49" spans="1:3" ht="18" customHeight="1" x14ac:dyDescent="0.35">
      <c r="A49" s="86" t="s">
        <v>116</v>
      </c>
      <c r="B49" s="90" t="s">
        <v>53</v>
      </c>
      <c r="C49" s="86" t="s">
        <v>117</v>
      </c>
    </row>
    <row r="50" spans="1:3" ht="18" customHeight="1" x14ac:dyDescent="0.35">
      <c r="A50" s="86" t="s">
        <v>118</v>
      </c>
      <c r="B50" s="90" t="s">
        <v>53</v>
      </c>
      <c r="C50" s="86" t="s">
        <v>117</v>
      </c>
    </row>
    <row r="51" spans="1:3" ht="18" customHeight="1" x14ac:dyDescent="0.35">
      <c r="A51" s="86" t="s">
        <v>119</v>
      </c>
      <c r="B51" s="90" t="s">
        <v>53</v>
      </c>
      <c r="C51" s="86" t="s">
        <v>54</v>
      </c>
    </row>
    <row r="52" spans="1:3" ht="18" customHeight="1" x14ac:dyDescent="0.35">
      <c r="A52" s="86" t="s">
        <v>120</v>
      </c>
      <c r="B52" s="90" t="s">
        <v>53</v>
      </c>
      <c r="C52" s="86" t="s">
        <v>54</v>
      </c>
    </row>
    <row r="53" spans="1:3" ht="18" customHeight="1" x14ac:dyDescent="0.35">
      <c r="A53" s="86" t="s">
        <v>121</v>
      </c>
      <c r="B53" s="90" t="s">
        <v>53</v>
      </c>
      <c r="C53" s="86" t="s">
        <v>122</v>
      </c>
    </row>
    <row r="54" spans="1:3" ht="18" customHeight="1" x14ac:dyDescent="0.35">
      <c r="A54" s="86" t="s">
        <v>123</v>
      </c>
      <c r="B54" s="90" t="s">
        <v>53</v>
      </c>
      <c r="C54" s="86" t="s">
        <v>122</v>
      </c>
    </row>
    <row r="55" spans="1:3" ht="18" customHeight="1" x14ac:dyDescent="0.35">
      <c r="A55" s="86" t="s">
        <v>124</v>
      </c>
      <c r="B55" s="90" t="s">
        <v>53</v>
      </c>
      <c r="C55" s="86" t="s">
        <v>125</v>
      </c>
    </row>
    <row r="56" spans="1:3" ht="18" customHeight="1" x14ac:dyDescent="0.35">
      <c r="A56" s="86" t="s">
        <v>126</v>
      </c>
      <c r="B56" s="90" t="s">
        <v>53</v>
      </c>
      <c r="C56" s="86" t="s">
        <v>125</v>
      </c>
    </row>
    <row r="57" spans="1:3" ht="18" customHeight="1" x14ac:dyDescent="0.35">
      <c r="A57" s="86" t="s">
        <v>127</v>
      </c>
      <c r="B57" s="90" t="s">
        <v>53</v>
      </c>
      <c r="C57" s="86" t="s">
        <v>128</v>
      </c>
    </row>
    <row r="58" spans="1:3" ht="18" customHeight="1" x14ac:dyDescent="0.35">
      <c r="A58" s="86" t="s">
        <v>129</v>
      </c>
      <c r="B58" s="90" t="s">
        <v>53</v>
      </c>
      <c r="C58" s="86" t="s">
        <v>128</v>
      </c>
    </row>
    <row r="59" spans="1:3" ht="18" customHeight="1" x14ac:dyDescent="0.35">
      <c r="A59" s="86" t="s">
        <v>130</v>
      </c>
      <c r="B59" s="90" t="s">
        <v>53</v>
      </c>
      <c r="C59" s="86" t="s">
        <v>54</v>
      </c>
    </row>
    <row r="60" spans="1:3" ht="18" customHeight="1" x14ac:dyDescent="0.35">
      <c r="A60" s="86" t="s">
        <v>131</v>
      </c>
      <c r="B60" s="90" t="s">
        <v>53</v>
      </c>
      <c r="C60" s="86" t="s">
        <v>54</v>
      </c>
    </row>
    <row r="61" spans="1:3" ht="18" customHeight="1" x14ac:dyDescent="0.35">
      <c r="A61" s="86" t="s">
        <v>132</v>
      </c>
      <c r="B61" s="90" t="s">
        <v>53</v>
      </c>
      <c r="C61" s="86" t="s">
        <v>54</v>
      </c>
    </row>
    <row r="62" spans="1:3" ht="18" customHeight="1" x14ac:dyDescent="0.35">
      <c r="A62" s="86" t="s">
        <v>133</v>
      </c>
      <c r="B62" s="90" t="s">
        <v>53</v>
      </c>
      <c r="C62" s="86" t="s">
        <v>134</v>
      </c>
    </row>
    <row r="63" spans="1:3" ht="18" customHeight="1" x14ac:dyDescent="0.35">
      <c r="A63" s="86" t="s">
        <v>135</v>
      </c>
      <c r="B63" s="90" t="s">
        <v>53</v>
      </c>
      <c r="C63" s="86" t="s">
        <v>134</v>
      </c>
    </row>
    <row r="64" spans="1:3" ht="18" customHeight="1" x14ac:dyDescent="0.35">
      <c r="A64" s="86" t="s">
        <v>136</v>
      </c>
      <c r="B64" s="90" t="s">
        <v>53</v>
      </c>
      <c r="C64" s="86" t="s">
        <v>137</v>
      </c>
    </row>
    <row r="65" spans="1:3" ht="18" customHeight="1" x14ac:dyDescent="0.35">
      <c r="A65" s="86" t="s">
        <v>138</v>
      </c>
      <c r="B65" s="90" t="s">
        <v>53</v>
      </c>
      <c r="C65" s="86" t="s">
        <v>137</v>
      </c>
    </row>
    <row r="66" spans="1:3" ht="18" customHeight="1" x14ac:dyDescent="0.35">
      <c r="A66" s="86" t="s">
        <v>139</v>
      </c>
      <c r="B66" s="90" t="s">
        <v>53</v>
      </c>
      <c r="C66" s="86" t="s">
        <v>54</v>
      </c>
    </row>
    <row r="67" spans="1:3" ht="18" customHeight="1" x14ac:dyDescent="0.35">
      <c r="A67" s="86" t="s">
        <v>140</v>
      </c>
      <c r="B67" s="90" t="s">
        <v>53</v>
      </c>
      <c r="C67" s="86" t="s">
        <v>54</v>
      </c>
    </row>
    <row r="68" spans="1:3" ht="18" customHeight="1" x14ac:dyDescent="0.35">
      <c r="A68" s="86" t="s">
        <v>141</v>
      </c>
      <c r="B68" s="90" t="s">
        <v>53</v>
      </c>
      <c r="C68" s="86" t="s">
        <v>54</v>
      </c>
    </row>
    <row r="69" spans="1:3" ht="18" customHeight="1" x14ac:dyDescent="0.35">
      <c r="A69" s="86" t="s">
        <v>142</v>
      </c>
      <c r="B69" s="90" t="s">
        <v>53</v>
      </c>
      <c r="C69" s="86" t="s">
        <v>54</v>
      </c>
    </row>
    <row r="70" spans="1:3" ht="18" customHeight="1" x14ac:dyDescent="0.35">
      <c r="A70" s="86" t="s">
        <v>143</v>
      </c>
      <c r="B70" s="90" t="s">
        <v>53</v>
      </c>
      <c r="C70" s="86" t="s">
        <v>144</v>
      </c>
    </row>
    <row r="71" spans="1:3" ht="18" customHeight="1" x14ac:dyDescent="0.35">
      <c r="A71" s="86" t="s">
        <v>145</v>
      </c>
      <c r="B71" s="90" t="s">
        <v>53</v>
      </c>
      <c r="C71" s="86" t="s">
        <v>144</v>
      </c>
    </row>
    <row r="72" spans="1:3" ht="18" customHeight="1" x14ac:dyDescent="0.35">
      <c r="A72" s="86" t="s">
        <v>146</v>
      </c>
      <c r="B72" s="90" t="s">
        <v>53</v>
      </c>
      <c r="C72" s="86" t="s">
        <v>109</v>
      </c>
    </row>
    <row r="73" spans="1:3" ht="18" customHeight="1" x14ac:dyDescent="0.35">
      <c r="A73" s="86" t="s">
        <v>147</v>
      </c>
      <c r="B73" s="90" t="s">
        <v>53</v>
      </c>
      <c r="C73" s="86" t="s">
        <v>109</v>
      </c>
    </row>
    <row r="74" spans="1:3" ht="18" customHeight="1" x14ac:dyDescent="0.35">
      <c r="A74" s="86" t="s">
        <v>148</v>
      </c>
      <c r="B74" s="90" t="s">
        <v>53</v>
      </c>
      <c r="C74" s="86" t="s">
        <v>109</v>
      </c>
    </row>
    <row r="75" spans="1:3" ht="18" customHeight="1" x14ac:dyDescent="0.35">
      <c r="A75" s="86" t="s">
        <v>149</v>
      </c>
      <c r="B75" s="90" t="s">
        <v>53</v>
      </c>
      <c r="C75" s="86" t="s">
        <v>109</v>
      </c>
    </row>
    <row r="76" spans="1:3" ht="18" customHeight="1" x14ac:dyDescent="0.35">
      <c r="A76" s="86" t="s">
        <v>150</v>
      </c>
      <c r="B76" s="90" t="s">
        <v>53</v>
      </c>
      <c r="C76" s="86" t="s">
        <v>109</v>
      </c>
    </row>
    <row r="77" spans="1:3" ht="18" customHeight="1" x14ac:dyDescent="0.35">
      <c r="A77" s="86" t="s">
        <v>151</v>
      </c>
      <c r="B77" s="90" t="s">
        <v>53</v>
      </c>
      <c r="C77" s="86" t="s">
        <v>109</v>
      </c>
    </row>
    <row r="78" spans="1:3" ht="18" customHeight="1" x14ac:dyDescent="0.35">
      <c r="A78" s="86" t="s">
        <v>152</v>
      </c>
      <c r="B78" s="90" t="s">
        <v>53</v>
      </c>
      <c r="C78" s="86" t="s">
        <v>109</v>
      </c>
    </row>
    <row r="79" spans="1:3" ht="18" customHeight="1" x14ac:dyDescent="0.35">
      <c r="A79" s="86" t="s">
        <v>153</v>
      </c>
      <c r="B79" s="90" t="s">
        <v>53</v>
      </c>
      <c r="C79" s="86" t="s">
        <v>137</v>
      </c>
    </row>
    <row r="80" spans="1:3" ht="18" customHeight="1" x14ac:dyDescent="0.35">
      <c r="A80" s="86" t="s">
        <v>154</v>
      </c>
      <c r="B80" s="90" t="s">
        <v>53</v>
      </c>
      <c r="C80" s="86" t="s">
        <v>137</v>
      </c>
    </row>
    <row r="81" spans="1:3" ht="18" customHeight="1" x14ac:dyDescent="0.35">
      <c r="A81" s="86" t="s">
        <v>155</v>
      </c>
      <c r="B81" s="90" t="s">
        <v>53</v>
      </c>
      <c r="C81" s="86" t="s">
        <v>137</v>
      </c>
    </row>
    <row r="82" spans="1:3" ht="18" customHeight="1" x14ac:dyDescent="0.35">
      <c r="A82" s="86" t="s">
        <v>156</v>
      </c>
      <c r="B82" s="90" t="s">
        <v>53</v>
      </c>
      <c r="C82" s="86" t="s">
        <v>137</v>
      </c>
    </row>
    <row r="83" spans="1:3" ht="18" customHeight="1" x14ac:dyDescent="0.35">
      <c r="A83" s="86" t="s">
        <v>157</v>
      </c>
      <c r="B83" s="90" t="s">
        <v>53</v>
      </c>
      <c r="C83" s="86" t="s">
        <v>137</v>
      </c>
    </row>
    <row r="84" spans="1:3" ht="18" customHeight="1" x14ac:dyDescent="0.35">
      <c r="A84" s="86" t="s">
        <v>158</v>
      </c>
      <c r="B84" s="90" t="s">
        <v>53</v>
      </c>
      <c r="C84" s="86" t="s">
        <v>109</v>
      </c>
    </row>
    <row r="85" spans="1:3" ht="18" customHeight="1" x14ac:dyDescent="0.35">
      <c r="A85" s="86" t="s">
        <v>159</v>
      </c>
      <c r="B85" s="90" t="s">
        <v>53</v>
      </c>
      <c r="C85" s="86" t="s">
        <v>109</v>
      </c>
    </row>
    <row r="86" spans="1:3" ht="18" customHeight="1" x14ac:dyDescent="0.35">
      <c r="A86" s="86" t="s">
        <v>160</v>
      </c>
      <c r="B86" s="90" t="s">
        <v>53</v>
      </c>
      <c r="C86" s="86" t="s">
        <v>109</v>
      </c>
    </row>
    <row r="87" spans="1:3" ht="18" customHeight="1" x14ac:dyDescent="0.35">
      <c r="A87" s="86" t="s">
        <v>161</v>
      </c>
      <c r="B87" s="90" t="s">
        <v>53</v>
      </c>
      <c r="C87" s="86" t="s">
        <v>109</v>
      </c>
    </row>
    <row r="88" spans="1:3" ht="18" customHeight="1" x14ac:dyDescent="0.35">
      <c r="A88" s="86" t="s">
        <v>162</v>
      </c>
      <c r="B88" s="90" t="s">
        <v>53</v>
      </c>
      <c r="C88" s="86" t="s">
        <v>109</v>
      </c>
    </row>
    <row r="89" spans="1:3" ht="18" customHeight="1" x14ac:dyDescent="0.35">
      <c r="A89" s="86" t="s">
        <v>163</v>
      </c>
      <c r="B89" s="90" t="s">
        <v>53</v>
      </c>
      <c r="C89" s="86" t="s">
        <v>109</v>
      </c>
    </row>
    <row r="90" spans="1:3" ht="18" customHeight="1" x14ac:dyDescent="0.35">
      <c r="A90" s="86" t="s">
        <v>164</v>
      </c>
      <c r="B90" s="90" t="s">
        <v>53</v>
      </c>
      <c r="C90" s="86" t="s">
        <v>109</v>
      </c>
    </row>
    <row r="91" spans="1:3" ht="18" customHeight="1" x14ac:dyDescent="0.35">
      <c r="A91" s="86" t="s">
        <v>165</v>
      </c>
      <c r="B91" s="90" t="s">
        <v>53</v>
      </c>
      <c r="C91" s="86" t="s">
        <v>109</v>
      </c>
    </row>
    <row r="92" spans="1:3" ht="18" customHeight="1" x14ac:dyDescent="0.35">
      <c r="A92" s="86" t="s">
        <v>166</v>
      </c>
      <c r="B92" s="90" t="s">
        <v>53</v>
      </c>
      <c r="C92" s="86" t="s">
        <v>109</v>
      </c>
    </row>
    <row r="93" spans="1:3" ht="18" customHeight="1" x14ac:dyDescent="0.35">
      <c r="A93" s="86" t="s">
        <v>167</v>
      </c>
      <c r="B93" s="90" t="s">
        <v>53</v>
      </c>
      <c r="C93" s="86" t="s">
        <v>109</v>
      </c>
    </row>
    <row r="94" spans="1:3" ht="18" customHeight="1" x14ac:dyDescent="0.35">
      <c r="A94" s="86" t="s">
        <v>168</v>
      </c>
      <c r="B94" s="90" t="s">
        <v>53</v>
      </c>
      <c r="C94" s="86" t="s">
        <v>109</v>
      </c>
    </row>
    <row r="95" spans="1:3" ht="18" customHeight="1" x14ac:dyDescent="0.35">
      <c r="A95" s="86" t="s">
        <v>169</v>
      </c>
      <c r="B95" s="90" t="s">
        <v>53</v>
      </c>
      <c r="C95" s="86" t="s">
        <v>109</v>
      </c>
    </row>
    <row r="96" spans="1:3" ht="18" customHeight="1" x14ac:dyDescent="0.35">
      <c r="A96" s="86" t="s">
        <v>170</v>
      </c>
      <c r="B96" s="90" t="s">
        <v>53</v>
      </c>
      <c r="C96" s="86" t="s">
        <v>137</v>
      </c>
    </row>
    <row r="97" spans="1:3" ht="18" customHeight="1" x14ac:dyDescent="0.35">
      <c r="A97" s="86" t="s">
        <v>171</v>
      </c>
      <c r="B97" s="90" t="s">
        <v>53</v>
      </c>
      <c r="C97" s="86" t="s">
        <v>137</v>
      </c>
    </row>
    <row r="98" spans="1:3" ht="18" customHeight="1" x14ac:dyDescent="0.35">
      <c r="A98" s="86" t="s">
        <v>172</v>
      </c>
      <c r="B98" s="90" t="s">
        <v>53</v>
      </c>
      <c r="C98" s="86" t="s">
        <v>137</v>
      </c>
    </row>
    <row r="99" spans="1:3" ht="18" customHeight="1" x14ac:dyDescent="0.35">
      <c r="A99" s="86" t="s">
        <v>173</v>
      </c>
      <c r="B99" s="90" t="s">
        <v>53</v>
      </c>
      <c r="C99" s="86" t="s">
        <v>137</v>
      </c>
    </row>
    <row r="100" spans="1:3" ht="18" customHeight="1" x14ac:dyDescent="0.35">
      <c r="A100" s="86" t="s">
        <v>174</v>
      </c>
      <c r="B100" s="90" t="s">
        <v>53</v>
      </c>
      <c r="C100" s="86" t="s">
        <v>137</v>
      </c>
    </row>
    <row r="101" spans="1:3" ht="18" customHeight="1" x14ac:dyDescent="0.35">
      <c r="A101" s="86" t="s">
        <v>175</v>
      </c>
      <c r="B101" s="90" t="s">
        <v>53</v>
      </c>
      <c r="C101" s="86" t="s">
        <v>137</v>
      </c>
    </row>
    <row r="102" spans="1:3" ht="18" customHeight="1" x14ac:dyDescent="0.35">
      <c r="A102" s="86" t="s">
        <v>176</v>
      </c>
      <c r="B102" s="90" t="s">
        <v>53</v>
      </c>
      <c r="C102" s="86" t="s">
        <v>137</v>
      </c>
    </row>
    <row r="103" spans="1:3" ht="18" customHeight="1" x14ac:dyDescent="0.35">
      <c r="A103" s="86" t="s">
        <v>177</v>
      </c>
      <c r="B103" s="90" t="s">
        <v>53</v>
      </c>
      <c r="C103" s="86" t="s">
        <v>137</v>
      </c>
    </row>
    <row r="104" spans="1:3" ht="18" customHeight="1" x14ac:dyDescent="0.35">
      <c r="A104" s="86" t="s">
        <v>178</v>
      </c>
      <c r="B104" s="90" t="s">
        <v>53</v>
      </c>
      <c r="C104" s="86" t="s">
        <v>137</v>
      </c>
    </row>
    <row r="105" spans="1:3" ht="18" customHeight="1" x14ac:dyDescent="0.35">
      <c r="A105" s="86" t="s">
        <v>179</v>
      </c>
      <c r="B105" s="90" t="s">
        <v>53</v>
      </c>
      <c r="C105" s="86" t="s">
        <v>137</v>
      </c>
    </row>
    <row r="106" spans="1:3" ht="18" customHeight="1" x14ac:dyDescent="0.35">
      <c r="A106" s="86" t="s">
        <v>180</v>
      </c>
      <c r="B106" s="90" t="s">
        <v>53</v>
      </c>
      <c r="C106" s="86" t="s">
        <v>137</v>
      </c>
    </row>
    <row r="107" spans="1:3" ht="18" customHeight="1" x14ac:dyDescent="0.35">
      <c r="A107" s="86" t="s">
        <v>181</v>
      </c>
      <c r="B107" s="90" t="s">
        <v>53</v>
      </c>
      <c r="C107" s="86" t="s">
        <v>137</v>
      </c>
    </row>
    <row r="108" spans="1:3" ht="18" customHeight="1" x14ac:dyDescent="0.35">
      <c r="A108" s="86" t="s">
        <v>182</v>
      </c>
      <c r="B108" s="90" t="s">
        <v>53</v>
      </c>
      <c r="C108" s="86" t="s">
        <v>137</v>
      </c>
    </row>
    <row r="109" spans="1:3" ht="18" customHeight="1" x14ac:dyDescent="0.35">
      <c r="A109" s="86" t="s">
        <v>183</v>
      </c>
      <c r="B109" s="90" t="s">
        <v>53</v>
      </c>
      <c r="C109" s="86" t="s">
        <v>109</v>
      </c>
    </row>
    <row r="110" spans="1:3" ht="18" customHeight="1" x14ac:dyDescent="0.35">
      <c r="A110" s="86" t="s">
        <v>184</v>
      </c>
      <c r="B110" s="90" t="s">
        <v>53</v>
      </c>
      <c r="C110" s="86" t="s">
        <v>109</v>
      </c>
    </row>
    <row r="111" spans="1:3" ht="18" customHeight="1" x14ac:dyDescent="0.35">
      <c r="A111" s="86" t="s">
        <v>185</v>
      </c>
      <c r="B111" s="90" t="s">
        <v>53</v>
      </c>
      <c r="C111" s="86" t="s">
        <v>186</v>
      </c>
    </row>
    <row r="112" spans="1:3" ht="18" customHeight="1" x14ac:dyDescent="0.35">
      <c r="A112" s="86" t="s">
        <v>187</v>
      </c>
      <c r="B112" s="90" t="s">
        <v>53</v>
      </c>
      <c r="C112" s="86" t="s">
        <v>103</v>
      </c>
    </row>
    <row r="113" spans="1:3" ht="18" customHeight="1" x14ac:dyDescent="0.35">
      <c r="A113" s="86" t="s">
        <v>188</v>
      </c>
      <c r="B113" s="90" t="s">
        <v>53</v>
      </c>
      <c r="C113" s="86" t="s">
        <v>103</v>
      </c>
    </row>
    <row r="114" spans="1:3" ht="18" customHeight="1" x14ac:dyDescent="0.35">
      <c r="A114" s="86" t="s">
        <v>189</v>
      </c>
      <c r="B114" s="90" t="s">
        <v>53</v>
      </c>
      <c r="C114" s="86" t="s">
        <v>54</v>
      </c>
    </row>
    <row r="115" spans="1:3" ht="18" customHeight="1" x14ac:dyDescent="0.35">
      <c r="A115" s="86" t="s">
        <v>190</v>
      </c>
      <c r="B115" s="90" t="s">
        <v>53</v>
      </c>
      <c r="C115" s="86" t="s">
        <v>128</v>
      </c>
    </row>
    <row r="116" spans="1:3" ht="18" customHeight="1" x14ac:dyDescent="0.35">
      <c r="A116" s="86" t="s">
        <v>191</v>
      </c>
      <c r="B116" s="90" t="s">
        <v>53</v>
      </c>
      <c r="C116" s="86" t="s">
        <v>128</v>
      </c>
    </row>
    <row r="117" spans="1:3" ht="18" customHeight="1" x14ac:dyDescent="0.35">
      <c r="A117" s="86" t="s">
        <v>192</v>
      </c>
      <c r="B117" s="90" t="s">
        <v>53</v>
      </c>
      <c r="C117" s="86" t="s">
        <v>128</v>
      </c>
    </row>
    <row r="118" spans="1:3" ht="18" customHeight="1" x14ac:dyDescent="0.35">
      <c r="A118" s="86" t="s">
        <v>193</v>
      </c>
      <c r="B118" s="90" t="s">
        <v>53</v>
      </c>
      <c r="C118" s="86" t="s">
        <v>128</v>
      </c>
    </row>
    <row r="119" spans="1:3" ht="18" customHeight="1" x14ac:dyDescent="0.35">
      <c r="A119" s="86" t="s">
        <v>194</v>
      </c>
      <c r="B119" s="90" t="s">
        <v>53</v>
      </c>
      <c r="C119" s="86" t="s">
        <v>195</v>
      </c>
    </row>
    <row r="120" spans="1:3" ht="18" customHeight="1" x14ac:dyDescent="0.35">
      <c r="A120" s="86" t="s">
        <v>196</v>
      </c>
      <c r="B120" s="90" t="s">
        <v>53</v>
      </c>
      <c r="C120" s="86" t="s">
        <v>195</v>
      </c>
    </row>
    <row r="121" spans="1:3" ht="18" customHeight="1" x14ac:dyDescent="0.35">
      <c r="A121" s="86" t="s">
        <v>197</v>
      </c>
      <c r="B121" s="90" t="s">
        <v>53</v>
      </c>
      <c r="C121" s="86" t="s">
        <v>137</v>
      </c>
    </row>
    <row r="122" spans="1:3" ht="18" customHeight="1" x14ac:dyDescent="0.35">
      <c r="A122" s="86" t="s">
        <v>198</v>
      </c>
      <c r="B122" s="90" t="s">
        <v>53</v>
      </c>
      <c r="C122" s="86" t="s">
        <v>137</v>
      </c>
    </row>
    <row r="123" spans="1:3" ht="18" customHeight="1" x14ac:dyDescent="0.35">
      <c r="A123" s="86" t="s">
        <v>199</v>
      </c>
      <c r="B123" s="90" t="s">
        <v>53</v>
      </c>
      <c r="C123" s="86" t="s">
        <v>137</v>
      </c>
    </row>
    <row r="124" spans="1:3" ht="18" customHeight="1" x14ac:dyDescent="0.35">
      <c r="A124" s="86" t="s">
        <v>200</v>
      </c>
      <c r="B124" s="90" t="s">
        <v>53</v>
      </c>
      <c r="C124" s="86" t="s">
        <v>137</v>
      </c>
    </row>
    <row r="125" spans="1:3" ht="18" customHeight="1" x14ac:dyDescent="0.35">
      <c r="A125" s="86" t="s">
        <v>201</v>
      </c>
      <c r="B125" s="90" t="s">
        <v>53</v>
      </c>
      <c r="C125" s="86" t="s">
        <v>137</v>
      </c>
    </row>
    <row r="126" spans="1:3" ht="18" customHeight="1" x14ac:dyDescent="0.35">
      <c r="A126" s="86" t="s">
        <v>202</v>
      </c>
      <c r="B126" s="90" t="s">
        <v>53</v>
      </c>
      <c r="C126" s="86" t="s">
        <v>137</v>
      </c>
    </row>
    <row r="127" spans="1:3" ht="18" customHeight="1" x14ac:dyDescent="0.35">
      <c r="A127" s="86" t="s">
        <v>203</v>
      </c>
      <c r="B127" s="90" t="s">
        <v>53</v>
      </c>
      <c r="C127" s="86" t="s">
        <v>137</v>
      </c>
    </row>
    <row r="128" spans="1:3" ht="18" customHeight="1" x14ac:dyDescent="0.35">
      <c r="A128" s="86" t="s">
        <v>204</v>
      </c>
      <c r="B128" s="90" t="s">
        <v>53</v>
      </c>
      <c r="C128" s="86" t="s">
        <v>137</v>
      </c>
    </row>
    <row r="129" spans="1:3" ht="18" customHeight="1" x14ac:dyDescent="0.35">
      <c r="A129" s="86" t="s">
        <v>205</v>
      </c>
      <c r="B129" s="90" t="s">
        <v>53</v>
      </c>
      <c r="C129" s="86" t="s">
        <v>54</v>
      </c>
    </row>
    <row r="130" spans="1:3" ht="18" customHeight="1" x14ac:dyDescent="0.35">
      <c r="A130" s="86" t="s">
        <v>206</v>
      </c>
      <c r="B130" s="90" t="s">
        <v>53</v>
      </c>
      <c r="C130" s="86" t="s">
        <v>54</v>
      </c>
    </row>
    <row r="131" spans="1:3" ht="18" customHeight="1" x14ac:dyDescent="0.35">
      <c r="A131" s="86" t="s">
        <v>207</v>
      </c>
      <c r="B131" s="90" t="s">
        <v>53</v>
      </c>
      <c r="C131" s="86" t="s">
        <v>54</v>
      </c>
    </row>
    <row r="132" spans="1:3" ht="18" customHeight="1" x14ac:dyDescent="0.35">
      <c r="A132" s="86" t="s">
        <v>208</v>
      </c>
      <c r="B132" s="90" t="s">
        <v>53</v>
      </c>
      <c r="C132" s="86" t="s">
        <v>54</v>
      </c>
    </row>
    <row r="133" spans="1:3" ht="18" customHeight="1" x14ac:dyDescent="0.35">
      <c r="A133" s="86" t="s">
        <v>209</v>
      </c>
      <c r="B133" s="90" t="s">
        <v>53</v>
      </c>
      <c r="C133" s="86" t="s">
        <v>109</v>
      </c>
    </row>
    <row r="134" spans="1:3" ht="18" customHeight="1" x14ac:dyDescent="0.35">
      <c r="A134" s="86" t="s">
        <v>210</v>
      </c>
      <c r="B134" s="90" t="s">
        <v>53</v>
      </c>
      <c r="C134" s="86" t="s">
        <v>109</v>
      </c>
    </row>
    <row r="135" spans="1:3" ht="18" customHeight="1" x14ac:dyDescent="0.35">
      <c r="A135" s="86" t="s">
        <v>211</v>
      </c>
      <c r="B135" s="90" t="s">
        <v>53</v>
      </c>
      <c r="C135" s="86" t="s">
        <v>109</v>
      </c>
    </row>
    <row r="136" spans="1:3" ht="18" customHeight="1" x14ac:dyDescent="0.35">
      <c r="A136" s="86" t="s">
        <v>212</v>
      </c>
      <c r="B136" s="90" t="s">
        <v>53</v>
      </c>
      <c r="C136" s="86" t="s">
        <v>109</v>
      </c>
    </row>
    <row r="137" spans="1:3" ht="18" customHeight="1" x14ac:dyDescent="0.35">
      <c r="A137" s="86" t="s">
        <v>213</v>
      </c>
      <c r="B137" s="90" t="s">
        <v>53</v>
      </c>
      <c r="C137" s="86" t="s">
        <v>109</v>
      </c>
    </row>
    <row r="138" spans="1:3" ht="18" customHeight="1" x14ac:dyDescent="0.35">
      <c r="A138" s="86" t="s">
        <v>214</v>
      </c>
      <c r="B138" s="90" t="s">
        <v>53</v>
      </c>
      <c r="C138" s="86" t="s">
        <v>109</v>
      </c>
    </row>
    <row r="139" spans="1:3" ht="18" customHeight="1" x14ac:dyDescent="0.35">
      <c r="A139" s="86" t="s">
        <v>215</v>
      </c>
      <c r="B139" s="90" t="s">
        <v>53</v>
      </c>
      <c r="C139" s="86" t="s">
        <v>109</v>
      </c>
    </row>
    <row r="140" spans="1:3" ht="18" customHeight="1" x14ac:dyDescent="0.35">
      <c r="A140" s="86" t="s">
        <v>216</v>
      </c>
      <c r="B140" s="90" t="s">
        <v>53</v>
      </c>
      <c r="C140" s="86" t="s">
        <v>109</v>
      </c>
    </row>
    <row r="141" spans="1:3" ht="18" customHeight="1" x14ac:dyDescent="0.35">
      <c r="A141" s="86" t="s">
        <v>217</v>
      </c>
      <c r="B141" s="90" t="s">
        <v>53</v>
      </c>
      <c r="C141" s="86" t="s">
        <v>109</v>
      </c>
    </row>
    <row r="142" spans="1:3" ht="18" customHeight="1" x14ac:dyDescent="0.35">
      <c r="A142" s="86" t="s">
        <v>218</v>
      </c>
      <c r="B142" s="90" t="s">
        <v>53</v>
      </c>
      <c r="C142" s="86" t="s">
        <v>109</v>
      </c>
    </row>
    <row r="143" spans="1:3" ht="18" customHeight="1" x14ac:dyDescent="0.35">
      <c r="A143" s="86" t="s">
        <v>219</v>
      </c>
      <c r="B143" s="90" t="s">
        <v>53</v>
      </c>
      <c r="C143" s="86" t="s">
        <v>109</v>
      </c>
    </row>
    <row r="144" spans="1:3" ht="18" customHeight="1" x14ac:dyDescent="0.35">
      <c r="A144" s="86" t="s">
        <v>220</v>
      </c>
      <c r="B144" s="90" t="s">
        <v>53</v>
      </c>
      <c r="C144" s="86" t="s">
        <v>109</v>
      </c>
    </row>
    <row r="145" spans="1:3" ht="18" customHeight="1" x14ac:dyDescent="0.35">
      <c r="A145" s="86" t="s">
        <v>221</v>
      </c>
      <c r="B145" s="90" t="s">
        <v>53</v>
      </c>
      <c r="C145" s="86" t="s">
        <v>109</v>
      </c>
    </row>
    <row r="146" spans="1:3" ht="18" customHeight="1" x14ac:dyDescent="0.35">
      <c r="A146" s="86" t="s">
        <v>222</v>
      </c>
      <c r="B146" s="90" t="s">
        <v>53</v>
      </c>
      <c r="C146" s="86" t="s">
        <v>109</v>
      </c>
    </row>
    <row r="147" spans="1:3" ht="18" customHeight="1" x14ac:dyDescent="0.35">
      <c r="A147" s="86" t="s">
        <v>223</v>
      </c>
      <c r="B147" s="90" t="s">
        <v>53</v>
      </c>
      <c r="C147" s="86" t="s">
        <v>109</v>
      </c>
    </row>
    <row r="148" spans="1:3" ht="18" customHeight="1" x14ac:dyDescent="0.35">
      <c r="A148" s="86" t="s">
        <v>224</v>
      </c>
      <c r="B148" s="90" t="s">
        <v>53</v>
      </c>
      <c r="C148" s="86" t="s">
        <v>109</v>
      </c>
    </row>
    <row r="149" spans="1:3" ht="18" customHeight="1" x14ac:dyDescent="0.35">
      <c r="A149" s="86" t="s">
        <v>225</v>
      </c>
      <c r="B149" s="90" t="s">
        <v>53</v>
      </c>
      <c r="C149" s="86" t="s">
        <v>109</v>
      </c>
    </row>
    <row r="150" spans="1:3" ht="18" customHeight="1" x14ac:dyDescent="0.35">
      <c r="A150" s="86" t="s">
        <v>226</v>
      </c>
      <c r="B150" s="90" t="s">
        <v>53</v>
      </c>
      <c r="C150" s="86" t="s">
        <v>109</v>
      </c>
    </row>
    <row r="151" spans="1:3" ht="18" customHeight="1" x14ac:dyDescent="0.35">
      <c r="A151" s="86" t="s">
        <v>227</v>
      </c>
      <c r="B151" s="90" t="s">
        <v>53</v>
      </c>
      <c r="C151" s="86" t="s">
        <v>109</v>
      </c>
    </row>
    <row r="152" spans="1:3" ht="18" customHeight="1" x14ac:dyDescent="0.35">
      <c r="A152" s="86" t="s">
        <v>228</v>
      </c>
      <c r="B152" s="90" t="s">
        <v>53</v>
      </c>
      <c r="C152" s="86" t="s">
        <v>109</v>
      </c>
    </row>
    <row r="153" spans="1:3" ht="18" customHeight="1" x14ac:dyDescent="0.35">
      <c r="A153" s="86" t="s">
        <v>229</v>
      </c>
      <c r="B153" s="90" t="s">
        <v>53</v>
      </c>
      <c r="C153" s="86" t="s">
        <v>109</v>
      </c>
    </row>
    <row r="154" spans="1:3" ht="18" customHeight="1" x14ac:dyDescent="0.35">
      <c r="A154" s="86" t="s">
        <v>230</v>
      </c>
      <c r="B154" s="90" t="s">
        <v>53</v>
      </c>
      <c r="C154" s="86" t="s">
        <v>109</v>
      </c>
    </row>
    <row r="155" spans="1:3" ht="18" customHeight="1" x14ac:dyDescent="0.35">
      <c r="A155" s="86" t="s">
        <v>231</v>
      </c>
      <c r="B155" s="90" t="s">
        <v>53</v>
      </c>
      <c r="C155" s="86" t="s">
        <v>109</v>
      </c>
    </row>
    <row r="156" spans="1:3" ht="18" customHeight="1" x14ac:dyDescent="0.35">
      <c r="A156" s="86" t="s">
        <v>232</v>
      </c>
      <c r="B156" s="90" t="s">
        <v>53</v>
      </c>
      <c r="C156" s="86" t="s">
        <v>109</v>
      </c>
    </row>
    <row r="157" spans="1:3" ht="18" customHeight="1" x14ac:dyDescent="0.35">
      <c r="A157" s="86" t="s">
        <v>233</v>
      </c>
      <c r="B157" s="90" t="s">
        <v>53</v>
      </c>
      <c r="C157" s="86" t="s">
        <v>109</v>
      </c>
    </row>
    <row r="158" spans="1:3" ht="18" customHeight="1" x14ac:dyDescent="0.35">
      <c r="A158" s="86" t="s">
        <v>234</v>
      </c>
      <c r="B158" s="90" t="s">
        <v>53</v>
      </c>
      <c r="C158" s="86" t="s">
        <v>109</v>
      </c>
    </row>
    <row r="159" spans="1:3" ht="18" customHeight="1" x14ac:dyDescent="0.35">
      <c r="A159" s="86" t="s">
        <v>235</v>
      </c>
      <c r="B159" s="90" t="s">
        <v>53</v>
      </c>
      <c r="C159" s="86" t="s">
        <v>109</v>
      </c>
    </row>
    <row r="160" spans="1:3" ht="18" customHeight="1" x14ac:dyDescent="0.35">
      <c r="A160" s="86" t="s">
        <v>236</v>
      </c>
      <c r="B160" s="90" t="s">
        <v>53</v>
      </c>
      <c r="C160" s="86" t="s">
        <v>109</v>
      </c>
    </row>
    <row r="161" spans="1:3" ht="18" customHeight="1" x14ac:dyDescent="0.35">
      <c r="A161" s="86" t="s">
        <v>237</v>
      </c>
      <c r="B161" s="90" t="s">
        <v>53</v>
      </c>
      <c r="C161" s="86" t="s">
        <v>109</v>
      </c>
    </row>
    <row r="162" spans="1:3" ht="18" customHeight="1" x14ac:dyDescent="0.35">
      <c r="A162" s="86" t="s">
        <v>238</v>
      </c>
      <c r="B162" s="90" t="s">
        <v>53</v>
      </c>
      <c r="C162" s="86" t="s">
        <v>109</v>
      </c>
    </row>
    <row r="163" spans="1:3" ht="18" customHeight="1" x14ac:dyDescent="0.35">
      <c r="A163" s="86" t="s">
        <v>239</v>
      </c>
      <c r="B163" s="90" t="s">
        <v>53</v>
      </c>
      <c r="C163" s="86" t="s">
        <v>109</v>
      </c>
    </row>
    <row r="164" spans="1:3" ht="18" customHeight="1" x14ac:dyDescent="0.35">
      <c r="A164" s="86" t="s">
        <v>240</v>
      </c>
      <c r="B164" s="90" t="s">
        <v>53</v>
      </c>
      <c r="C164" s="86" t="s">
        <v>109</v>
      </c>
    </row>
    <row r="165" spans="1:3" ht="18" customHeight="1" x14ac:dyDescent="0.35">
      <c r="A165" s="86" t="s">
        <v>241</v>
      </c>
      <c r="B165" s="90" t="s">
        <v>53</v>
      </c>
      <c r="C165" s="86" t="s">
        <v>109</v>
      </c>
    </row>
    <row r="166" spans="1:3" ht="18" customHeight="1" x14ac:dyDescent="0.35">
      <c r="A166" s="86" t="s">
        <v>242</v>
      </c>
      <c r="B166" s="90" t="s">
        <v>53</v>
      </c>
      <c r="C166" s="86" t="s">
        <v>109</v>
      </c>
    </row>
    <row r="167" spans="1:3" ht="18" customHeight="1" x14ac:dyDescent="0.35">
      <c r="A167" s="86" t="s">
        <v>243</v>
      </c>
      <c r="B167" s="90" t="s">
        <v>53</v>
      </c>
      <c r="C167" s="86" t="s">
        <v>109</v>
      </c>
    </row>
    <row r="168" spans="1:3" ht="18" customHeight="1" x14ac:dyDescent="0.35">
      <c r="A168" s="86" t="s">
        <v>244</v>
      </c>
      <c r="B168" s="90" t="s">
        <v>53</v>
      </c>
      <c r="C168" s="86" t="s">
        <v>109</v>
      </c>
    </row>
    <row r="169" spans="1:3" ht="18" customHeight="1" x14ac:dyDescent="0.35">
      <c r="A169" s="86" t="s">
        <v>245</v>
      </c>
      <c r="B169" s="90" t="s">
        <v>53</v>
      </c>
      <c r="C169" s="86" t="s">
        <v>109</v>
      </c>
    </row>
    <row r="170" spans="1:3" ht="18" customHeight="1" x14ac:dyDescent="0.35">
      <c r="A170" s="86" t="s">
        <v>246</v>
      </c>
      <c r="B170" s="90" t="s">
        <v>53</v>
      </c>
      <c r="C170" s="86" t="s">
        <v>109</v>
      </c>
    </row>
    <row r="171" spans="1:3" ht="18" customHeight="1" x14ac:dyDescent="0.35">
      <c r="A171" s="86" t="s">
        <v>247</v>
      </c>
      <c r="B171" s="90" t="s">
        <v>53</v>
      </c>
      <c r="C171" s="86" t="s">
        <v>109</v>
      </c>
    </row>
    <row r="172" spans="1:3" ht="18" customHeight="1" x14ac:dyDescent="0.35">
      <c r="A172" s="86" t="s">
        <v>248</v>
      </c>
      <c r="B172" s="90" t="s">
        <v>53</v>
      </c>
      <c r="C172" s="86" t="s">
        <v>109</v>
      </c>
    </row>
    <row r="173" spans="1:3" ht="18" customHeight="1" x14ac:dyDescent="0.35">
      <c r="A173" s="86" t="s">
        <v>249</v>
      </c>
      <c r="B173" s="90" t="s">
        <v>53</v>
      </c>
      <c r="C173" s="86" t="s">
        <v>109</v>
      </c>
    </row>
    <row r="174" spans="1:3" ht="18" customHeight="1" x14ac:dyDescent="0.35">
      <c r="A174" s="86" t="s">
        <v>250</v>
      </c>
      <c r="B174" s="90" t="s">
        <v>53</v>
      </c>
      <c r="C174" s="86" t="s">
        <v>109</v>
      </c>
    </row>
    <row r="175" spans="1:3" ht="18" customHeight="1" x14ac:dyDescent="0.35">
      <c r="A175" s="86" t="s">
        <v>251</v>
      </c>
      <c r="B175" s="90" t="s">
        <v>53</v>
      </c>
      <c r="C175" s="86" t="s">
        <v>109</v>
      </c>
    </row>
    <row r="176" spans="1:3" ht="18" customHeight="1" x14ac:dyDescent="0.35">
      <c r="A176" s="86" t="s">
        <v>252</v>
      </c>
      <c r="B176" s="90" t="s">
        <v>53</v>
      </c>
      <c r="C176" s="86" t="s">
        <v>109</v>
      </c>
    </row>
    <row r="177" spans="1:3" ht="18" customHeight="1" x14ac:dyDescent="0.35">
      <c r="A177" s="86" t="s">
        <v>253</v>
      </c>
      <c r="B177" s="90" t="s">
        <v>53</v>
      </c>
      <c r="C177" s="86" t="s">
        <v>109</v>
      </c>
    </row>
    <row r="178" spans="1:3" ht="18" customHeight="1" x14ac:dyDescent="0.35">
      <c r="A178" s="86" t="s">
        <v>254</v>
      </c>
      <c r="B178" s="90" t="s">
        <v>53</v>
      </c>
      <c r="C178" s="86" t="s">
        <v>109</v>
      </c>
    </row>
    <row r="179" spans="1:3" ht="18" customHeight="1" x14ac:dyDescent="0.35">
      <c r="A179" s="86" t="s">
        <v>255</v>
      </c>
      <c r="B179" s="90" t="s">
        <v>53</v>
      </c>
      <c r="C179" s="86" t="s">
        <v>109</v>
      </c>
    </row>
    <row r="180" spans="1:3" ht="18" customHeight="1" x14ac:dyDescent="0.35">
      <c r="A180" s="86" t="s">
        <v>256</v>
      </c>
      <c r="B180" s="90" t="s">
        <v>53</v>
      </c>
      <c r="C180" s="86" t="s">
        <v>109</v>
      </c>
    </row>
    <row r="181" spans="1:3" ht="18" customHeight="1" x14ac:dyDescent="0.35">
      <c r="A181" s="86" t="s">
        <v>257</v>
      </c>
      <c r="B181" s="90" t="s">
        <v>53</v>
      </c>
      <c r="C181" s="86" t="s">
        <v>109</v>
      </c>
    </row>
    <row r="182" spans="1:3" ht="18" customHeight="1" x14ac:dyDescent="0.35">
      <c r="A182" s="86" t="s">
        <v>258</v>
      </c>
      <c r="B182" s="90" t="s">
        <v>53</v>
      </c>
      <c r="C182" s="86" t="s">
        <v>109</v>
      </c>
    </row>
    <row r="183" spans="1:3" ht="18" customHeight="1" x14ac:dyDescent="0.35">
      <c r="A183" s="86" t="s">
        <v>259</v>
      </c>
      <c r="B183" s="90" t="s">
        <v>53</v>
      </c>
      <c r="C183" s="86" t="s">
        <v>109</v>
      </c>
    </row>
    <row r="184" spans="1:3" ht="18" customHeight="1" x14ac:dyDescent="0.35">
      <c r="A184" s="86" t="s">
        <v>260</v>
      </c>
      <c r="B184" s="90" t="s">
        <v>53</v>
      </c>
      <c r="C184" s="86" t="s">
        <v>109</v>
      </c>
    </row>
    <row r="185" spans="1:3" ht="18" customHeight="1" x14ac:dyDescent="0.35">
      <c r="A185" s="86" t="s">
        <v>261</v>
      </c>
      <c r="B185" s="90" t="s">
        <v>53</v>
      </c>
      <c r="C185" s="86" t="s">
        <v>109</v>
      </c>
    </row>
    <row r="186" spans="1:3" ht="18" customHeight="1" x14ac:dyDescent="0.35">
      <c r="A186" s="86" t="s">
        <v>262</v>
      </c>
      <c r="B186" s="90" t="s">
        <v>53</v>
      </c>
      <c r="C186" s="86" t="s">
        <v>109</v>
      </c>
    </row>
    <row r="187" spans="1:3" ht="18" customHeight="1" x14ac:dyDescent="0.35">
      <c r="A187" s="86" t="s">
        <v>263</v>
      </c>
      <c r="B187" s="90" t="s">
        <v>53</v>
      </c>
      <c r="C187" s="86" t="s">
        <v>109</v>
      </c>
    </row>
    <row r="188" spans="1:3" ht="18" customHeight="1" x14ac:dyDescent="0.35">
      <c r="A188" s="86" t="s">
        <v>264</v>
      </c>
      <c r="B188" s="90" t="s">
        <v>53</v>
      </c>
      <c r="C188" s="86" t="s">
        <v>109</v>
      </c>
    </row>
    <row r="189" spans="1:3" ht="18" customHeight="1" x14ac:dyDescent="0.35">
      <c r="A189" s="86" t="s">
        <v>265</v>
      </c>
      <c r="B189" s="90" t="s">
        <v>53</v>
      </c>
      <c r="C189" s="86" t="s">
        <v>109</v>
      </c>
    </row>
    <row r="190" spans="1:3" ht="18" customHeight="1" x14ac:dyDescent="0.35">
      <c r="A190" s="86" t="s">
        <v>266</v>
      </c>
      <c r="B190" s="90" t="s">
        <v>53</v>
      </c>
      <c r="C190" s="86" t="s">
        <v>109</v>
      </c>
    </row>
    <row r="191" spans="1:3" ht="18" customHeight="1" x14ac:dyDescent="0.35">
      <c r="A191" s="86" t="s">
        <v>267</v>
      </c>
      <c r="B191" s="90" t="s">
        <v>53</v>
      </c>
      <c r="C191" s="86" t="s">
        <v>109</v>
      </c>
    </row>
    <row r="192" spans="1:3" ht="18" customHeight="1" x14ac:dyDescent="0.35">
      <c r="A192" s="86" t="s">
        <v>268</v>
      </c>
      <c r="B192" s="90" t="s">
        <v>53</v>
      </c>
      <c r="C192" s="86" t="s">
        <v>109</v>
      </c>
    </row>
    <row r="193" spans="1:3" ht="18" customHeight="1" x14ac:dyDescent="0.35">
      <c r="A193" s="86" t="s">
        <v>269</v>
      </c>
      <c r="B193" s="90" t="s">
        <v>53</v>
      </c>
      <c r="C193" s="86" t="s">
        <v>109</v>
      </c>
    </row>
    <row r="194" spans="1:3" ht="18" customHeight="1" x14ac:dyDescent="0.35">
      <c r="A194" s="86" t="s">
        <v>270</v>
      </c>
      <c r="B194" s="90" t="s">
        <v>53</v>
      </c>
      <c r="C194" s="86" t="s">
        <v>109</v>
      </c>
    </row>
    <row r="195" spans="1:3" ht="18" customHeight="1" x14ac:dyDescent="0.35">
      <c r="A195" s="86" t="s">
        <v>271</v>
      </c>
      <c r="B195" s="90" t="s">
        <v>53</v>
      </c>
      <c r="C195" s="86" t="s">
        <v>109</v>
      </c>
    </row>
    <row r="196" spans="1:3" ht="18" customHeight="1" x14ac:dyDescent="0.35">
      <c r="A196" s="86" t="s">
        <v>272</v>
      </c>
      <c r="B196" s="90" t="s">
        <v>53</v>
      </c>
      <c r="C196" s="86" t="s">
        <v>109</v>
      </c>
    </row>
    <row r="197" spans="1:3" ht="18" customHeight="1" x14ac:dyDescent="0.35">
      <c r="A197" s="86" t="s">
        <v>273</v>
      </c>
      <c r="B197" s="90" t="s">
        <v>53</v>
      </c>
      <c r="C197" s="86" t="s">
        <v>109</v>
      </c>
    </row>
    <row r="198" spans="1:3" ht="18" customHeight="1" x14ac:dyDescent="0.35">
      <c r="A198" s="86" t="s">
        <v>274</v>
      </c>
      <c r="B198" s="90" t="s">
        <v>53</v>
      </c>
      <c r="C198" s="86" t="s">
        <v>109</v>
      </c>
    </row>
    <row r="199" spans="1:3" ht="18" customHeight="1" x14ac:dyDescent="0.35">
      <c r="A199" s="86" t="s">
        <v>275</v>
      </c>
      <c r="B199" s="90" t="s">
        <v>53</v>
      </c>
      <c r="C199" s="86" t="s">
        <v>109</v>
      </c>
    </row>
    <row r="200" spans="1:3" ht="18" customHeight="1" x14ac:dyDescent="0.35">
      <c r="A200" s="86" t="s">
        <v>276</v>
      </c>
      <c r="B200" s="90" t="s">
        <v>53</v>
      </c>
      <c r="C200" s="86" t="s">
        <v>109</v>
      </c>
    </row>
    <row r="201" spans="1:3" ht="18" customHeight="1" x14ac:dyDescent="0.35">
      <c r="A201" s="86" t="s">
        <v>277</v>
      </c>
      <c r="B201" s="90" t="s">
        <v>53</v>
      </c>
      <c r="C201" s="86" t="s">
        <v>109</v>
      </c>
    </row>
    <row r="202" spans="1:3" ht="18" customHeight="1" x14ac:dyDescent="0.35">
      <c r="A202" s="86" t="s">
        <v>278</v>
      </c>
      <c r="B202" s="90" t="s">
        <v>53</v>
      </c>
      <c r="C202" s="86" t="s">
        <v>109</v>
      </c>
    </row>
    <row r="203" spans="1:3" ht="18" customHeight="1" x14ac:dyDescent="0.35">
      <c r="A203" s="86" t="s">
        <v>279</v>
      </c>
      <c r="B203" s="90" t="s">
        <v>53</v>
      </c>
      <c r="C203" s="86" t="s">
        <v>109</v>
      </c>
    </row>
    <row r="204" spans="1:3" ht="18" customHeight="1" x14ac:dyDescent="0.35">
      <c r="A204" s="86" t="s">
        <v>280</v>
      </c>
      <c r="B204" s="90" t="s">
        <v>53</v>
      </c>
      <c r="C204" s="86" t="s">
        <v>109</v>
      </c>
    </row>
    <row r="205" spans="1:3" ht="18" customHeight="1" x14ac:dyDescent="0.35">
      <c r="A205" s="86" t="s">
        <v>281</v>
      </c>
      <c r="B205" s="90" t="s">
        <v>53</v>
      </c>
      <c r="C205" s="86" t="s">
        <v>109</v>
      </c>
    </row>
    <row r="206" spans="1:3" ht="18" customHeight="1" x14ac:dyDescent="0.35">
      <c r="A206" s="86" t="s">
        <v>282</v>
      </c>
      <c r="B206" s="90" t="s">
        <v>53</v>
      </c>
      <c r="C206" s="86" t="s">
        <v>109</v>
      </c>
    </row>
    <row r="207" spans="1:3" ht="18" customHeight="1" x14ac:dyDescent="0.35">
      <c r="A207" s="86" t="s">
        <v>283</v>
      </c>
      <c r="B207" s="90" t="s">
        <v>53</v>
      </c>
      <c r="C207" s="86" t="s">
        <v>109</v>
      </c>
    </row>
    <row r="208" spans="1:3" ht="18" customHeight="1" x14ac:dyDescent="0.35">
      <c r="A208" s="86" t="s">
        <v>284</v>
      </c>
      <c r="B208" s="90" t="s">
        <v>53</v>
      </c>
      <c r="C208" s="86" t="s">
        <v>109</v>
      </c>
    </row>
    <row r="209" spans="1:3" ht="18" customHeight="1" x14ac:dyDescent="0.35">
      <c r="A209" s="86" t="s">
        <v>285</v>
      </c>
      <c r="B209" s="90" t="s">
        <v>53</v>
      </c>
      <c r="C209" s="86" t="s">
        <v>109</v>
      </c>
    </row>
    <row r="210" spans="1:3" ht="18" customHeight="1" x14ac:dyDescent="0.35">
      <c r="A210" s="86" t="s">
        <v>286</v>
      </c>
      <c r="B210" s="90" t="s">
        <v>53</v>
      </c>
      <c r="C210" s="86" t="s">
        <v>109</v>
      </c>
    </row>
    <row r="211" spans="1:3" ht="18" customHeight="1" x14ac:dyDescent="0.35">
      <c r="A211" s="86" t="s">
        <v>287</v>
      </c>
      <c r="B211" s="90" t="s">
        <v>53</v>
      </c>
      <c r="C211" s="86" t="s">
        <v>109</v>
      </c>
    </row>
    <row r="212" spans="1:3" ht="18" customHeight="1" x14ac:dyDescent="0.35">
      <c r="A212" s="86" t="s">
        <v>288</v>
      </c>
      <c r="B212" s="90" t="s">
        <v>53</v>
      </c>
      <c r="C212" s="86" t="s">
        <v>109</v>
      </c>
    </row>
    <row r="213" spans="1:3" ht="18" customHeight="1" x14ac:dyDescent="0.35">
      <c r="A213" s="86" t="s">
        <v>289</v>
      </c>
      <c r="B213" s="90" t="s">
        <v>53</v>
      </c>
      <c r="C213" s="86" t="s">
        <v>109</v>
      </c>
    </row>
    <row r="214" spans="1:3" ht="18" customHeight="1" x14ac:dyDescent="0.35">
      <c r="A214" s="86" t="s">
        <v>290</v>
      </c>
      <c r="B214" s="90" t="s">
        <v>53</v>
      </c>
      <c r="C214" s="86" t="s">
        <v>109</v>
      </c>
    </row>
    <row r="215" spans="1:3" ht="18" customHeight="1" x14ac:dyDescent="0.35">
      <c r="A215" s="86" t="s">
        <v>291</v>
      </c>
      <c r="B215" s="90" t="s">
        <v>53</v>
      </c>
      <c r="C215" s="86" t="s">
        <v>109</v>
      </c>
    </row>
    <row r="216" spans="1:3" ht="18" customHeight="1" x14ac:dyDescent="0.35">
      <c r="A216" s="86" t="s">
        <v>292</v>
      </c>
      <c r="B216" s="90" t="s">
        <v>53</v>
      </c>
      <c r="C216" s="86" t="s">
        <v>109</v>
      </c>
    </row>
    <row r="217" spans="1:3" ht="18" customHeight="1" x14ac:dyDescent="0.35">
      <c r="A217" s="86" t="s">
        <v>293</v>
      </c>
      <c r="B217" s="90" t="s">
        <v>53</v>
      </c>
      <c r="C217" s="86" t="s">
        <v>109</v>
      </c>
    </row>
    <row r="218" spans="1:3" ht="18" customHeight="1" x14ac:dyDescent="0.35">
      <c r="A218" s="86" t="s">
        <v>294</v>
      </c>
      <c r="B218" s="90" t="s">
        <v>53</v>
      </c>
      <c r="C218" s="86" t="s">
        <v>109</v>
      </c>
    </row>
    <row r="219" spans="1:3" ht="18" customHeight="1" x14ac:dyDescent="0.35">
      <c r="A219" s="86" t="s">
        <v>295</v>
      </c>
      <c r="B219" s="90" t="s">
        <v>53</v>
      </c>
      <c r="C219" s="86" t="s">
        <v>109</v>
      </c>
    </row>
    <row r="220" spans="1:3" ht="18" customHeight="1" x14ac:dyDescent="0.35">
      <c r="A220" s="86" t="s">
        <v>296</v>
      </c>
      <c r="B220" s="90" t="s">
        <v>53</v>
      </c>
      <c r="C220" s="86" t="s">
        <v>109</v>
      </c>
    </row>
    <row r="221" spans="1:3" ht="18" customHeight="1" x14ac:dyDescent="0.35">
      <c r="A221" s="86" t="s">
        <v>297</v>
      </c>
      <c r="B221" s="90" t="s">
        <v>53</v>
      </c>
      <c r="C221" s="86" t="s">
        <v>109</v>
      </c>
    </row>
    <row r="222" spans="1:3" ht="18" customHeight="1" x14ac:dyDescent="0.35">
      <c r="A222" s="86" t="s">
        <v>298</v>
      </c>
      <c r="B222" s="90" t="s">
        <v>53</v>
      </c>
      <c r="C222" s="86" t="s">
        <v>109</v>
      </c>
    </row>
    <row r="223" spans="1:3" ht="18" customHeight="1" x14ac:dyDescent="0.35">
      <c r="A223" s="86" t="s">
        <v>299</v>
      </c>
      <c r="B223" s="90" t="s">
        <v>53</v>
      </c>
      <c r="C223" s="86" t="s">
        <v>109</v>
      </c>
    </row>
    <row r="224" spans="1:3" ht="18" customHeight="1" x14ac:dyDescent="0.35">
      <c r="A224" s="86" t="s">
        <v>300</v>
      </c>
      <c r="B224" s="90" t="s">
        <v>53</v>
      </c>
      <c r="C224" s="86" t="s">
        <v>109</v>
      </c>
    </row>
    <row r="225" spans="1:3" ht="18" customHeight="1" x14ac:dyDescent="0.35">
      <c r="A225" s="86" t="s">
        <v>301</v>
      </c>
      <c r="B225" s="90" t="s">
        <v>53</v>
      </c>
      <c r="C225" s="86" t="s">
        <v>109</v>
      </c>
    </row>
    <row r="226" spans="1:3" ht="18" customHeight="1" x14ac:dyDescent="0.35">
      <c r="A226" s="86" t="s">
        <v>302</v>
      </c>
      <c r="B226" s="90" t="s">
        <v>53</v>
      </c>
      <c r="C226" s="86" t="s">
        <v>109</v>
      </c>
    </row>
    <row r="227" spans="1:3" ht="18" customHeight="1" x14ac:dyDescent="0.35">
      <c r="A227" s="86" t="s">
        <v>303</v>
      </c>
      <c r="B227" s="90" t="s">
        <v>53</v>
      </c>
      <c r="C227" s="86" t="s">
        <v>109</v>
      </c>
    </row>
    <row r="228" spans="1:3" ht="18" customHeight="1" x14ac:dyDescent="0.35">
      <c r="A228" s="86" t="s">
        <v>304</v>
      </c>
      <c r="B228" s="90" t="s">
        <v>53</v>
      </c>
      <c r="C228" s="86" t="s">
        <v>109</v>
      </c>
    </row>
    <row r="229" spans="1:3" ht="18" customHeight="1" x14ac:dyDescent="0.35">
      <c r="A229" s="86" t="s">
        <v>305</v>
      </c>
      <c r="B229" s="90" t="s">
        <v>53</v>
      </c>
      <c r="C229" s="86" t="s">
        <v>109</v>
      </c>
    </row>
    <row r="230" spans="1:3" ht="18" customHeight="1" x14ac:dyDescent="0.35">
      <c r="A230" s="86" t="s">
        <v>306</v>
      </c>
      <c r="B230" s="90" t="s">
        <v>53</v>
      </c>
      <c r="C230" s="86" t="s">
        <v>109</v>
      </c>
    </row>
    <row r="231" spans="1:3" ht="18" customHeight="1" x14ac:dyDescent="0.35">
      <c r="A231" s="86" t="s">
        <v>307</v>
      </c>
      <c r="B231" s="90" t="s">
        <v>53</v>
      </c>
      <c r="C231" s="86" t="s">
        <v>109</v>
      </c>
    </row>
    <row r="232" spans="1:3" ht="18" customHeight="1" x14ac:dyDescent="0.35">
      <c r="A232" s="86" t="s">
        <v>308</v>
      </c>
      <c r="B232" s="90" t="s">
        <v>53</v>
      </c>
      <c r="C232" s="86" t="s">
        <v>109</v>
      </c>
    </row>
    <row r="233" spans="1:3" ht="18" customHeight="1" x14ac:dyDescent="0.35">
      <c r="A233" s="86" t="s">
        <v>309</v>
      </c>
      <c r="B233" s="90" t="s">
        <v>53</v>
      </c>
      <c r="C233" s="86" t="s">
        <v>109</v>
      </c>
    </row>
    <row r="234" spans="1:3" ht="18" customHeight="1" x14ac:dyDescent="0.35">
      <c r="A234" s="86" t="s">
        <v>310</v>
      </c>
      <c r="B234" s="90" t="s">
        <v>53</v>
      </c>
      <c r="C234" s="86" t="s">
        <v>109</v>
      </c>
    </row>
    <row r="235" spans="1:3" ht="18" customHeight="1" x14ac:dyDescent="0.35">
      <c r="A235" s="86" t="s">
        <v>311</v>
      </c>
      <c r="B235" s="90" t="s">
        <v>53</v>
      </c>
      <c r="C235" s="86" t="s">
        <v>109</v>
      </c>
    </row>
    <row r="236" spans="1:3" ht="18" customHeight="1" x14ac:dyDescent="0.35">
      <c r="A236" s="86" t="s">
        <v>312</v>
      </c>
      <c r="B236" s="90" t="s">
        <v>53</v>
      </c>
      <c r="C236" s="86" t="s">
        <v>109</v>
      </c>
    </row>
    <row r="237" spans="1:3" ht="18" customHeight="1" x14ac:dyDescent="0.35">
      <c r="A237" s="86" t="s">
        <v>313</v>
      </c>
      <c r="B237" s="90" t="s">
        <v>53</v>
      </c>
      <c r="C237" s="86" t="s">
        <v>109</v>
      </c>
    </row>
    <row r="238" spans="1:3" ht="18" customHeight="1" x14ac:dyDescent="0.35">
      <c r="A238" s="86" t="s">
        <v>314</v>
      </c>
      <c r="B238" s="90" t="s">
        <v>53</v>
      </c>
      <c r="C238" s="86" t="s">
        <v>109</v>
      </c>
    </row>
    <row r="239" spans="1:3" ht="18" customHeight="1" x14ac:dyDescent="0.35">
      <c r="A239" s="86" t="s">
        <v>315</v>
      </c>
      <c r="B239" s="90" t="s">
        <v>53</v>
      </c>
      <c r="C239" s="86" t="s">
        <v>109</v>
      </c>
    </row>
    <row r="240" spans="1:3" ht="18" customHeight="1" x14ac:dyDescent="0.35">
      <c r="A240" s="86" t="s">
        <v>316</v>
      </c>
      <c r="B240" s="90" t="s">
        <v>53</v>
      </c>
      <c r="C240" s="86" t="s">
        <v>109</v>
      </c>
    </row>
    <row r="241" spans="1:3" ht="18" customHeight="1" x14ac:dyDescent="0.35">
      <c r="A241" s="86" t="s">
        <v>317</v>
      </c>
      <c r="B241" s="90" t="s">
        <v>53</v>
      </c>
      <c r="C241" s="86" t="s">
        <v>128</v>
      </c>
    </row>
    <row r="242" spans="1:3" ht="18" customHeight="1" x14ac:dyDescent="0.35">
      <c r="A242" s="86" t="s">
        <v>318</v>
      </c>
      <c r="B242" s="90" t="s">
        <v>53</v>
      </c>
      <c r="C242" s="86" t="s">
        <v>128</v>
      </c>
    </row>
    <row r="243" spans="1:3" ht="18" customHeight="1" x14ac:dyDescent="0.35">
      <c r="A243" s="86" t="s">
        <v>319</v>
      </c>
      <c r="B243" s="90" t="s">
        <v>53</v>
      </c>
      <c r="C243" s="86" t="s">
        <v>128</v>
      </c>
    </row>
    <row r="244" spans="1:3" ht="18" customHeight="1" x14ac:dyDescent="0.35">
      <c r="A244" s="86" t="s">
        <v>320</v>
      </c>
      <c r="B244" s="90" t="s">
        <v>53</v>
      </c>
      <c r="C244" s="86" t="s">
        <v>128</v>
      </c>
    </row>
    <row r="245" spans="1:3" ht="18" customHeight="1" x14ac:dyDescent="0.35">
      <c r="A245" s="86" t="s">
        <v>321</v>
      </c>
      <c r="B245" s="90" t="s">
        <v>53</v>
      </c>
      <c r="C245" s="86" t="s">
        <v>128</v>
      </c>
    </row>
    <row r="246" spans="1:3" ht="18" customHeight="1" x14ac:dyDescent="0.35">
      <c r="A246" s="86" t="s">
        <v>322</v>
      </c>
      <c r="B246" s="90" t="s">
        <v>53</v>
      </c>
      <c r="C246" s="86" t="s">
        <v>128</v>
      </c>
    </row>
    <row r="247" spans="1:3" ht="18" customHeight="1" x14ac:dyDescent="0.35">
      <c r="A247" s="86" t="s">
        <v>323</v>
      </c>
      <c r="B247" s="90" t="s">
        <v>53</v>
      </c>
      <c r="C247" s="86" t="s">
        <v>128</v>
      </c>
    </row>
    <row r="248" spans="1:3" ht="18" customHeight="1" x14ac:dyDescent="0.35">
      <c r="A248" s="86" t="s">
        <v>324</v>
      </c>
      <c r="B248" s="90" t="s">
        <v>53</v>
      </c>
      <c r="C248" s="86" t="s">
        <v>128</v>
      </c>
    </row>
    <row r="249" spans="1:3" ht="18" customHeight="1" x14ac:dyDescent="0.35">
      <c r="A249" s="86" t="s">
        <v>325</v>
      </c>
      <c r="B249" s="90" t="s">
        <v>53</v>
      </c>
      <c r="C249" s="86" t="s">
        <v>128</v>
      </c>
    </row>
    <row r="250" spans="1:3" ht="18" customHeight="1" x14ac:dyDescent="0.35">
      <c r="A250" s="86" t="s">
        <v>326</v>
      </c>
      <c r="B250" s="90" t="s">
        <v>53</v>
      </c>
      <c r="C250" s="86" t="s">
        <v>128</v>
      </c>
    </row>
    <row r="251" spans="1:3" ht="18" customHeight="1" x14ac:dyDescent="0.35">
      <c r="A251" s="86" t="s">
        <v>327</v>
      </c>
      <c r="B251" s="90" t="s">
        <v>53</v>
      </c>
      <c r="C251" s="86" t="s">
        <v>128</v>
      </c>
    </row>
    <row r="252" spans="1:3" ht="18" customHeight="1" x14ac:dyDescent="0.35">
      <c r="A252" s="86" t="s">
        <v>328</v>
      </c>
      <c r="B252" s="90" t="s">
        <v>53</v>
      </c>
      <c r="C252" s="86" t="s">
        <v>128</v>
      </c>
    </row>
    <row r="253" spans="1:3" ht="18" customHeight="1" x14ac:dyDescent="0.35">
      <c r="A253" s="86" t="s">
        <v>329</v>
      </c>
      <c r="B253" s="90" t="s">
        <v>53</v>
      </c>
      <c r="C253" s="86" t="s">
        <v>128</v>
      </c>
    </row>
    <row r="254" spans="1:3" ht="18" customHeight="1" x14ac:dyDescent="0.35">
      <c r="A254" s="86" t="s">
        <v>330</v>
      </c>
      <c r="B254" s="90" t="s">
        <v>53</v>
      </c>
      <c r="C254" s="86" t="s">
        <v>128</v>
      </c>
    </row>
    <row r="255" spans="1:3" ht="18" customHeight="1" x14ac:dyDescent="0.35">
      <c r="A255" s="86" t="s">
        <v>331</v>
      </c>
      <c r="B255" s="90" t="s">
        <v>53</v>
      </c>
      <c r="C255" s="86" t="s">
        <v>128</v>
      </c>
    </row>
    <row r="256" spans="1:3" ht="18" customHeight="1" x14ac:dyDescent="0.35">
      <c r="A256" s="86" t="s">
        <v>332</v>
      </c>
      <c r="B256" s="90" t="s">
        <v>53</v>
      </c>
      <c r="C256" s="86" t="s">
        <v>128</v>
      </c>
    </row>
    <row r="257" spans="1:3" ht="18" customHeight="1" x14ac:dyDescent="0.35">
      <c r="A257" s="86" t="s">
        <v>333</v>
      </c>
      <c r="B257" s="90" t="s">
        <v>53</v>
      </c>
      <c r="C257" s="86" t="s">
        <v>128</v>
      </c>
    </row>
    <row r="258" spans="1:3" ht="18" customHeight="1" x14ac:dyDescent="0.35">
      <c r="A258" s="86" t="s">
        <v>334</v>
      </c>
      <c r="B258" s="90" t="s">
        <v>53</v>
      </c>
      <c r="C258" s="86" t="s">
        <v>128</v>
      </c>
    </row>
    <row r="259" spans="1:3" ht="18" customHeight="1" x14ac:dyDescent="0.35">
      <c r="A259" s="86" t="s">
        <v>335</v>
      </c>
      <c r="B259" s="90" t="s">
        <v>53</v>
      </c>
      <c r="C259" s="86" t="s">
        <v>128</v>
      </c>
    </row>
    <row r="260" spans="1:3" ht="18" customHeight="1" x14ac:dyDescent="0.35">
      <c r="A260" s="86" t="s">
        <v>336</v>
      </c>
      <c r="B260" s="90" t="s">
        <v>53</v>
      </c>
      <c r="C260" s="86" t="s">
        <v>128</v>
      </c>
    </row>
    <row r="261" spans="1:3" ht="18" customHeight="1" x14ac:dyDescent="0.35">
      <c r="A261" s="86" t="s">
        <v>337</v>
      </c>
      <c r="B261" s="90" t="s">
        <v>53</v>
      </c>
      <c r="C261" s="86" t="s">
        <v>128</v>
      </c>
    </row>
    <row r="262" spans="1:3" ht="18" customHeight="1" x14ac:dyDescent="0.35">
      <c r="A262" s="86" t="s">
        <v>338</v>
      </c>
      <c r="B262" s="90" t="s">
        <v>53</v>
      </c>
      <c r="C262" s="86" t="s">
        <v>128</v>
      </c>
    </row>
    <row r="263" spans="1:3" ht="18" customHeight="1" x14ac:dyDescent="0.35">
      <c r="A263" s="86" t="s">
        <v>339</v>
      </c>
      <c r="B263" s="90" t="s">
        <v>53</v>
      </c>
      <c r="C263" s="86" t="s">
        <v>128</v>
      </c>
    </row>
    <row r="264" spans="1:3" ht="18" customHeight="1" x14ac:dyDescent="0.35">
      <c r="A264" s="86" t="s">
        <v>340</v>
      </c>
      <c r="B264" s="90" t="s">
        <v>53</v>
      </c>
      <c r="C264" s="86" t="s">
        <v>128</v>
      </c>
    </row>
    <row r="265" spans="1:3" ht="18" customHeight="1" x14ac:dyDescent="0.35">
      <c r="A265" s="86" t="s">
        <v>341</v>
      </c>
      <c r="B265" s="90" t="s">
        <v>53</v>
      </c>
      <c r="C265" s="86" t="s">
        <v>128</v>
      </c>
    </row>
    <row r="266" spans="1:3" ht="18" customHeight="1" x14ac:dyDescent="0.35">
      <c r="A266" s="86" t="s">
        <v>342</v>
      </c>
      <c r="B266" s="90" t="s">
        <v>53</v>
      </c>
      <c r="C266" s="86" t="s">
        <v>128</v>
      </c>
    </row>
    <row r="267" spans="1:3" ht="18" customHeight="1" x14ac:dyDescent="0.35">
      <c r="A267" s="86" t="s">
        <v>343</v>
      </c>
      <c r="B267" s="90" t="s">
        <v>53</v>
      </c>
      <c r="C267" s="86" t="s">
        <v>128</v>
      </c>
    </row>
    <row r="268" spans="1:3" ht="18" customHeight="1" x14ac:dyDescent="0.35">
      <c r="A268" s="86" t="s">
        <v>344</v>
      </c>
      <c r="B268" s="90" t="s">
        <v>53</v>
      </c>
      <c r="C268" s="86" t="s">
        <v>128</v>
      </c>
    </row>
    <row r="269" spans="1:3" ht="18" customHeight="1" x14ac:dyDescent="0.35">
      <c r="A269" s="86" t="s">
        <v>345</v>
      </c>
      <c r="B269" s="90" t="s">
        <v>53</v>
      </c>
      <c r="C269" s="86" t="s">
        <v>128</v>
      </c>
    </row>
    <row r="270" spans="1:3" ht="18" customHeight="1" x14ac:dyDescent="0.35">
      <c r="A270" s="86" t="s">
        <v>346</v>
      </c>
      <c r="B270" s="90" t="s">
        <v>53</v>
      </c>
      <c r="C270" s="86" t="s">
        <v>128</v>
      </c>
    </row>
    <row r="271" spans="1:3" ht="18" customHeight="1" x14ac:dyDescent="0.35">
      <c r="A271" s="86" t="s">
        <v>347</v>
      </c>
      <c r="B271" s="90" t="s">
        <v>53</v>
      </c>
      <c r="C271" s="86" t="s">
        <v>128</v>
      </c>
    </row>
    <row r="272" spans="1:3" ht="18" customHeight="1" x14ac:dyDescent="0.35">
      <c r="A272" s="86" t="s">
        <v>348</v>
      </c>
      <c r="B272" s="90" t="s">
        <v>53</v>
      </c>
      <c r="C272" s="86" t="s">
        <v>128</v>
      </c>
    </row>
    <row r="273" spans="1:3" ht="18" customHeight="1" x14ac:dyDescent="0.35">
      <c r="A273" s="86" t="s">
        <v>349</v>
      </c>
      <c r="B273" s="90" t="s">
        <v>53</v>
      </c>
      <c r="C273" s="86" t="s">
        <v>128</v>
      </c>
    </row>
    <row r="274" spans="1:3" ht="18" customHeight="1" x14ac:dyDescent="0.35">
      <c r="A274" s="86" t="s">
        <v>350</v>
      </c>
      <c r="B274" s="90" t="s">
        <v>53</v>
      </c>
      <c r="C274" s="86" t="s">
        <v>128</v>
      </c>
    </row>
    <row r="275" spans="1:3" ht="18" customHeight="1" x14ac:dyDescent="0.35">
      <c r="A275" s="86" t="s">
        <v>351</v>
      </c>
      <c r="B275" s="90" t="s">
        <v>53</v>
      </c>
      <c r="C275" s="86" t="s">
        <v>128</v>
      </c>
    </row>
    <row r="276" spans="1:3" ht="18" customHeight="1" x14ac:dyDescent="0.35">
      <c r="A276" s="86" t="s">
        <v>352</v>
      </c>
      <c r="B276" s="90" t="s">
        <v>53</v>
      </c>
      <c r="C276" s="86" t="s">
        <v>128</v>
      </c>
    </row>
    <row r="277" spans="1:3" ht="18" customHeight="1" x14ac:dyDescent="0.35">
      <c r="A277" s="86" t="s">
        <v>353</v>
      </c>
      <c r="B277" s="90" t="s">
        <v>53</v>
      </c>
      <c r="C277" s="86" t="s">
        <v>128</v>
      </c>
    </row>
    <row r="278" spans="1:3" ht="18" customHeight="1" x14ac:dyDescent="0.35">
      <c r="A278" s="86" t="s">
        <v>354</v>
      </c>
      <c r="B278" s="90" t="s">
        <v>53</v>
      </c>
      <c r="C278" s="86" t="s">
        <v>128</v>
      </c>
    </row>
    <row r="279" spans="1:3" ht="18" customHeight="1" x14ac:dyDescent="0.35">
      <c r="A279" s="86" t="s">
        <v>355</v>
      </c>
      <c r="B279" s="90" t="s">
        <v>53</v>
      </c>
      <c r="C279" s="86" t="s">
        <v>128</v>
      </c>
    </row>
    <row r="280" spans="1:3" ht="18" customHeight="1" x14ac:dyDescent="0.35">
      <c r="A280" s="86" t="s">
        <v>356</v>
      </c>
      <c r="B280" s="90" t="s">
        <v>53</v>
      </c>
      <c r="C280" s="86" t="s">
        <v>128</v>
      </c>
    </row>
    <row r="281" spans="1:3" ht="18" customHeight="1" x14ac:dyDescent="0.35">
      <c r="A281" s="86" t="s">
        <v>357</v>
      </c>
      <c r="B281" s="90" t="s">
        <v>53</v>
      </c>
      <c r="C281" s="86" t="s">
        <v>128</v>
      </c>
    </row>
    <row r="282" spans="1:3" ht="18" customHeight="1" x14ac:dyDescent="0.35">
      <c r="A282" s="86" t="s">
        <v>358</v>
      </c>
      <c r="B282" s="90" t="s">
        <v>53</v>
      </c>
      <c r="C282" s="86" t="s">
        <v>128</v>
      </c>
    </row>
    <row r="283" spans="1:3" ht="18" customHeight="1" x14ac:dyDescent="0.35">
      <c r="A283" s="86" t="s">
        <v>359</v>
      </c>
      <c r="B283" s="90" t="s">
        <v>53</v>
      </c>
      <c r="C283" s="86" t="s">
        <v>128</v>
      </c>
    </row>
    <row r="284" spans="1:3" ht="18" customHeight="1" x14ac:dyDescent="0.35">
      <c r="A284" s="86" t="s">
        <v>360</v>
      </c>
      <c r="B284" s="90" t="s">
        <v>53</v>
      </c>
      <c r="C284" s="86" t="s">
        <v>128</v>
      </c>
    </row>
    <row r="285" spans="1:3" ht="18" customHeight="1" x14ac:dyDescent="0.35">
      <c r="A285" s="86" t="s">
        <v>361</v>
      </c>
      <c r="B285" s="90" t="s">
        <v>53</v>
      </c>
      <c r="C285" s="86" t="s">
        <v>128</v>
      </c>
    </row>
    <row r="286" spans="1:3" ht="18" customHeight="1" x14ac:dyDescent="0.35">
      <c r="A286" s="86" t="s">
        <v>362</v>
      </c>
      <c r="B286" s="90" t="s">
        <v>53</v>
      </c>
      <c r="C286" s="86" t="s">
        <v>128</v>
      </c>
    </row>
    <row r="287" spans="1:3" ht="18" customHeight="1" x14ac:dyDescent="0.35">
      <c r="A287" s="86" t="s">
        <v>363</v>
      </c>
      <c r="B287" s="90" t="s">
        <v>53</v>
      </c>
      <c r="C287" s="86" t="s">
        <v>128</v>
      </c>
    </row>
    <row r="288" spans="1:3" ht="18" customHeight="1" x14ac:dyDescent="0.35">
      <c r="A288" s="86" t="s">
        <v>364</v>
      </c>
      <c r="B288" s="90" t="s">
        <v>53</v>
      </c>
      <c r="C288" s="86" t="s">
        <v>128</v>
      </c>
    </row>
    <row r="289" spans="1:3" ht="18" customHeight="1" x14ac:dyDescent="0.35">
      <c r="A289" s="86" t="s">
        <v>365</v>
      </c>
      <c r="B289" s="90" t="s">
        <v>53</v>
      </c>
      <c r="C289" s="86" t="s">
        <v>128</v>
      </c>
    </row>
    <row r="290" spans="1:3" ht="18" customHeight="1" x14ac:dyDescent="0.35">
      <c r="A290" s="86" t="s">
        <v>366</v>
      </c>
      <c r="B290" s="90" t="s">
        <v>53</v>
      </c>
      <c r="C290" s="86" t="s">
        <v>128</v>
      </c>
    </row>
    <row r="291" spans="1:3" ht="18" customHeight="1" x14ac:dyDescent="0.35">
      <c r="A291" s="86" t="s">
        <v>367</v>
      </c>
      <c r="B291" s="90" t="s">
        <v>53</v>
      </c>
      <c r="C291" s="86" t="s">
        <v>128</v>
      </c>
    </row>
    <row r="292" spans="1:3" ht="18" customHeight="1" x14ac:dyDescent="0.35">
      <c r="A292" s="86" t="s">
        <v>368</v>
      </c>
      <c r="B292" s="90" t="s">
        <v>53</v>
      </c>
      <c r="C292" s="86" t="s">
        <v>128</v>
      </c>
    </row>
    <row r="293" spans="1:3" ht="18" customHeight="1" x14ac:dyDescent="0.35">
      <c r="A293" s="86" t="s">
        <v>369</v>
      </c>
      <c r="B293" s="90" t="s">
        <v>53</v>
      </c>
      <c r="C293" s="86" t="s">
        <v>128</v>
      </c>
    </row>
    <row r="294" spans="1:3" ht="18" customHeight="1" x14ac:dyDescent="0.35">
      <c r="A294" s="86" t="s">
        <v>370</v>
      </c>
      <c r="B294" s="90" t="s">
        <v>53</v>
      </c>
      <c r="C294" s="86" t="s">
        <v>128</v>
      </c>
    </row>
    <row r="295" spans="1:3" ht="18" customHeight="1" x14ac:dyDescent="0.35">
      <c r="A295" s="86" t="s">
        <v>371</v>
      </c>
      <c r="B295" s="90" t="s">
        <v>53</v>
      </c>
      <c r="C295" s="86" t="s">
        <v>128</v>
      </c>
    </row>
    <row r="296" spans="1:3" ht="18" customHeight="1" x14ac:dyDescent="0.35">
      <c r="A296" s="86" t="s">
        <v>372</v>
      </c>
      <c r="B296" s="90" t="s">
        <v>53</v>
      </c>
      <c r="C296" s="86" t="s">
        <v>128</v>
      </c>
    </row>
    <row r="297" spans="1:3" ht="18" customHeight="1" x14ac:dyDescent="0.35">
      <c r="A297" s="86" t="s">
        <v>373</v>
      </c>
      <c r="B297" s="90" t="s">
        <v>53</v>
      </c>
      <c r="C297" s="86" t="s">
        <v>128</v>
      </c>
    </row>
    <row r="298" spans="1:3" ht="18" customHeight="1" x14ac:dyDescent="0.35">
      <c r="A298" s="86" t="s">
        <v>374</v>
      </c>
      <c r="B298" s="90" t="s">
        <v>53</v>
      </c>
      <c r="C298" s="86" t="s">
        <v>128</v>
      </c>
    </row>
    <row r="299" spans="1:3" ht="18" customHeight="1" x14ac:dyDescent="0.35">
      <c r="A299" s="86" t="s">
        <v>375</v>
      </c>
      <c r="B299" s="90" t="s">
        <v>53</v>
      </c>
      <c r="C299" s="86" t="s">
        <v>128</v>
      </c>
    </row>
    <row r="300" spans="1:3" ht="18" customHeight="1" x14ac:dyDescent="0.35">
      <c r="A300" s="86" t="s">
        <v>376</v>
      </c>
      <c r="B300" s="90" t="s">
        <v>53</v>
      </c>
      <c r="C300" s="86" t="s">
        <v>377</v>
      </c>
    </row>
    <row r="301" spans="1:3" ht="18" customHeight="1" x14ac:dyDescent="0.35">
      <c r="A301" s="86" t="s">
        <v>378</v>
      </c>
      <c r="B301" s="90" t="s">
        <v>53</v>
      </c>
      <c r="C301" s="86" t="s">
        <v>195</v>
      </c>
    </row>
    <row r="302" spans="1:3" ht="18" customHeight="1" x14ac:dyDescent="0.35">
      <c r="A302" s="86" t="s">
        <v>379</v>
      </c>
      <c r="B302" s="90" t="s">
        <v>53</v>
      </c>
      <c r="C302" s="86" t="s">
        <v>195</v>
      </c>
    </row>
    <row r="303" spans="1:3" ht="18" customHeight="1" x14ac:dyDescent="0.35">
      <c r="A303" s="86" t="s">
        <v>380</v>
      </c>
      <c r="B303" s="90" t="s">
        <v>53</v>
      </c>
      <c r="C303" s="86" t="s">
        <v>195</v>
      </c>
    </row>
    <row r="304" spans="1:3" ht="18" customHeight="1" x14ac:dyDescent="0.35">
      <c r="A304" s="86" t="s">
        <v>381</v>
      </c>
      <c r="B304" s="90" t="s">
        <v>53</v>
      </c>
      <c r="C304" s="86" t="s">
        <v>195</v>
      </c>
    </row>
    <row r="305" spans="1:3" ht="18" customHeight="1" x14ac:dyDescent="0.35">
      <c r="A305" s="86" t="s">
        <v>382</v>
      </c>
      <c r="B305" s="90" t="s">
        <v>53</v>
      </c>
      <c r="C305" s="86" t="s">
        <v>195</v>
      </c>
    </row>
    <row r="306" spans="1:3" ht="18" customHeight="1" x14ac:dyDescent="0.35">
      <c r="A306" s="86" t="s">
        <v>383</v>
      </c>
      <c r="B306" s="90" t="s">
        <v>53</v>
      </c>
      <c r="C306" s="86" t="s">
        <v>195</v>
      </c>
    </row>
    <row r="307" spans="1:3" ht="18" customHeight="1" x14ac:dyDescent="0.35">
      <c r="A307" s="86" t="s">
        <v>384</v>
      </c>
      <c r="B307" s="90" t="s">
        <v>53</v>
      </c>
      <c r="C307" s="86" t="s">
        <v>195</v>
      </c>
    </row>
    <row r="308" spans="1:3" ht="18" customHeight="1" x14ac:dyDescent="0.35">
      <c r="A308" s="86" t="s">
        <v>385</v>
      </c>
      <c r="B308" s="90" t="s">
        <v>53</v>
      </c>
      <c r="C308" s="86" t="s">
        <v>195</v>
      </c>
    </row>
    <row r="309" spans="1:3" ht="18" customHeight="1" x14ac:dyDescent="0.35">
      <c r="A309" s="86" t="s">
        <v>386</v>
      </c>
      <c r="B309" s="90" t="s">
        <v>53</v>
      </c>
      <c r="C309" s="86" t="s">
        <v>195</v>
      </c>
    </row>
    <row r="310" spans="1:3" ht="18" customHeight="1" x14ac:dyDescent="0.35">
      <c r="A310" s="86" t="s">
        <v>387</v>
      </c>
      <c r="B310" s="90" t="s">
        <v>53</v>
      </c>
      <c r="C310" s="86" t="s">
        <v>195</v>
      </c>
    </row>
    <row r="311" spans="1:3" ht="18" customHeight="1" x14ac:dyDescent="0.35">
      <c r="A311" s="86" t="s">
        <v>388</v>
      </c>
      <c r="B311" s="90" t="s">
        <v>53</v>
      </c>
      <c r="C311" s="86" t="s">
        <v>195</v>
      </c>
    </row>
    <row r="312" spans="1:3" ht="18" customHeight="1" x14ac:dyDescent="0.35">
      <c r="A312" s="86" t="s">
        <v>389</v>
      </c>
      <c r="B312" s="90" t="s">
        <v>53</v>
      </c>
      <c r="C312" s="86" t="s">
        <v>195</v>
      </c>
    </row>
    <row r="313" spans="1:3" ht="18" customHeight="1" x14ac:dyDescent="0.35">
      <c r="A313" s="86" t="s">
        <v>390</v>
      </c>
      <c r="B313" s="90" t="s">
        <v>53</v>
      </c>
      <c r="C313" s="86" t="s">
        <v>195</v>
      </c>
    </row>
    <row r="314" spans="1:3" ht="18" customHeight="1" x14ac:dyDescent="0.35">
      <c r="A314" s="86" t="s">
        <v>391</v>
      </c>
      <c r="B314" s="90" t="s">
        <v>53</v>
      </c>
      <c r="C314" s="86" t="s">
        <v>195</v>
      </c>
    </row>
    <row r="315" spans="1:3" ht="18" customHeight="1" x14ac:dyDescent="0.35">
      <c r="A315" s="86" t="s">
        <v>392</v>
      </c>
      <c r="B315" s="90" t="s">
        <v>53</v>
      </c>
      <c r="C315" s="86" t="s">
        <v>195</v>
      </c>
    </row>
    <row r="316" spans="1:3" ht="18" customHeight="1" x14ac:dyDescent="0.35">
      <c r="A316" s="86" t="s">
        <v>393</v>
      </c>
      <c r="B316" s="90" t="s">
        <v>53</v>
      </c>
      <c r="C316" s="86" t="s">
        <v>195</v>
      </c>
    </row>
    <row r="317" spans="1:3" ht="18" customHeight="1" x14ac:dyDescent="0.35">
      <c r="A317" s="86" t="s">
        <v>394</v>
      </c>
      <c r="B317" s="90" t="s">
        <v>53</v>
      </c>
      <c r="C317" s="86" t="s">
        <v>195</v>
      </c>
    </row>
    <row r="318" spans="1:3" ht="18" customHeight="1" x14ac:dyDescent="0.35">
      <c r="A318" s="86" t="s">
        <v>395</v>
      </c>
      <c r="B318" s="90" t="s">
        <v>53</v>
      </c>
      <c r="C318" s="86" t="s">
        <v>195</v>
      </c>
    </row>
    <row r="319" spans="1:3" ht="18" customHeight="1" x14ac:dyDescent="0.35">
      <c r="A319" s="86" t="s">
        <v>396</v>
      </c>
      <c r="B319" s="90" t="s">
        <v>53</v>
      </c>
      <c r="C319" s="86" t="s">
        <v>195</v>
      </c>
    </row>
    <row r="320" spans="1:3" ht="18" customHeight="1" x14ac:dyDescent="0.35">
      <c r="A320" s="86" t="s">
        <v>397</v>
      </c>
      <c r="B320" s="90" t="s">
        <v>53</v>
      </c>
      <c r="C320" s="86" t="s">
        <v>195</v>
      </c>
    </row>
    <row r="321" spans="1:3" ht="18" customHeight="1" x14ac:dyDescent="0.35">
      <c r="A321" s="86" t="s">
        <v>398</v>
      </c>
      <c r="B321" s="90" t="s">
        <v>53</v>
      </c>
      <c r="C321" s="86" t="s">
        <v>195</v>
      </c>
    </row>
    <row r="322" spans="1:3" ht="18" customHeight="1" x14ac:dyDescent="0.35">
      <c r="A322" s="86" t="s">
        <v>399</v>
      </c>
      <c r="B322" s="90" t="s">
        <v>53</v>
      </c>
      <c r="C322" s="86" t="s">
        <v>195</v>
      </c>
    </row>
    <row r="323" spans="1:3" ht="18" customHeight="1" x14ac:dyDescent="0.35">
      <c r="A323" s="86" t="s">
        <v>400</v>
      </c>
      <c r="B323" s="90" t="s">
        <v>53</v>
      </c>
      <c r="C323" s="86" t="s">
        <v>195</v>
      </c>
    </row>
    <row r="324" spans="1:3" ht="18" customHeight="1" x14ac:dyDescent="0.35">
      <c r="A324" s="86" t="s">
        <v>401</v>
      </c>
      <c r="B324" s="90" t="s">
        <v>53</v>
      </c>
      <c r="C324" s="86" t="s">
        <v>195</v>
      </c>
    </row>
    <row r="325" spans="1:3" ht="18" customHeight="1" x14ac:dyDescent="0.35">
      <c r="A325" s="86" t="s">
        <v>402</v>
      </c>
      <c r="B325" s="90" t="s">
        <v>53</v>
      </c>
      <c r="C325" s="86" t="s">
        <v>195</v>
      </c>
    </row>
    <row r="326" spans="1:3" ht="18" customHeight="1" x14ac:dyDescent="0.35">
      <c r="A326" s="86" t="s">
        <v>403</v>
      </c>
      <c r="B326" s="90" t="s">
        <v>53</v>
      </c>
      <c r="C326" s="86" t="s">
        <v>195</v>
      </c>
    </row>
    <row r="327" spans="1:3" ht="18" customHeight="1" x14ac:dyDescent="0.35">
      <c r="A327" s="86" t="s">
        <v>404</v>
      </c>
      <c r="B327" s="90" t="s">
        <v>53</v>
      </c>
      <c r="C327" s="86" t="s">
        <v>195</v>
      </c>
    </row>
    <row r="328" spans="1:3" ht="18" customHeight="1" x14ac:dyDescent="0.35">
      <c r="A328" s="86" t="s">
        <v>405</v>
      </c>
      <c r="B328" s="90" t="s">
        <v>53</v>
      </c>
      <c r="C328" s="86" t="s">
        <v>195</v>
      </c>
    </row>
    <row r="329" spans="1:3" ht="18" customHeight="1" x14ac:dyDescent="0.35">
      <c r="A329" s="86" t="s">
        <v>406</v>
      </c>
      <c r="B329" s="90" t="s">
        <v>53</v>
      </c>
      <c r="C329" s="86" t="s">
        <v>195</v>
      </c>
    </row>
    <row r="330" spans="1:3" ht="18" customHeight="1" x14ac:dyDescent="0.35">
      <c r="A330" s="86" t="s">
        <v>407</v>
      </c>
      <c r="B330" s="90" t="s">
        <v>53</v>
      </c>
      <c r="C330" s="86" t="s">
        <v>122</v>
      </c>
    </row>
    <row r="331" spans="1:3" ht="18" customHeight="1" x14ac:dyDescent="0.35">
      <c r="A331" s="86" t="s">
        <v>408</v>
      </c>
      <c r="B331" s="90" t="s">
        <v>53</v>
      </c>
      <c r="C331" s="86" t="s">
        <v>122</v>
      </c>
    </row>
    <row r="332" spans="1:3" ht="18" customHeight="1" x14ac:dyDescent="0.35">
      <c r="A332" s="86" t="s">
        <v>409</v>
      </c>
      <c r="B332" s="90" t="s">
        <v>53</v>
      </c>
      <c r="C332" s="86" t="s">
        <v>122</v>
      </c>
    </row>
    <row r="333" spans="1:3" ht="18" customHeight="1" x14ac:dyDescent="0.35">
      <c r="A333" s="86" t="s">
        <v>410</v>
      </c>
      <c r="B333" s="90" t="s">
        <v>53</v>
      </c>
      <c r="C333" s="86" t="s">
        <v>122</v>
      </c>
    </row>
    <row r="334" spans="1:3" ht="18" customHeight="1" x14ac:dyDescent="0.35">
      <c r="A334" s="86" t="s">
        <v>411</v>
      </c>
      <c r="B334" s="90" t="s">
        <v>53</v>
      </c>
      <c r="C334" s="86" t="s">
        <v>122</v>
      </c>
    </row>
    <row r="335" spans="1:3" ht="18" customHeight="1" x14ac:dyDescent="0.35">
      <c r="A335" s="86" t="s">
        <v>412</v>
      </c>
      <c r="B335" s="90" t="s">
        <v>53</v>
      </c>
      <c r="C335" s="86" t="s">
        <v>122</v>
      </c>
    </row>
    <row r="336" spans="1:3" ht="18" customHeight="1" x14ac:dyDescent="0.35">
      <c r="A336" s="86" t="s">
        <v>413</v>
      </c>
      <c r="B336" s="90" t="s">
        <v>53</v>
      </c>
      <c r="C336" s="86" t="s">
        <v>122</v>
      </c>
    </row>
    <row r="337" spans="1:3" ht="18" customHeight="1" x14ac:dyDescent="0.35">
      <c r="A337" s="86" t="s">
        <v>414</v>
      </c>
      <c r="B337" s="90" t="s">
        <v>53</v>
      </c>
      <c r="C337" s="86" t="s">
        <v>137</v>
      </c>
    </row>
    <row r="338" spans="1:3" ht="18" customHeight="1" x14ac:dyDescent="0.35">
      <c r="A338" s="86" t="s">
        <v>415</v>
      </c>
      <c r="B338" s="90" t="s">
        <v>53</v>
      </c>
      <c r="C338" s="86" t="s">
        <v>137</v>
      </c>
    </row>
    <row r="339" spans="1:3" ht="18" customHeight="1" x14ac:dyDescent="0.35">
      <c r="A339" s="86" t="s">
        <v>416</v>
      </c>
      <c r="B339" s="90" t="s">
        <v>53</v>
      </c>
      <c r="C339" s="86" t="s">
        <v>137</v>
      </c>
    </row>
    <row r="340" spans="1:3" ht="18" customHeight="1" x14ac:dyDescent="0.35">
      <c r="A340" s="86" t="s">
        <v>417</v>
      </c>
      <c r="B340" s="90" t="s">
        <v>53</v>
      </c>
      <c r="C340" s="86" t="s">
        <v>137</v>
      </c>
    </row>
    <row r="341" spans="1:3" ht="18" customHeight="1" x14ac:dyDescent="0.35">
      <c r="A341" s="86" t="s">
        <v>418</v>
      </c>
      <c r="B341" s="90" t="s">
        <v>53</v>
      </c>
      <c r="C341" s="86" t="s">
        <v>137</v>
      </c>
    </row>
    <row r="342" spans="1:3" ht="18" customHeight="1" x14ac:dyDescent="0.35">
      <c r="A342" s="86" t="s">
        <v>419</v>
      </c>
      <c r="B342" s="90" t="s">
        <v>53</v>
      </c>
      <c r="C342" s="86" t="s">
        <v>137</v>
      </c>
    </row>
    <row r="343" spans="1:3" ht="18" customHeight="1" x14ac:dyDescent="0.35">
      <c r="A343" s="86" t="s">
        <v>420</v>
      </c>
      <c r="B343" s="90" t="s">
        <v>53</v>
      </c>
      <c r="C343" s="86" t="s">
        <v>137</v>
      </c>
    </row>
    <row r="344" spans="1:3" ht="18" customHeight="1" x14ac:dyDescent="0.35">
      <c r="A344" s="86" t="s">
        <v>421</v>
      </c>
      <c r="B344" s="90" t="s">
        <v>53</v>
      </c>
      <c r="C344" s="86" t="s">
        <v>137</v>
      </c>
    </row>
    <row r="345" spans="1:3" ht="18" customHeight="1" x14ac:dyDescent="0.35">
      <c r="A345" s="86" t="s">
        <v>422</v>
      </c>
      <c r="B345" s="90" t="s">
        <v>53</v>
      </c>
      <c r="C345" s="86" t="s">
        <v>137</v>
      </c>
    </row>
    <row r="346" spans="1:3" ht="18" customHeight="1" x14ac:dyDescent="0.35">
      <c r="A346" s="86" t="s">
        <v>423</v>
      </c>
      <c r="B346" s="90" t="s">
        <v>53</v>
      </c>
      <c r="C346" s="86" t="s">
        <v>137</v>
      </c>
    </row>
    <row r="347" spans="1:3" ht="18" customHeight="1" x14ac:dyDescent="0.35">
      <c r="A347" s="86" t="s">
        <v>424</v>
      </c>
      <c r="B347" s="90" t="s">
        <v>53</v>
      </c>
      <c r="C347" s="86" t="s">
        <v>137</v>
      </c>
    </row>
    <row r="348" spans="1:3" ht="18" customHeight="1" x14ac:dyDescent="0.35">
      <c r="A348" s="86" t="s">
        <v>425</v>
      </c>
      <c r="B348" s="90" t="s">
        <v>53</v>
      </c>
      <c r="C348" s="86" t="s">
        <v>137</v>
      </c>
    </row>
    <row r="349" spans="1:3" ht="18" customHeight="1" x14ac:dyDescent="0.35">
      <c r="A349" s="86" t="s">
        <v>426</v>
      </c>
      <c r="B349" s="90" t="s">
        <v>53</v>
      </c>
      <c r="C349" s="86" t="s">
        <v>137</v>
      </c>
    </row>
    <row r="350" spans="1:3" ht="18" customHeight="1" x14ac:dyDescent="0.35">
      <c r="A350" s="86" t="s">
        <v>427</v>
      </c>
      <c r="B350" s="90" t="s">
        <v>53</v>
      </c>
      <c r="C350" s="86" t="s">
        <v>137</v>
      </c>
    </row>
    <row r="351" spans="1:3" ht="18" customHeight="1" x14ac:dyDescent="0.35">
      <c r="A351" s="86" t="s">
        <v>428</v>
      </c>
      <c r="B351" s="90" t="s">
        <v>53</v>
      </c>
      <c r="C351" s="86" t="s">
        <v>137</v>
      </c>
    </row>
    <row r="352" spans="1:3" ht="18" customHeight="1" x14ac:dyDescent="0.35">
      <c r="A352" s="86" t="s">
        <v>429</v>
      </c>
      <c r="B352" s="90" t="s">
        <v>53</v>
      </c>
      <c r="C352" s="86" t="s">
        <v>137</v>
      </c>
    </row>
    <row r="353" spans="1:3" ht="18" customHeight="1" x14ac:dyDescent="0.35">
      <c r="A353" s="86" t="s">
        <v>430</v>
      </c>
      <c r="B353" s="90" t="s">
        <v>53</v>
      </c>
      <c r="C353" s="86" t="s">
        <v>137</v>
      </c>
    </row>
    <row r="354" spans="1:3" ht="18" customHeight="1" x14ac:dyDescent="0.35">
      <c r="A354" s="86" t="s">
        <v>431</v>
      </c>
      <c r="B354" s="90" t="s">
        <v>53</v>
      </c>
      <c r="C354" s="86" t="s">
        <v>137</v>
      </c>
    </row>
    <row r="355" spans="1:3" ht="18" customHeight="1" x14ac:dyDescent="0.35">
      <c r="A355" s="86" t="s">
        <v>432</v>
      </c>
      <c r="B355" s="90" t="s">
        <v>53</v>
      </c>
      <c r="C355" s="86" t="s">
        <v>137</v>
      </c>
    </row>
    <row r="356" spans="1:3" ht="18" customHeight="1" x14ac:dyDescent="0.35">
      <c r="A356" s="86" t="s">
        <v>433</v>
      </c>
      <c r="B356" s="90" t="s">
        <v>53</v>
      </c>
      <c r="C356" s="86" t="s">
        <v>137</v>
      </c>
    </row>
    <row r="357" spans="1:3" ht="18" customHeight="1" x14ac:dyDescent="0.35">
      <c r="A357" s="86" t="s">
        <v>434</v>
      </c>
      <c r="B357" s="90" t="s">
        <v>53</v>
      </c>
      <c r="C357" s="86" t="s">
        <v>137</v>
      </c>
    </row>
    <row r="358" spans="1:3" ht="18" customHeight="1" x14ac:dyDescent="0.35">
      <c r="A358" s="86" t="s">
        <v>435</v>
      </c>
      <c r="B358" s="90" t="s">
        <v>53</v>
      </c>
      <c r="C358" s="86" t="s">
        <v>137</v>
      </c>
    </row>
    <row r="359" spans="1:3" ht="18" customHeight="1" x14ac:dyDescent="0.35">
      <c r="A359" s="86" t="s">
        <v>436</v>
      </c>
      <c r="B359" s="90" t="s">
        <v>53</v>
      </c>
      <c r="C359" s="86" t="s">
        <v>137</v>
      </c>
    </row>
    <row r="360" spans="1:3" ht="18" customHeight="1" x14ac:dyDescent="0.35">
      <c r="A360" s="86" t="s">
        <v>437</v>
      </c>
      <c r="B360" s="90" t="s">
        <v>53</v>
      </c>
      <c r="C360" s="86" t="s">
        <v>137</v>
      </c>
    </row>
    <row r="361" spans="1:3" ht="18" customHeight="1" x14ac:dyDescent="0.35">
      <c r="A361" s="86" t="s">
        <v>438</v>
      </c>
      <c r="B361" s="90" t="s">
        <v>53</v>
      </c>
      <c r="C361" s="86" t="s">
        <v>137</v>
      </c>
    </row>
    <row r="362" spans="1:3" ht="18" customHeight="1" x14ac:dyDescent="0.35">
      <c r="A362" s="86" t="s">
        <v>439</v>
      </c>
      <c r="B362" s="90" t="s">
        <v>53</v>
      </c>
      <c r="C362" s="86" t="s">
        <v>137</v>
      </c>
    </row>
    <row r="363" spans="1:3" ht="18" customHeight="1" x14ac:dyDescent="0.35">
      <c r="A363" s="86" t="s">
        <v>440</v>
      </c>
      <c r="B363" s="90" t="s">
        <v>53</v>
      </c>
      <c r="C363" s="86" t="s">
        <v>137</v>
      </c>
    </row>
    <row r="364" spans="1:3" ht="18" customHeight="1" x14ac:dyDescent="0.35">
      <c r="A364" s="86" t="s">
        <v>441</v>
      </c>
      <c r="B364" s="90" t="s">
        <v>53</v>
      </c>
      <c r="C364" s="86" t="s">
        <v>137</v>
      </c>
    </row>
    <row r="365" spans="1:3" ht="18" customHeight="1" x14ac:dyDescent="0.35">
      <c r="A365" s="86" t="s">
        <v>442</v>
      </c>
      <c r="B365" s="90" t="s">
        <v>53</v>
      </c>
      <c r="C365" s="86" t="s">
        <v>137</v>
      </c>
    </row>
    <row r="366" spans="1:3" ht="18" customHeight="1" x14ac:dyDescent="0.35">
      <c r="A366" s="86" t="s">
        <v>443</v>
      </c>
      <c r="B366" s="90" t="s">
        <v>53</v>
      </c>
      <c r="C366" s="86" t="s">
        <v>137</v>
      </c>
    </row>
    <row r="367" spans="1:3" ht="18" customHeight="1" x14ac:dyDescent="0.35">
      <c r="A367" s="86" t="s">
        <v>444</v>
      </c>
      <c r="B367" s="90" t="s">
        <v>53</v>
      </c>
      <c r="C367" s="86" t="s">
        <v>137</v>
      </c>
    </row>
    <row r="368" spans="1:3" ht="18" customHeight="1" x14ac:dyDescent="0.35">
      <c r="A368" s="86" t="s">
        <v>445</v>
      </c>
      <c r="B368" s="90" t="s">
        <v>53</v>
      </c>
      <c r="C368" s="86" t="s">
        <v>137</v>
      </c>
    </row>
    <row r="369" spans="1:3" ht="18" customHeight="1" x14ac:dyDescent="0.35">
      <c r="A369" s="86" t="s">
        <v>446</v>
      </c>
      <c r="B369" s="90" t="s">
        <v>53</v>
      </c>
      <c r="C369" s="86" t="s">
        <v>137</v>
      </c>
    </row>
    <row r="370" spans="1:3" ht="18" customHeight="1" x14ac:dyDescent="0.35">
      <c r="A370" s="86" t="s">
        <v>447</v>
      </c>
      <c r="B370" s="90" t="s">
        <v>53</v>
      </c>
      <c r="C370" s="86" t="s">
        <v>137</v>
      </c>
    </row>
    <row r="371" spans="1:3" ht="18" customHeight="1" x14ac:dyDescent="0.35">
      <c r="A371" s="86" t="s">
        <v>448</v>
      </c>
      <c r="B371" s="90" t="s">
        <v>53</v>
      </c>
      <c r="C371" s="86" t="s">
        <v>137</v>
      </c>
    </row>
    <row r="372" spans="1:3" ht="18" customHeight="1" x14ac:dyDescent="0.35">
      <c r="A372" s="86" t="s">
        <v>449</v>
      </c>
      <c r="B372" s="90" t="s">
        <v>53</v>
      </c>
      <c r="C372" s="86" t="s">
        <v>137</v>
      </c>
    </row>
    <row r="373" spans="1:3" ht="18" customHeight="1" x14ac:dyDescent="0.35">
      <c r="A373" s="86" t="s">
        <v>450</v>
      </c>
      <c r="B373" s="90" t="s">
        <v>53</v>
      </c>
      <c r="C373" s="86" t="s">
        <v>137</v>
      </c>
    </row>
    <row r="374" spans="1:3" ht="18" customHeight="1" x14ac:dyDescent="0.35">
      <c r="A374" s="86" t="s">
        <v>451</v>
      </c>
      <c r="B374" s="90" t="s">
        <v>53</v>
      </c>
      <c r="C374" s="86" t="s">
        <v>137</v>
      </c>
    </row>
    <row r="375" spans="1:3" ht="18" customHeight="1" x14ac:dyDescent="0.35">
      <c r="A375" s="86" t="s">
        <v>452</v>
      </c>
      <c r="B375" s="90" t="s">
        <v>53</v>
      </c>
      <c r="C375" s="86" t="s">
        <v>137</v>
      </c>
    </row>
    <row r="376" spans="1:3" ht="18" customHeight="1" x14ac:dyDescent="0.35">
      <c r="A376" s="86" t="s">
        <v>453</v>
      </c>
      <c r="B376" s="90" t="s">
        <v>53</v>
      </c>
      <c r="C376" s="86" t="s">
        <v>137</v>
      </c>
    </row>
    <row r="377" spans="1:3" ht="18" customHeight="1" x14ac:dyDescent="0.35">
      <c r="A377" s="86" t="s">
        <v>454</v>
      </c>
      <c r="B377" s="90" t="s">
        <v>53</v>
      </c>
      <c r="C377" s="86" t="s">
        <v>137</v>
      </c>
    </row>
    <row r="378" spans="1:3" ht="18" customHeight="1" x14ac:dyDescent="0.35">
      <c r="A378" s="86" t="s">
        <v>455</v>
      </c>
      <c r="B378" s="90" t="s">
        <v>53</v>
      </c>
      <c r="C378" s="86" t="s">
        <v>137</v>
      </c>
    </row>
    <row r="379" spans="1:3" ht="18" customHeight="1" x14ac:dyDescent="0.35">
      <c r="A379" s="86" t="s">
        <v>456</v>
      </c>
      <c r="B379" s="90" t="s">
        <v>53</v>
      </c>
      <c r="C379" s="86" t="s">
        <v>137</v>
      </c>
    </row>
    <row r="380" spans="1:3" ht="18" customHeight="1" x14ac:dyDescent="0.35">
      <c r="A380" s="86" t="s">
        <v>457</v>
      </c>
      <c r="B380" s="90" t="s">
        <v>53</v>
      </c>
      <c r="C380" s="86" t="s">
        <v>137</v>
      </c>
    </row>
    <row r="381" spans="1:3" ht="18" customHeight="1" x14ac:dyDescent="0.35">
      <c r="A381" s="86" t="s">
        <v>458</v>
      </c>
      <c r="B381" s="90" t="s">
        <v>53</v>
      </c>
      <c r="C381" s="86" t="s">
        <v>137</v>
      </c>
    </row>
    <row r="382" spans="1:3" ht="18" customHeight="1" x14ac:dyDescent="0.35">
      <c r="A382" s="86" t="s">
        <v>459</v>
      </c>
      <c r="B382" s="90" t="s">
        <v>53</v>
      </c>
      <c r="C382" s="86" t="s">
        <v>137</v>
      </c>
    </row>
    <row r="383" spans="1:3" ht="18" customHeight="1" x14ac:dyDescent="0.35">
      <c r="A383" s="86" t="s">
        <v>460</v>
      </c>
      <c r="B383" s="90" t="s">
        <v>53</v>
      </c>
      <c r="C383" s="86" t="s">
        <v>137</v>
      </c>
    </row>
    <row r="384" spans="1:3" ht="18" customHeight="1" x14ac:dyDescent="0.35">
      <c r="A384" s="86" t="s">
        <v>461</v>
      </c>
      <c r="B384" s="90" t="s">
        <v>53</v>
      </c>
      <c r="C384" s="86" t="s">
        <v>137</v>
      </c>
    </row>
    <row r="385" spans="1:3" ht="18" customHeight="1" x14ac:dyDescent="0.35">
      <c r="A385" s="86" t="s">
        <v>462</v>
      </c>
      <c r="B385" s="90" t="s">
        <v>53</v>
      </c>
      <c r="C385" s="86" t="s">
        <v>137</v>
      </c>
    </row>
    <row r="386" spans="1:3" ht="18" customHeight="1" x14ac:dyDescent="0.35">
      <c r="A386" s="86" t="s">
        <v>463</v>
      </c>
      <c r="B386" s="90" t="s">
        <v>53</v>
      </c>
      <c r="C386" s="86" t="s">
        <v>137</v>
      </c>
    </row>
    <row r="387" spans="1:3" ht="18" customHeight="1" x14ac:dyDescent="0.35">
      <c r="A387" s="86" t="s">
        <v>464</v>
      </c>
      <c r="B387" s="90" t="s">
        <v>53</v>
      </c>
      <c r="C387" s="86" t="s">
        <v>137</v>
      </c>
    </row>
    <row r="388" spans="1:3" ht="18" customHeight="1" x14ac:dyDescent="0.35">
      <c r="A388" s="86" t="s">
        <v>465</v>
      </c>
      <c r="B388" s="90" t="s">
        <v>53</v>
      </c>
      <c r="C388" s="86" t="s">
        <v>137</v>
      </c>
    </row>
    <row r="389" spans="1:3" ht="18" customHeight="1" x14ac:dyDescent="0.35">
      <c r="A389" s="86" t="s">
        <v>466</v>
      </c>
      <c r="B389" s="90" t="s">
        <v>53</v>
      </c>
      <c r="C389" s="86" t="s">
        <v>137</v>
      </c>
    </row>
    <row r="390" spans="1:3" ht="18" customHeight="1" x14ac:dyDescent="0.35">
      <c r="A390" s="86" t="s">
        <v>467</v>
      </c>
      <c r="B390" s="90" t="s">
        <v>53</v>
      </c>
      <c r="C390" s="86" t="s">
        <v>137</v>
      </c>
    </row>
    <row r="391" spans="1:3" ht="18" customHeight="1" x14ac:dyDescent="0.35">
      <c r="A391" s="86" t="s">
        <v>468</v>
      </c>
      <c r="B391" s="90" t="s">
        <v>53</v>
      </c>
      <c r="C391" s="86" t="s">
        <v>137</v>
      </c>
    </row>
    <row r="392" spans="1:3" ht="18" customHeight="1" x14ac:dyDescent="0.35">
      <c r="A392" s="86" t="s">
        <v>469</v>
      </c>
      <c r="B392" s="90" t="s">
        <v>53</v>
      </c>
      <c r="C392" s="86" t="s">
        <v>137</v>
      </c>
    </row>
    <row r="393" spans="1:3" ht="18" customHeight="1" x14ac:dyDescent="0.35">
      <c r="A393" s="86" t="s">
        <v>470</v>
      </c>
      <c r="B393" s="90" t="s">
        <v>53</v>
      </c>
      <c r="C393" s="86" t="s">
        <v>137</v>
      </c>
    </row>
    <row r="394" spans="1:3" ht="18" customHeight="1" x14ac:dyDescent="0.35">
      <c r="A394" s="86" t="s">
        <v>471</v>
      </c>
      <c r="B394" s="90" t="s">
        <v>53</v>
      </c>
      <c r="C394" s="86" t="s">
        <v>137</v>
      </c>
    </row>
    <row r="395" spans="1:3" ht="18" customHeight="1" x14ac:dyDescent="0.35">
      <c r="A395" s="86" t="s">
        <v>472</v>
      </c>
      <c r="B395" s="90" t="s">
        <v>53</v>
      </c>
      <c r="C395" s="86" t="s">
        <v>137</v>
      </c>
    </row>
    <row r="396" spans="1:3" ht="18" customHeight="1" x14ac:dyDescent="0.35">
      <c r="A396" s="86" t="s">
        <v>473</v>
      </c>
      <c r="B396" s="90" t="s">
        <v>53</v>
      </c>
      <c r="C396" s="86" t="s">
        <v>137</v>
      </c>
    </row>
    <row r="397" spans="1:3" ht="18" customHeight="1" x14ac:dyDescent="0.35">
      <c r="A397" s="86" t="s">
        <v>474</v>
      </c>
      <c r="B397" s="90" t="s">
        <v>53</v>
      </c>
      <c r="C397" s="86" t="s">
        <v>137</v>
      </c>
    </row>
    <row r="398" spans="1:3" ht="18" customHeight="1" x14ac:dyDescent="0.35">
      <c r="A398" s="86" t="s">
        <v>475</v>
      </c>
      <c r="B398" s="90" t="s">
        <v>53</v>
      </c>
      <c r="C398" s="86" t="s">
        <v>137</v>
      </c>
    </row>
    <row r="399" spans="1:3" ht="18" customHeight="1" x14ac:dyDescent="0.35">
      <c r="A399" s="86" t="s">
        <v>476</v>
      </c>
      <c r="B399" s="90" t="s">
        <v>53</v>
      </c>
      <c r="C399" s="86" t="s">
        <v>137</v>
      </c>
    </row>
    <row r="400" spans="1:3" ht="18" customHeight="1" x14ac:dyDescent="0.35">
      <c r="A400" s="86" t="s">
        <v>477</v>
      </c>
      <c r="B400" s="90" t="s">
        <v>53</v>
      </c>
      <c r="C400" s="86" t="s">
        <v>137</v>
      </c>
    </row>
    <row r="401" spans="1:3" ht="18" customHeight="1" x14ac:dyDescent="0.35">
      <c r="A401" s="86" t="s">
        <v>478</v>
      </c>
      <c r="B401" s="90" t="s">
        <v>53</v>
      </c>
      <c r="C401" s="86" t="s">
        <v>137</v>
      </c>
    </row>
    <row r="402" spans="1:3" ht="18" customHeight="1" x14ac:dyDescent="0.35">
      <c r="A402" s="86" t="s">
        <v>479</v>
      </c>
      <c r="B402" s="90" t="s">
        <v>53</v>
      </c>
      <c r="C402" s="86" t="s">
        <v>137</v>
      </c>
    </row>
    <row r="403" spans="1:3" ht="18" customHeight="1" x14ac:dyDescent="0.35">
      <c r="A403" s="86" t="s">
        <v>480</v>
      </c>
      <c r="B403" s="90" t="s">
        <v>53</v>
      </c>
      <c r="C403" s="86" t="s">
        <v>137</v>
      </c>
    </row>
    <row r="404" spans="1:3" ht="18" customHeight="1" x14ac:dyDescent="0.35">
      <c r="A404" s="86" t="s">
        <v>481</v>
      </c>
      <c r="B404" s="90" t="s">
        <v>53</v>
      </c>
      <c r="C404" s="86" t="s">
        <v>137</v>
      </c>
    </row>
    <row r="405" spans="1:3" ht="18" customHeight="1" x14ac:dyDescent="0.35">
      <c r="A405" s="86" t="s">
        <v>482</v>
      </c>
      <c r="B405" s="90" t="s">
        <v>53</v>
      </c>
      <c r="C405" s="86" t="s">
        <v>137</v>
      </c>
    </row>
    <row r="406" spans="1:3" ht="18" customHeight="1" x14ac:dyDescent="0.35">
      <c r="A406" s="86" t="s">
        <v>483</v>
      </c>
      <c r="B406" s="90" t="s">
        <v>53</v>
      </c>
      <c r="C406" s="86" t="s">
        <v>137</v>
      </c>
    </row>
    <row r="407" spans="1:3" ht="18" customHeight="1" x14ac:dyDescent="0.35">
      <c r="A407" s="86" t="s">
        <v>484</v>
      </c>
      <c r="B407" s="90" t="s">
        <v>53</v>
      </c>
      <c r="C407" s="86" t="s">
        <v>137</v>
      </c>
    </row>
    <row r="408" spans="1:3" ht="18" customHeight="1" x14ac:dyDescent="0.35">
      <c r="A408" s="86" t="s">
        <v>485</v>
      </c>
      <c r="B408" s="90" t="s">
        <v>53</v>
      </c>
      <c r="C408" s="86" t="s">
        <v>137</v>
      </c>
    </row>
    <row r="409" spans="1:3" ht="18" customHeight="1" x14ac:dyDescent="0.35">
      <c r="A409" s="86" t="s">
        <v>486</v>
      </c>
      <c r="B409" s="90" t="s">
        <v>53</v>
      </c>
      <c r="C409" s="86" t="s">
        <v>137</v>
      </c>
    </row>
    <row r="410" spans="1:3" ht="18" customHeight="1" x14ac:dyDescent="0.35">
      <c r="A410" s="86" t="s">
        <v>487</v>
      </c>
      <c r="B410" s="90" t="s">
        <v>53</v>
      </c>
      <c r="C410" s="86" t="s">
        <v>137</v>
      </c>
    </row>
    <row r="411" spans="1:3" ht="18" customHeight="1" x14ac:dyDescent="0.35">
      <c r="A411" s="86" t="s">
        <v>488</v>
      </c>
      <c r="B411" s="90" t="s">
        <v>53</v>
      </c>
      <c r="C411" s="86" t="s">
        <v>137</v>
      </c>
    </row>
    <row r="412" spans="1:3" ht="18" customHeight="1" x14ac:dyDescent="0.35">
      <c r="A412" s="86" t="s">
        <v>489</v>
      </c>
      <c r="B412" s="90" t="s">
        <v>53</v>
      </c>
      <c r="C412" s="86" t="s">
        <v>137</v>
      </c>
    </row>
    <row r="413" spans="1:3" ht="18" customHeight="1" x14ac:dyDescent="0.35">
      <c r="A413" s="86" t="s">
        <v>490</v>
      </c>
      <c r="B413" s="90" t="s">
        <v>53</v>
      </c>
      <c r="C413" s="86" t="s">
        <v>137</v>
      </c>
    </row>
    <row r="414" spans="1:3" ht="18" customHeight="1" x14ac:dyDescent="0.35">
      <c r="A414" s="86" t="s">
        <v>491</v>
      </c>
      <c r="B414" s="90" t="s">
        <v>53</v>
      </c>
      <c r="C414" s="86" t="s">
        <v>137</v>
      </c>
    </row>
    <row r="415" spans="1:3" ht="18" customHeight="1" x14ac:dyDescent="0.35">
      <c r="A415" s="86" t="s">
        <v>492</v>
      </c>
      <c r="B415" s="90" t="s">
        <v>53</v>
      </c>
      <c r="C415" s="86" t="s">
        <v>137</v>
      </c>
    </row>
    <row r="416" spans="1:3" ht="18" customHeight="1" x14ac:dyDescent="0.35">
      <c r="A416" s="86" t="s">
        <v>493</v>
      </c>
      <c r="B416" s="90" t="s">
        <v>53</v>
      </c>
      <c r="C416" s="86" t="s">
        <v>137</v>
      </c>
    </row>
    <row r="417" spans="1:3" ht="18" customHeight="1" x14ac:dyDescent="0.35">
      <c r="A417" s="86" t="s">
        <v>494</v>
      </c>
      <c r="B417" s="90" t="s">
        <v>53</v>
      </c>
      <c r="C417" s="86" t="s">
        <v>137</v>
      </c>
    </row>
    <row r="418" spans="1:3" ht="18" customHeight="1" x14ac:dyDescent="0.35">
      <c r="A418" s="86" t="s">
        <v>495</v>
      </c>
      <c r="B418" s="90" t="s">
        <v>53</v>
      </c>
      <c r="C418" s="86" t="s">
        <v>137</v>
      </c>
    </row>
    <row r="419" spans="1:3" ht="18" customHeight="1" x14ac:dyDescent="0.35">
      <c r="A419" s="86" t="s">
        <v>496</v>
      </c>
      <c r="B419" s="90" t="s">
        <v>53</v>
      </c>
      <c r="C419" s="86" t="s">
        <v>137</v>
      </c>
    </row>
    <row r="420" spans="1:3" ht="18" customHeight="1" x14ac:dyDescent="0.35">
      <c r="A420" s="86" t="s">
        <v>497</v>
      </c>
      <c r="B420" s="90" t="s">
        <v>53</v>
      </c>
      <c r="C420" s="86" t="s">
        <v>137</v>
      </c>
    </row>
    <row r="421" spans="1:3" ht="18" customHeight="1" x14ac:dyDescent="0.35">
      <c r="A421" s="86" t="s">
        <v>498</v>
      </c>
      <c r="B421" s="90" t="s">
        <v>53</v>
      </c>
      <c r="C421" s="86" t="s">
        <v>137</v>
      </c>
    </row>
    <row r="422" spans="1:3" ht="18" customHeight="1" x14ac:dyDescent="0.35">
      <c r="A422" s="86" t="s">
        <v>499</v>
      </c>
      <c r="B422" s="90" t="s">
        <v>53</v>
      </c>
      <c r="C422" s="86" t="s">
        <v>137</v>
      </c>
    </row>
    <row r="423" spans="1:3" ht="18" customHeight="1" x14ac:dyDescent="0.35">
      <c r="A423" s="86" t="s">
        <v>500</v>
      </c>
      <c r="B423" s="90" t="s">
        <v>53</v>
      </c>
      <c r="C423" s="86" t="s">
        <v>137</v>
      </c>
    </row>
    <row r="424" spans="1:3" ht="18" customHeight="1" x14ac:dyDescent="0.35">
      <c r="A424" s="86" t="s">
        <v>501</v>
      </c>
      <c r="B424" s="90" t="s">
        <v>53</v>
      </c>
      <c r="C424" s="86" t="s">
        <v>137</v>
      </c>
    </row>
    <row r="425" spans="1:3" ht="18" customHeight="1" x14ac:dyDescent="0.35">
      <c r="A425" s="86" t="s">
        <v>502</v>
      </c>
      <c r="B425" s="90" t="s">
        <v>53</v>
      </c>
      <c r="C425" s="86" t="s">
        <v>137</v>
      </c>
    </row>
    <row r="426" spans="1:3" ht="18" customHeight="1" x14ac:dyDescent="0.35">
      <c r="A426" s="86" t="s">
        <v>503</v>
      </c>
      <c r="B426" s="90" t="s">
        <v>53</v>
      </c>
      <c r="C426" s="86" t="s">
        <v>137</v>
      </c>
    </row>
    <row r="427" spans="1:3" ht="18" customHeight="1" x14ac:dyDescent="0.35">
      <c r="A427" s="86" t="s">
        <v>504</v>
      </c>
      <c r="B427" s="90" t="s">
        <v>53</v>
      </c>
      <c r="C427" s="86" t="s">
        <v>137</v>
      </c>
    </row>
    <row r="428" spans="1:3" ht="18" customHeight="1" x14ac:dyDescent="0.35">
      <c r="A428" s="86" t="s">
        <v>505</v>
      </c>
      <c r="B428" s="90" t="s">
        <v>53</v>
      </c>
      <c r="C428" s="86" t="s">
        <v>137</v>
      </c>
    </row>
    <row r="429" spans="1:3" ht="18" customHeight="1" x14ac:dyDescent="0.35">
      <c r="A429" s="86" t="s">
        <v>506</v>
      </c>
      <c r="B429" s="90" t="s">
        <v>53</v>
      </c>
      <c r="C429" s="86" t="s">
        <v>137</v>
      </c>
    </row>
    <row r="430" spans="1:3" ht="18" customHeight="1" x14ac:dyDescent="0.35">
      <c r="A430" s="86" t="s">
        <v>507</v>
      </c>
      <c r="B430" s="90" t="s">
        <v>53</v>
      </c>
      <c r="C430" s="86" t="s">
        <v>137</v>
      </c>
    </row>
    <row r="431" spans="1:3" ht="18" customHeight="1" x14ac:dyDescent="0.35">
      <c r="A431" s="86" t="s">
        <v>508</v>
      </c>
      <c r="B431" s="90" t="s">
        <v>53</v>
      </c>
      <c r="C431" s="86" t="s">
        <v>137</v>
      </c>
    </row>
    <row r="432" spans="1:3" ht="18" customHeight="1" x14ac:dyDescent="0.35">
      <c r="A432" s="86" t="s">
        <v>509</v>
      </c>
      <c r="B432" s="90" t="s">
        <v>53</v>
      </c>
      <c r="C432" s="86" t="s">
        <v>137</v>
      </c>
    </row>
    <row r="433" spans="1:3" ht="18" customHeight="1" x14ac:dyDescent="0.35">
      <c r="A433" s="86" t="s">
        <v>510</v>
      </c>
      <c r="B433" s="90" t="s">
        <v>53</v>
      </c>
      <c r="C433" s="86" t="s">
        <v>137</v>
      </c>
    </row>
    <row r="434" spans="1:3" ht="18" customHeight="1" x14ac:dyDescent="0.35">
      <c r="A434" s="86" t="s">
        <v>511</v>
      </c>
      <c r="B434" s="90" t="s">
        <v>53</v>
      </c>
      <c r="C434" s="86" t="s">
        <v>137</v>
      </c>
    </row>
    <row r="435" spans="1:3" ht="18" customHeight="1" x14ac:dyDescent="0.35">
      <c r="A435" s="86" t="s">
        <v>512</v>
      </c>
      <c r="B435" s="90" t="s">
        <v>53</v>
      </c>
      <c r="C435" s="86" t="s">
        <v>137</v>
      </c>
    </row>
    <row r="436" spans="1:3" ht="18" customHeight="1" x14ac:dyDescent="0.35">
      <c r="A436" s="86" t="s">
        <v>513</v>
      </c>
      <c r="B436" s="90" t="s">
        <v>53</v>
      </c>
      <c r="C436" s="86" t="s">
        <v>137</v>
      </c>
    </row>
    <row r="437" spans="1:3" ht="18" customHeight="1" x14ac:dyDescent="0.35">
      <c r="A437" s="86" t="s">
        <v>514</v>
      </c>
      <c r="B437" s="90" t="s">
        <v>53</v>
      </c>
      <c r="C437" s="86" t="s">
        <v>137</v>
      </c>
    </row>
    <row r="438" spans="1:3" ht="18" customHeight="1" x14ac:dyDescent="0.35">
      <c r="A438" s="86" t="s">
        <v>515</v>
      </c>
      <c r="B438" s="90" t="s">
        <v>53</v>
      </c>
      <c r="C438" s="86" t="s">
        <v>137</v>
      </c>
    </row>
    <row r="439" spans="1:3" ht="18" customHeight="1" x14ac:dyDescent="0.35">
      <c r="A439" s="86" t="s">
        <v>516</v>
      </c>
      <c r="B439" s="90" t="s">
        <v>53</v>
      </c>
      <c r="C439" s="86" t="s">
        <v>137</v>
      </c>
    </row>
    <row r="440" spans="1:3" ht="18" customHeight="1" x14ac:dyDescent="0.35">
      <c r="A440" s="86" t="s">
        <v>517</v>
      </c>
      <c r="B440" s="90" t="s">
        <v>53</v>
      </c>
      <c r="C440" s="86" t="s">
        <v>137</v>
      </c>
    </row>
    <row r="441" spans="1:3" ht="18" customHeight="1" x14ac:dyDescent="0.35">
      <c r="A441" s="86" t="s">
        <v>518</v>
      </c>
      <c r="B441" s="90" t="s">
        <v>53</v>
      </c>
      <c r="C441" s="86" t="s">
        <v>137</v>
      </c>
    </row>
    <row r="442" spans="1:3" ht="18" customHeight="1" x14ac:dyDescent="0.35">
      <c r="A442" s="86" t="s">
        <v>519</v>
      </c>
      <c r="B442" s="90" t="s">
        <v>53</v>
      </c>
      <c r="C442" s="86" t="s">
        <v>137</v>
      </c>
    </row>
    <row r="443" spans="1:3" ht="18" customHeight="1" x14ac:dyDescent="0.35">
      <c r="A443" s="86" t="s">
        <v>520</v>
      </c>
      <c r="B443" s="90" t="s">
        <v>53</v>
      </c>
      <c r="C443" s="86" t="s">
        <v>137</v>
      </c>
    </row>
    <row r="444" spans="1:3" ht="18" customHeight="1" x14ac:dyDescent="0.35">
      <c r="A444" s="86" t="s">
        <v>521</v>
      </c>
      <c r="B444" s="90" t="s">
        <v>53</v>
      </c>
      <c r="C444" s="86" t="s">
        <v>137</v>
      </c>
    </row>
    <row r="445" spans="1:3" ht="18" customHeight="1" x14ac:dyDescent="0.35">
      <c r="A445" s="86" t="s">
        <v>522</v>
      </c>
      <c r="B445" s="90" t="s">
        <v>53</v>
      </c>
      <c r="C445" s="86" t="s">
        <v>137</v>
      </c>
    </row>
    <row r="446" spans="1:3" ht="18" customHeight="1" x14ac:dyDescent="0.35">
      <c r="A446" s="86" t="s">
        <v>523</v>
      </c>
      <c r="B446" s="90" t="s">
        <v>53</v>
      </c>
      <c r="C446" s="86" t="s">
        <v>137</v>
      </c>
    </row>
    <row r="447" spans="1:3" ht="18" customHeight="1" x14ac:dyDescent="0.35">
      <c r="A447" s="86" t="s">
        <v>524</v>
      </c>
      <c r="B447" s="90" t="s">
        <v>53</v>
      </c>
      <c r="C447" s="86" t="s">
        <v>137</v>
      </c>
    </row>
    <row r="448" spans="1:3" ht="18" customHeight="1" x14ac:dyDescent="0.35">
      <c r="A448" s="86" t="s">
        <v>525</v>
      </c>
      <c r="B448" s="90" t="s">
        <v>53</v>
      </c>
      <c r="C448" s="86" t="s">
        <v>137</v>
      </c>
    </row>
    <row r="449" spans="1:3" ht="18" customHeight="1" x14ac:dyDescent="0.35">
      <c r="A449" s="86" t="s">
        <v>526</v>
      </c>
      <c r="B449" s="90" t="s">
        <v>53</v>
      </c>
      <c r="C449" s="86" t="s">
        <v>137</v>
      </c>
    </row>
    <row r="450" spans="1:3" ht="18" customHeight="1" x14ac:dyDescent="0.35">
      <c r="A450" s="86" t="s">
        <v>527</v>
      </c>
      <c r="B450" s="90" t="s">
        <v>53</v>
      </c>
      <c r="C450" s="86" t="s">
        <v>137</v>
      </c>
    </row>
    <row r="451" spans="1:3" ht="18" customHeight="1" x14ac:dyDescent="0.35">
      <c r="A451" s="86" t="s">
        <v>528</v>
      </c>
      <c r="B451" s="90" t="s">
        <v>53</v>
      </c>
      <c r="C451" s="86" t="s">
        <v>137</v>
      </c>
    </row>
    <row r="452" spans="1:3" ht="18" customHeight="1" x14ac:dyDescent="0.35">
      <c r="A452" s="86" t="s">
        <v>529</v>
      </c>
      <c r="B452" s="90" t="s">
        <v>53</v>
      </c>
      <c r="C452" s="86" t="s">
        <v>137</v>
      </c>
    </row>
    <row r="453" spans="1:3" ht="18" customHeight="1" x14ac:dyDescent="0.35">
      <c r="A453" s="86" t="s">
        <v>530</v>
      </c>
      <c r="B453" s="90" t="s">
        <v>53</v>
      </c>
      <c r="C453" s="86" t="s">
        <v>137</v>
      </c>
    </row>
    <row r="454" spans="1:3" ht="18" customHeight="1" x14ac:dyDescent="0.35">
      <c r="A454" s="86" t="s">
        <v>531</v>
      </c>
      <c r="B454" s="90" t="s">
        <v>53</v>
      </c>
      <c r="C454" s="86" t="s">
        <v>137</v>
      </c>
    </row>
    <row r="455" spans="1:3" ht="18" customHeight="1" x14ac:dyDescent="0.35">
      <c r="A455" s="86" t="s">
        <v>532</v>
      </c>
      <c r="B455" s="90" t="s">
        <v>53</v>
      </c>
      <c r="C455" s="86" t="s">
        <v>137</v>
      </c>
    </row>
    <row r="456" spans="1:3" ht="18" customHeight="1" x14ac:dyDescent="0.35">
      <c r="A456" s="86" t="s">
        <v>533</v>
      </c>
      <c r="B456" s="90" t="s">
        <v>53</v>
      </c>
      <c r="C456" s="86" t="s">
        <v>137</v>
      </c>
    </row>
    <row r="457" spans="1:3" ht="18" customHeight="1" x14ac:dyDescent="0.35">
      <c r="A457" s="86" t="s">
        <v>534</v>
      </c>
      <c r="B457" s="90" t="s">
        <v>53</v>
      </c>
      <c r="C457" s="86" t="s">
        <v>137</v>
      </c>
    </row>
    <row r="458" spans="1:3" ht="18" customHeight="1" x14ac:dyDescent="0.35">
      <c r="A458" s="86" t="s">
        <v>535</v>
      </c>
      <c r="B458" s="90" t="s">
        <v>53</v>
      </c>
      <c r="C458" s="86" t="s">
        <v>137</v>
      </c>
    </row>
    <row r="459" spans="1:3" ht="18" customHeight="1" x14ac:dyDescent="0.35">
      <c r="A459" s="86" t="s">
        <v>536</v>
      </c>
      <c r="B459" s="90" t="s">
        <v>53</v>
      </c>
      <c r="C459" s="86" t="s">
        <v>137</v>
      </c>
    </row>
    <row r="460" spans="1:3" ht="18" customHeight="1" x14ac:dyDescent="0.35">
      <c r="A460" s="86" t="s">
        <v>537</v>
      </c>
      <c r="B460" s="90" t="s">
        <v>53</v>
      </c>
      <c r="C460" s="86" t="s">
        <v>137</v>
      </c>
    </row>
    <row r="461" spans="1:3" ht="18" customHeight="1" x14ac:dyDescent="0.35">
      <c r="A461" s="86" t="s">
        <v>538</v>
      </c>
      <c r="B461" s="90" t="s">
        <v>53</v>
      </c>
      <c r="C461" s="86" t="s">
        <v>137</v>
      </c>
    </row>
    <row r="462" spans="1:3" ht="18" customHeight="1" x14ac:dyDescent="0.35">
      <c r="A462" s="86" t="s">
        <v>539</v>
      </c>
      <c r="B462" s="90" t="s">
        <v>53</v>
      </c>
      <c r="C462" s="86" t="s">
        <v>137</v>
      </c>
    </row>
    <row r="463" spans="1:3" ht="18" customHeight="1" x14ac:dyDescent="0.35">
      <c r="A463" s="86" t="s">
        <v>540</v>
      </c>
      <c r="B463" s="90" t="s">
        <v>53</v>
      </c>
      <c r="C463" s="86" t="s">
        <v>137</v>
      </c>
    </row>
    <row r="464" spans="1:3" ht="18" customHeight="1" x14ac:dyDescent="0.35">
      <c r="A464" s="86" t="s">
        <v>541</v>
      </c>
      <c r="B464" s="90" t="s">
        <v>53</v>
      </c>
      <c r="C464" s="86" t="s">
        <v>137</v>
      </c>
    </row>
    <row r="465" spans="1:3" ht="18" customHeight="1" x14ac:dyDescent="0.35">
      <c r="A465" s="86" t="s">
        <v>542</v>
      </c>
      <c r="B465" s="90" t="s">
        <v>53</v>
      </c>
      <c r="C465" s="86" t="s">
        <v>137</v>
      </c>
    </row>
    <row r="466" spans="1:3" ht="18" customHeight="1" x14ac:dyDescent="0.35">
      <c r="A466" s="86" t="s">
        <v>543</v>
      </c>
      <c r="B466" s="90" t="s">
        <v>53</v>
      </c>
      <c r="C466" s="86" t="s">
        <v>137</v>
      </c>
    </row>
    <row r="467" spans="1:3" ht="18" customHeight="1" x14ac:dyDescent="0.35">
      <c r="A467" s="86" t="s">
        <v>544</v>
      </c>
      <c r="B467" s="90" t="s">
        <v>53</v>
      </c>
      <c r="C467" s="86" t="s">
        <v>137</v>
      </c>
    </row>
    <row r="468" spans="1:3" ht="18" customHeight="1" x14ac:dyDescent="0.35">
      <c r="A468" s="86" t="s">
        <v>545</v>
      </c>
      <c r="B468" s="90" t="s">
        <v>53</v>
      </c>
      <c r="C468" s="86" t="s">
        <v>137</v>
      </c>
    </row>
    <row r="469" spans="1:3" ht="18" customHeight="1" x14ac:dyDescent="0.35">
      <c r="A469" s="86" t="s">
        <v>546</v>
      </c>
      <c r="B469" s="90" t="s">
        <v>53</v>
      </c>
      <c r="C469" s="86" t="s">
        <v>137</v>
      </c>
    </row>
    <row r="470" spans="1:3" ht="18" customHeight="1" x14ac:dyDescent="0.35">
      <c r="A470" s="86" t="s">
        <v>547</v>
      </c>
      <c r="B470" s="90" t="s">
        <v>53</v>
      </c>
      <c r="C470" s="86" t="s">
        <v>137</v>
      </c>
    </row>
    <row r="471" spans="1:3" ht="18" customHeight="1" x14ac:dyDescent="0.35">
      <c r="A471" s="86" t="s">
        <v>548</v>
      </c>
      <c r="B471" s="90" t="s">
        <v>53</v>
      </c>
      <c r="C471" s="86" t="s">
        <v>137</v>
      </c>
    </row>
    <row r="472" spans="1:3" ht="18" customHeight="1" x14ac:dyDescent="0.35">
      <c r="A472" s="86" t="s">
        <v>549</v>
      </c>
      <c r="B472" s="90" t="s">
        <v>53</v>
      </c>
      <c r="C472" s="86" t="s">
        <v>137</v>
      </c>
    </row>
    <row r="473" spans="1:3" ht="18" customHeight="1" x14ac:dyDescent="0.35">
      <c r="A473" s="86" t="s">
        <v>550</v>
      </c>
      <c r="B473" s="90" t="s">
        <v>53</v>
      </c>
      <c r="C473" s="86" t="s">
        <v>137</v>
      </c>
    </row>
    <row r="474" spans="1:3" ht="18" customHeight="1" x14ac:dyDescent="0.35">
      <c r="A474" s="86" t="s">
        <v>551</v>
      </c>
      <c r="B474" s="90" t="s">
        <v>53</v>
      </c>
      <c r="C474" s="86" t="s">
        <v>137</v>
      </c>
    </row>
    <row r="475" spans="1:3" ht="18" customHeight="1" x14ac:dyDescent="0.35">
      <c r="A475" s="86" t="s">
        <v>552</v>
      </c>
      <c r="B475" s="90" t="s">
        <v>53</v>
      </c>
      <c r="C475" s="86" t="s">
        <v>137</v>
      </c>
    </row>
    <row r="476" spans="1:3" ht="18" customHeight="1" x14ac:dyDescent="0.35">
      <c r="A476" s="86" t="s">
        <v>553</v>
      </c>
      <c r="B476" s="90" t="s">
        <v>53</v>
      </c>
      <c r="C476" s="86" t="s">
        <v>137</v>
      </c>
    </row>
    <row r="477" spans="1:3" ht="18" customHeight="1" x14ac:dyDescent="0.35">
      <c r="A477" s="86" t="s">
        <v>554</v>
      </c>
      <c r="B477" s="90" t="s">
        <v>53</v>
      </c>
      <c r="C477" s="86" t="s">
        <v>137</v>
      </c>
    </row>
    <row r="478" spans="1:3" ht="18" customHeight="1" x14ac:dyDescent="0.35">
      <c r="A478" s="86" t="s">
        <v>555</v>
      </c>
      <c r="B478" s="90" t="s">
        <v>53</v>
      </c>
      <c r="C478" s="86" t="s">
        <v>137</v>
      </c>
    </row>
    <row r="479" spans="1:3" ht="18" customHeight="1" x14ac:dyDescent="0.35">
      <c r="A479" s="86" t="s">
        <v>556</v>
      </c>
      <c r="B479" s="90" t="s">
        <v>53</v>
      </c>
      <c r="C479" s="86" t="s">
        <v>137</v>
      </c>
    </row>
    <row r="480" spans="1:3" ht="18" customHeight="1" x14ac:dyDescent="0.35">
      <c r="A480" s="86" t="s">
        <v>557</v>
      </c>
      <c r="B480" s="90" t="s">
        <v>53</v>
      </c>
      <c r="C480" s="86" t="s">
        <v>137</v>
      </c>
    </row>
    <row r="481" spans="1:3" ht="18" customHeight="1" x14ac:dyDescent="0.35">
      <c r="A481" s="86" t="s">
        <v>558</v>
      </c>
      <c r="B481" s="90" t="s">
        <v>53</v>
      </c>
      <c r="C481" s="86" t="s">
        <v>137</v>
      </c>
    </row>
    <row r="482" spans="1:3" ht="18" customHeight="1" x14ac:dyDescent="0.35">
      <c r="A482" s="86" t="s">
        <v>559</v>
      </c>
      <c r="B482" s="90" t="s">
        <v>53</v>
      </c>
      <c r="C482" s="86" t="s">
        <v>137</v>
      </c>
    </row>
    <row r="483" spans="1:3" ht="18" customHeight="1" x14ac:dyDescent="0.35">
      <c r="A483" s="86" t="s">
        <v>560</v>
      </c>
      <c r="B483" s="90" t="s">
        <v>53</v>
      </c>
      <c r="C483" s="86" t="s">
        <v>137</v>
      </c>
    </row>
    <row r="484" spans="1:3" ht="18" customHeight="1" x14ac:dyDescent="0.35">
      <c r="A484" s="86" t="s">
        <v>561</v>
      </c>
      <c r="B484" s="90" t="s">
        <v>53</v>
      </c>
      <c r="C484" s="86" t="s">
        <v>137</v>
      </c>
    </row>
    <row r="485" spans="1:3" ht="18" customHeight="1" x14ac:dyDescent="0.35">
      <c r="A485" s="86" t="s">
        <v>562</v>
      </c>
      <c r="B485" s="90" t="s">
        <v>53</v>
      </c>
      <c r="C485" s="86" t="s">
        <v>137</v>
      </c>
    </row>
    <row r="486" spans="1:3" ht="18" customHeight="1" x14ac:dyDescent="0.35">
      <c r="A486" s="86" t="s">
        <v>563</v>
      </c>
      <c r="B486" s="90" t="s">
        <v>53</v>
      </c>
      <c r="C486" s="86" t="s">
        <v>137</v>
      </c>
    </row>
    <row r="487" spans="1:3" ht="18" customHeight="1" x14ac:dyDescent="0.35">
      <c r="A487" s="86" t="s">
        <v>564</v>
      </c>
      <c r="B487" s="90" t="s">
        <v>53</v>
      </c>
      <c r="C487" s="86" t="s">
        <v>137</v>
      </c>
    </row>
    <row r="488" spans="1:3" ht="18" customHeight="1" x14ac:dyDescent="0.35">
      <c r="A488" s="86" t="s">
        <v>565</v>
      </c>
      <c r="B488" s="90" t="s">
        <v>53</v>
      </c>
      <c r="C488" s="86" t="s">
        <v>137</v>
      </c>
    </row>
    <row r="489" spans="1:3" ht="18" customHeight="1" x14ac:dyDescent="0.35">
      <c r="A489" s="86" t="s">
        <v>566</v>
      </c>
      <c r="B489" s="90" t="s">
        <v>53</v>
      </c>
      <c r="C489" s="86" t="s">
        <v>137</v>
      </c>
    </row>
    <row r="490" spans="1:3" ht="18" customHeight="1" x14ac:dyDescent="0.35">
      <c r="A490" s="86" t="s">
        <v>567</v>
      </c>
      <c r="B490" s="90" t="s">
        <v>53</v>
      </c>
      <c r="C490" s="86" t="s">
        <v>137</v>
      </c>
    </row>
    <row r="491" spans="1:3" ht="18" customHeight="1" x14ac:dyDescent="0.35">
      <c r="A491" s="86" t="s">
        <v>568</v>
      </c>
      <c r="B491" s="90" t="s">
        <v>53</v>
      </c>
      <c r="C491" s="86" t="s">
        <v>137</v>
      </c>
    </row>
    <row r="492" spans="1:3" ht="18" customHeight="1" x14ac:dyDescent="0.35">
      <c r="A492" s="86" t="s">
        <v>569</v>
      </c>
      <c r="B492" s="90" t="s">
        <v>53</v>
      </c>
      <c r="C492" s="86" t="s">
        <v>137</v>
      </c>
    </row>
    <row r="493" spans="1:3" ht="18" customHeight="1" x14ac:dyDescent="0.35">
      <c r="A493" s="86" t="s">
        <v>570</v>
      </c>
      <c r="B493" s="90" t="s">
        <v>53</v>
      </c>
      <c r="C493" s="86" t="s">
        <v>137</v>
      </c>
    </row>
    <row r="494" spans="1:3" ht="18" customHeight="1" x14ac:dyDescent="0.35">
      <c r="A494" s="86" t="s">
        <v>571</v>
      </c>
      <c r="B494" s="90" t="s">
        <v>53</v>
      </c>
      <c r="C494" s="86" t="s">
        <v>137</v>
      </c>
    </row>
    <row r="495" spans="1:3" ht="18" customHeight="1" x14ac:dyDescent="0.35">
      <c r="A495" s="86" t="s">
        <v>572</v>
      </c>
      <c r="B495" s="90" t="s">
        <v>53</v>
      </c>
      <c r="C495" s="86" t="s">
        <v>137</v>
      </c>
    </row>
    <row r="496" spans="1:3" ht="18" customHeight="1" x14ac:dyDescent="0.35">
      <c r="A496" s="86" t="s">
        <v>573</v>
      </c>
      <c r="B496" s="90" t="s">
        <v>53</v>
      </c>
      <c r="C496" s="86" t="s">
        <v>137</v>
      </c>
    </row>
    <row r="497" spans="1:3" ht="18" customHeight="1" x14ac:dyDescent="0.35">
      <c r="A497" s="86" t="s">
        <v>574</v>
      </c>
      <c r="B497" s="90" t="s">
        <v>53</v>
      </c>
      <c r="C497" s="86" t="s">
        <v>137</v>
      </c>
    </row>
    <row r="498" spans="1:3" ht="18" customHeight="1" x14ac:dyDescent="0.35">
      <c r="A498" s="86" t="s">
        <v>575</v>
      </c>
      <c r="B498" s="90" t="s">
        <v>53</v>
      </c>
      <c r="C498" s="86" t="s">
        <v>137</v>
      </c>
    </row>
    <row r="499" spans="1:3" ht="18" customHeight="1" x14ac:dyDescent="0.35">
      <c r="A499" s="86" t="s">
        <v>576</v>
      </c>
      <c r="B499" s="90" t="s">
        <v>53</v>
      </c>
      <c r="C499" s="86" t="s">
        <v>137</v>
      </c>
    </row>
    <row r="500" spans="1:3" ht="18" customHeight="1" x14ac:dyDescent="0.35">
      <c r="A500" s="86" t="s">
        <v>577</v>
      </c>
      <c r="B500" s="90" t="s">
        <v>53</v>
      </c>
      <c r="C500" s="86" t="s">
        <v>137</v>
      </c>
    </row>
    <row r="501" spans="1:3" ht="18" customHeight="1" x14ac:dyDescent="0.35">
      <c r="A501" s="86" t="s">
        <v>578</v>
      </c>
      <c r="B501" s="90" t="s">
        <v>53</v>
      </c>
      <c r="C501" s="86" t="s">
        <v>137</v>
      </c>
    </row>
    <row r="502" spans="1:3" ht="18" customHeight="1" x14ac:dyDescent="0.35">
      <c r="A502" s="86" t="s">
        <v>579</v>
      </c>
      <c r="B502" s="90" t="s">
        <v>53</v>
      </c>
      <c r="C502" s="86" t="s">
        <v>137</v>
      </c>
    </row>
    <row r="503" spans="1:3" ht="18" customHeight="1" x14ac:dyDescent="0.35">
      <c r="A503" s="86" t="s">
        <v>580</v>
      </c>
      <c r="B503" s="90" t="s">
        <v>53</v>
      </c>
      <c r="C503" s="86" t="s">
        <v>137</v>
      </c>
    </row>
    <row r="504" spans="1:3" ht="18" customHeight="1" x14ac:dyDescent="0.35">
      <c r="A504" s="86" t="s">
        <v>581</v>
      </c>
      <c r="B504" s="90" t="s">
        <v>53</v>
      </c>
      <c r="C504" s="86" t="s">
        <v>137</v>
      </c>
    </row>
    <row r="505" spans="1:3" ht="18" customHeight="1" x14ac:dyDescent="0.35">
      <c r="A505" s="86" t="s">
        <v>582</v>
      </c>
      <c r="B505" s="90" t="s">
        <v>53</v>
      </c>
      <c r="C505" s="86" t="s">
        <v>137</v>
      </c>
    </row>
    <row r="506" spans="1:3" ht="18" customHeight="1" x14ac:dyDescent="0.35">
      <c r="A506" s="86" t="s">
        <v>583</v>
      </c>
      <c r="B506" s="90" t="s">
        <v>53</v>
      </c>
      <c r="C506" s="86" t="s">
        <v>137</v>
      </c>
    </row>
    <row r="507" spans="1:3" ht="18" customHeight="1" x14ac:dyDescent="0.35">
      <c r="A507" s="86" t="s">
        <v>584</v>
      </c>
      <c r="B507" s="90" t="s">
        <v>53</v>
      </c>
      <c r="C507" s="86" t="s">
        <v>137</v>
      </c>
    </row>
    <row r="508" spans="1:3" ht="18" customHeight="1" x14ac:dyDescent="0.35">
      <c r="A508" s="86" t="s">
        <v>585</v>
      </c>
      <c r="B508" s="90" t="s">
        <v>53</v>
      </c>
      <c r="C508" s="86" t="s">
        <v>137</v>
      </c>
    </row>
    <row r="509" spans="1:3" ht="18" customHeight="1" x14ac:dyDescent="0.35">
      <c r="A509" s="86" t="s">
        <v>586</v>
      </c>
      <c r="B509" s="90" t="s">
        <v>53</v>
      </c>
      <c r="C509" s="86" t="s">
        <v>137</v>
      </c>
    </row>
    <row r="510" spans="1:3" ht="18" customHeight="1" x14ac:dyDescent="0.35">
      <c r="A510" s="86" t="s">
        <v>587</v>
      </c>
      <c r="B510" s="90" t="s">
        <v>53</v>
      </c>
      <c r="C510" s="86" t="s">
        <v>137</v>
      </c>
    </row>
    <row r="511" spans="1:3" ht="18" customHeight="1" x14ac:dyDescent="0.35">
      <c r="A511" s="86" t="s">
        <v>588</v>
      </c>
      <c r="B511" s="90" t="s">
        <v>53</v>
      </c>
      <c r="C511" s="86" t="s">
        <v>137</v>
      </c>
    </row>
    <row r="512" spans="1:3" ht="18" customHeight="1" x14ac:dyDescent="0.35">
      <c r="A512" s="86" t="s">
        <v>589</v>
      </c>
      <c r="B512" s="90" t="s">
        <v>53</v>
      </c>
      <c r="C512" s="86" t="s">
        <v>137</v>
      </c>
    </row>
    <row r="513" spans="1:3" ht="18" customHeight="1" x14ac:dyDescent="0.35">
      <c r="A513" s="86" t="s">
        <v>590</v>
      </c>
      <c r="B513" s="90" t="s">
        <v>53</v>
      </c>
      <c r="C513" s="86" t="s">
        <v>137</v>
      </c>
    </row>
    <row r="514" spans="1:3" ht="18" customHeight="1" x14ac:dyDescent="0.35">
      <c r="A514" s="86" t="s">
        <v>591</v>
      </c>
      <c r="B514" s="90" t="s">
        <v>53</v>
      </c>
      <c r="C514" s="86" t="s">
        <v>137</v>
      </c>
    </row>
    <row r="515" spans="1:3" ht="18" customHeight="1" x14ac:dyDescent="0.35">
      <c r="A515" s="86" t="s">
        <v>592</v>
      </c>
      <c r="B515" s="90" t="s">
        <v>53</v>
      </c>
      <c r="C515" s="86" t="s">
        <v>137</v>
      </c>
    </row>
    <row r="516" spans="1:3" ht="18" customHeight="1" x14ac:dyDescent="0.35">
      <c r="A516" s="86" t="s">
        <v>593</v>
      </c>
      <c r="B516" s="90" t="s">
        <v>53</v>
      </c>
      <c r="C516" s="86" t="s">
        <v>137</v>
      </c>
    </row>
    <row r="517" spans="1:3" ht="18" customHeight="1" x14ac:dyDescent="0.35">
      <c r="A517" s="86" t="s">
        <v>594</v>
      </c>
      <c r="B517" s="90" t="s">
        <v>53</v>
      </c>
      <c r="C517" s="86" t="s">
        <v>137</v>
      </c>
    </row>
    <row r="518" spans="1:3" ht="18" customHeight="1" x14ac:dyDescent="0.35">
      <c r="A518" s="86" t="s">
        <v>595</v>
      </c>
      <c r="B518" s="90" t="s">
        <v>53</v>
      </c>
      <c r="C518" s="86" t="s">
        <v>137</v>
      </c>
    </row>
    <row r="519" spans="1:3" ht="18" customHeight="1" x14ac:dyDescent="0.35">
      <c r="A519" s="86" t="s">
        <v>596</v>
      </c>
      <c r="B519" s="90" t="s">
        <v>53</v>
      </c>
      <c r="C519" s="86" t="s">
        <v>137</v>
      </c>
    </row>
    <row r="520" spans="1:3" ht="18" customHeight="1" x14ac:dyDescent="0.35">
      <c r="A520" s="86" t="s">
        <v>597</v>
      </c>
      <c r="B520" s="90" t="s">
        <v>53</v>
      </c>
      <c r="C520" s="86" t="s">
        <v>137</v>
      </c>
    </row>
    <row r="521" spans="1:3" ht="18" customHeight="1" x14ac:dyDescent="0.35">
      <c r="A521" s="86" t="s">
        <v>598</v>
      </c>
      <c r="B521" s="90" t="s">
        <v>53</v>
      </c>
      <c r="C521" s="86" t="s">
        <v>137</v>
      </c>
    </row>
    <row r="522" spans="1:3" ht="18" customHeight="1" x14ac:dyDescent="0.35">
      <c r="A522" s="86" t="s">
        <v>599</v>
      </c>
      <c r="B522" s="90" t="s">
        <v>53</v>
      </c>
      <c r="C522" s="86" t="s">
        <v>137</v>
      </c>
    </row>
    <row r="523" spans="1:3" ht="18" customHeight="1" x14ac:dyDescent="0.35">
      <c r="A523" s="86" t="s">
        <v>600</v>
      </c>
      <c r="B523" s="90" t="s">
        <v>53</v>
      </c>
      <c r="C523" s="86" t="s">
        <v>137</v>
      </c>
    </row>
    <row r="524" spans="1:3" ht="18" customHeight="1" x14ac:dyDescent="0.35">
      <c r="A524" s="86" t="s">
        <v>601</v>
      </c>
      <c r="B524" s="90" t="s">
        <v>53</v>
      </c>
      <c r="C524" s="86" t="s">
        <v>137</v>
      </c>
    </row>
    <row r="525" spans="1:3" ht="18" customHeight="1" x14ac:dyDescent="0.35">
      <c r="A525" s="86" t="s">
        <v>602</v>
      </c>
      <c r="B525" s="90" t="s">
        <v>53</v>
      </c>
      <c r="C525" s="86" t="s">
        <v>137</v>
      </c>
    </row>
    <row r="526" spans="1:3" ht="18" customHeight="1" x14ac:dyDescent="0.35">
      <c r="A526" s="86" t="s">
        <v>603</v>
      </c>
      <c r="B526" s="90" t="s">
        <v>53</v>
      </c>
      <c r="C526" s="86" t="s">
        <v>137</v>
      </c>
    </row>
    <row r="527" spans="1:3" ht="18" customHeight="1" x14ac:dyDescent="0.35">
      <c r="A527" s="86" t="s">
        <v>604</v>
      </c>
      <c r="B527" s="90" t="s">
        <v>53</v>
      </c>
      <c r="C527" s="86" t="s">
        <v>137</v>
      </c>
    </row>
    <row r="528" spans="1:3" ht="18" customHeight="1" x14ac:dyDescent="0.35">
      <c r="A528" s="86" t="s">
        <v>605</v>
      </c>
      <c r="B528" s="90" t="s">
        <v>53</v>
      </c>
      <c r="C528" s="86" t="s">
        <v>137</v>
      </c>
    </row>
    <row r="529" spans="1:3" ht="18" customHeight="1" x14ac:dyDescent="0.35">
      <c r="A529" s="86" t="s">
        <v>606</v>
      </c>
      <c r="B529" s="90" t="s">
        <v>53</v>
      </c>
      <c r="C529" s="86" t="s">
        <v>137</v>
      </c>
    </row>
    <row r="530" spans="1:3" ht="18" customHeight="1" x14ac:dyDescent="0.35">
      <c r="A530" s="86" t="s">
        <v>607</v>
      </c>
      <c r="B530" s="90" t="s">
        <v>53</v>
      </c>
      <c r="C530" s="86" t="s">
        <v>137</v>
      </c>
    </row>
    <row r="531" spans="1:3" ht="18" customHeight="1" x14ac:dyDescent="0.35">
      <c r="A531" s="86" t="s">
        <v>608</v>
      </c>
      <c r="B531" s="90" t="s">
        <v>53</v>
      </c>
      <c r="C531" s="86" t="s">
        <v>137</v>
      </c>
    </row>
    <row r="532" spans="1:3" ht="18" customHeight="1" x14ac:dyDescent="0.35">
      <c r="A532" s="86" t="s">
        <v>609</v>
      </c>
      <c r="B532" s="90" t="s">
        <v>53</v>
      </c>
      <c r="C532" s="86" t="s">
        <v>137</v>
      </c>
    </row>
    <row r="533" spans="1:3" ht="18" customHeight="1" x14ac:dyDescent="0.35">
      <c r="A533" s="86" t="s">
        <v>610</v>
      </c>
      <c r="B533" s="90" t="s">
        <v>53</v>
      </c>
      <c r="C533" s="86" t="s">
        <v>137</v>
      </c>
    </row>
    <row r="534" spans="1:3" ht="18" customHeight="1" x14ac:dyDescent="0.35">
      <c r="A534" s="86" t="s">
        <v>611</v>
      </c>
      <c r="B534" s="90" t="s">
        <v>53</v>
      </c>
      <c r="C534" s="86" t="s">
        <v>137</v>
      </c>
    </row>
    <row r="535" spans="1:3" ht="18" customHeight="1" x14ac:dyDescent="0.35">
      <c r="A535" s="86" t="s">
        <v>612</v>
      </c>
      <c r="B535" s="90" t="s">
        <v>53</v>
      </c>
      <c r="C535" s="86" t="s">
        <v>137</v>
      </c>
    </row>
    <row r="536" spans="1:3" ht="18" customHeight="1" x14ac:dyDescent="0.35">
      <c r="A536" s="86" t="s">
        <v>613</v>
      </c>
      <c r="B536" s="90" t="s">
        <v>53</v>
      </c>
      <c r="C536" s="86" t="s">
        <v>137</v>
      </c>
    </row>
    <row r="537" spans="1:3" ht="18" customHeight="1" x14ac:dyDescent="0.35">
      <c r="A537" s="86" t="s">
        <v>614</v>
      </c>
      <c r="B537" s="90" t="s">
        <v>53</v>
      </c>
      <c r="C537" s="86" t="s">
        <v>137</v>
      </c>
    </row>
    <row r="538" spans="1:3" ht="18" customHeight="1" x14ac:dyDescent="0.35">
      <c r="A538" s="86" t="s">
        <v>615</v>
      </c>
      <c r="B538" s="90" t="s">
        <v>53</v>
      </c>
      <c r="C538" s="86" t="s">
        <v>137</v>
      </c>
    </row>
    <row r="539" spans="1:3" ht="18" customHeight="1" x14ac:dyDescent="0.35">
      <c r="A539" s="86" t="s">
        <v>616</v>
      </c>
      <c r="B539" s="90" t="s">
        <v>53</v>
      </c>
      <c r="C539" s="86" t="s">
        <v>137</v>
      </c>
    </row>
    <row r="540" spans="1:3" ht="18" customHeight="1" x14ac:dyDescent="0.35">
      <c r="A540" s="86" t="s">
        <v>617</v>
      </c>
      <c r="B540" s="90" t="s">
        <v>53</v>
      </c>
      <c r="C540" s="86" t="s">
        <v>137</v>
      </c>
    </row>
    <row r="541" spans="1:3" ht="18" customHeight="1" x14ac:dyDescent="0.35">
      <c r="A541" s="86" t="s">
        <v>618</v>
      </c>
      <c r="B541" s="90" t="s">
        <v>53</v>
      </c>
      <c r="C541" s="86" t="s">
        <v>137</v>
      </c>
    </row>
    <row r="542" spans="1:3" ht="18" customHeight="1" x14ac:dyDescent="0.35">
      <c r="A542" s="86" t="s">
        <v>619</v>
      </c>
      <c r="B542" s="90" t="s">
        <v>53</v>
      </c>
      <c r="C542" s="86" t="s">
        <v>137</v>
      </c>
    </row>
    <row r="543" spans="1:3" ht="18" customHeight="1" x14ac:dyDescent="0.35">
      <c r="A543" s="86" t="s">
        <v>620</v>
      </c>
      <c r="B543" s="90" t="s">
        <v>53</v>
      </c>
      <c r="C543" s="86" t="s">
        <v>137</v>
      </c>
    </row>
    <row r="544" spans="1:3" ht="18" customHeight="1" x14ac:dyDescent="0.35">
      <c r="A544" s="86" t="s">
        <v>621</v>
      </c>
      <c r="B544" s="90" t="s">
        <v>53</v>
      </c>
      <c r="C544" s="86" t="s">
        <v>137</v>
      </c>
    </row>
    <row r="545" spans="1:3" ht="18" customHeight="1" x14ac:dyDescent="0.35">
      <c r="A545" s="86" t="s">
        <v>622</v>
      </c>
      <c r="B545" s="90" t="s">
        <v>53</v>
      </c>
      <c r="C545" s="86" t="s">
        <v>137</v>
      </c>
    </row>
    <row r="546" spans="1:3" ht="18" customHeight="1" x14ac:dyDescent="0.35">
      <c r="A546" s="86" t="s">
        <v>623</v>
      </c>
      <c r="B546" s="90" t="s">
        <v>53</v>
      </c>
      <c r="C546" s="86" t="s">
        <v>137</v>
      </c>
    </row>
    <row r="547" spans="1:3" ht="18" customHeight="1" x14ac:dyDescent="0.35">
      <c r="A547" s="86" t="s">
        <v>624</v>
      </c>
      <c r="B547" s="90" t="s">
        <v>53</v>
      </c>
      <c r="C547" s="86" t="s">
        <v>137</v>
      </c>
    </row>
    <row r="548" spans="1:3" ht="18" customHeight="1" x14ac:dyDescent="0.35">
      <c r="A548" s="86" t="s">
        <v>625</v>
      </c>
      <c r="B548" s="90" t="s">
        <v>53</v>
      </c>
      <c r="C548" s="86" t="s">
        <v>137</v>
      </c>
    </row>
    <row r="549" spans="1:3" ht="18" customHeight="1" x14ac:dyDescent="0.35">
      <c r="A549" s="86" t="s">
        <v>626</v>
      </c>
      <c r="B549" s="90" t="s">
        <v>53</v>
      </c>
      <c r="C549" s="86" t="s">
        <v>137</v>
      </c>
    </row>
    <row r="550" spans="1:3" ht="18" customHeight="1" x14ac:dyDescent="0.35">
      <c r="A550" s="86" t="s">
        <v>627</v>
      </c>
      <c r="B550" s="90" t="s">
        <v>53</v>
      </c>
      <c r="C550" s="86" t="s">
        <v>137</v>
      </c>
    </row>
    <row r="551" spans="1:3" ht="18" customHeight="1" x14ac:dyDescent="0.35">
      <c r="A551" s="86" t="s">
        <v>628</v>
      </c>
      <c r="B551" s="90" t="s">
        <v>53</v>
      </c>
      <c r="C551" s="86" t="s">
        <v>137</v>
      </c>
    </row>
    <row r="552" spans="1:3" ht="18" customHeight="1" x14ac:dyDescent="0.35">
      <c r="A552" s="86" t="s">
        <v>629</v>
      </c>
      <c r="B552" s="90" t="s">
        <v>53</v>
      </c>
      <c r="C552" s="86" t="s">
        <v>137</v>
      </c>
    </row>
    <row r="553" spans="1:3" ht="18" customHeight="1" x14ac:dyDescent="0.35">
      <c r="A553" s="86" t="s">
        <v>630</v>
      </c>
      <c r="B553" s="90" t="s">
        <v>53</v>
      </c>
      <c r="C553" s="86" t="s">
        <v>137</v>
      </c>
    </row>
    <row r="554" spans="1:3" ht="18" customHeight="1" x14ac:dyDescent="0.35">
      <c r="A554" s="86" t="s">
        <v>631</v>
      </c>
      <c r="B554" s="90" t="s">
        <v>53</v>
      </c>
      <c r="C554" s="86" t="s">
        <v>137</v>
      </c>
    </row>
    <row r="555" spans="1:3" ht="18" customHeight="1" x14ac:dyDescent="0.35">
      <c r="A555" s="86" t="s">
        <v>632</v>
      </c>
      <c r="B555" s="90" t="s">
        <v>53</v>
      </c>
      <c r="C555" s="86" t="s">
        <v>137</v>
      </c>
    </row>
    <row r="556" spans="1:3" ht="18" customHeight="1" x14ac:dyDescent="0.35">
      <c r="A556" s="86" t="s">
        <v>633</v>
      </c>
      <c r="B556" s="90" t="s">
        <v>53</v>
      </c>
      <c r="C556" s="86" t="s">
        <v>137</v>
      </c>
    </row>
    <row r="557" spans="1:3" ht="18" customHeight="1" x14ac:dyDescent="0.35">
      <c r="A557" s="86" t="s">
        <v>634</v>
      </c>
      <c r="B557" s="90" t="s">
        <v>53</v>
      </c>
      <c r="C557" s="86" t="s">
        <v>137</v>
      </c>
    </row>
    <row r="558" spans="1:3" ht="18" customHeight="1" x14ac:dyDescent="0.35">
      <c r="A558" s="86" t="s">
        <v>635</v>
      </c>
      <c r="B558" s="90" t="s">
        <v>53</v>
      </c>
      <c r="C558" s="86" t="s">
        <v>137</v>
      </c>
    </row>
    <row r="559" spans="1:3" ht="18" customHeight="1" x14ac:dyDescent="0.35">
      <c r="A559" s="86" t="s">
        <v>636</v>
      </c>
      <c r="B559" s="90" t="s">
        <v>53</v>
      </c>
      <c r="C559" s="86" t="s">
        <v>137</v>
      </c>
    </row>
    <row r="560" spans="1:3" ht="18" customHeight="1" x14ac:dyDescent="0.35">
      <c r="A560" s="86" t="s">
        <v>637</v>
      </c>
      <c r="B560" s="90" t="s">
        <v>53</v>
      </c>
      <c r="C560" s="86" t="s">
        <v>137</v>
      </c>
    </row>
    <row r="561" spans="1:3" ht="18" customHeight="1" x14ac:dyDescent="0.35">
      <c r="A561" s="86" t="s">
        <v>638</v>
      </c>
      <c r="B561" s="90" t="s">
        <v>53</v>
      </c>
      <c r="C561" s="86" t="s">
        <v>137</v>
      </c>
    </row>
    <row r="562" spans="1:3" ht="18" customHeight="1" x14ac:dyDescent="0.35">
      <c r="A562" s="86" t="s">
        <v>639</v>
      </c>
      <c r="B562" s="90" t="s">
        <v>53</v>
      </c>
      <c r="C562" s="86" t="s">
        <v>137</v>
      </c>
    </row>
    <row r="563" spans="1:3" ht="18" customHeight="1" x14ac:dyDescent="0.35">
      <c r="A563" s="86" t="s">
        <v>640</v>
      </c>
      <c r="B563" s="90" t="s">
        <v>53</v>
      </c>
      <c r="C563" s="86" t="s">
        <v>137</v>
      </c>
    </row>
    <row r="564" spans="1:3" ht="18" customHeight="1" x14ac:dyDescent="0.35">
      <c r="A564" s="86" t="s">
        <v>641</v>
      </c>
      <c r="B564" s="90" t="s">
        <v>53</v>
      </c>
      <c r="C564" s="86" t="s">
        <v>137</v>
      </c>
    </row>
    <row r="565" spans="1:3" ht="18" customHeight="1" x14ac:dyDescent="0.35">
      <c r="A565" s="86" t="s">
        <v>642</v>
      </c>
      <c r="B565" s="90" t="s">
        <v>53</v>
      </c>
      <c r="C565" s="86" t="s">
        <v>137</v>
      </c>
    </row>
    <row r="566" spans="1:3" ht="18" customHeight="1" x14ac:dyDescent="0.35">
      <c r="A566" s="86" t="s">
        <v>643</v>
      </c>
      <c r="B566" s="90" t="s">
        <v>53</v>
      </c>
      <c r="C566" s="86" t="s">
        <v>137</v>
      </c>
    </row>
    <row r="567" spans="1:3" ht="18" customHeight="1" x14ac:dyDescent="0.35">
      <c r="A567" s="86" t="s">
        <v>644</v>
      </c>
      <c r="B567" s="90" t="s">
        <v>53</v>
      </c>
      <c r="C567" s="86" t="s">
        <v>137</v>
      </c>
    </row>
    <row r="568" spans="1:3" ht="18" customHeight="1" x14ac:dyDescent="0.35">
      <c r="A568" s="86" t="s">
        <v>645</v>
      </c>
      <c r="B568" s="90" t="s">
        <v>53</v>
      </c>
      <c r="C568" s="86" t="s">
        <v>137</v>
      </c>
    </row>
    <row r="569" spans="1:3" ht="18" customHeight="1" x14ac:dyDescent="0.35">
      <c r="A569" s="86" t="s">
        <v>646</v>
      </c>
      <c r="B569" s="90" t="s">
        <v>53</v>
      </c>
      <c r="C569" s="86" t="s">
        <v>137</v>
      </c>
    </row>
    <row r="570" spans="1:3" ht="18" customHeight="1" x14ac:dyDescent="0.35">
      <c r="A570" s="86" t="s">
        <v>647</v>
      </c>
      <c r="B570" s="90" t="s">
        <v>53</v>
      </c>
      <c r="C570" s="86" t="s">
        <v>137</v>
      </c>
    </row>
    <row r="571" spans="1:3" ht="18" customHeight="1" x14ac:dyDescent="0.35">
      <c r="A571" s="86" t="s">
        <v>648</v>
      </c>
      <c r="B571" s="90" t="s">
        <v>53</v>
      </c>
      <c r="C571" s="86" t="s">
        <v>137</v>
      </c>
    </row>
    <row r="572" spans="1:3" ht="18" customHeight="1" x14ac:dyDescent="0.35">
      <c r="A572" s="86" t="s">
        <v>649</v>
      </c>
      <c r="B572" s="90" t="s">
        <v>53</v>
      </c>
      <c r="C572" s="86" t="s">
        <v>137</v>
      </c>
    </row>
    <row r="573" spans="1:3" ht="18" customHeight="1" x14ac:dyDescent="0.35">
      <c r="A573" s="86" t="s">
        <v>650</v>
      </c>
      <c r="B573" s="90" t="s">
        <v>53</v>
      </c>
      <c r="C573" s="86" t="s">
        <v>137</v>
      </c>
    </row>
    <row r="574" spans="1:3" ht="18" customHeight="1" x14ac:dyDescent="0.35">
      <c r="A574" s="86" t="s">
        <v>651</v>
      </c>
      <c r="B574" s="90" t="s">
        <v>53</v>
      </c>
      <c r="C574" s="86" t="s">
        <v>137</v>
      </c>
    </row>
    <row r="575" spans="1:3" ht="18" customHeight="1" x14ac:dyDescent="0.35">
      <c r="A575" s="86" t="s">
        <v>652</v>
      </c>
      <c r="B575" s="90" t="s">
        <v>53</v>
      </c>
      <c r="C575" s="86" t="s">
        <v>137</v>
      </c>
    </row>
    <row r="576" spans="1:3" ht="18" customHeight="1" x14ac:dyDescent="0.35">
      <c r="A576" s="86" t="s">
        <v>653</v>
      </c>
      <c r="B576" s="90" t="s">
        <v>53</v>
      </c>
      <c r="C576" s="86" t="s">
        <v>137</v>
      </c>
    </row>
    <row r="577" spans="1:3" ht="18" customHeight="1" x14ac:dyDescent="0.35">
      <c r="A577" s="86" t="s">
        <v>654</v>
      </c>
      <c r="B577" s="90" t="s">
        <v>53</v>
      </c>
      <c r="C577" s="86" t="s">
        <v>137</v>
      </c>
    </row>
    <row r="578" spans="1:3" ht="18" customHeight="1" x14ac:dyDescent="0.35">
      <c r="A578" s="86" t="s">
        <v>655</v>
      </c>
      <c r="B578" s="90" t="s">
        <v>53</v>
      </c>
      <c r="C578" s="86" t="s">
        <v>137</v>
      </c>
    </row>
    <row r="579" spans="1:3" ht="18" customHeight="1" x14ac:dyDescent="0.35">
      <c r="A579" s="86" t="s">
        <v>656</v>
      </c>
      <c r="B579" s="90" t="s">
        <v>53</v>
      </c>
      <c r="C579" s="86" t="s">
        <v>137</v>
      </c>
    </row>
    <row r="580" spans="1:3" ht="18" customHeight="1" x14ac:dyDescent="0.35">
      <c r="A580" s="86" t="s">
        <v>657</v>
      </c>
      <c r="B580" s="90" t="s">
        <v>53</v>
      </c>
      <c r="C580" s="86" t="s">
        <v>137</v>
      </c>
    </row>
    <row r="581" spans="1:3" ht="18" customHeight="1" x14ac:dyDescent="0.35">
      <c r="A581" s="86" t="s">
        <v>658</v>
      </c>
      <c r="B581" s="90" t="s">
        <v>53</v>
      </c>
      <c r="C581" s="86" t="s">
        <v>137</v>
      </c>
    </row>
    <row r="582" spans="1:3" ht="18" customHeight="1" x14ac:dyDescent="0.35">
      <c r="A582" s="86" t="s">
        <v>659</v>
      </c>
      <c r="B582" s="90" t="s">
        <v>53</v>
      </c>
      <c r="C582" s="86" t="s">
        <v>137</v>
      </c>
    </row>
    <row r="583" spans="1:3" ht="18" customHeight="1" x14ac:dyDescent="0.35">
      <c r="A583" s="86" t="s">
        <v>660</v>
      </c>
      <c r="B583" s="90" t="s">
        <v>53</v>
      </c>
      <c r="C583" s="86" t="s">
        <v>137</v>
      </c>
    </row>
    <row r="584" spans="1:3" ht="18" customHeight="1" x14ac:dyDescent="0.35">
      <c r="A584" s="86" t="s">
        <v>661</v>
      </c>
      <c r="B584" s="90" t="s">
        <v>53</v>
      </c>
      <c r="C584" s="86" t="s">
        <v>137</v>
      </c>
    </row>
    <row r="585" spans="1:3" ht="18" customHeight="1" x14ac:dyDescent="0.35">
      <c r="A585" s="86" t="s">
        <v>662</v>
      </c>
      <c r="B585" s="90" t="s">
        <v>53</v>
      </c>
      <c r="C585" s="86" t="s">
        <v>137</v>
      </c>
    </row>
    <row r="586" spans="1:3" ht="18" customHeight="1" x14ac:dyDescent="0.35">
      <c r="A586" s="86" t="s">
        <v>663</v>
      </c>
      <c r="B586" s="90" t="s">
        <v>53</v>
      </c>
      <c r="C586" s="86" t="s">
        <v>137</v>
      </c>
    </row>
    <row r="587" spans="1:3" ht="18" customHeight="1" x14ac:dyDescent="0.35">
      <c r="A587" s="86" t="s">
        <v>664</v>
      </c>
      <c r="B587" s="90" t="s">
        <v>53</v>
      </c>
      <c r="C587" s="86" t="s">
        <v>137</v>
      </c>
    </row>
    <row r="588" spans="1:3" ht="18" customHeight="1" x14ac:dyDescent="0.35">
      <c r="A588" s="86" t="s">
        <v>665</v>
      </c>
      <c r="B588" s="90" t="s">
        <v>53</v>
      </c>
      <c r="C588" s="86" t="s">
        <v>137</v>
      </c>
    </row>
    <row r="589" spans="1:3" ht="18" customHeight="1" x14ac:dyDescent="0.35">
      <c r="A589" s="86" t="s">
        <v>666</v>
      </c>
      <c r="B589" s="90" t="s">
        <v>53</v>
      </c>
      <c r="C589" s="86"/>
    </row>
    <row r="590" spans="1:3" ht="18" customHeight="1" x14ac:dyDescent="0.35">
      <c r="A590" s="86" t="s">
        <v>667</v>
      </c>
      <c r="B590" s="90" t="s">
        <v>53</v>
      </c>
      <c r="C590" s="86" t="s">
        <v>668</v>
      </c>
    </row>
    <row r="591" spans="1:3" ht="18" customHeight="1" x14ac:dyDescent="0.35">
      <c r="A591" s="86" t="s">
        <v>669</v>
      </c>
      <c r="B591" s="90" t="s">
        <v>53</v>
      </c>
      <c r="C591" s="86" t="s">
        <v>670</v>
      </c>
    </row>
    <row r="592" spans="1:3" ht="18" customHeight="1" x14ac:dyDescent="0.35">
      <c r="A592" s="86" t="s">
        <v>671</v>
      </c>
      <c r="B592" s="90" t="s">
        <v>53</v>
      </c>
      <c r="C592" s="86" t="s">
        <v>54</v>
      </c>
    </row>
    <row r="593" spans="1:3" ht="18" customHeight="1" x14ac:dyDescent="0.35">
      <c r="A593" s="86" t="s">
        <v>672</v>
      </c>
      <c r="B593" s="90" t="s">
        <v>53</v>
      </c>
      <c r="C593" s="86" t="s">
        <v>670</v>
      </c>
    </row>
    <row r="594" spans="1:3" ht="18" customHeight="1" x14ac:dyDescent="0.35">
      <c r="A594" s="86" t="s">
        <v>673</v>
      </c>
      <c r="B594" s="90" t="s">
        <v>53</v>
      </c>
      <c r="C594" s="86" t="s">
        <v>674</v>
      </c>
    </row>
    <row r="595" spans="1:3" ht="18" customHeight="1" x14ac:dyDescent="0.35">
      <c r="A595" s="86" t="s">
        <v>675</v>
      </c>
      <c r="B595" s="90" t="s">
        <v>53</v>
      </c>
      <c r="C595" s="86" t="s">
        <v>674</v>
      </c>
    </row>
    <row r="596" spans="1:3" ht="18" customHeight="1" x14ac:dyDescent="0.35">
      <c r="A596" s="86" t="s">
        <v>676</v>
      </c>
      <c r="B596" s="90" t="s">
        <v>53</v>
      </c>
      <c r="C596" s="86" t="s">
        <v>677</v>
      </c>
    </row>
    <row r="597" spans="1:3" ht="18" customHeight="1" x14ac:dyDescent="0.35">
      <c r="A597" s="86" t="s">
        <v>678</v>
      </c>
      <c r="B597" s="90" t="s">
        <v>53</v>
      </c>
      <c r="C597" s="86" t="s">
        <v>679</v>
      </c>
    </row>
    <row r="598" spans="1:3" ht="18" customHeight="1" x14ac:dyDescent="0.35">
      <c r="A598" s="86" t="s">
        <v>680</v>
      </c>
      <c r="B598" s="90" t="s">
        <v>53</v>
      </c>
      <c r="C598" s="86" t="s">
        <v>54</v>
      </c>
    </row>
    <row r="599" spans="1:3" ht="18" customHeight="1" x14ac:dyDescent="0.35">
      <c r="A599" s="86" t="s">
        <v>681</v>
      </c>
      <c r="B599" s="90" t="s">
        <v>53</v>
      </c>
      <c r="C599" s="86" t="s">
        <v>54</v>
      </c>
    </row>
    <row r="600" spans="1:3" ht="18" customHeight="1" x14ac:dyDescent="0.35">
      <c r="A600" s="86" t="s">
        <v>682</v>
      </c>
      <c r="B600" s="90" t="s">
        <v>53</v>
      </c>
      <c r="C600" s="86" t="s">
        <v>186</v>
      </c>
    </row>
    <row r="601" spans="1:3" ht="18" customHeight="1" x14ac:dyDescent="0.35">
      <c r="A601" s="86" t="s">
        <v>683</v>
      </c>
      <c r="B601" s="90" t="s">
        <v>53</v>
      </c>
      <c r="C601" s="86" t="s">
        <v>54</v>
      </c>
    </row>
    <row r="602" spans="1:3" ht="18" customHeight="1" x14ac:dyDescent="0.35">
      <c r="A602" s="86" t="s">
        <v>684</v>
      </c>
      <c r="B602" s="90" t="s">
        <v>53</v>
      </c>
      <c r="C602" s="86" t="s">
        <v>54</v>
      </c>
    </row>
    <row r="603" spans="1:3" ht="18" customHeight="1" x14ac:dyDescent="0.35">
      <c r="A603" s="86" t="s">
        <v>685</v>
      </c>
      <c r="B603" s="90" t="s">
        <v>53</v>
      </c>
      <c r="C603" s="86" t="s">
        <v>54</v>
      </c>
    </row>
    <row r="604" spans="1:3" ht="18" customHeight="1" x14ac:dyDescent="0.35">
      <c r="A604" s="86" t="s">
        <v>686</v>
      </c>
      <c r="B604" s="90" t="s">
        <v>53</v>
      </c>
      <c r="C604" s="86" t="s">
        <v>54</v>
      </c>
    </row>
    <row r="605" spans="1:3" ht="18" customHeight="1" x14ac:dyDescent="0.35">
      <c r="A605" s="86" t="s">
        <v>687</v>
      </c>
      <c r="B605" s="90" t="s">
        <v>53</v>
      </c>
      <c r="C605" s="86" t="s">
        <v>54</v>
      </c>
    </row>
    <row r="606" spans="1:3" ht="18" customHeight="1" x14ac:dyDescent="0.35">
      <c r="A606" s="86" t="s">
        <v>688</v>
      </c>
      <c r="B606" s="90" t="s">
        <v>53</v>
      </c>
      <c r="C606" s="86" t="s">
        <v>54</v>
      </c>
    </row>
    <row r="607" spans="1:3" ht="18" customHeight="1" x14ac:dyDescent="0.35">
      <c r="A607" s="86" t="s">
        <v>689</v>
      </c>
      <c r="B607" s="90" t="s">
        <v>53</v>
      </c>
      <c r="C607" s="86" t="s">
        <v>54</v>
      </c>
    </row>
    <row r="608" spans="1:3" ht="18" customHeight="1" x14ac:dyDescent="0.35">
      <c r="A608" s="86" t="s">
        <v>690</v>
      </c>
      <c r="B608" s="90" t="s">
        <v>53</v>
      </c>
      <c r="C608" s="86" t="s">
        <v>54</v>
      </c>
    </row>
    <row r="609" spans="1:3" ht="18" customHeight="1" x14ac:dyDescent="0.35">
      <c r="A609" s="86" t="s">
        <v>691</v>
      </c>
      <c r="B609" s="90" t="s">
        <v>53</v>
      </c>
      <c r="C609" s="86" t="s">
        <v>54</v>
      </c>
    </row>
    <row r="610" spans="1:3" ht="18" customHeight="1" x14ac:dyDescent="0.35">
      <c r="A610" s="86" t="s">
        <v>692</v>
      </c>
      <c r="B610" s="90" t="s">
        <v>53</v>
      </c>
      <c r="C610" s="86" t="s">
        <v>54</v>
      </c>
    </row>
    <row r="611" spans="1:3" ht="18" customHeight="1" x14ac:dyDescent="0.35">
      <c r="A611" s="86" t="s">
        <v>693</v>
      </c>
      <c r="B611" s="90" t="s">
        <v>53</v>
      </c>
      <c r="C611" s="86" t="s">
        <v>677</v>
      </c>
    </row>
    <row r="612" spans="1:3" ht="18" customHeight="1" x14ac:dyDescent="0.35">
      <c r="A612" s="86" t="s">
        <v>694</v>
      </c>
      <c r="B612" s="90" t="s">
        <v>53</v>
      </c>
      <c r="C612" s="86" t="s">
        <v>695</v>
      </c>
    </row>
    <row r="613" spans="1:3" ht="18" customHeight="1" x14ac:dyDescent="0.35">
      <c r="A613" s="86" t="s">
        <v>696</v>
      </c>
      <c r="B613" s="90" t="s">
        <v>53</v>
      </c>
      <c r="C613" s="86" t="s">
        <v>695</v>
      </c>
    </row>
    <row r="614" spans="1:3" ht="18" customHeight="1" x14ac:dyDescent="0.35">
      <c r="A614" s="86" t="s">
        <v>697</v>
      </c>
      <c r="B614" s="90" t="s">
        <v>53</v>
      </c>
      <c r="C614" s="86" t="s">
        <v>54</v>
      </c>
    </row>
    <row r="615" spans="1:3" ht="18" customHeight="1" x14ac:dyDescent="0.35">
      <c r="A615" s="86" t="s">
        <v>698</v>
      </c>
      <c r="B615" s="90" t="s">
        <v>53</v>
      </c>
      <c r="C615" s="86" t="s">
        <v>54</v>
      </c>
    </row>
    <row r="616" spans="1:3" ht="18" customHeight="1" x14ac:dyDescent="0.35">
      <c r="A616" s="86" t="s">
        <v>699</v>
      </c>
      <c r="B616" s="90" t="s">
        <v>53</v>
      </c>
      <c r="C616" s="86" t="s">
        <v>54</v>
      </c>
    </row>
    <row r="617" spans="1:3" ht="18" customHeight="1" x14ac:dyDescent="0.35">
      <c r="A617" s="86" t="s">
        <v>700</v>
      </c>
      <c r="B617" s="90" t="s">
        <v>53</v>
      </c>
      <c r="C617" s="86" t="s">
        <v>677</v>
      </c>
    </row>
    <row r="618" spans="1:3" ht="18" customHeight="1" x14ac:dyDescent="0.35">
      <c r="A618" s="86" t="s">
        <v>701</v>
      </c>
      <c r="B618" s="90" t="s">
        <v>53</v>
      </c>
      <c r="C618" s="86" t="s">
        <v>54</v>
      </c>
    </row>
    <row r="619" spans="1:3" ht="18" customHeight="1" x14ac:dyDescent="0.35">
      <c r="A619" s="86" t="s">
        <v>702</v>
      </c>
      <c r="B619" s="90" t="s">
        <v>53</v>
      </c>
      <c r="C619" s="86" t="s">
        <v>677</v>
      </c>
    </row>
    <row r="620" spans="1:3" ht="18" customHeight="1" x14ac:dyDescent="0.35">
      <c r="A620" s="86" t="s">
        <v>703</v>
      </c>
      <c r="B620" s="90" t="s">
        <v>53</v>
      </c>
      <c r="C620" s="86" t="s">
        <v>677</v>
      </c>
    </row>
    <row r="621" spans="1:3" ht="18" customHeight="1" x14ac:dyDescent="0.35">
      <c r="A621" s="86" t="s">
        <v>704</v>
      </c>
      <c r="B621" s="90" t="s">
        <v>53</v>
      </c>
      <c r="C621" s="86" t="s">
        <v>54</v>
      </c>
    </row>
    <row r="622" spans="1:3" ht="18" customHeight="1" x14ac:dyDescent="0.35">
      <c r="A622" s="86" t="s">
        <v>705</v>
      </c>
      <c r="B622" s="90" t="s">
        <v>53</v>
      </c>
      <c r="C622" s="86" t="s">
        <v>706</v>
      </c>
    </row>
    <row r="623" spans="1:3" ht="18" customHeight="1" x14ac:dyDescent="0.35">
      <c r="A623" s="86" t="s">
        <v>707</v>
      </c>
      <c r="B623" s="90" t="s">
        <v>53</v>
      </c>
      <c r="C623" s="86" t="s">
        <v>54</v>
      </c>
    </row>
    <row r="624" spans="1:3" ht="18" customHeight="1" x14ac:dyDescent="0.35">
      <c r="A624" s="86" t="s">
        <v>708</v>
      </c>
      <c r="B624" s="90" t="s">
        <v>53</v>
      </c>
      <c r="C624" s="86" t="s">
        <v>54</v>
      </c>
    </row>
    <row r="625" spans="1:3" ht="18" customHeight="1" x14ac:dyDescent="0.35">
      <c r="A625" s="86" t="s">
        <v>709</v>
      </c>
      <c r="B625" s="90" t="s">
        <v>53</v>
      </c>
      <c r="C625" s="86" t="s">
        <v>54</v>
      </c>
    </row>
    <row r="626" spans="1:3" ht="18" customHeight="1" x14ac:dyDescent="0.35">
      <c r="A626" s="86" t="s">
        <v>710</v>
      </c>
      <c r="B626" s="90" t="s">
        <v>53</v>
      </c>
      <c r="C626" s="86" t="s">
        <v>711</v>
      </c>
    </row>
    <row r="627" spans="1:3" ht="18" customHeight="1" x14ac:dyDescent="0.35">
      <c r="A627" s="86" t="s">
        <v>712</v>
      </c>
      <c r="B627" s="90" t="s">
        <v>53</v>
      </c>
      <c r="C627" s="86" t="s">
        <v>713</v>
      </c>
    </row>
    <row r="628" spans="1:3" ht="18" customHeight="1" x14ac:dyDescent="0.35">
      <c r="A628" s="86" t="s">
        <v>714</v>
      </c>
      <c r="B628" s="90" t="s">
        <v>53</v>
      </c>
      <c r="C628" s="86" t="s">
        <v>713</v>
      </c>
    </row>
    <row r="629" spans="1:3" ht="18" customHeight="1" x14ac:dyDescent="0.35">
      <c r="A629" s="86" t="s">
        <v>715</v>
      </c>
      <c r="B629" s="90" t="s">
        <v>53</v>
      </c>
      <c r="C629" s="86" t="s">
        <v>716</v>
      </c>
    </row>
    <row r="630" spans="1:3" ht="18" customHeight="1" x14ac:dyDescent="0.35">
      <c r="A630" s="86" t="s">
        <v>717</v>
      </c>
      <c r="B630" s="90" t="s">
        <v>53</v>
      </c>
      <c r="C630" s="86" t="s">
        <v>716</v>
      </c>
    </row>
    <row r="631" spans="1:3" ht="18" customHeight="1" x14ac:dyDescent="0.35">
      <c r="A631" s="86" t="s">
        <v>718</v>
      </c>
      <c r="B631" s="90" t="s">
        <v>53</v>
      </c>
      <c r="C631" s="86" t="s">
        <v>711</v>
      </c>
    </row>
    <row r="632" spans="1:3" ht="18" customHeight="1" x14ac:dyDescent="0.35">
      <c r="A632" s="86" t="s">
        <v>719</v>
      </c>
      <c r="B632" s="90" t="s">
        <v>53</v>
      </c>
      <c r="C632" s="86" t="s">
        <v>711</v>
      </c>
    </row>
    <row r="633" spans="1:3" ht="18" customHeight="1" x14ac:dyDescent="0.35">
      <c r="A633" s="86" t="s">
        <v>720</v>
      </c>
      <c r="B633" s="90" t="s">
        <v>53</v>
      </c>
      <c r="C633" s="86" t="s">
        <v>54</v>
      </c>
    </row>
    <row r="634" spans="1:3" ht="18" customHeight="1" x14ac:dyDescent="0.35">
      <c r="A634" s="86" t="s">
        <v>721</v>
      </c>
      <c r="B634" s="90" t="s">
        <v>53</v>
      </c>
      <c r="C634" s="86" t="s">
        <v>54</v>
      </c>
    </row>
    <row r="635" spans="1:3" ht="18" customHeight="1" x14ac:dyDescent="0.35">
      <c r="A635" s="86" t="s">
        <v>722</v>
      </c>
      <c r="B635" s="90" t="s">
        <v>53</v>
      </c>
      <c r="C635" s="86" t="s">
        <v>706</v>
      </c>
    </row>
    <row r="636" spans="1:3" ht="18" customHeight="1" x14ac:dyDescent="0.35">
      <c r="A636" s="86" t="s">
        <v>723</v>
      </c>
      <c r="B636" s="90" t="s">
        <v>53</v>
      </c>
      <c r="C636" s="86" t="s">
        <v>706</v>
      </c>
    </row>
    <row r="637" spans="1:3" ht="18" customHeight="1" x14ac:dyDescent="0.35">
      <c r="A637" s="86" t="s">
        <v>724</v>
      </c>
      <c r="B637" s="90" t="s">
        <v>53</v>
      </c>
      <c r="C637" s="86" t="s">
        <v>725</v>
      </c>
    </row>
    <row r="638" spans="1:3" ht="18" customHeight="1" x14ac:dyDescent="0.35">
      <c r="A638" s="86" t="s">
        <v>726</v>
      </c>
      <c r="B638" s="90" t="s">
        <v>53</v>
      </c>
      <c r="C638" s="86" t="s">
        <v>725</v>
      </c>
    </row>
    <row r="639" spans="1:3" ht="18" customHeight="1" x14ac:dyDescent="0.35">
      <c r="A639" s="86" t="s">
        <v>727</v>
      </c>
      <c r="B639" s="90" t="s">
        <v>53</v>
      </c>
      <c r="C639" s="86" t="s">
        <v>728</v>
      </c>
    </row>
    <row r="640" spans="1:3" ht="18" customHeight="1" x14ac:dyDescent="0.35">
      <c r="A640" s="86" t="s">
        <v>729</v>
      </c>
      <c r="B640" s="90" t="s">
        <v>53</v>
      </c>
      <c r="C640" s="86" t="s">
        <v>728</v>
      </c>
    </row>
    <row r="641" spans="1:3" ht="18" customHeight="1" x14ac:dyDescent="0.35">
      <c r="A641" s="86" t="s">
        <v>730</v>
      </c>
      <c r="B641" s="90" t="s">
        <v>53</v>
      </c>
      <c r="C641" s="86" t="s">
        <v>731</v>
      </c>
    </row>
    <row r="642" spans="1:3" ht="18" customHeight="1" x14ac:dyDescent="0.35">
      <c r="A642" s="86" t="s">
        <v>732</v>
      </c>
      <c r="B642" s="90" t="s">
        <v>53</v>
      </c>
      <c r="C642" s="86" t="s">
        <v>731</v>
      </c>
    </row>
    <row r="643" spans="1:3" ht="18" customHeight="1" x14ac:dyDescent="0.35">
      <c r="A643" s="86" t="s">
        <v>733</v>
      </c>
      <c r="B643" s="90" t="s">
        <v>53</v>
      </c>
      <c r="C643" s="86" t="s">
        <v>734</v>
      </c>
    </row>
    <row r="644" spans="1:3" ht="18" customHeight="1" x14ac:dyDescent="0.35">
      <c r="A644" s="86" t="s">
        <v>735</v>
      </c>
      <c r="B644" s="90" t="s">
        <v>53</v>
      </c>
      <c r="C644" s="86" t="s">
        <v>734</v>
      </c>
    </row>
    <row r="645" spans="1:3" ht="18" customHeight="1" x14ac:dyDescent="0.35">
      <c r="A645" s="86" t="s">
        <v>736</v>
      </c>
      <c r="B645" s="90" t="s">
        <v>53</v>
      </c>
      <c r="C645" s="86" t="s">
        <v>70</v>
      </c>
    </row>
    <row r="646" spans="1:3" ht="18" customHeight="1" x14ac:dyDescent="0.35">
      <c r="A646" s="86" t="s">
        <v>737</v>
      </c>
      <c r="B646" s="90" t="s">
        <v>53</v>
      </c>
      <c r="C646" s="86" t="s">
        <v>70</v>
      </c>
    </row>
    <row r="647" spans="1:3" ht="18" customHeight="1" x14ac:dyDescent="0.35">
      <c r="A647" s="86" t="s">
        <v>738</v>
      </c>
      <c r="B647" s="90" t="s">
        <v>53</v>
      </c>
      <c r="C647" s="86" t="s">
        <v>739</v>
      </c>
    </row>
    <row r="648" spans="1:3" ht="18" customHeight="1" x14ac:dyDescent="0.35">
      <c r="A648" s="86" t="s">
        <v>740</v>
      </c>
      <c r="B648" s="90" t="s">
        <v>53</v>
      </c>
      <c r="C648" s="86" t="s">
        <v>739</v>
      </c>
    </row>
    <row r="649" spans="1:3" ht="18" customHeight="1" x14ac:dyDescent="0.35">
      <c r="A649" s="86" t="s">
        <v>741</v>
      </c>
      <c r="B649" s="90" t="s">
        <v>53</v>
      </c>
      <c r="C649" s="86" t="s">
        <v>711</v>
      </c>
    </row>
    <row r="650" spans="1:3" ht="18" customHeight="1" x14ac:dyDescent="0.35">
      <c r="A650" s="86" t="s">
        <v>742</v>
      </c>
      <c r="B650" s="90" t="s">
        <v>53</v>
      </c>
      <c r="C650" s="86" t="s">
        <v>711</v>
      </c>
    </row>
    <row r="651" spans="1:3" ht="18" customHeight="1" x14ac:dyDescent="0.35">
      <c r="A651" s="86" t="s">
        <v>743</v>
      </c>
      <c r="B651" s="90" t="s">
        <v>53</v>
      </c>
      <c r="C651" s="86" t="s">
        <v>54</v>
      </c>
    </row>
    <row r="652" spans="1:3" ht="18" customHeight="1" x14ac:dyDescent="0.35">
      <c r="A652" s="86" t="s">
        <v>744</v>
      </c>
      <c r="B652" s="90" t="s">
        <v>53</v>
      </c>
      <c r="C652" s="86" t="s">
        <v>54</v>
      </c>
    </row>
    <row r="653" spans="1:3" ht="18" customHeight="1" x14ac:dyDescent="0.35">
      <c r="A653" s="86" t="s">
        <v>745</v>
      </c>
      <c r="B653" s="90" t="s">
        <v>53</v>
      </c>
      <c r="C653" s="86" t="s">
        <v>706</v>
      </c>
    </row>
    <row r="654" spans="1:3" ht="18" customHeight="1" x14ac:dyDescent="0.35">
      <c r="A654" s="86" t="s">
        <v>746</v>
      </c>
      <c r="B654" s="90" t="s">
        <v>53</v>
      </c>
      <c r="C654" s="86" t="s">
        <v>706</v>
      </c>
    </row>
    <row r="655" spans="1:3" ht="18" customHeight="1" x14ac:dyDescent="0.35">
      <c r="A655" s="86" t="s">
        <v>747</v>
      </c>
      <c r="B655" s="90" t="s">
        <v>53</v>
      </c>
      <c r="C655" s="86"/>
    </row>
    <row r="656" spans="1:3" ht="18" customHeight="1" x14ac:dyDescent="0.35">
      <c r="A656" s="86" t="s">
        <v>748</v>
      </c>
      <c r="B656" s="90" t="s">
        <v>53</v>
      </c>
      <c r="C656" s="86"/>
    </row>
    <row r="657" spans="1:4" ht="18" customHeight="1" x14ac:dyDescent="0.35">
      <c r="A657" s="87" t="s">
        <v>749</v>
      </c>
      <c r="B657" s="90" t="s">
        <v>53</v>
      </c>
      <c r="C657" s="87" t="s">
        <v>54</v>
      </c>
    </row>
    <row r="658" spans="1:4" ht="18" customHeight="1" x14ac:dyDescent="0.35">
      <c r="A658" s="87" t="s">
        <v>750</v>
      </c>
      <c r="B658" s="90" t="s">
        <v>53</v>
      </c>
      <c r="C658" s="87" t="s">
        <v>54</v>
      </c>
    </row>
    <row r="659" spans="1:4" ht="18" customHeight="1" x14ac:dyDescent="0.35">
      <c r="A659" s="86" t="s">
        <v>751</v>
      </c>
      <c r="B659" s="90" t="s">
        <v>53</v>
      </c>
      <c r="C659" s="86" t="s">
        <v>752</v>
      </c>
    </row>
    <row r="660" spans="1:4" ht="18" customHeight="1" x14ac:dyDescent="0.35">
      <c r="A660" s="86" t="s">
        <v>753</v>
      </c>
      <c r="B660" s="90" t="s">
        <v>53</v>
      </c>
      <c r="C660" s="86" t="s">
        <v>752</v>
      </c>
    </row>
    <row r="661" spans="1:4" ht="18" customHeight="1" x14ac:dyDescent="0.35">
      <c r="A661" s="86" t="s">
        <v>754</v>
      </c>
      <c r="B661" s="90" t="s">
        <v>53</v>
      </c>
      <c r="C661" s="86" t="s">
        <v>725</v>
      </c>
    </row>
    <row r="662" spans="1:4" ht="18" customHeight="1" x14ac:dyDescent="0.35">
      <c r="A662" s="86" t="s">
        <v>755</v>
      </c>
      <c r="B662" s="90" t="s">
        <v>53</v>
      </c>
      <c r="C662" s="86" t="s">
        <v>725</v>
      </c>
    </row>
    <row r="663" spans="1:4" ht="18" customHeight="1" x14ac:dyDescent="0.35">
      <c r="A663" s="86" t="s">
        <v>756</v>
      </c>
      <c r="B663" s="90" t="s">
        <v>53</v>
      </c>
      <c r="C663" s="86"/>
    </row>
    <row r="664" spans="1:4" ht="18" customHeight="1" x14ac:dyDescent="0.35">
      <c r="A664" s="86" t="s">
        <v>757</v>
      </c>
      <c r="B664" s="90" t="s">
        <v>53</v>
      </c>
      <c r="C664" s="86"/>
    </row>
    <row r="665" spans="1:4" ht="18" customHeight="1" x14ac:dyDescent="0.35">
      <c r="A665" s="88" t="s">
        <v>758</v>
      </c>
      <c r="B665" s="90" t="s">
        <v>53</v>
      </c>
      <c r="C665" s="88" t="s">
        <v>759</v>
      </c>
      <c r="D665" s="75" t="s">
        <v>760</v>
      </c>
    </row>
    <row r="666" spans="1:4" ht="18" customHeight="1" x14ac:dyDescent="0.35">
      <c r="A666" s="88" t="s">
        <v>761</v>
      </c>
      <c r="B666" s="90" t="s">
        <v>53</v>
      </c>
      <c r="C666" s="88" t="s">
        <v>759</v>
      </c>
      <c r="D666" s="75" t="s">
        <v>760</v>
      </c>
    </row>
    <row r="667" spans="1:4" ht="18" customHeight="1" x14ac:dyDescent="0.35">
      <c r="A667" s="86" t="s">
        <v>762</v>
      </c>
      <c r="B667" s="90" t="s">
        <v>53</v>
      </c>
      <c r="C667" s="86" t="s">
        <v>763</v>
      </c>
    </row>
    <row r="668" spans="1:4" ht="18" customHeight="1" x14ac:dyDescent="0.35">
      <c r="A668" s="86" t="s">
        <v>764</v>
      </c>
      <c r="B668" s="90" t="s">
        <v>53</v>
      </c>
      <c r="C668" s="86" t="s">
        <v>763</v>
      </c>
    </row>
    <row r="669" spans="1:4" ht="18" customHeight="1" x14ac:dyDescent="0.35">
      <c r="A669" s="86" t="s">
        <v>765</v>
      </c>
      <c r="B669" s="90" t="s">
        <v>53</v>
      </c>
      <c r="C669" s="86" t="s">
        <v>54</v>
      </c>
    </row>
    <row r="670" spans="1:4" ht="18" customHeight="1" x14ac:dyDescent="0.35">
      <c r="A670" s="86" t="s">
        <v>766</v>
      </c>
      <c r="B670" s="90" t="s">
        <v>53</v>
      </c>
      <c r="C670" s="86" t="s">
        <v>54</v>
      </c>
    </row>
    <row r="671" spans="1:4" ht="18" customHeight="1" x14ac:dyDescent="0.35">
      <c r="A671" s="86" t="s">
        <v>767</v>
      </c>
      <c r="B671" s="90" t="s">
        <v>53</v>
      </c>
      <c r="C671" s="86" t="s">
        <v>54</v>
      </c>
    </row>
    <row r="672" spans="1:4" ht="18" customHeight="1" x14ac:dyDescent="0.35">
      <c r="A672" s="86" t="s">
        <v>768</v>
      </c>
      <c r="B672" s="90" t="s">
        <v>53</v>
      </c>
      <c r="C672" s="86" t="s">
        <v>769</v>
      </c>
    </row>
    <row r="673" spans="1:3" ht="18" customHeight="1" x14ac:dyDescent="0.35">
      <c r="A673" s="86" t="s">
        <v>770</v>
      </c>
      <c r="B673" s="90" t="s">
        <v>53</v>
      </c>
      <c r="C673" s="86" t="s">
        <v>769</v>
      </c>
    </row>
    <row r="674" spans="1:3" ht="18" customHeight="1" x14ac:dyDescent="0.35">
      <c r="A674" s="86" t="s">
        <v>771</v>
      </c>
      <c r="B674" s="90" t="s">
        <v>53</v>
      </c>
      <c r="C674" s="86" t="s">
        <v>711</v>
      </c>
    </row>
    <row r="675" spans="1:3" ht="18" customHeight="1" x14ac:dyDescent="0.35">
      <c r="A675" s="86" t="s">
        <v>772</v>
      </c>
      <c r="B675" s="90" t="s">
        <v>53</v>
      </c>
      <c r="C675" s="86" t="s">
        <v>711</v>
      </c>
    </row>
    <row r="676" spans="1:3" ht="18" customHeight="1" x14ac:dyDescent="0.35">
      <c r="A676" s="86" t="s">
        <v>773</v>
      </c>
      <c r="B676" s="90" t="s">
        <v>53</v>
      </c>
      <c r="C676" s="86" t="s">
        <v>54</v>
      </c>
    </row>
    <row r="677" spans="1:3" ht="18" customHeight="1" x14ac:dyDescent="0.35">
      <c r="A677" s="86" t="s">
        <v>774</v>
      </c>
      <c r="B677" s="90" t="s">
        <v>53</v>
      </c>
      <c r="C677" s="86" t="s">
        <v>54</v>
      </c>
    </row>
    <row r="678" spans="1:3" ht="18" customHeight="1" x14ac:dyDescent="0.35">
      <c r="A678" s="86" t="s">
        <v>775</v>
      </c>
      <c r="B678" s="90" t="s">
        <v>53</v>
      </c>
      <c r="C678" s="86" t="s">
        <v>54</v>
      </c>
    </row>
    <row r="679" spans="1:3" ht="18" customHeight="1" x14ac:dyDescent="0.35">
      <c r="A679" s="86" t="s">
        <v>776</v>
      </c>
      <c r="B679" s="90" t="s">
        <v>53</v>
      </c>
      <c r="C679" s="86" t="s">
        <v>54</v>
      </c>
    </row>
    <row r="680" spans="1:3" ht="18" customHeight="1" x14ac:dyDescent="0.35">
      <c r="A680" s="86" t="s">
        <v>777</v>
      </c>
      <c r="B680" s="90" t="s">
        <v>53</v>
      </c>
      <c r="C680" s="86" t="s">
        <v>54</v>
      </c>
    </row>
    <row r="681" spans="1:3" ht="18" customHeight="1" x14ac:dyDescent="0.35">
      <c r="A681" s="86" t="s">
        <v>778</v>
      </c>
      <c r="B681" s="90" t="s">
        <v>53</v>
      </c>
      <c r="C681" s="86" t="s">
        <v>54</v>
      </c>
    </row>
    <row r="682" spans="1:3" ht="18" customHeight="1" x14ac:dyDescent="0.35">
      <c r="A682" s="86" t="s">
        <v>779</v>
      </c>
      <c r="B682" s="90" t="s">
        <v>53</v>
      </c>
      <c r="C682" s="86" t="s">
        <v>54</v>
      </c>
    </row>
    <row r="683" spans="1:3" ht="18" customHeight="1" x14ac:dyDescent="0.35">
      <c r="A683" s="86" t="s">
        <v>780</v>
      </c>
      <c r="B683" s="90" t="s">
        <v>53</v>
      </c>
      <c r="C683" s="86" t="s">
        <v>54</v>
      </c>
    </row>
    <row r="684" spans="1:3" ht="18" customHeight="1" x14ac:dyDescent="0.35">
      <c r="A684" s="86" t="s">
        <v>781</v>
      </c>
      <c r="B684" s="90" t="s">
        <v>53</v>
      </c>
      <c r="C684" s="86" t="s">
        <v>54</v>
      </c>
    </row>
    <row r="685" spans="1:3" ht="18" customHeight="1" x14ac:dyDescent="0.35">
      <c r="A685" s="86" t="s">
        <v>782</v>
      </c>
      <c r="B685" s="90" t="s">
        <v>53</v>
      </c>
      <c r="C685" s="86" t="s">
        <v>54</v>
      </c>
    </row>
    <row r="686" spans="1:3" ht="18" customHeight="1" x14ac:dyDescent="0.35">
      <c r="A686" s="86" t="s">
        <v>783</v>
      </c>
      <c r="B686" s="90" t="s">
        <v>53</v>
      </c>
      <c r="C686" s="86" t="s">
        <v>54</v>
      </c>
    </row>
    <row r="687" spans="1:3" ht="18" customHeight="1" x14ac:dyDescent="0.35">
      <c r="A687" s="86" t="s">
        <v>784</v>
      </c>
      <c r="B687" s="90" t="s">
        <v>53</v>
      </c>
      <c r="C687" s="86" t="s">
        <v>54</v>
      </c>
    </row>
    <row r="688" spans="1:3" ht="18" customHeight="1" x14ac:dyDescent="0.35">
      <c r="A688" s="86" t="s">
        <v>785</v>
      </c>
      <c r="B688" s="90" t="s">
        <v>53</v>
      </c>
      <c r="C688" s="86" t="s">
        <v>54</v>
      </c>
    </row>
    <row r="689" spans="1:3" ht="18" customHeight="1" x14ac:dyDescent="0.35">
      <c r="A689" s="86" t="s">
        <v>786</v>
      </c>
      <c r="B689" s="90" t="s">
        <v>53</v>
      </c>
      <c r="C689" s="86" t="s">
        <v>54</v>
      </c>
    </row>
    <row r="690" spans="1:3" ht="18" customHeight="1" x14ac:dyDescent="0.35">
      <c r="A690" s="86" t="s">
        <v>787</v>
      </c>
      <c r="B690" s="90" t="s">
        <v>53</v>
      </c>
      <c r="C690" s="86" t="s">
        <v>54</v>
      </c>
    </row>
    <row r="691" spans="1:3" ht="18" customHeight="1" x14ac:dyDescent="0.35">
      <c r="A691" s="86" t="s">
        <v>788</v>
      </c>
      <c r="B691" s="90" t="s">
        <v>53</v>
      </c>
      <c r="C691" s="86" t="s">
        <v>54</v>
      </c>
    </row>
    <row r="692" spans="1:3" ht="18" customHeight="1" x14ac:dyDescent="0.35">
      <c r="A692" s="86" t="s">
        <v>789</v>
      </c>
      <c r="B692" s="90" t="s">
        <v>53</v>
      </c>
      <c r="C692" s="86" t="s">
        <v>54</v>
      </c>
    </row>
    <row r="693" spans="1:3" ht="18" customHeight="1" x14ac:dyDescent="0.35">
      <c r="A693" s="86" t="s">
        <v>790</v>
      </c>
      <c r="B693" s="90" t="s">
        <v>53</v>
      </c>
      <c r="C693" s="86" t="s">
        <v>54</v>
      </c>
    </row>
    <row r="694" spans="1:3" ht="18" customHeight="1" x14ac:dyDescent="0.35">
      <c r="A694" s="86" t="s">
        <v>791</v>
      </c>
      <c r="B694" s="90" t="s">
        <v>53</v>
      </c>
      <c r="C694" s="86" t="s">
        <v>54</v>
      </c>
    </row>
    <row r="695" spans="1:3" ht="18" customHeight="1" x14ac:dyDescent="0.35">
      <c r="A695" s="86" t="s">
        <v>792</v>
      </c>
      <c r="B695" s="90" t="s">
        <v>53</v>
      </c>
      <c r="C695" s="86" t="s">
        <v>54</v>
      </c>
    </row>
    <row r="696" spans="1:3" ht="18" customHeight="1" x14ac:dyDescent="0.35">
      <c r="A696" s="86" t="s">
        <v>793</v>
      </c>
      <c r="B696" s="90" t="s">
        <v>53</v>
      </c>
      <c r="C696" s="86" t="s">
        <v>54</v>
      </c>
    </row>
    <row r="697" spans="1:3" ht="18" customHeight="1" x14ac:dyDescent="0.35">
      <c r="A697" s="86" t="s">
        <v>794</v>
      </c>
      <c r="B697" s="90" t="s">
        <v>53</v>
      </c>
      <c r="C697" s="86" t="s">
        <v>54</v>
      </c>
    </row>
    <row r="698" spans="1:3" ht="18" customHeight="1" x14ac:dyDescent="0.35">
      <c r="A698" s="86" t="s">
        <v>795</v>
      </c>
      <c r="B698" s="90" t="s">
        <v>53</v>
      </c>
      <c r="C698" s="86" t="s">
        <v>54</v>
      </c>
    </row>
    <row r="699" spans="1:3" ht="18" customHeight="1" x14ac:dyDescent="0.35">
      <c r="A699" s="86" t="s">
        <v>796</v>
      </c>
      <c r="B699" s="90" t="s">
        <v>53</v>
      </c>
      <c r="C699" s="86" t="s">
        <v>54</v>
      </c>
    </row>
    <row r="700" spans="1:3" ht="18" customHeight="1" x14ac:dyDescent="0.35">
      <c r="A700" s="86" t="s">
        <v>797</v>
      </c>
      <c r="B700" s="90" t="s">
        <v>53</v>
      </c>
      <c r="C700" s="86" t="s">
        <v>54</v>
      </c>
    </row>
    <row r="701" spans="1:3" ht="18" customHeight="1" x14ac:dyDescent="0.35">
      <c r="A701" s="86" t="s">
        <v>798</v>
      </c>
      <c r="B701" s="90" t="s">
        <v>53</v>
      </c>
      <c r="C701" s="86" t="s">
        <v>54</v>
      </c>
    </row>
    <row r="702" spans="1:3" ht="18" customHeight="1" x14ac:dyDescent="0.35">
      <c r="A702" s="86" t="s">
        <v>799</v>
      </c>
      <c r="B702" s="90" t="s">
        <v>53</v>
      </c>
      <c r="C702" s="86" t="s">
        <v>54</v>
      </c>
    </row>
    <row r="703" spans="1:3" ht="18" customHeight="1" x14ac:dyDescent="0.35">
      <c r="A703" s="86" t="s">
        <v>800</v>
      </c>
      <c r="B703" s="90" t="s">
        <v>53</v>
      </c>
      <c r="C703" s="86" t="s">
        <v>54</v>
      </c>
    </row>
    <row r="704" spans="1:3" ht="18" customHeight="1" x14ac:dyDescent="0.35">
      <c r="A704" s="86" t="s">
        <v>801</v>
      </c>
      <c r="B704" s="90" t="s">
        <v>53</v>
      </c>
      <c r="C704" s="86" t="s">
        <v>54</v>
      </c>
    </row>
    <row r="705" spans="1:3" ht="18" customHeight="1" x14ac:dyDescent="0.35">
      <c r="A705" s="86" t="s">
        <v>802</v>
      </c>
      <c r="B705" s="90" t="s">
        <v>53</v>
      </c>
      <c r="C705" s="86" t="s">
        <v>54</v>
      </c>
    </row>
    <row r="706" spans="1:3" ht="18" customHeight="1" x14ac:dyDescent="0.35">
      <c r="A706" s="86" t="s">
        <v>803</v>
      </c>
      <c r="B706" s="90" t="s">
        <v>53</v>
      </c>
      <c r="C706" s="86" t="s">
        <v>54</v>
      </c>
    </row>
    <row r="707" spans="1:3" ht="18" customHeight="1" x14ac:dyDescent="0.35">
      <c r="A707" s="86" t="s">
        <v>804</v>
      </c>
      <c r="B707" s="90" t="s">
        <v>53</v>
      </c>
      <c r="C707" s="86" t="s">
        <v>54</v>
      </c>
    </row>
    <row r="708" spans="1:3" ht="18" customHeight="1" x14ac:dyDescent="0.35">
      <c r="A708" s="86" t="s">
        <v>805</v>
      </c>
      <c r="B708" s="90" t="s">
        <v>53</v>
      </c>
      <c r="C708" s="86" t="s">
        <v>54</v>
      </c>
    </row>
    <row r="709" spans="1:3" ht="18" customHeight="1" x14ac:dyDescent="0.35">
      <c r="A709" s="86" t="s">
        <v>806</v>
      </c>
      <c r="B709" s="90" t="s">
        <v>53</v>
      </c>
      <c r="C709" s="86" t="s">
        <v>54</v>
      </c>
    </row>
    <row r="710" spans="1:3" ht="18" customHeight="1" x14ac:dyDescent="0.35">
      <c r="A710" s="86" t="s">
        <v>807</v>
      </c>
      <c r="B710" s="90" t="s">
        <v>53</v>
      </c>
      <c r="C710" s="86" t="s">
        <v>54</v>
      </c>
    </row>
    <row r="711" spans="1:3" ht="18" customHeight="1" x14ac:dyDescent="0.35">
      <c r="A711" s="86" t="s">
        <v>808</v>
      </c>
      <c r="B711" s="90" t="s">
        <v>53</v>
      </c>
      <c r="C711" s="86" t="s">
        <v>54</v>
      </c>
    </row>
    <row r="712" spans="1:3" ht="18" customHeight="1" x14ac:dyDescent="0.35">
      <c r="A712" s="86" t="s">
        <v>809</v>
      </c>
      <c r="B712" s="90" t="s">
        <v>53</v>
      </c>
      <c r="C712" s="86" t="s">
        <v>54</v>
      </c>
    </row>
    <row r="713" spans="1:3" ht="18" customHeight="1" x14ac:dyDescent="0.35">
      <c r="A713" s="86" t="s">
        <v>810</v>
      </c>
      <c r="B713" s="90" t="s">
        <v>53</v>
      </c>
      <c r="C713" s="86" t="s">
        <v>706</v>
      </c>
    </row>
    <row r="714" spans="1:3" ht="18" customHeight="1" x14ac:dyDescent="0.35">
      <c r="A714" s="86" t="s">
        <v>811</v>
      </c>
      <c r="B714" s="90" t="s">
        <v>53</v>
      </c>
      <c r="C714" s="86" t="s">
        <v>706</v>
      </c>
    </row>
    <row r="715" spans="1:3" ht="18" customHeight="1" x14ac:dyDescent="0.35">
      <c r="A715" s="86" t="s">
        <v>812</v>
      </c>
      <c r="B715" s="90" t="s">
        <v>53</v>
      </c>
      <c r="C715" s="86" t="s">
        <v>813</v>
      </c>
    </row>
    <row r="716" spans="1:3" ht="18" customHeight="1" x14ac:dyDescent="0.35">
      <c r="A716" s="86" t="s">
        <v>814</v>
      </c>
      <c r="B716" s="90" t="s">
        <v>53</v>
      </c>
      <c r="C716" s="86" t="s">
        <v>813</v>
      </c>
    </row>
    <row r="717" spans="1:3" ht="18" customHeight="1" x14ac:dyDescent="0.35">
      <c r="A717" s="86" t="s">
        <v>815</v>
      </c>
      <c r="B717" s="90" t="s">
        <v>53</v>
      </c>
      <c r="C717" s="86" t="s">
        <v>54</v>
      </c>
    </row>
    <row r="718" spans="1:3" ht="18" customHeight="1" x14ac:dyDescent="0.35">
      <c r="A718" s="86" t="s">
        <v>816</v>
      </c>
      <c r="B718" s="90" t="s">
        <v>53</v>
      </c>
      <c r="C718" s="86" t="s">
        <v>54</v>
      </c>
    </row>
    <row r="719" spans="1:3" ht="18" customHeight="1" x14ac:dyDescent="0.35">
      <c r="A719" s="86" t="s">
        <v>817</v>
      </c>
      <c r="B719" s="90" t="s">
        <v>53</v>
      </c>
      <c r="C719" s="86" t="s">
        <v>54</v>
      </c>
    </row>
    <row r="720" spans="1:3" ht="18" customHeight="1" x14ac:dyDescent="0.35">
      <c r="A720" s="86" t="s">
        <v>818</v>
      </c>
      <c r="B720" s="90" t="s">
        <v>53</v>
      </c>
      <c r="C720" s="86" t="s">
        <v>54</v>
      </c>
    </row>
    <row r="721" spans="1:3" ht="18" customHeight="1" x14ac:dyDescent="0.35">
      <c r="A721" s="86" t="s">
        <v>819</v>
      </c>
      <c r="B721" s="90" t="s">
        <v>53</v>
      </c>
      <c r="C721" s="86" t="s">
        <v>54</v>
      </c>
    </row>
    <row r="722" spans="1:3" ht="18" customHeight="1" x14ac:dyDescent="0.35">
      <c r="A722" s="86" t="s">
        <v>820</v>
      </c>
      <c r="B722" s="90" t="s">
        <v>53</v>
      </c>
      <c r="C722" s="86" t="s">
        <v>54</v>
      </c>
    </row>
    <row r="723" spans="1:3" ht="18" customHeight="1" x14ac:dyDescent="0.35">
      <c r="A723" s="86" t="s">
        <v>821</v>
      </c>
      <c r="B723" s="90" t="s">
        <v>53</v>
      </c>
      <c r="C723" s="86" t="s">
        <v>822</v>
      </c>
    </row>
    <row r="724" spans="1:3" ht="18" customHeight="1" x14ac:dyDescent="0.35">
      <c r="A724" s="86" t="s">
        <v>823</v>
      </c>
      <c r="B724" s="90" t="s">
        <v>53</v>
      </c>
      <c r="C724" s="86" t="s">
        <v>822</v>
      </c>
    </row>
    <row r="725" spans="1:3" ht="18" customHeight="1" x14ac:dyDescent="0.35">
      <c r="A725" s="86" t="s">
        <v>824</v>
      </c>
      <c r="B725" s="90" t="s">
        <v>53</v>
      </c>
      <c r="C725" s="86" t="s">
        <v>752</v>
      </c>
    </row>
    <row r="726" spans="1:3" ht="18" customHeight="1" x14ac:dyDescent="0.35">
      <c r="A726" s="86" t="s">
        <v>825</v>
      </c>
      <c r="B726" s="90" t="s">
        <v>53</v>
      </c>
      <c r="C726" s="86" t="s">
        <v>752</v>
      </c>
    </row>
    <row r="727" spans="1:3" ht="18" customHeight="1" x14ac:dyDescent="0.35">
      <c r="A727" s="86" t="s">
        <v>826</v>
      </c>
      <c r="B727" s="90" t="s">
        <v>53</v>
      </c>
      <c r="C727" s="86" t="s">
        <v>725</v>
      </c>
    </row>
    <row r="728" spans="1:3" ht="18" customHeight="1" x14ac:dyDescent="0.35">
      <c r="A728" s="86" t="s">
        <v>827</v>
      </c>
      <c r="B728" s="90" t="s">
        <v>53</v>
      </c>
      <c r="C728" s="86" t="s">
        <v>725</v>
      </c>
    </row>
    <row r="729" spans="1:3" ht="18" customHeight="1" x14ac:dyDescent="0.35">
      <c r="A729" s="86" t="s">
        <v>828</v>
      </c>
      <c r="B729" s="90" t="s">
        <v>53</v>
      </c>
      <c r="C729" s="86" t="s">
        <v>829</v>
      </c>
    </row>
    <row r="730" spans="1:3" ht="18" customHeight="1" x14ac:dyDescent="0.35">
      <c r="A730" s="86" t="s">
        <v>830</v>
      </c>
      <c r="B730" s="90" t="s">
        <v>53</v>
      </c>
      <c r="C730" s="86" t="s">
        <v>829</v>
      </c>
    </row>
    <row r="731" spans="1:3" ht="18" customHeight="1" x14ac:dyDescent="0.35">
      <c r="A731" s="86" t="s">
        <v>831</v>
      </c>
      <c r="B731" s="90" t="s">
        <v>53</v>
      </c>
      <c r="C731" s="86" t="e">
        <v>#N/A</v>
      </c>
    </row>
    <row r="732" spans="1:3" ht="18" customHeight="1" x14ac:dyDescent="0.35">
      <c r="A732" s="86" t="s">
        <v>832</v>
      </c>
      <c r="B732" s="90" t="s">
        <v>53</v>
      </c>
      <c r="C732" s="86"/>
    </row>
    <row r="733" spans="1:3" ht="18" customHeight="1" x14ac:dyDescent="0.35">
      <c r="A733" s="86" t="s">
        <v>833</v>
      </c>
      <c r="B733" s="90" t="s">
        <v>53</v>
      </c>
      <c r="C733" s="86" t="s">
        <v>134</v>
      </c>
    </row>
    <row r="734" spans="1:3" ht="18" customHeight="1" x14ac:dyDescent="0.35">
      <c r="A734" s="86" t="s">
        <v>834</v>
      </c>
      <c r="B734" s="90" t="s">
        <v>53</v>
      </c>
      <c r="C734" s="86" t="s">
        <v>134</v>
      </c>
    </row>
    <row r="735" spans="1:3" ht="18" customHeight="1" x14ac:dyDescent="0.35">
      <c r="A735" s="89" t="s">
        <v>835</v>
      </c>
      <c r="B735" s="90" t="s">
        <v>53</v>
      </c>
      <c r="C735" s="89" t="s">
        <v>83</v>
      </c>
    </row>
    <row r="736" spans="1:3" ht="18" customHeight="1" x14ac:dyDescent="0.35">
      <c r="A736" s="89" t="s">
        <v>836</v>
      </c>
      <c r="B736" s="90" t="s">
        <v>53</v>
      </c>
      <c r="C736" s="89" t="s">
        <v>83</v>
      </c>
    </row>
    <row r="737" spans="1:4" ht="18" customHeight="1" x14ac:dyDescent="0.35">
      <c r="A737" s="88" t="s">
        <v>837</v>
      </c>
      <c r="B737" s="90" t="s">
        <v>53</v>
      </c>
      <c r="C737" s="88" t="s">
        <v>759</v>
      </c>
      <c r="D737" s="75" t="s">
        <v>760</v>
      </c>
    </row>
    <row r="738" spans="1:4" ht="18" customHeight="1" x14ac:dyDescent="0.35">
      <c r="A738" s="88" t="s">
        <v>838</v>
      </c>
      <c r="B738" s="90" t="s">
        <v>53</v>
      </c>
      <c r="C738" s="88" t="s">
        <v>759</v>
      </c>
      <c r="D738" s="75" t="s">
        <v>760</v>
      </c>
    </row>
    <row r="739" spans="1:4" ht="18" customHeight="1" x14ac:dyDescent="0.35">
      <c r="A739" s="86" t="s">
        <v>839</v>
      </c>
      <c r="B739" s="90" t="s">
        <v>53</v>
      </c>
      <c r="C739" s="86" t="s">
        <v>763</v>
      </c>
    </row>
    <row r="740" spans="1:4" ht="18" customHeight="1" x14ac:dyDescent="0.35">
      <c r="A740" s="86" t="s">
        <v>840</v>
      </c>
      <c r="B740" s="90" t="s">
        <v>53</v>
      </c>
      <c r="C740" s="86" t="s">
        <v>763</v>
      </c>
    </row>
    <row r="741" spans="1:4" ht="18" customHeight="1" x14ac:dyDescent="0.35">
      <c r="A741" s="86" t="s">
        <v>841</v>
      </c>
      <c r="B741" s="90" t="s">
        <v>53</v>
      </c>
      <c r="C741" s="86" t="s">
        <v>54</v>
      </c>
    </row>
    <row r="742" spans="1:4" ht="18" customHeight="1" x14ac:dyDescent="0.35">
      <c r="A742" s="24" t="s">
        <v>842</v>
      </c>
      <c r="B742" s="90" t="s">
        <v>53</v>
      </c>
      <c r="C742" s="24" t="s">
        <v>144</v>
      </c>
    </row>
    <row r="743" spans="1:4" ht="18" customHeight="1" x14ac:dyDescent="0.35">
      <c r="A743" s="24" t="s">
        <v>843</v>
      </c>
      <c r="B743" s="90" t="s">
        <v>53</v>
      </c>
      <c r="C743" s="24" t="s">
        <v>144</v>
      </c>
    </row>
    <row r="744" spans="1:4" ht="18" customHeight="1" x14ac:dyDescent="0.35">
      <c r="A744" s="88" t="s">
        <v>844</v>
      </c>
      <c r="B744" s="90" t="s">
        <v>53</v>
      </c>
      <c r="C744" s="88" t="s">
        <v>845</v>
      </c>
      <c r="D744" s="75" t="s">
        <v>760</v>
      </c>
    </row>
    <row r="745" spans="1:4" ht="18" customHeight="1" x14ac:dyDescent="0.35">
      <c r="A745" s="88" t="s">
        <v>846</v>
      </c>
      <c r="B745" s="90" t="s">
        <v>53</v>
      </c>
      <c r="C745" s="88" t="s">
        <v>845</v>
      </c>
      <c r="D745" s="75" t="s">
        <v>760</v>
      </c>
    </row>
    <row r="746" spans="1:4" ht="18" customHeight="1" x14ac:dyDescent="0.35">
      <c r="A746" s="86" t="s">
        <v>847</v>
      </c>
      <c r="B746" s="90" t="s">
        <v>53</v>
      </c>
      <c r="C746" s="86" t="s">
        <v>114</v>
      </c>
    </row>
    <row r="747" spans="1:4" ht="18" customHeight="1" x14ac:dyDescent="0.35">
      <c r="A747" s="86" t="s">
        <v>848</v>
      </c>
      <c r="B747" s="90" t="s">
        <v>53</v>
      </c>
      <c r="C747" s="86" t="s">
        <v>114</v>
      </c>
    </row>
    <row r="748" spans="1:4" ht="18" customHeight="1" x14ac:dyDescent="0.35">
      <c r="A748" s="86" t="s">
        <v>849</v>
      </c>
      <c r="B748" s="90" t="s">
        <v>53</v>
      </c>
      <c r="C748" s="86" t="s">
        <v>711</v>
      </c>
    </row>
    <row r="749" spans="1:4" ht="18" customHeight="1" x14ac:dyDescent="0.35">
      <c r="A749" s="86" t="s">
        <v>850</v>
      </c>
      <c r="B749" s="90" t="s">
        <v>53</v>
      </c>
      <c r="C749" s="86" t="s">
        <v>711</v>
      </c>
    </row>
    <row r="750" spans="1:4" ht="18" customHeight="1" x14ac:dyDescent="0.35">
      <c r="A750" s="86" t="s">
        <v>851</v>
      </c>
      <c r="B750" s="90" t="s">
        <v>53</v>
      </c>
      <c r="C750" s="86" t="s">
        <v>711</v>
      </c>
    </row>
    <row r="751" spans="1:4" ht="18" customHeight="1" x14ac:dyDescent="0.35">
      <c r="A751" s="86" t="s">
        <v>852</v>
      </c>
      <c r="B751" s="90" t="s">
        <v>53</v>
      </c>
      <c r="C751" s="86" t="s">
        <v>711</v>
      </c>
    </row>
    <row r="752" spans="1:4" ht="18" customHeight="1" x14ac:dyDescent="0.35">
      <c r="A752" s="86" t="s">
        <v>853</v>
      </c>
      <c r="B752" s="90" t="s">
        <v>53</v>
      </c>
      <c r="C752" s="86" t="s">
        <v>711</v>
      </c>
    </row>
    <row r="753" spans="1:3" ht="18" customHeight="1" x14ac:dyDescent="0.35">
      <c r="A753" s="86" t="s">
        <v>854</v>
      </c>
      <c r="B753" s="90" t="s">
        <v>53</v>
      </c>
      <c r="C753" s="86" t="s">
        <v>711</v>
      </c>
    </row>
    <row r="754" spans="1:3" ht="18" customHeight="1" x14ac:dyDescent="0.35">
      <c r="A754" s="86" t="s">
        <v>855</v>
      </c>
      <c r="B754" s="90" t="s">
        <v>53</v>
      </c>
      <c r="C754" s="86" t="s">
        <v>711</v>
      </c>
    </row>
    <row r="755" spans="1:3" ht="18" customHeight="1" x14ac:dyDescent="0.35">
      <c r="A755" s="86" t="s">
        <v>856</v>
      </c>
      <c r="B755" s="90" t="s">
        <v>53</v>
      </c>
      <c r="C755" s="86" t="s">
        <v>711</v>
      </c>
    </row>
    <row r="756" spans="1:3" ht="18" customHeight="1" x14ac:dyDescent="0.35">
      <c r="A756" s="86" t="s">
        <v>857</v>
      </c>
      <c r="B756" s="90" t="s">
        <v>53</v>
      </c>
      <c r="C756" s="86" t="s">
        <v>711</v>
      </c>
    </row>
    <row r="757" spans="1:3" ht="18" customHeight="1" x14ac:dyDescent="0.35">
      <c r="A757" s="86" t="s">
        <v>858</v>
      </c>
      <c r="B757" s="90" t="s">
        <v>53</v>
      </c>
      <c r="C757" s="86" t="s">
        <v>711</v>
      </c>
    </row>
    <row r="758" spans="1:3" ht="18" customHeight="1" x14ac:dyDescent="0.35">
      <c r="A758" s="86" t="s">
        <v>859</v>
      </c>
      <c r="B758" s="90" t="s">
        <v>53</v>
      </c>
      <c r="C758" s="86" t="s">
        <v>711</v>
      </c>
    </row>
    <row r="759" spans="1:3" ht="18" customHeight="1" x14ac:dyDescent="0.35">
      <c r="A759" s="86" t="s">
        <v>860</v>
      </c>
      <c r="B759" s="90" t="s">
        <v>53</v>
      </c>
      <c r="C759" s="86" t="s">
        <v>711</v>
      </c>
    </row>
    <row r="760" spans="1:3" ht="18" customHeight="1" x14ac:dyDescent="0.35">
      <c r="A760" s="86" t="s">
        <v>861</v>
      </c>
      <c r="B760" s="90" t="s">
        <v>53</v>
      </c>
      <c r="C760" s="86" t="s">
        <v>711</v>
      </c>
    </row>
    <row r="761" spans="1:3" ht="18" customHeight="1" x14ac:dyDescent="0.35">
      <c r="A761" s="86" t="s">
        <v>862</v>
      </c>
      <c r="B761" s="90" t="s">
        <v>53</v>
      </c>
      <c r="C761" s="86" t="s">
        <v>711</v>
      </c>
    </row>
    <row r="762" spans="1:3" ht="18" customHeight="1" x14ac:dyDescent="0.35">
      <c r="A762" s="86" t="s">
        <v>863</v>
      </c>
      <c r="B762" s="90" t="s">
        <v>53</v>
      </c>
      <c r="C762" s="86" t="s">
        <v>711</v>
      </c>
    </row>
    <row r="763" spans="1:3" ht="18" customHeight="1" x14ac:dyDescent="0.35">
      <c r="A763" s="86" t="s">
        <v>864</v>
      </c>
      <c r="B763" s="90" t="s">
        <v>53</v>
      </c>
      <c r="C763" s="86" t="s">
        <v>711</v>
      </c>
    </row>
    <row r="764" spans="1:3" ht="18" customHeight="1" x14ac:dyDescent="0.35">
      <c r="A764" s="86" t="s">
        <v>865</v>
      </c>
      <c r="B764" s="90" t="s">
        <v>53</v>
      </c>
      <c r="C764" s="86" t="s">
        <v>711</v>
      </c>
    </row>
    <row r="765" spans="1:3" ht="18" customHeight="1" x14ac:dyDescent="0.35">
      <c r="A765" s="86" t="s">
        <v>866</v>
      </c>
      <c r="B765" s="90" t="s">
        <v>53</v>
      </c>
      <c r="C765" s="86" t="s">
        <v>711</v>
      </c>
    </row>
    <row r="766" spans="1:3" ht="18" customHeight="1" x14ac:dyDescent="0.35">
      <c r="A766" s="86" t="s">
        <v>867</v>
      </c>
      <c r="B766" s="90" t="s">
        <v>53</v>
      </c>
      <c r="C766" s="86" t="s">
        <v>711</v>
      </c>
    </row>
    <row r="767" spans="1:3" ht="18" customHeight="1" x14ac:dyDescent="0.35">
      <c r="A767" s="86" t="s">
        <v>868</v>
      </c>
      <c r="B767" s="90" t="s">
        <v>53</v>
      </c>
      <c r="C767" s="86" t="s">
        <v>711</v>
      </c>
    </row>
    <row r="768" spans="1:3" ht="18" customHeight="1" x14ac:dyDescent="0.35">
      <c r="A768" s="86" t="s">
        <v>869</v>
      </c>
      <c r="B768" s="90" t="s">
        <v>53</v>
      </c>
      <c r="C768" s="86" t="s">
        <v>711</v>
      </c>
    </row>
    <row r="769" spans="1:3" ht="18" customHeight="1" x14ac:dyDescent="0.35">
      <c r="A769" s="86" t="s">
        <v>870</v>
      </c>
      <c r="B769" t="s">
        <v>871</v>
      </c>
      <c r="C769" s="86" t="s">
        <v>872</v>
      </c>
    </row>
    <row r="770" spans="1:3" ht="18" customHeight="1" x14ac:dyDescent="0.35">
      <c r="A770" s="86" t="s">
        <v>873</v>
      </c>
      <c r="B770" t="s">
        <v>871</v>
      </c>
      <c r="C770" s="86" t="s">
        <v>874</v>
      </c>
    </row>
    <row r="771" spans="1:3" ht="18" customHeight="1" x14ac:dyDescent="0.35">
      <c r="A771" s="86" t="s">
        <v>875</v>
      </c>
      <c r="B771" t="s">
        <v>871</v>
      </c>
      <c r="C771" s="86" t="s">
        <v>874</v>
      </c>
    </row>
    <row r="772" spans="1:3" ht="18" customHeight="1" x14ac:dyDescent="0.35">
      <c r="A772" s="86" t="s">
        <v>876</v>
      </c>
      <c r="B772" t="s">
        <v>871</v>
      </c>
      <c r="C772" s="86" t="s">
        <v>877</v>
      </c>
    </row>
    <row r="773" spans="1:3" ht="18" customHeight="1" x14ac:dyDescent="0.35">
      <c r="A773" s="86" t="s">
        <v>878</v>
      </c>
      <c r="B773" t="s">
        <v>871</v>
      </c>
      <c r="C773" s="86" t="s">
        <v>877</v>
      </c>
    </row>
    <row r="774" spans="1:3" ht="18" customHeight="1" x14ac:dyDescent="0.35">
      <c r="A774" s="86" t="s">
        <v>879</v>
      </c>
      <c r="B774" t="s">
        <v>871</v>
      </c>
      <c r="C774" s="86" t="s">
        <v>880</v>
      </c>
    </row>
    <row r="775" spans="1:3" ht="18" customHeight="1" x14ac:dyDescent="0.35">
      <c r="A775" s="86" t="s">
        <v>881</v>
      </c>
      <c r="B775" t="s">
        <v>871</v>
      </c>
      <c r="C775" s="86" t="s">
        <v>880</v>
      </c>
    </row>
    <row r="776" spans="1:3" ht="18" customHeight="1" x14ac:dyDescent="0.35">
      <c r="A776" s="86" t="s">
        <v>882</v>
      </c>
      <c r="B776" t="s">
        <v>871</v>
      </c>
      <c r="C776" s="86" t="s">
        <v>883</v>
      </c>
    </row>
    <row r="777" spans="1:3" ht="18" customHeight="1" x14ac:dyDescent="0.35">
      <c r="A777" s="86" t="s">
        <v>884</v>
      </c>
      <c r="B777" t="s">
        <v>871</v>
      </c>
      <c r="C777" s="86" t="s">
        <v>883</v>
      </c>
    </row>
    <row r="778" spans="1:3" ht="18" customHeight="1" x14ac:dyDescent="0.35">
      <c r="A778" s="86" t="s">
        <v>885</v>
      </c>
      <c r="B778" t="s">
        <v>871</v>
      </c>
      <c r="C778" s="86" t="s">
        <v>886</v>
      </c>
    </row>
    <row r="779" spans="1:3" ht="18" customHeight="1" x14ac:dyDescent="0.35">
      <c r="A779" s="86" t="s">
        <v>887</v>
      </c>
      <c r="B779" t="s">
        <v>871</v>
      </c>
      <c r="C779" s="86" t="s">
        <v>886</v>
      </c>
    </row>
    <row r="780" spans="1:3" ht="18" customHeight="1" x14ac:dyDescent="0.35">
      <c r="A780" s="86" t="s">
        <v>888</v>
      </c>
      <c r="B780" t="s">
        <v>871</v>
      </c>
      <c r="C780" s="86" t="s">
        <v>889</v>
      </c>
    </row>
    <row r="781" spans="1:3" ht="18" customHeight="1" x14ac:dyDescent="0.35">
      <c r="A781" s="86" t="s">
        <v>890</v>
      </c>
      <c r="B781" t="s">
        <v>871</v>
      </c>
      <c r="C781" s="86" t="s">
        <v>889</v>
      </c>
    </row>
    <row r="782" spans="1:3" ht="18" customHeight="1" x14ac:dyDescent="0.35">
      <c r="A782" s="86" t="s">
        <v>891</v>
      </c>
      <c r="B782" t="s">
        <v>871</v>
      </c>
      <c r="C782" s="86" t="s">
        <v>892</v>
      </c>
    </row>
    <row r="783" spans="1:3" ht="18" customHeight="1" x14ac:dyDescent="0.35">
      <c r="A783" s="86" t="s">
        <v>893</v>
      </c>
      <c r="B783" t="s">
        <v>871</v>
      </c>
      <c r="C783" s="86" t="s">
        <v>892</v>
      </c>
    </row>
    <row r="784" spans="1:3" ht="18" customHeight="1" x14ac:dyDescent="0.35">
      <c r="A784" s="86" t="s">
        <v>894</v>
      </c>
      <c r="B784" t="s">
        <v>871</v>
      </c>
      <c r="C784" s="86" t="s">
        <v>895</v>
      </c>
    </row>
    <row r="785" spans="1:3" ht="18" customHeight="1" x14ac:dyDescent="0.35">
      <c r="A785" s="86" t="s">
        <v>896</v>
      </c>
      <c r="B785" t="s">
        <v>871</v>
      </c>
      <c r="C785" s="86" t="s">
        <v>895</v>
      </c>
    </row>
    <row r="786" spans="1:3" ht="18" customHeight="1" x14ac:dyDescent="0.35">
      <c r="A786" s="86" t="s">
        <v>897</v>
      </c>
      <c r="B786" t="s">
        <v>871</v>
      </c>
      <c r="C786" s="86" t="s">
        <v>898</v>
      </c>
    </row>
    <row r="787" spans="1:3" ht="18" customHeight="1" x14ac:dyDescent="0.35">
      <c r="A787" s="86" t="s">
        <v>899</v>
      </c>
      <c r="B787" t="s">
        <v>871</v>
      </c>
      <c r="C787" s="86" t="s">
        <v>898</v>
      </c>
    </row>
    <row r="788" spans="1:3" ht="18" customHeight="1" x14ac:dyDescent="0.35">
      <c r="A788" s="86" t="s">
        <v>900</v>
      </c>
      <c r="B788" t="s">
        <v>871</v>
      </c>
      <c r="C788" s="86" t="s">
        <v>901</v>
      </c>
    </row>
    <row r="789" spans="1:3" ht="18" customHeight="1" x14ac:dyDescent="0.35">
      <c r="A789" s="86" t="s">
        <v>902</v>
      </c>
      <c r="B789" t="s">
        <v>871</v>
      </c>
      <c r="C789" s="86" t="s">
        <v>901</v>
      </c>
    </row>
    <row r="790" spans="1:3" ht="18" customHeight="1" x14ac:dyDescent="0.35">
      <c r="A790" s="86" t="s">
        <v>903</v>
      </c>
      <c r="B790" t="s">
        <v>871</v>
      </c>
      <c r="C790" s="86" t="s">
        <v>904</v>
      </c>
    </row>
    <row r="791" spans="1:3" ht="18" customHeight="1" x14ac:dyDescent="0.35">
      <c r="A791" s="86" t="s">
        <v>905</v>
      </c>
      <c r="B791" t="s">
        <v>871</v>
      </c>
      <c r="C791" s="86" t="s">
        <v>904</v>
      </c>
    </row>
    <row r="792" spans="1:3" ht="18" customHeight="1" x14ac:dyDescent="0.35">
      <c r="A792" s="86" t="s">
        <v>906</v>
      </c>
      <c r="B792" t="s">
        <v>871</v>
      </c>
      <c r="C792" s="86" t="s">
        <v>907</v>
      </c>
    </row>
    <row r="793" spans="1:3" ht="18" customHeight="1" x14ac:dyDescent="0.35">
      <c r="A793" s="86" t="s">
        <v>908</v>
      </c>
      <c r="B793" t="s">
        <v>871</v>
      </c>
      <c r="C793" s="86" t="s">
        <v>907</v>
      </c>
    </row>
    <row r="794" spans="1:3" ht="18" customHeight="1" x14ac:dyDescent="0.35">
      <c r="A794" s="86" t="s">
        <v>909</v>
      </c>
      <c r="B794" t="s">
        <v>871</v>
      </c>
      <c r="C794" s="86" t="s">
        <v>910</v>
      </c>
    </row>
    <row r="795" spans="1:3" ht="18" customHeight="1" x14ac:dyDescent="0.35">
      <c r="A795" s="86" t="s">
        <v>911</v>
      </c>
      <c r="B795" t="s">
        <v>871</v>
      </c>
      <c r="C795" s="86" t="s">
        <v>910</v>
      </c>
    </row>
    <row r="796" spans="1:3" ht="18" customHeight="1" x14ac:dyDescent="0.35">
      <c r="A796" s="86" t="s">
        <v>912</v>
      </c>
      <c r="B796" t="s">
        <v>871</v>
      </c>
      <c r="C796" s="86" t="s">
        <v>913</v>
      </c>
    </row>
    <row r="797" spans="1:3" ht="18" customHeight="1" x14ac:dyDescent="0.35">
      <c r="A797" s="86" t="s">
        <v>914</v>
      </c>
      <c r="B797" t="s">
        <v>871</v>
      </c>
      <c r="C797" s="86" t="s">
        <v>913</v>
      </c>
    </row>
    <row r="798" spans="1:3" ht="18" customHeight="1" x14ac:dyDescent="0.35">
      <c r="A798" s="86" t="s">
        <v>915</v>
      </c>
      <c r="B798" t="s">
        <v>871</v>
      </c>
      <c r="C798" s="86" t="s">
        <v>916</v>
      </c>
    </row>
    <row r="799" spans="1:3" ht="18" customHeight="1" x14ac:dyDescent="0.35">
      <c r="A799" s="86" t="s">
        <v>917</v>
      </c>
      <c r="B799" t="s">
        <v>871</v>
      </c>
      <c r="C799" s="86" t="s">
        <v>916</v>
      </c>
    </row>
    <row r="800" spans="1:3" ht="18" customHeight="1" x14ac:dyDescent="0.35">
      <c r="A800" s="86" t="s">
        <v>918</v>
      </c>
      <c r="B800" t="s">
        <v>871</v>
      </c>
      <c r="C800" s="86" t="s">
        <v>919</v>
      </c>
    </row>
    <row r="801" spans="1:3" ht="18" customHeight="1" x14ac:dyDescent="0.35">
      <c r="A801" s="86" t="s">
        <v>920</v>
      </c>
      <c r="B801" t="s">
        <v>871</v>
      </c>
      <c r="C801" s="86" t="s">
        <v>919</v>
      </c>
    </row>
    <row r="802" spans="1:3" ht="18" customHeight="1" x14ac:dyDescent="0.35">
      <c r="A802" s="86" t="s">
        <v>921</v>
      </c>
      <c r="B802" s="90" t="s">
        <v>53</v>
      </c>
      <c r="C802" s="86" t="e">
        <v>#N/A</v>
      </c>
    </row>
    <row r="803" spans="1:3" ht="18" customHeight="1" x14ac:dyDescent="0.35">
      <c r="A803" s="86" t="s">
        <v>922</v>
      </c>
      <c r="B803" s="90" t="s">
        <v>53</v>
      </c>
      <c r="C803" s="86" t="e">
        <v>#N/A</v>
      </c>
    </row>
    <row r="804" spans="1:3" ht="18" customHeight="1" x14ac:dyDescent="0.35">
      <c r="A804" s="86" t="s">
        <v>923</v>
      </c>
      <c r="B804" t="s">
        <v>871</v>
      </c>
      <c r="C804" s="86" t="s">
        <v>924</v>
      </c>
    </row>
    <row r="805" spans="1:3" ht="18" customHeight="1" x14ac:dyDescent="0.35">
      <c r="A805" s="86" t="s">
        <v>925</v>
      </c>
      <c r="B805" t="s">
        <v>871</v>
      </c>
      <c r="C805" s="86" t="s">
        <v>924</v>
      </c>
    </row>
    <row r="806" spans="1:3" ht="18" customHeight="1" x14ac:dyDescent="0.35">
      <c r="A806" s="86" t="s">
        <v>926</v>
      </c>
      <c r="B806" t="s">
        <v>871</v>
      </c>
      <c r="C806" s="86" t="s">
        <v>927</v>
      </c>
    </row>
    <row r="807" spans="1:3" ht="18" customHeight="1" x14ac:dyDescent="0.35">
      <c r="A807" s="86" t="s">
        <v>928</v>
      </c>
      <c r="B807" t="s">
        <v>871</v>
      </c>
      <c r="C807" s="86" t="s">
        <v>927</v>
      </c>
    </row>
    <row r="808" spans="1:3" ht="18" customHeight="1" x14ac:dyDescent="0.35">
      <c r="A808" s="86" t="s">
        <v>929</v>
      </c>
      <c r="B808" t="s">
        <v>871</v>
      </c>
      <c r="C808" s="86" t="s">
        <v>930</v>
      </c>
    </row>
    <row r="809" spans="1:3" ht="18" customHeight="1" x14ac:dyDescent="0.35">
      <c r="A809" s="86" t="s">
        <v>931</v>
      </c>
      <c r="B809" t="s">
        <v>871</v>
      </c>
      <c r="C809" s="86" t="s">
        <v>930</v>
      </c>
    </row>
    <row r="810" spans="1:3" ht="18" customHeight="1" x14ac:dyDescent="0.35">
      <c r="A810" s="86" t="s">
        <v>932</v>
      </c>
      <c r="B810" t="s">
        <v>871</v>
      </c>
      <c r="C810" s="86" t="s">
        <v>933</v>
      </c>
    </row>
    <row r="811" spans="1:3" ht="18" customHeight="1" x14ac:dyDescent="0.35">
      <c r="A811" s="86" t="s">
        <v>934</v>
      </c>
      <c r="B811" t="s">
        <v>871</v>
      </c>
      <c r="C811" s="86" t="s">
        <v>933</v>
      </c>
    </row>
    <row r="812" spans="1:3" ht="18" customHeight="1" x14ac:dyDescent="0.35">
      <c r="A812" s="86" t="s">
        <v>935</v>
      </c>
      <c r="B812" t="s">
        <v>871</v>
      </c>
      <c r="C812" s="86" t="s">
        <v>936</v>
      </c>
    </row>
    <row r="813" spans="1:3" ht="18" customHeight="1" x14ac:dyDescent="0.35">
      <c r="A813" s="86" t="s">
        <v>937</v>
      </c>
      <c r="B813" t="s">
        <v>871</v>
      </c>
      <c r="C813" s="86" t="s">
        <v>936</v>
      </c>
    </row>
    <row r="814" spans="1:3" ht="18" customHeight="1" x14ac:dyDescent="0.35">
      <c r="A814" s="86" t="s">
        <v>938</v>
      </c>
      <c r="B814" t="s">
        <v>871</v>
      </c>
      <c r="C814" s="86" t="s">
        <v>939</v>
      </c>
    </row>
    <row r="815" spans="1:3" ht="18" customHeight="1" x14ac:dyDescent="0.35">
      <c r="A815" s="86" t="s">
        <v>940</v>
      </c>
      <c r="B815" t="s">
        <v>871</v>
      </c>
      <c r="C815" s="86" t="s">
        <v>939</v>
      </c>
    </row>
    <row r="816" spans="1:3" ht="18" customHeight="1" x14ac:dyDescent="0.35">
      <c r="A816" s="86" t="s">
        <v>941</v>
      </c>
      <c r="B816" t="s">
        <v>871</v>
      </c>
      <c r="C816" s="86" t="s">
        <v>942</v>
      </c>
    </row>
    <row r="817" spans="1:3" ht="18" customHeight="1" x14ac:dyDescent="0.35">
      <c r="A817" s="86" t="s">
        <v>943</v>
      </c>
      <c r="B817" t="s">
        <v>871</v>
      </c>
      <c r="C817" s="86" t="s">
        <v>942</v>
      </c>
    </row>
    <row r="818" spans="1:3" ht="18" customHeight="1" x14ac:dyDescent="0.35">
      <c r="A818" s="86" t="s">
        <v>944</v>
      </c>
      <c r="B818" t="s">
        <v>871</v>
      </c>
      <c r="C818" s="86" t="s">
        <v>945</v>
      </c>
    </row>
    <row r="819" spans="1:3" ht="18" customHeight="1" x14ac:dyDescent="0.35">
      <c r="A819" s="86" t="s">
        <v>946</v>
      </c>
      <c r="B819" t="s">
        <v>871</v>
      </c>
      <c r="C819" s="86" t="s">
        <v>945</v>
      </c>
    </row>
    <row r="820" spans="1:3" ht="18" customHeight="1" x14ac:dyDescent="0.35">
      <c r="A820" s="86" t="s">
        <v>947</v>
      </c>
      <c r="B820" t="s">
        <v>871</v>
      </c>
      <c r="C820" s="86" t="s">
        <v>948</v>
      </c>
    </row>
    <row r="821" spans="1:3" ht="18" customHeight="1" x14ac:dyDescent="0.35">
      <c r="A821" s="86" t="s">
        <v>949</v>
      </c>
      <c r="B821" t="s">
        <v>871</v>
      </c>
      <c r="C821" s="86" t="s">
        <v>948</v>
      </c>
    </row>
    <row r="822" spans="1:3" ht="18" customHeight="1" x14ac:dyDescent="0.35">
      <c r="A822" s="86" t="s">
        <v>950</v>
      </c>
      <c r="B822" t="s">
        <v>871</v>
      </c>
      <c r="C822" s="86" t="s">
        <v>951</v>
      </c>
    </row>
    <row r="823" spans="1:3" ht="18" customHeight="1" x14ac:dyDescent="0.35">
      <c r="A823" s="86" t="s">
        <v>952</v>
      </c>
      <c r="B823" t="s">
        <v>871</v>
      </c>
      <c r="C823" s="86" t="s">
        <v>951</v>
      </c>
    </row>
    <row r="824" spans="1:3" ht="18" customHeight="1" x14ac:dyDescent="0.35">
      <c r="A824" s="86" t="s">
        <v>953</v>
      </c>
      <c r="B824" t="s">
        <v>871</v>
      </c>
      <c r="C824" s="86" t="s">
        <v>954</v>
      </c>
    </row>
    <row r="825" spans="1:3" ht="18" customHeight="1" x14ac:dyDescent="0.35">
      <c r="A825" s="86" t="s">
        <v>955</v>
      </c>
      <c r="B825" t="s">
        <v>871</v>
      </c>
      <c r="C825" s="86" t="s">
        <v>954</v>
      </c>
    </row>
    <row r="826" spans="1:3" ht="18" customHeight="1" x14ac:dyDescent="0.35">
      <c r="A826" s="86" t="s">
        <v>956</v>
      </c>
      <c r="B826" t="s">
        <v>871</v>
      </c>
      <c r="C826" s="86" t="s">
        <v>957</v>
      </c>
    </row>
    <row r="827" spans="1:3" ht="18" customHeight="1" x14ac:dyDescent="0.35">
      <c r="A827" s="86" t="s">
        <v>958</v>
      </c>
      <c r="B827" t="s">
        <v>871</v>
      </c>
      <c r="C827" s="86" t="s">
        <v>957</v>
      </c>
    </row>
    <row r="828" spans="1:3" ht="18" customHeight="1" x14ac:dyDescent="0.35">
      <c r="A828" s="86" t="s">
        <v>959</v>
      </c>
      <c r="B828" t="s">
        <v>871</v>
      </c>
      <c r="C828" s="86" t="s">
        <v>960</v>
      </c>
    </row>
    <row r="829" spans="1:3" ht="18" customHeight="1" x14ac:dyDescent="0.35">
      <c r="A829" s="86" t="s">
        <v>961</v>
      </c>
      <c r="B829" t="s">
        <v>871</v>
      </c>
      <c r="C829" s="86" t="s">
        <v>960</v>
      </c>
    </row>
    <row r="830" spans="1:3" ht="18" customHeight="1" x14ac:dyDescent="0.35">
      <c r="A830" s="86" t="s">
        <v>962</v>
      </c>
      <c r="B830" t="s">
        <v>871</v>
      </c>
      <c r="C830" s="86" t="s">
        <v>963</v>
      </c>
    </row>
    <row r="831" spans="1:3" ht="18" customHeight="1" x14ac:dyDescent="0.35">
      <c r="A831" s="86" t="s">
        <v>964</v>
      </c>
      <c r="B831" t="s">
        <v>871</v>
      </c>
      <c r="C831" s="86" t="s">
        <v>963</v>
      </c>
    </row>
    <row r="832" spans="1:3" ht="18" customHeight="1" x14ac:dyDescent="0.35">
      <c r="A832" s="86" t="s">
        <v>965</v>
      </c>
      <c r="B832" t="s">
        <v>871</v>
      </c>
      <c r="C832" s="86" t="s">
        <v>966</v>
      </c>
    </row>
    <row r="833" spans="1:3" ht="18" customHeight="1" x14ac:dyDescent="0.35">
      <c r="A833" s="86" t="s">
        <v>967</v>
      </c>
      <c r="B833" t="s">
        <v>871</v>
      </c>
      <c r="C833" s="86" t="s">
        <v>966</v>
      </c>
    </row>
    <row r="834" spans="1:3" ht="18" customHeight="1" x14ac:dyDescent="0.35">
      <c r="A834" s="86" t="s">
        <v>968</v>
      </c>
      <c r="B834" t="s">
        <v>871</v>
      </c>
      <c r="C834" s="86" t="s">
        <v>969</v>
      </c>
    </row>
    <row r="835" spans="1:3" ht="18" customHeight="1" x14ac:dyDescent="0.35">
      <c r="A835" s="86" t="s">
        <v>970</v>
      </c>
      <c r="B835" t="s">
        <v>871</v>
      </c>
      <c r="C835" s="86" t="s">
        <v>969</v>
      </c>
    </row>
    <row r="836" spans="1:3" ht="18" customHeight="1" x14ac:dyDescent="0.35">
      <c r="A836" s="86" t="s">
        <v>971</v>
      </c>
      <c r="B836" t="s">
        <v>871</v>
      </c>
      <c r="C836" s="86" t="s">
        <v>972</v>
      </c>
    </row>
    <row r="837" spans="1:3" ht="18" customHeight="1" x14ac:dyDescent="0.35">
      <c r="A837" s="86" t="s">
        <v>973</v>
      </c>
      <c r="B837" t="s">
        <v>871</v>
      </c>
      <c r="C837" s="86" t="s">
        <v>972</v>
      </c>
    </row>
    <row r="838" spans="1:3" ht="18" customHeight="1" x14ac:dyDescent="0.35">
      <c r="A838" s="86" t="s">
        <v>974</v>
      </c>
      <c r="B838" t="s">
        <v>871</v>
      </c>
      <c r="C838" s="86" t="s">
        <v>975</v>
      </c>
    </row>
    <row r="839" spans="1:3" ht="18" customHeight="1" x14ac:dyDescent="0.35">
      <c r="A839" s="86" t="s">
        <v>976</v>
      </c>
      <c r="B839" t="s">
        <v>871</v>
      </c>
      <c r="C839" s="86" t="s">
        <v>975</v>
      </c>
    </row>
    <row r="840" spans="1:3" ht="18" customHeight="1" x14ac:dyDescent="0.35">
      <c r="A840" s="86" t="s">
        <v>977</v>
      </c>
      <c r="B840" t="s">
        <v>871</v>
      </c>
      <c r="C840" s="86" t="s">
        <v>978</v>
      </c>
    </row>
    <row r="841" spans="1:3" ht="18" customHeight="1" x14ac:dyDescent="0.35">
      <c r="A841" s="86" t="s">
        <v>979</v>
      </c>
      <c r="B841" t="s">
        <v>871</v>
      </c>
      <c r="C841" s="86" t="s">
        <v>978</v>
      </c>
    </row>
    <row r="842" spans="1:3" ht="18" customHeight="1" x14ac:dyDescent="0.35">
      <c r="A842" s="86" t="s">
        <v>980</v>
      </c>
      <c r="B842" t="s">
        <v>871</v>
      </c>
      <c r="C842" s="86" t="s">
        <v>981</v>
      </c>
    </row>
    <row r="843" spans="1:3" ht="18" customHeight="1" x14ac:dyDescent="0.35">
      <c r="A843" s="86" t="s">
        <v>982</v>
      </c>
      <c r="B843" t="s">
        <v>871</v>
      </c>
      <c r="C843" s="86" t="s">
        <v>981</v>
      </c>
    </row>
    <row r="844" spans="1:3" ht="18" customHeight="1" x14ac:dyDescent="0.35">
      <c r="A844" s="86" t="s">
        <v>983</v>
      </c>
      <c r="B844" t="s">
        <v>871</v>
      </c>
      <c r="C844" s="86" t="s">
        <v>984</v>
      </c>
    </row>
    <row r="845" spans="1:3" ht="18" customHeight="1" x14ac:dyDescent="0.35">
      <c r="A845" s="86" t="s">
        <v>985</v>
      </c>
      <c r="B845" t="s">
        <v>871</v>
      </c>
      <c r="C845" s="86" t="s">
        <v>984</v>
      </c>
    </row>
    <row r="846" spans="1:3" ht="18" customHeight="1" x14ac:dyDescent="0.35">
      <c r="A846" s="86" t="s">
        <v>986</v>
      </c>
      <c r="B846" t="s">
        <v>871</v>
      </c>
      <c r="C846" s="86" t="s">
        <v>987</v>
      </c>
    </row>
    <row r="847" spans="1:3" ht="18" customHeight="1" x14ac:dyDescent="0.35">
      <c r="A847" s="86" t="s">
        <v>988</v>
      </c>
      <c r="B847" t="s">
        <v>871</v>
      </c>
      <c r="C847" s="86" t="s">
        <v>987</v>
      </c>
    </row>
    <row r="848" spans="1:3" ht="18" customHeight="1" x14ac:dyDescent="0.35">
      <c r="A848" s="86" t="s">
        <v>989</v>
      </c>
      <c r="B848" t="s">
        <v>871</v>
      </c>
      <c r="C848" s="86" t="s">
        <v>990</v>
      </c>
    </row>
    <row r="849" spans="1:3" ht="18" customHeight="1" x14ac:dyDescent="0.35">
      <c r="A849" s="86" t="s">
        <v>991</v>
      </c>
      <c r="B849" t="s">
        <v>871</v>
      </c>
      <c r="C849" s="86" t="s">
        <v>990</v>
      </c>
    </row>
    <row r="850" spans="1:3" ht="18" customHeight="1" x14ac:dyDescent="0.35">
      <c r="A850" s="87" t="s">
        <v>992</v>
      </c>
      <c r="B850" s="90" t="s">
        <v>53</v>
      </c>
      <c r="C850" s="87"/>
    </row>
    <row r="851" spans="1:3" ht="18" customHeight="1" x14ac:dyDescent="0.35">
      <c r="A851" s="86" t="s">
        <v>993</v>
      </c>
      <c r="B851" s="90" t="s">
        <v>53</v>
      </c>
      <c r="C851" s="86" t="s">
        <v>994</v>
      </c>
    </row>
    <row r="852" spans="1:3" ht="18" customHeight="1" x14ac:dyDescent="0.35">
      <c r="A852" s="86" t="s">
        <v>995</v>
      </c>
      <c r="B852" s="90" t="s">
        <v>53</v>
      </c>
      <c r="C852" s="86" t="s">
        <v>994</v>
      </c>
    </row>
    <row r="853" spans="1:3" ht="18" customHeight="1" x14ac:dyDescent="0.35">
      <c r="A853" s="86" t="s">
        <v>996</v>
      </c>
      <c r="B853" s="90" t="s">
        <v>53</v>
      </c>
      <c r="C853" s="86" t="s">
        <v>994</v>
      </c>
    </row>
    <row r="854" spans="1:3" ht="18" customHeight="1" x14ac:dyDescent="0.35">
      <c r="A854" s="86" t="s">
        <v>997</v>
      </c>
      <c r="B854" t="s">
        <v>871</v>
      </c>
      <c r="C854" s="86" t="s">
        <v>998</v>
      </c>
    </row>
    <row r="855" spans="1:3" ht="18" customHeight="1" x14ac:dyDescent="0.35">
      <c r="A855" s="86" t="s">
        <v>999</v>
      </c>
      <c r="B855" t="s">
        <v>871</v>
      </c>
      <c r="C855" s="86" t="s">
        <v>998</v>
      </c>
    </row>
    <row r="856" spans="1:3" ht="18" customHeight="1" x14ac:dyDescent="0.35">
      <c r="A856" s="86" t="s">
        <v>1000</v>
      </c>
      <c r="B856" s="90" t="s">
        <v>53</v>
      </c>
      <c r="C856" s="86"/>
    </row>
    <row r="857" spans="1:3" ht="18" customHeight="1" x14ac:dyDescent="0.35">
      <c r="A857" s="86" t="s">
        <v>1001</v>
      </c>
      <c r="B857" s="90" t="s">
        <v>53</v>
      </c>
      <c r="C857" s="86" t="s">
        <v>54</v>
      </c>
    </row>
    <row r="858" spans="1:3" ht="18" customHeight="1" x14ac:dyDescent="0.35">
      <c r="A858" s="86" t="s">
        <v>1002</v>
      </c>
      <c r="B858" s="90" t="s">
        <v>53</v>
      </c>
      <c r="C858" s="86" t="s">
        <v>54</v>
      </c>
    </row>
    <row r="859" spans="1:3" ht="18" customHeight="1" x14ac:dyDescent="0.35">
      <c r="A859" s="86" t="s">
        <v>1003</v>
      </c>
      <c r="B859" s="90" t="s">
        <v>53</v>
      </c>
      <c r="C859" s="86" t="s">
        <v>54</v>
      </c>
    </row>
    <row r="860" spans="1:3" ht="18" customHeight="1" x14ac:dyDescent="0.35">
      <c r="A860" s="86" t="s">
        <v>1004</v>
      </c>
      <c r="B860" s="90" t="s">
        <v>53</v>
      </c>
      <c r="C860" s="86" t="s">
        <v>54</v>
      </c>
    </row>
    <row r="861" spans="1:3" ht="18" customHeight="1" x14ac:dyDescent="0.35">
      <c r="A861" s="86" t="s">
        <v>1005</v>
      </c>
      <c r="B861" s="90" t="s">
        <v>53</v>
      </c>
      <c r="C861" s="86" t="s">
        <v>54</v>
      </c>
    </row>
    <row r="862" spans="1:3" ht="18" customHeight="1" x14ac:dyDescent="0.35">
      <c r="A862" s="86" t="s">
        <v>1006</v>
      </c>
      <c r="B862" s="90" t="s">
        <v>53</v>
      </c>
      <c r="C862" s="86" t="s">
        <v>54</v>
      </c>
    </row>
    <row r="863" spans="1:3" ht="18" customHeight="1" x14ac:dyDescent="0.35">
      <c r="A863" s="86" t="s">
        <v>1007</v>
      </c>
      <c r="B863" s="90" t="s">
        <v>53</v>
      </c>
      <c r="C863" s="86" t="s">
        <v>54</v>
      </c>
    </row>
    <row r="864" spans="1:3" ht="18" customHeight="1" x14ac:dyDescent="0.35">
      <c r="A864" s="86" t="s">
        <v>1008</v>
      </c>
      <c r="B864" s="90" t="s">
        <v>53</v>
      </c>
      <c r="C864" s="86" t="s">
        <v>54</v>
      </c>
    </row>
    <row r="865" spans="1:3" ht="18" customHeight="1" x14ac:dyDescent="0.35">
      <c r="A865" s="86" t="s">
        <v>1009</v>
      </c>
      <c r="B865" s="90" t="s">
        <v>53</v>
      </c>
      <c r="C865" s="86" t="s">
        <v>54</v>
      </c>
    </row>
    <row r="866" spans="1:3" ht="18" customHeight="1" x14ac:dyDescent="0.35">
      <c r="A866" s="86" t="s">
        <v>1010</v>
      </c>
      <c r="B866" s="90" t="s">
        <v>53</v>
      </c>
      <c r="C866" s="86" t="s">
        <v>54</v>
      </c>
    </row>
    <row r="867" spans="1:3" ht="18" customHeight="1" x14ac:dyDescent="0.35">
      <c r="A867" s="86" t="s">
        <v>1011</v>
      </c>
      <c r="B867" s="90" t="s">
        <v>53</v>
      </c>
      <c r="C867" s="86" t="s">
        <v>54</v>
      </c>
    </row>
    <row r="868" spans="1:3" ht="18" customHeight="1" x14ac:dyDescent="0.35">
      <c r="A868" s="86" t="s">
        <v>1012</v>
      </c>
      <c r="B868" s="90" t="s">
        <v>53</v>
      </c>
      <c r="C868" s="86" t="s">
        <v>54</v>
      </c>
    </row>
    <row r="869" spans="1:3" ht="18" customHeight="1" x14ac:dyDescent="0.35">
      <c r="A869" s="86" t="s">
        <v>1013</v>
      </c>
      <c r="B869" s="90" t="s">
        <v>53</v>
      </c>
      <c r="C869" s="86" t="s">
        <v>54</v>
      </c>
    </row>
    <row r="870" spans="1:3" ht="18" customHeight="1" x14ac:dyDescent="0.35">
      <c r="A870" s="86" t="s">
        <v>1014</v>
      </c>
      <c r="B870" s="90" t="s">
        <v>53</v>
      </c>
      <c r="C870" s="86" t="s">
        <v>54</v>
      </c>
    </row>
    <row r="871" spans="1:3" ht="18" customHeight="1" x14ac:dyDescent="0.35">
      <c r="A871" s="86" t="s">
        <v>1015</v>
      </c>
      <c r="B871" s="90" t="s">
        <v>53</v>
      </c>
      <c r="C871" s="86" t="s">
        <v>54</v>
      </c>
    </row>
    <row r="872" spans="1:3" ht="18" customHeight="1" x14ac:dyDescent="0.35">
      <c r="A872" s="86" t="s">
        <v>1016</v>
      </c>
      <c r="B872" s="90" t="s">
        <v>53</v>
      </c>
      <c r="C872" s="86" t="s">
        <v>54</v>
      </c>
    </row>
    <row r="873" spans="1:3" ht="18" customHeight="1" x14ac:dyDescent="0.35">
      <c r="A873" s="86" t="s">
        <v>1017</v>
      </c>
      <c r="B873" s="90" t="s">
        <v>53</v>
      </c>
      <c r="C873" s="86" t="s">
        <v>54</v>
      </c>
    </row>
    <row r="874" spans="1:3" ht="18" customHeight="1" x14ac:dyDescent="0.35">
      <c r="A874" s="86" t="s">
        <v>1018</v>
      </c>
      <c r="B874" s="90" t="s">
        <v>53</v>
      </c>
      <c r="C874" s="86" t="s">
        <v>54</v>
      </c>
    </row>
    <row r="875" spans="1:3" ht="18" customHeight="1" x14ac:dyDescent="0.35">
      <c r="A875" s="86" t="s">
        <v>1019</v>
      </c>
      <c r="B875" s="90" t="s">
        <v>53</v>
      </c>
      <c r="C875" s="86" t="s">
        <v>54</v>
      </c>
    </row>
    <row r="876" spans="1:3" ht="18" customHeight="1" x14ac:dyDescent="0.35">
      <c r="A876" s="86" t="s">
        <v>1020</v>
      </c>
      <c r="B876" s="90" t="s">
        <v>53</v>
      </c>
      <c r="C876" s="86" t="s">
        <v>54</v>
      </c>
    </row>
    <row r="877" spans="1:3" ht="18" customHeight="1" x14ac:dyDescent="0.35">
      <c r="A877" s="86" t="s">
        <v>1021</v>
      </c>
      <c r="B877" s="90" t="s">
        <v>53</v>
      </c>
      <c r="C877" s="86" t="s">
        <v>54</v>
      </c>
    </row>
    <row r="878" spans="1:3" ht="18" customHeight="1" x14ac:dyDescent="0.35">
      <c r="A878" s="86" t="s">
        <v>1022</v>
      </c>
      <c r="B878" s="90" t="s">
        <v>53</v>
      </c>
      <c r="C878" s="86" t="s">
        <v>54</v>
      </c>
    </row>
    <row r="879" spans="1:3" ht="18" customHeight="1" x14ac:dyDescent="0.35">
      <c r="A879" s="86" t="s">
        <v>1023</v>
      </c>
      <c r="B879" s="90" t="s">
        <v>53</v>
      </c>
      <c r="C879" s="86" t="s">
        <v>54</v>
      </c>
    </row>
    <row r="880" spans="1:3" ht="18" customHeight="1" x14ac:dyDescent="0.35">
      <c r="A880" s="86" t="s">
        <v>1024</v>
      </c>
      <c r="B880" s="90" t="s">
        <v>53</v>
      </c>
      <c r="C880" s="86" t="s">
        <v>54</v>
      </c>
    </row>
    <row r="881" spans="1:3" ht="18" customHeight="1" x14ac:dyDescent="0.35">
      <c r="A881" s="86" t="s">
        <v>1025</v>
      </c>
      <c r="B881" s="90" t="s">
        <v>53</v>
      </c>
      <c r="C881" s="86" t="s">
        <v>54</v>
      </c>
    </row>
    <row r="882" spans="1:3" ht="18" customHeight="1" x14ac:dyDescent="0.35">
      <c r="A882" s="86" t="s">
        <v>1026</v>
      </c>
      <c r="B882" s="90" t="s">
        <v>53</v>
      </c>
      <c r="C882" s="86" t="s">
        <v>54</v>
      </c>
    </row>
    <row r="883" spans="1:3" ht="18" customHeight="1" x14ac:dyDescent="0.35">
      <c r="A883" s="86" t="s">
        <v>1027</v>
      </c>
      <c r="B883" s="90" t="s">
        <v>53</v>
      </c>
      <c r="C883" s="86" t="s">
        <v>54</v>
      </c>
    </row>
    <row r="884" spans="1:3" ht="18" customHeight="1" x14ac:dyDescent="0.35">
      <c r="A884" s="86" t="s">
        <v>1028</v>
      </c>
      <c r="B884" s="90" t="s">
        <v>53</v>
      </c>
      <c r="C884" s="86" t="s">
        <v>54</v>
      </c>
    </row>
    <row r="885" spans="1:3" ht="18" customHeight="1" x14ac:dyDescent="0.35">
      <c r="A885" s="86" t="s">
        <v>1029</v>
      </c>
      <c r="B885" s="90" t="s">
        <v>53</v>
      </c>
      <c r="C885" s="86" t="s">
        <v>54</v>
      </c>
    </row>
    <row r="886" spans="1:3" ht="18" customHeight="1" x14ac:dyDescent="0.35">
      <c r="A886" s="86" t="s">
        <v>1030</v>
      </c>
      <c r="B886" s="90" t="s">
        <v>53</v>
      </c>
      <c r="C886" s="86" t="s">
        <v>54</v>
      </c>
    </row>
    <row r="887" spans="1:3" ht="18" customHeight="1" x14ac:dyDescent="0.35">
      <c r="A887" s="86" t="s">
        <v>1031</v>
      </c>
      <c r="B887" s="90" t="s">
        <v>53</v>
      </c>
      <c r="C887" s="86" t="s">
        <v>54</v>
      </c>
    </row>
    <row r="888" spans="1:3" ht="18" customHeight="1" x14ac:dyDescent="0.35">
      <c r="A888" s="86" t="s">
        <v>1032</v>
      </c>
      <c r="B888" s="90" t="s">
        <v>53</v>
      </c>
      <c r="C888" s="86" t="s">
        <v>54</v>
      </c>
    </row>
    <row r="889" spans="1:3" ht="18" customHeight="1" x14ac:dyDescent="0.35">
      <c r="A889" s="86" t="s">
        <v>1033</v>
      </c>
      <c r="B889" s="90" t="s">
        <v>53</v>
      </c>
      <c r="C889" s="86" t="s">
        <v>54</v>
      </c>
    </row>
    <row r="890" spans="1:3" ht="18" customHeight="1" x14ac:dyDescent="0.35">
      <c r="A890" s="86" t="s">
        <v>1034</v>
      </c>
      <c r="B890" s="90" t="s">
        <v>53</v>
      </c>
      <c r="C890" s="86" t="s">
        <v>54</v>
      </c>
    </row>
    <row r="891" spans="1:3" ht="18" customHeight="1" x14ac:dyDescent="0.35">
      <c r="A891" s="86" t="s">
        <v>1035</v>
      </c>
      <c r="B891" s="90" t="s">
        <v>53</v>
      </c>
      <c r="C891" s="86" t="s">
        <v>54</v>
      </c>
    </row>
    <row r="892" spans="1:3" ht="18" customHeight="1" x14ac:dyDescent="0.35">
      <c r="A892" s="86" t="s">
        <v>1036</v>
      </c>
      <c r="B892" s="90" t="s">
        <v>53</v>
      </c>
      <c r="C892" s="86" t="s">
        <v>54</v>
      </c>
    </row>
    <row r="893" spans="1:3" ht="18" customHeight="1" x14ac:dyDescent="0.35">
      <c r="A893" s="86" t="s">
        <v>1037</v>
      </c>
      <c r="B893" s="90" t="s">
        <v>53</v>
      </c>
      <c r="C893" s="86" t="s">
        <v>54</v>
      </c>
    </row>
    <row r="894" spans="1:3" ht="18" customHeight="1" x14ac:dyDescent="0.35">
      <c r="A894" s="86" t="s">
        <v>1038</v>
      </c>
      <c r="B894" s="90" t="s">
        <v>53</v>
      </c>
      <c r="C894" s="86" t="s">
        <v>54</v>
      </c>
    </row>
    <row r="895" spans="1:3" ht="18" customHeight="1" x14ac:dyDescent="0.35">
      <c r="A895" s="86" t="s">
        <v>1039</v>
      </c>
      <c r="B895" s="90" t="s">
        <v>53</v>
      </c>
      <c r="C895" s="86" t="s">
        <v>54</v>
      </c>
    </row>
    <row r="896" spans="1:3" ht="18" customHeight="1" x14ac:dyDescent="0.35">
      <c r="A896" s="86" t="s">
        <v>1040</v>
      </c>
      <c r="B896" s="90" t="s">
        <v>53</v>
      </c>
      <c r="C896" s="86" t="s">
        <v>54</v>
      </c>
    </row>
    <row r="897" spans="1:3" ht="18" customHeight="1" x14ac:dyDescent="0.35">
      <c r="A897" s="86" t="s">
        <v>1041</v>
      </c>
      <c r="B897" s="90" t="s">
        <v>53</v>
      </c>
      <c r="C897" s="86" t="s">
        <v>54</v>
      </c>
    </row>
    <row r="898" spans="1:3" ht="18" customHeight="1" x14ac:dyDescent="0.35">
      <c r="A898" s="86" t="s">
        <v>1042</v>
      </c>
      <c r="B898" s="90" t="s">
        <v>53</v>
      </c>
      <c r="C898" s="86" t="s">
        <v>54</v>
      </c>
    </row>
    <row r="899" spans="1:3" ht="18" customHeight="1" x14ac:dyDescent="0.35">
      <c r="A899" s="86" t="s">
        <v>1043</v>
      </c>
      <c r="B899" s="90" t="s">
        <v>53</v>
      </c>
      <c r="C899" s="86" t="s">
        <v>54</v>
      </c>
    </row>
    <row r="900" spans="1:3" ht="18" customHeight="1" x14ac:dyDescent="0.35">
      <c r="A900" s="86" t="s">
        <v>1044</v>
      </c>
      <c r="B900" s="90" t="s">
        <v>53</v>
      </c>
      <c r="C900" s="86" t="s">
        <v>54</v>
      </c>
    </row>
    <row r="901" spans="1:3" ht="18" customHeight="1" x14ac:dyDescent="0.35">
      <c r="A901" s="86" t="s">
        <v>1045</v>
      </c>
      <c r="B901" s="90" t="s">
        <v>53</v>
      </c>
      <c r="C901" s="86" t="s">
        <v>54</v>
      </c>
    </row>
    <row r="902" spans="1:3" ht="18" customHeight="1" x14ac:dyDescent="0.35">
      <c r="A902" s="86" t="s">
        <v>1046</v>
      </c>
      <c r="B902" s="90" t="s">
        <v>53</v>
      </c>
      <c r="C902" s="86" t="s">
        <v>54</v>
      </c>
    </row>
    <row r="903" spans="1:3" ht="18" customHeight="1" x14ac:dyDescent="0.35">
      <c r="A903" s="86" t="s">
        <v>1047</v>
      </c>
      <c r="B903" s="90" t="s">
        <v>53</v>
      </c>
      <c r="C903" s="86" t="s">
        <v>54</v>
      </c>
    </row>
    <row r="904" spans="1:3" ht="18" customHeight="1" x14ac:dyDescent="0.35">
      <c r="A904" s="86" t="s">
        <v>1048</v>
      </c>
      <c r="B904" s="90" t="s">
        <v>53</v>
      </c>
      <c r="C904" s="86" t="s">
        <v>54</v>
      </c>
    </row>
    <row r="905" spans="1:3" ht="18" customHeight="1" x14ac:dyDescent="0.35">
      <c r="A905" s="86" t="s">
        <v>1049</v>
      </c>
      <c r="B905" s="90" t="s">
        <v>53</v>
      </c>
      <c r="C905" s="86" t="s">
        <v>54</v>
      </c>
    </row>
    <row r="906" spans="1:3" ht="18" customHeight="1" x14ac:dyDescent="0.35">
      <c r="A906" s="86" t="s">
        <v>1050</v>
      </c>
      <c r="B906" s="90" t="s">
        <v>53</v>
      </c>
      <c r="C906" s="86" t="s">
        <v>54</v>
      </c>
    </row>
    <row r="907" spans="1:3" ht="18" customHeight="1" x14ac:dyDescent="0.35">
      <c r="A907" s="86" t="s">
        <v>1051</v>
      </c>
      <c r="B907" s="90" t="s">
        <v>53</v>
      </c>
      <c r="C907" s="86" t="s">
        <v>54</v>
      </c>
    </row>
    <row r="908" spans="1:3" ht="18" customHeight="1" x14ac:dyDescent="0.35">
      <c r="A908" s="86" t="s">
        <v>1052</v>
      </c>
      <c r="B908" s="90" t="s">
        <v>53</v>
      </c>
      <c r="C908" s="86" t="s">
        <v>54</v>
      </c>
    </row>
    <row r="909" spans="1:3" ht="18" customHeight="1" x14ac:dyDescent="0.35">
      <c r="A909" s="86" t="s">
        <v>1053</v>
      </c>
      <c r="B909" s="90" t="s">
        <v>53</v>
      </c>
      <c r="C909" s="86" t="s">
        <v>54</v>
      </c>
    </row>
    <row r="910" spans="1:3" ht="18" customHeight="1" x14ac:dyDescent="0.35">
      <c r="A910" s="86" t="s">
        <v>1054</v>
      </c>
      <c r="B910" s="90" t="s">
        <v>53</v>
      </c>
      <c r="C910" s="86" t="s">
        <v>54</v>
      </c>
    </row>
    <row r="911" spans="1:3" ht="18" customHeight="1" x14ac:dyDescent="0.35">
      <c r="A911" s="86" t="s">
        <v>1055</v>
      </c>
      <c r="B911" s="90" t="s">
        <v>53</v>
      </c>
      <c r="C911" s="86" t="s">
        <v>54</v>
      </c>
    </row>
    <row r="912" spans="1:3" ht="18" customHeight="1" x14ac:dyDescent="0.35">
      <c r="A912" s="86" t="s">
        <v>1056</v>
      </c>
      <c r="B912" s="90" t="s">
        <v>53</v>
      </c>
      <c r="C912" s="86" t="s">
        <v>54</v>
      </c>
    </row>
    <row r="913" spans="1:3" ht="18" customHeight="1" x14ac:dyDescent="0.35">
      <c r="A913" s="86" t="s">
        <v>1057</v>
      </c>
      <c r="B913" s="90" t="s">
        <v>53</v>
      </c>
      <c r="C913" s="86" t="s">
        <v>54</v>
      </c>
    </row>
    <row r="914" spans="1:3" ht="18" customHeight="1" x14ac:dyDescent="0.35">
      <c r="A914" s="86" t="s">
        <v>1058</v>
      </c>
      <c r="B914" s="90" t="s">
        <v>53</v>
      </c>
      <c r="C914" s="86" t="s">
        <v>54</v>
      </c>
    </row>
    <row r="915" spans="1:3" ht="18" customHeight="1" x14ac:dyDescent="0.35">
      <c r="A915" s="86" t="s">
        <v>1059</v>
      </c>
      <c r="B915" s="90" t="s">
        <v>53</v>
      </c>
      <c r="C915" s="86" t="s">
        <v>54</v>
      </c>
    </row>
    <row r="916" spans="1:3" ht="18" customHeight="1" x14ac:dyDescent="0.35">
      <c r="A916" s="86" t="s">
        <v>1060</v>
      </c>
      <c r="B916" s="90" t="s">
        <v>53</v>
      </c>
      <c r="C916" s="86" t="s">
        <v>54</v>
      </c>
    </row>
    <row r="917" spans="1:3" ht="18" customHeight="1" x14ac:dyDescent="0.35">
      <c r="A917" s="86" t="s">
        <v>1061</v>
      </c>
      <c r="B917" s="90" t="s">
        <v>53</v>
      </c>
      <c r="C917" s="86" t="s">
        <v>54</v>
      </c>
    </row>
    <row r="918" spans="1:3" ht="18" customHeight="1" x14ac:dyDescent="0.35">
      <c r="A918" s="86" t="s">
        <v>1062</v>
      </c>
      <c r="B918" s="90" t="s">
        <v>53</v>
      </c>
      <c r="C918" s="86" t="s">
        <v>54</v>
      </c>
    </row>
    <row r="919" spans="1:3" ht="18" customHeight="1" x14ac:dyDescent="0.35">
      <c r="A919" s="86" t="s">
        <v>1063</v>
      </c>
      <c r="B919" s="90" t="s">
        <v>53</v>
      </c>
      <c r="C919" s="86" t="s">
        <v>54</v>
      </c>
    </row>
    <row r="920" spans="1:3" ht="18" customHeight="1" x14ac:dyDescent="0.35">
      <c r="A920" s="86" t="s">
        <v>1064</v>
      </c>
      <c r="B920" s="90" t="s">
        <v>53</v>
      </c>
      <c r="C920" s="86" t="s">
        <v>54</v>
      </c>
    </row>
    <row r="921" spans="1:3" ht="18" customHeight="1" x14ac:dyDescent="0.35">
      <c r="A921" s="86" t="s">
        <v>1065</v>
      </c>
      <c r="B921" s="90" t="s">
        <v>53</v>
      </c>
      <c r="C921" s="86" t="s">
        <v>54</v>
      </c>
    </row>
    <row r="922" spans="1:3" ht="18" customHeight="1" x14ac:dyDescent="0.35">
      <c r="A922" s="86" t="s">
        <v>1066</v>
      </c>
      <c r="B922" s="90" t="s">
        <v>53</v>
      </c>
      <c r="C922" s="86" t="s">
        <v>54</v>
      </c>
    </row>
    <row r="923" spans="1:3" ht="18" customHeight="1" x14ac:dyDescent="0.35">
      <c r="A923" s="86" t="s">
        <v>1067</v>
      </c>
      <c r="B923" s="90" t="s">
        <v>53</v>
      </c>
      <c r="C923" s="86" t="s">
        <v>54</v>
      </c>
    </row>
    <row r="924" spans="1:3" ht="18" customHeight="1" x14ac:dyDescent="0.35">
      <c r="A924" s="86" t="s">
        <v>1068</v>
      </c>
      <c r="B924" s="90" t="s">
        <v>53</v>
      </c>
      <c r="C924" s="86" t="s">
        <v>54</v>
      </c>
    </row>
    <row r="925" spans="1:3" ht="18" customHeight="1" x14ac:dyDescent="0.35">
      <c r="A925" s="86" t="s">
        <v>1069</v>
      </c>
      <c r="B925" s="90" t="s">
        <v>53</v>
      </c>
      <c r="C925" s="86" t="s">
        <v>54</v>
      </c>
    </row>
    <row r="926" spans="1:3" ht="18" customHeight="1" x14ac:dyDescent="0.35">
      <c r="A926" s="86" t="s">
        <v>1070</v>
      </c>
      <c r="B926" s="90" t="s">
        <v>53</v>
      </c>
      <c r="C926" s="86" t="s">
        <v>54</v>
      </c>
    </row>
    <row r="927" spans="1:3" ht="18" customHeight="1" x14ac:dyDescent="0.35">
      <c r="A927" s="86" t="s">
        <v>1071</v>
      </c>
      <c r="B927" s="90" t="s">
        <v>53</v>
      </c>
      <c r="C927" s="86" t="s">
        <v>54</v>
      </c>
    </row>
    <row r="928" spans="1:3" ht="18" customHeight="1" x14ac:dyDescent="0.35">
      <c r="A928" s="86" t="s">
        <v>1072</v>
      </c>
      <c r="B928" s="90" t="s">
        <v>53</v>
      </c>
      <c r="C928" s="86" t="s">
        <v>54</v>
      </c>
    </row>
    <row r="929" spans="1:3" ht="18" customHeight="1" x14ac:dyDescent="0.35">
      <c r="A929" s="86" t="s">
        <v>1073</v>
      </c>
      <c r="B929" s="90" t="s">
        <v>53</v>
      </c>
      <c r="C929" s="86" t="s">
        <v>54</v>
      </c>
    </row>
    <row r="930" spans="1:3" ht="18" customHeight="1" x14ac:dyDescent="0.35">
      <c r="A930" s="86" t="s">
        <v>1074</v>
      </c>
      <c r="B930" s="90" t="s">
        <v>53</v>
      </c>
      <c r="C930" s="86" t="s">
        <v>54</v>
      </c>
    </row>
    <row r="931" spans="1:3" ht="18" customHeight="1" x14ac:dyDescent="0.35">
      <c r="A931" s="86" t="s">
        <v>1075</v>
      </c>
      <c r="B931" s="90" t="s">
        <v>53</v>
      </c>
      <c r="C931" s="86" t="s">
        <v>54</v>
      </c>
    </row>
    <row r="932" spans="1:3" ht="18" customHeight="1" x14ac:dyDescent="0.35">
      <c r="A932" s="86" t="s">
        <v>1076</v>
      </c>
      <c r="B932" s="90" t="s">
        <v>53</v>
      </c>
      <c r="C932" s="86" t="s">
        <v>54</v>
      </c>
    </row>
    <row r="933" spans="1:3" ht="18" customHeight="1" x14ac:dyDescent="0.35">
      <c r="A933" s="86" t="s">
        <v>1077</v>
      </c>
      <c r="B933" s="90" t="s">
        <v>53</v>
      </c>
      <c r="C933" s="86" t="s">
        <v>54</v>
      </c>
    </row>
    <row r="934" spans="1:3" ht="18" customHeight="1" x14ac:dyDescent="0.35">
      <c r="A934" s="86" t="s">
        <v>1078</v>
      </c>
      <c r="B934" s="90" t="s">
        <v>53</v>
      </c>
      <c r="C934" s="86" t="s">
        <v>54</v>
      </c>
    </row>
    <row r="935" spans="1:3" ht="18" customHeight="1" x14ac:dyDescent="0.35">
      <c r="A935" s="86" t="s">
        <v>1079</v>
      </c>
      <c r="B935" s="90" t="s">
        <v>53</v>
      </c>
      <c r="C935" s="86" t="s">
        <v>54</v>
      </c>
    </row>
    <row r="936" spans="1:3" ht="18" customHeight="1" x14ac:dyDescent="0.35">
      <c r="A936" s="86" t="s">
        <v>1080</v>
      </c>
      <c r="B936" s="90" t="s">
        <v>53</v>
      </c>
      <c r="C936" s="86" t="s">
        <v>54</v>
      </c>
    </row>
    <row r="937" spans="1:3" ht="18" customHeight="1" x14ac:dyDescent="0.35">
      <c r="A937" s="86" t="s">
        <v>1081</v>
      </c>
      <c r="B937" s="90" t="s">
        <v>53</v>
      </c>
      <c r="C937" s="86" t="s">
        <v>54</v>
      </c>
    </row>
    <row r="938" spans="1:3" ht="18" customHeight="1" x14ac:dyDescent="0.35">
      <c r="A938" s="86" t="s">
        <v>1082</v>
      </c>
      <c r="B938" s="90" t="s">
        <v>53</v>
      </c>
      <c r="C938" s="86" t="s">
        <v>54</v>
      </c>
    </row>
    <row r="939" spans="1:3" ht="18" customHeight="1" x14ac:dyDescent="0.35">
      <c r="A939" s="86" t="s">
        <v>1083</v>
      </c>
      <c r="B939" s="90" t="s">
        <v>53</v>
      </c>
      <c r="C939" s="86" t="s">
        <v>54</v>
      </c>
    </row>
    <row r="940" spans="1:3" ht="18" customHeight="1" x14ac:dyDescent="0.35">
      <c r="A940" s="86" t="s">
        <v>1084</v>
      </c>
      <c r="B940" s="90" t="s">
        <v>53</v>
      </c>
      <c r="C940" s="86" t="s">
        <v>54</v>
      </c>
    </row>
    <row r="941" spans="1:3" ht="18" customHeight="1" x14ac:dyDescent="0.35">
      <c r="A941" s="86" t="s">
        <v>1085</v>
      </c>
      <c r="B941" s="90" t="s">
        <v>53</v>
      </c>
      <c r="C941" s="86" t="s">
        <v>54</v>
      </c>
    </row>
    <row r="942" spans="1:3" ht="18" customHeight="1" x14ac:dyDescent="0.35">
      <c r="A942" s="86" t="s">
        <v>1086</v>
      </c>
      <c r="B942" s="90" t="s">
        <v>53</v>
      </c>
      <c r="C942" s="86" t="s">
        <v>54</v>
      </c>
    </row>
    <row r="943" spans="1:3" ht="18" customHeight="1" x14ac:dyDescent="0.35">
      <c r="A943" s="86" t="s">
        <v>1087</v>
      </c>
      <c r="B943" s="90" t="s">
        <v>53</v>
      </c>
      <c r="C943" s="86" t="s">
        <v>54</v>
      </c>
    </row>
    <row r="944" spans="1:3" ht="18" customHeight="1" x14ac:dyDescent="0.35">
      <c r="A944" s="86" t="s">
        <v>1088</v>
      </c>
      <c r="B944" s="90" t="s">
        <v>53</v>
      </c>
      <c r="C944" s="86" t="s">
        <v>54</v>
      </c>
    </row>
    <row r="945" spans="1:3" ht="18" customHeight="1" x14ac:dyDescent="0.35">
      <c r="A945" s="86" t="s">
        <v>1089</v>
      </c>
      <c r="B945" s="90" t="s">
        <v>53</v>
      </c>
      <c r="C945" s="86" t="s">
        <v>54</v>
      </c>
    </row>
    <row r="946" spans="1:3" ht="18" customHeight="1" x14ac:dyDescent="0.35">
      <c r="A946" s="86" t="s">
        <v>1090</v>
      </c>
      <c r="B946" s="90" t="s">
        <v>53</v>
      </c>
      <c r="C946" s="86" t="s">
        <v>54</v>
      </c>
    </row>
    <row r="947" spans="1:3" ht="18" customHeight="1" x14ac:dyDescent="0.35">
      <c r="A947" s="86" t="s">
        <v>1091</v>
      </c>
      <c r="B947" s="90" t="s">
        <v>53</v>
      </c>
      <c r="C947" s="86" t="s">
        <v>54</v>
      </c>
    </row>
    <row r="948" spans="1:3" ht="18" customHeight="1" x14ac:dyDescent="0.35">
      <c r="A948" s="86" t="s">
        <v>1092</v>
      </c>
      <c r="B948" s="90" t="s">
        <v>53</v>
      </c>
      <c r="C948" s="86" t="s">
        <v>54</v>
      </c>
    </row>
    <row r="949" spans="1:3" ht="18" customHeight="1" x14ac:dyDescent="0.35">
      <c r="A949" s="86" t="s">
        <v>1093</v>
      </c>
      <c r="B949" s="90" t="s">
        <v>53</v>
      </c>
      <c r="C949" s="86" t="s">
        <v>54</v>
      </c>
    </row>
    <row r="950" spans="1:3" ht="18" customHeight="1" x14ac:dyDescent="0.35">
      <c r="A950" s="86" t="s">
        <v>1094</v>
      </c>
      <c r="B950" s="90" t="s">
        <v>53</v>
      </c>
      <c r="C950" s="86" t="s">
        <v>54</v>
      </c>
    </row>
    <row r="951" spans="1:3" ht="18" customHeight="1" x14ac:dyDescent="0.35">
      <c r="A951" s="86" t="s">
        <v>1095</v>
      </c>
      <c r="B951" s="90" t="s">
        <v>53</v>
      </c>
      <c r="C951" s="86" t="s">
        <v>54</v>
      </c>
    </row>
    <row r="952" spans="1:3" ht="18" customHeight="1" x14ac:dyDescent="0.35">
      <c r="A952" s="86" t="s">
        <v>1096</v>
      </c>
      <c r="B952" s="90" t="s">
        <v>53</v>
      </c>
      <c r="C952" s="86" t="s">
        <v>54</v>
      </c>
    </row>
    <row r="953" spans="1:3" ht="18" customHeight="1" x14ac:dyDescent="0.35">
      <c r="A953" s="86" t="s">
        <v>1097</v>
      </c>
      <c r="B953" s="90" t="s">
        <v>53</v>
      </c>
      <c r="C953" s="86" t="s">
        <v>54</v>
      </c>
    </row>
    <row r="954" spans="1:3" ht="18" customHeight="1" x14ac:dyDescent="0.35">
      <c r="A954" s="86" t="s">
        <v>1098</v>
      </c>
      <c r="B954" s="90" t="s">
        <v>53</v>
      </c>
      <c r="C954" s="86" t="s">
        <v>54</v>
      </c>
    </row>
    <row r="955" spans="1:3" ht="18" customHeight="1" x14ac:dyDescent="0.35">
      <c r="A955" s="86" t="s">
        <v>1099</v>
      </c>
      <c r="B955" s="90" t="s">
        <v>53</v>
      </c>
      <c r="C955" s="86" t="s">
        <v>54</v>
      </c>
    </row>
    <row r="956" spans="1:3" ht="18" customHeight="1" x14ac:dyDescent="0.35">
      <c r="A956" s="86" t="s">
        <v>1100</v>
      </c>
      <c r="B956" s="90" t="s">
        <v>53</v>
      </c>
      <c r="C956" s="86" t="s">
        <v>54</v>
      </c>
    </row>
    <row r="957" spans="1:3" ht="18" customHeight="1" x14ac:dyDescent="0.35">
      <c r="A957" s="86" t="s">
        <v>1101</v>
      </c>
      <c r="B957" s="90" t="s">
        <v>53</v>
      </c>
      <c r="C957" s="86" t="s">
        <v>54</v>
      </c>
    </row>
    <row r="958" spans="1:3" ht="18" customHeight="1" x14ac:dyDescent="0.35">
      <c r="A958" s="86" t="s">
        <v>1102</v>
      </c>
      <c r="B958" s="90" t="s">
        <v>53</v>
      </c>
      <c r="C958" s="86" t="s">
        <v>54</v>
      </c>
    </row>
    <row r="959" spans="1:3" ht="18" customHeight="1" x14ac:dyDescent="0.35">
      <c r="A959" s="86" t="s">
        <v>1103</v>
      </c>
      <c r="B959" s="90" t="s">
        <v>53</v>
      </c>
      <c r="C959" s="86" t="s">
        <v>54</v>
      </c>
    </row>
    <row r="960" spans="1:3" ht="18" customHeight="1" x14ac:dyDescent="0.35">
      <c r="A960" s="86" t="s">
        <v>1104</v>
      </c>
      <c r="B960" s="90" t="s">
        <v>53</v>
      </c>
      <c r="C960" s="86" t="s">
        <v>54</v>
      </c>
    </row>
    <row r="961" spans="1:3" ht="18" customHeight="1" x14ac:dyDescent="0.35">
      <c r="A961" s="86" t="s">
        <v>1105</v>
      </c>
      <c r="B961" s="90" t="s">
        <v>53</v>
      </c>
      <c r="C961" s="86" t="s">
        <v>54</v>
      </c>
    </row>
    <row r="962" spans="1:3" ht="18" customHeight="1" x14ac:dyDescent="0.35">
      <c r="A962" s="86" t="s">
        <v>1106</v>
      </c>
      <c r="B962" s="90" t="s">
        <v>53</v>
      </c>
      <c r="C962" s="86" t="s">
        <v>54</v>
      </c>
    </row>
    <row r="963" spans="1:3" ht="18" customHeight="1" x14ac:dyDescent="0.35">
      <c r="A963" s="86" t="s">
        <v>1107</v>
      </c>
      <c r="B963" s="90" t="s">
        <v>53</v>
      </c>
      <c r="C963" s="86" t="s">
        <v>54</v>
      </c>
    </row>
    <row r="964" spans="1:3" ht="18" customHeight="1" x14ac:dyDescent="0.35">
      <c r="A964" s="86" t="s">
        <v>1108</v>
      </c>
      <c r="B964" s="90" t="s">
        <v>53</v>
      </c>
      <c r="C964" s="86" t="s">
        <v>54</v>
      </c>
    </row>
    <row r="965" spans="1:3" ht="18" customHeight="1" x14ac:dyDescent="0.35">
      <c r="A965" s="86" t="s">
        <v>1109</v>
      </c>
      <c r="B965" s="90" t="s">
        <v>53</v>
      </c>
      <c r="C965" s="86" t="s">
        <v>54</v>
      </c>
    </row>
    <row r="966" spans="1:3" ht="18" customHeight="1" x14ac:dyDescent="0.35">
      <c r="A966" s="86" t="s">
        <v>1110</v>
      </c>
      <c r="B966" s="90" t="s">
        <v>53</v>
      </c>
      <c r="C966" s="86" t="s">
        <v>54</v>
      </c>
    </row>
    <row r="967" spans="1:3" ht="18" customHeight="1" x14ac:dyDescent="0.35">
      <c r="A967" s="86" t="s">
        <v>1111</v>
      </c>
      <c r="B967" s="90" t="s">
        <v>53</v>
      </c>
      <c r="C967" s="86" t="s">
        <v>54</v>
      </c>
    </row>
    <row r="968" spans="1:3" ht="18" customHeight="1" x14ac:dyDescent="0.35">
      <c r="A968" s="86" t="s">
        <v>1112</v>
      </c>
      <c r="B968" s="90" t="s">
        <v>53</v>
      </c>
      <c r="C968" s="86" t="s">
        <v>54</v>
      </c>
    </row>
    <row r="969" spans="1:3" ht="18" customHeight="1" x14ac:dyDescent="0.35">
      <c r="A969" s="86" t="s">
        <v>1113</v>
      </c>
      <c r="B969" s="90" t="s">
        <v>53</v>
      </c>
      <c r="C969" s="86" t="s">
        <v>54</v>
      </c>
    </row>
    <row r="970" spans="1:3" ht="18" customHeight="1" x14ac:dyDescent="0.35">
      <c r="A970" s="86" t="s">
        <v>1114</v>
      </c>
      <c r="B970" s="90" t="s">
        <v>53</v>
      </c>
      <c r="C970" s="86" t="s">
        <v>54</v>
      </c>
    </row>
    <row r="971" spans="1:3" ht="18" customHeight="1" x14ac:dyDescent="0.35">
      <c r="A971" s="86" t="s">
        <v>1115</v>
      </c>
      <c r="B971" s="90" t="s">
        <v>53</v>
      </c>
      <c r="C971" s="86" t="s">
        <v>54</v>
      </c>
    </row>
    <row r="972" spans="1:3" ht="18" customHeight="1" x14ac:dyDescent="0.35">
      <c r="A972" s="24" t="s">
        <v>1116</v>
      </c>
      <c r="B972" s="90" t="s">
        <v>53</v>
      </c>
      <c r="C972" s="24" t="s">
        <v>54</v>
      </c>
    </row>
    <row r="973" spans="1:3" ht="18" customHeight="1" x14ac:dyDescent="0.35">
      <c r="A973" s="86" t="s">
        <v>1117</v>
      </c>
      <c r="B973" s="90" t="s">
        <v>53</v>
      </c>
      <c r="C973" s="86" t="s">
        <v>54</v>
      </c>
    </row>
    <row r="974" spans="1:3" ht="18" customHeight="1" x14ac:dyDescent="0.35">
      <c r="A974" s="86" t="s">
        <v>1118</v>
      </c>
      <c r="B974" s="90" t="s">
        <v>53</v>
      </c>
      <c r="C974" s="86" t="s">
        <v>54</v>
      </c>
    </row>
    <row r="975" spans="1:3" ht="18" customHeight="1" x14ac:dyDescent="0.35">
      <c r="A975" s="86" t="s">
        <v>1119</v>
      </c>
      <c r="B975" s="90" t="s">
        <v>53</v>
      </c>
      <c r="C975" s="86" t="s">
        <v>54</v>
      </c>
    </row>
    <row r="976" spans="1:3" ht="18" customHeight="1" x14ac:dyDescent="0.35">
      <c r="A976" s="86" t="s">
        <v>1120</v>
      </c>
      <c r="B976" s="90" t="s">
        <v>53</v>
      </c>
      <c r="C976" s="86" t="s">
        <v>54</v>
      </c>
    </row>
    <row r="977" spans="1:3" ht="18" customHeight="1" x14ac:dyDescent="0.35">
      <c r="A977" s="86" t="s">
        <v>1121</v>
      </c>
      <c r="B977" s="90" t="s">
        <v>53</v>
      </c>
      <c r="C977" s="86" t="s">
        <v>54</v>
      </c>
    </row>
    <row r="978" spans="1:3" ht="18" customHeight="1" x14ac:dyDescent="0.35">
      <c r="A978" s="86" t="s">
        <v>1122</v>
      </c>
      <c r="B978" s="90" t="s">
        <v>53</v>
      </c>
      <c r="C978" s="86" t="s">
        <v>54</v>
      </c>
    </row>
    <row r="979" spans="1:3" ht="18" customHeight="1" x14ac:dyDescent="0.35">
      <c r="A979" s="86" t="s">
        <v>1123</v>
      </c>
      <c r="B979" s="90" t="s">
        <v>53</v>
      </c>
      <c r="C979" s="86" t="s">
        <v>54</v>
      </c>
    </row>
    <row r="980" spans="1:3" ht="18" customHeight="1" x14ac:dyDescent="0.35">
      <c r="A980" s="86" t="s">
        <v>1124</v>
      </c>
      <c r="B980" s="90" t="s">
        <v>53</v>
      </c>
      <c r="C980" s="86" t="s">
        <v>54</v>
      </c>
    </row>
    <row r="981" spans="1:3" ht="18" customHeight="1" x14ac:dyDescent="0.35">
      <c r="A981" s="86" t="s">
        <v>1125</v>
      </c>
      <c r="B981" s="90" t="s">
        <v>53</v>
      </c>
      <c r="C981" s="86" t="s">
        <v>54</v>
      </c>
    </row>
    <row r="982" spans="1:3" ht="18" customHeight="1" x14ac:dyDescent="0.35">
      <c r="A982" s="86" t="s">
        <v>1126</v>
      </c>
      <c r="B982" s="90" t="s">
        <v>53</v>
      </c>
      <c r="C982" s="86" t="s">
        <v>54</v>
      </c>
    </row>
    <row r="983" spans="1:3" ht="18" customHeight="1" x14ac:dyDescent="0.35">
      <c r="A983" s="86" t="s">
        <v>1127</v>
      </c>
      <c r="B983" s="90" t="s">
        <v>53</v>
      </c>
      <c r="C983" s="86" t="s">
        <v>54</v>
      </c>
    </row>
    <row r="984" spans="1:3" ht="18" customHeight="1" x14ac:dyDescent="0.35">
      <c r="A984" s="86" t="s">
        <v>1128</v>
      </c>
      <c r="B984" s="90" t="s">
        <v>53</v>
      </c>
      <c r="C984" s="86" t="s">
        <v>54</v>
      </c>
    </row>
    <row r="985" spans="1:3" ht="18" customHeight="1" x14ac:dyDescent="0.35">
      <c r="A985" s="86" t="s">
        <v>1129</v>
      </c>
      <c r="B985" s="90" t="s">
        <v>53</v>
      </c>
      <c r="C985" s="86" t="s">
        <v>54</v>
      </c>
    </row>
    <row r="986" spans="1:3" ht="18" customHeight="1" x14ac:dyDescent="0.35">
      <c r="A986" s="86" t="s">
        <v>1130</v>
      </c>
      <c r="B986" s="90" t="s">
        <v>53</v>
      </c>
      <c r="C986" s="86" t="s">
        <v>54</v>
      </c>
    </row>
    <row r="987" spans="1:3" ht="18" customHeight="1" x14ac:dyDescent="0.35">
      <c r="A987" s="86" t="s">
        <v>1131</v>
      </c>
      <c r="B987" s="90" t="s">
        <v>53</v>
      </c>
      <c r="C987" s="86" t="s">
        <v>54</v>
      </c>
    </row>
    <row r="988" spans="1:3" ht="18" customHeight="1" x14ac:dyDescent="0.35">
      <c r="A988" s="86" t="s">
        <v>1132</v>
      </c>
      <c r="B988" s="90" t="s">
        <v>53</v>
      </c>
      <c r="C988" s="86" t="s">
        <v>54</v>
      </c>
    </row>
    <row r="989" spans="1:3" ht="18" customHeight="1" x14ac:dyDescent="0.35">
      <c r="A989" s="86" t="s">
        <v>1133</v>
      </c>
      <c r="B989" s="90" t="s">
        <v>53</v>
      </c>
      <c r="C989" s="86" t="s">
        <v>54</v>
      </c>
    </row>
    <row r="990" spans="1:3" ht="18" customHeight="1" x14ac:dyDescent="0.35">
      <c r="A990" s="86" t="s">
        <v>1134</v>
      </c>
      <c r="B990" s="90" t="s">
        <v>53</v>
      </c>
      <c r="C990" s="86" t="s">
        <v>54</v>
      </c>
    </row>
    <row r="991" spans="1:3" ht="18" customHeight="1" x14ac:dyDescent="0.35">
      <c r="A991" s="86" t="s">
        <v>1135</v>
      </c>
      <c r="B991" s="90" t="s">
        <v>53</v>
      </c>
      <c r="C991" s="86" t="s">
        <v>54</v>
      </c>
    </row>
    <row r="992" spans="1:3" ht="18" customHeight="1" x14ac:dyDescent="0.35">
      <c r="A992" s="86" t="s">
        <v>1136</v>
      </c>
      <c r="B992" s="90" t="s">
        <v>53</v>
      </c>
      <c r="C992" s="86" t="s">
        <v>54</v>
      </c>
    </row>
    <row r="993" spans="1:3" ht="18" customHeight="1" x14ac:dyDescent="0.35">
      <c r="A993" s="86" t="s">
        <v>1137</v>
      </c>
      <c r="B993" s="90" t="s">
        <v>53</v>
      </c>
      <c r="C993" s="86" t="s">
        <v>54</v>
      </c>
    </row>
    <row r="994" spans="1:3" ht="18" customHeight="1" x14ac:dyDescent="0.35">
      <c r="A994" s="86" t="s">
        <v>1138</v>
      </c>
      <c r="B994" s="90" t="s">
        <v>53</v>
      </c>
      <c r="C994" s="86" t="s">
        <v>54</v>
      </c>
    </row>
    <row r="995" spans="1:3" ht="18" customHeight="1" x14ac:dyDescent="0.35">
      <c r="A995" s="86" t="s">
        <v>1139</v>
      </c>
      <c r="B995" s="90" t="s">
        <v>53</v>
      </c>
      <c r="C995" s="86" t="s">
        <v>54</v>
      </c>
    </row>
    <row r="996" spans="1:3" ht="18" customHeight="1" x14ac:dyDescent="0.35">
      <c r="A996" s="86" t="s">
        <v>1140</v>
      </c>
      <c r="B996" s="90" t="s">
        <v>53</v>
      </c>
      <c r="C996" s="86" t="s">
        <v>54</v>
      </c>
    </row>
    <row r="997" spans="1:3" ht="18" customHeight="1" x14ac:dyDescent="0.35">
      <c r="A997" s="86" t="s">
        <v>1141</v>
      </c>
      <c r="B997" s="90" t="s">
        <v>53</v>
      </c>
      <c r="C997" s="86" t="s">
        <v>54</v>
      </c>
    </row>
    <row r="998" spans="1:3" ht="18" customHeight="1" x14ac:dyDescent="0.35">
      <c r="A998" s="86" t="s">
        <v>1142</v>
      </c>
      <c r="B998" s="90" t="s">
        <v>53</v>
      </c>
      <c r="C998" s="86" t="s">
        <v>54</v>
      </c>
    </row>
    <row r="999" spans="1:3" ht="18" customHeight="1" x14ac:dyDescent="0.35">
      <c r="A999" s="86" t="s">
        <v>1143</v>
      </c>
      <c r="B999" s="90" t="s">
        <v>53</v>
      </c>
      <c r="C999" s="86" t="s">
        <v>54</v>
      </c>
    </row>
    <row r="1000" spans="1:3" ht="18" customHeight="1" x14ac:dyDescent="0.35">
      <c r="A1000" s="86" t="s">
        <v>1144</v>
      </c>
      <c r="B1000" s="90" t="s">
        <v>53</v>
      </c>
      <c r="C1000" s="86" t="s">
        <v>54</v>
      </c>
    </row>
    <row r="1001" spans="1:3" ht="18" customHeight="1" x14ac:dyDescent="0.35">
      <c r="A1001" s="86" t="s">
        <v>1145</v>
      </c>
      <c r="B1001" s="90" t="s">
        <v>53</v>
      </c>
      <c r="C1001" s="86" t="s">
        <v>54</v>
      </c>
    </row>
    <row r="1002" spans="1:3" ht="18" customHeight="1" x14ac:dyDescent="0.35">
      <c r="A1002" s="86" t="s">
        <v>1146</v>
      </c>
      <c r="B1002" s="90" t="s">
        <v>53</v>
      </c>
      <c r="C1002" s="86" t="s">
        <v>54</v>
      </c>
    </row>
    <row r="1003" spans="1:3" ht="18" customHeight="1" x14ac:dyDescent="0.35">
      <c r="A1003" s="86" t="s">
        <v>1147</v>
      </c>
      <c r="B1003" s="90" t="s">
        <v>53</v>
      </c>
      <c r="C1003" s="86" t="s">
        <v>54</v>
      </c>
    </row>
    <row r="1004" spans="1:3" ht="18" customHeight="1" x14ac:dyDescent="0.35">
      <c r="A1004" s="86" t="s">
        <v>1148</v>
      </c>
      <c r="B1004" s="90" t="s">
        <v>53</v>
      </c>
      <c r="C1004" s="86" t="s">
        <v>54</v>
      </c>
    </row>
    <row r="1005" spans="1:3" ht="18" customHeight="1" x14ac:dyDescent="0.35">
      <c r="A1005" s="86" t="s">
        <v>1149</v>
      </c>
      <c r="B1005" s="90" t="s">
        <v>53</v>
      </c>
      <c r="C1005" s="86" t="s">
        <v>54</v>
      </c>
    </row>
    <row r="1006" spans="1:3" ht="18" customHeight="1" x14ac:dyDescent="0.35">
      <c r="A1006" s="86" t="s">
        <v>1150</v>
      </c>
      <c r="B1006" s="90" t="s">
        <v>53</v>
      </c>
      <c r="C1006" s="86" t="s">
        <v>54</v>
      </c>
    </row>
    <row r="1007" spans="1:3" ht="18" customHeight="1" x14ac:dyDescent="0.35">
      <c r="A1007" s="86" t="s">
        <v>1151</v>
      </c>
      <c r="B1007" s="90" t="s">
        <v>53</v>
      </c>
      <c r="C1007" s="86" t="s">
        <v>54</v>
      </c>
    </row>
    <row r="1008" spans="1:3" ht="18" customHeight="1" x14ac:dyDescent="0.35">
      <c r="A1008" s="86" t="s">
        <v>1152</v>
      </c>
      <c r="B1008" s="90" t="s">
        <v>53</v>
      </c>
      <c r="C1008" s="86" t="s">
        <v>54</v>
      </c>
    </row>
    <row r="1009" spans="1:3" ht="18" customHeight="1" x14ac:dyDescent="0.35">
      <c r="A1009" s="86" t="s">
        <v>1153</v>
      </c>
      <c r="B1009" s="90" t="s">
        <v>53</v>
      </c>
      <c r="C1009" s="86" t="s">
        <v>54</v>
      </c>
    </row>
    <row r="1010" spans="1:3" ht="18" customHeight="1" x14ac:dyDescent="0.35">
      <c r="A1010" s="86" t="s">
        <v>1154</v>
      </c>
      <c r="B1010" s="90" t="s">
        <v>53</v>
      </c>
      <c r="C1010" s="86" t="s">
        <v>54</v>
      </c>
    </row>
    <row r="1011" spans="1:3" ht="18" customHeight="1" x14ac:dyDescent="0.35">
      <c r="A1011" s="86" t="s">
        <v>1155</v>
      </c>
      <c r="B1011" s="90" t="s">
        <v>53</v>
      </c>
      <c r="C1011" s="86" t="s">
        <v>54</v>
      </c>
    </row>
    <row r="1012" spans="1:3" ht="18" customHeight="1" x14ac:dyDescent="0.35">
      <c r="A1012" s="86" t="s">
        <v>1156</v>
      </c>
      <c r="B1012" s="90" t="s">
        <v>53</v>
      </c>
      <c r="C1012" s="86" t="s">
        <v>54</v>
      </c>
    </row>
    <row r="1013" spans="1:3" ht="18" customHeight="1" x14ac:dyDescent="0.35">
      <c r="A1013" s="86" t="s">
        <v>1157</v>
      </c>
      <c r="B1013" s="90" t="s">
        <v>53</v>
      </c>
      <c r="C1013" s="86" t="s">
        <v>54</v>
      </c>
    </row>
    <row r="1014" spans="1:3" ht="18" customHeight="1" x14ac:dyDescent="0.35">
      <c r="A1014" s="86" t="s">
        <v>1158</v>
      </c>
      <c r="B1014" s="90" t="s">
        <v>53</v>
      </c>
      <c r="C1014" s="86" t="s">
        <v>54</v>
      </c>
    </row>
    <row r="1015" spans="1:3" ht="18" customHeight="1" x14ac:dyDescent="0.35">
      <c r="A1015" s="86" t="s">
        <v>1159</v>
      </c>
      <c r="B1015" s="90" t="s">
        <v>53</v>
      </c>
      <c r="C1015" s="86" t="s">
        <v>54</v>
      </c>
    </row>
    <row r="1016" spans="1:3" ht="18" customHeight="1" x14ac:dyDescent="0.35">
      <c r="A1016" s="86" t="s">
        <v>1160</v>
      </c>
      <c r="B1016" s="90" t="s">
        <v>53</v>
      </c>
      <c r="C1016" s="86" t="s">
        <v>54</v>
      </c>
    </row>
    <row r="1017" spans="1:3" ht="18" customHeight="1" x14ac:dyDescent="0.35">
      <c r="A1017" s="86" t="s">
        <v>1161</v>
      </c>
      <c r="B1017" s="90" t="s">
        <v>53</v>
      </c>
      <c r="C1017" s="86" t="s">
        <v>54</v>
      </c>
    </row>
    <row r="1018" spans="1:3" ht="18" customHeight="1" x14ac:dyDescent="0.35">
      <c r="A1018" s="86" t="s">
        <v>1162</v>
      </c>
      <c r="B1018" s="90" t="s">
        <v>53</v>
      </c>
      <c r="C1018" s="86" t="s">
        <v>54</v>
      </c>
    </row>
    <row r="1019" spans="1:3" ht="18" customHeight="1" x14ac:dyDescent="0.35">
      <c r="A1019" s="86" t="s">
        <v>1163</v>
      </c>
      <c r="B1019" s="90" t="s">
        <v>53</v>
      </c>
      <c r="C1019" s="86" t="s">
        <v>54</v>
      </c>
    </row>
    <row r="1020" spans="1:3" ht="18" customHeight="1" x14ac:dyDescent="0.35">
      <c r="A1020" s="86" t="s">
        <v>1164</v>
      </c>
      <c r="B1020" s="90" t="s">
        <v>53</v>
      </c>
      <c r="C1020" s="86" t="s">
        <v>54</v>
      </c>
    </row>
    <row r="1021" spans="1:3" ht="18" customHeight="1" x14ac:dyDescent="0.35">
      <c r="A1021" s="86" t="s">
        <v>1165</v>
      </c>
      <c r="B1021" s="90" t="s">
        <v>53</v>
      </c>
      <c r="C1021" s="86" t="s">
        <v>1166</v>
      </c>
    </row>
    <row r="1022" spans="1:3" ht="18" customHeight="1" x14ac:dyDescent="0.35">
      <c r="A1022" s="86" t="s">
        <v>1167</v>
      </c>
      <c r="B1022" s="90" t="s">
        <v>53</v>
      </c>
      <c r="C1022" s="86" t="s">
        <v>1166</v>
      </c>
    </row>
    <row r="1023" spans="1:3" ht="18" customHeight="1" x14ac:dyDescent="0.35">
      <c r="A1023" s="86" t="s">
        <v>1168</v>
      </c>
      <c r="B1023" s="90" t="s">
        <v>53</v>
      </c>
      <c r="C1023" s="86" t="s">
        <v>822</v>
      </c>
    </row>
    <row r="1024" spans="1:3" ht="18" customHeight="1" x14ac:dyDescent="0.35">
      <c r="A1024" s="86" t="s">
        <v>1169</v>
      </c>
      <c r="B1024" s="90" t="s">
        <v>53</v>
      </c>
      <c r="C1024" s="86" t="s">
        <v>822</v>
      </c>
    </row>
    <row r="1025" spans="1:3" ht="18" customHeight="1" x14ac:dyDescent="0.35">
      <c r="A1025" s="86" t="s">
        <v>1170</v>
      </c>
      <c r="B1025" s="90" t="s">
        <v>53</v>
      </c>
      <c r="C1025" s="86" t="s">
        <v>822</v>
      </c>
    </row>
    <row r="1026" spans="1:3" ht="18" customHeight="1" x14ac:dyDescent="0.35">
      <c r="A1026" s="86" t="s">
        <v>1171</v>
      </c>
      <c r="B1026" s="90" t="s">
        <v>53</v>
      </c>
      <c r="C1026" s="86" t="s">
        <v>822</v>
      </c>
    </row>
    <row r="1027" spans="1:3" ht="18" customHeight="1" x14ac:dyDescent="0.35">
      <c r="A1027" s="86" t="s">
        <v>1172</v>
      </c>
      <c r="B1027" s="90" t="s">
        <v>53</v>
      </c>
      <c r="C1027" s="86" t="s">
        <v>54</v>
      </c>
    </row>
    <row r="1028" spans="1:3" ht="18" customHeight="1" x14ac:dyDescent="0.35">
      <c r="A1028" s="86" t="s">
        <v>1173</v>
      </c>
      <c r="B1028" s="90" t="s">
        <v>53</v>
      </c>
      <c r="C1028" s="86" t="s">
        <v>54</v>
      </c>
    </row>
    <row r="1029" spans="1:3" ht="18" customHeight="1" x14ac:dyDescent="0.35">
      <c r="A1029" s="86" t="s">
        <v>1174</v>
      </c>
      <c r="B1029" s="90" t="s">
        <v>53</v>
      </c>
      <c r="C1029" s="86" t="s">
        <v>54</v>
      </c>
    </row>
    <row r="1030" spans="1:3" ht="18" customHeight="1" x14ac:dyDescent="0.35">
      <c r="A1030" s="86" t="s">
        <v>1175</v>
      </c>
      <c r="B1030" s="90" t="s">
        <v>53</v>
      </c>
      <c r="C1030" s="86" t="s">
        <v>54</v>
      </c>
    </row>
    <row r="1031" spans="1:3" ht="18" customHeight="1" x14ac:dyDescent="0.35">
      <c r="A1031" s="86" t="s">
        <v>1176</v>
      </c>
      <c r="B1031" s="90" t="s">
        <v>53</v>
      </c>
      <c r="C1031" s="86" t="s">
        <v>54</v>
      </c>
    </row>
    <row r="1032" spans="1:3" ht="18" customHeight="1" x14ac:dyDescent="0.35">
      <c r="A1032" s="86" t="s">
        <v>1177</v>
      </c>
      <c r="B1032" s="90" t="s">
        <v>53</v>
      </c>
      <c r="C1032" s="86" t="s">
        <v>54</v>
      </c>
    </row>
    <row r="1033" spans="1:3" ht="18" customHeight="1" x14ac:dyDescent="0.35">
      <c r="A1033" s="86" t="s">
        <v>1178</v>
      </c>
      <c r="B1033" s="90" t="s">
        <v>53</v>
      </c>
      <c r="C1033" s="86" t="s">
        <v>54</v>
      </c>
    </row>
    <row r="1034" spans="1:3" ht="18" customHeight="1" x14ac:dyDescent="0.35">
      <c r="A1034" s="86" t="s">
        <v>1179</v>
      </c>
      <c r="B1034" s="90" t="s">
        <v>53</v>
      </c>
      <c r="C1034" s="86" t="s">
        <v>54</v>
      </c>
    </row>
    <row r="1035" spans="1:3" ht="18" customHeight="1" x14ac:dyDescent="0.35">
      <c r="A1035" s="86" t="s">
        <v>1180</v>
      </c>
      <c r="B1035" s="90" t="s">
        <v>53</v>
      </c>
      <c r="C1035" s="86" t="s">
        <v>54</v>
      </c>
    </row>
    <row r="1036" spans="1:3" ht="18" customHeight="1" x14ac:dyDescent="0.35">
      <c r="A1036" s="86" t="s">
        <v>1181</v>
      </c>
      <c r="B1036" s="90" t="s">
        <v>53</v>
      </c>
      <c r="C1036" s="86" t="s">
        <v>54</v>
      </c>
    </row>
    <row r="1037" spans="1:3" ht="18" customHeight="1" x14ac:dyDescent="0.35">
      <c r="A1037" s="86" t="s">
        <v>1182</v>
      </c>
      <c r="B1037" s="90" t="s">
        <v>53</v>
      </c>
      <c r="C1037" s="86" t="s">
        <v>54</v>
      </c>
    </row>
    <row r="1038" spans="1:3" ht="18" customHeight="1" x14ac:dyDescent="0.35">
      <c r="A1038" s="86" t="s">
        <v>1183</v>
      </c>
      <c r="B1038" s="90" t="s">
        <v>53</v>
      </c>
      <c r="C1038" s="86" t="s">
        <v>54</v>
      </c>
    </row>
    <row r="1039" spans="1:3" ht="18" customHeight="1" x14ac:dyDescent="0.35">
      <c r="A1039" s="86" t="s">
        <v>1184</v>
      </c>
      <c r="B1039" s="90" t="s">
        <v>53</v>
      </c>
      <c r="C1039" s="86" t="s">
        <v>54</v>
      </c>
    </row>
    <row r="1040" spans="1:3" ht="18" customHeight="1" x14ac:dyDescent="0.35">
      <c r="A1040" s="86" t="s">
        <v>1185</v>
      </c>
      <c r="B1040" s="90" t="s">
        <v>53</v>
      </c>
      <c r="C1040" s="86" t="s">
        <v>54</v>
      </c>
    </row>
    <row r="1041" spans="1:3" ht="18" customHeight="1" x14ac:dyDescent="0.35">
      <c r="A1041" s="86" t="s">
        <v>1186</v>
      </c>
      <c r="B1041" s="90" t="s">
        <v>53</v>
      </c>
      <c r="C1041" s="86" t="s">
        <v>54</v>
      </c>
    </row>
    <row r="1042" spans="1:3" ht="18" customHeight="1" x14ac:dyDescent="0.35">
      <c r="A1042" s="86" t="s">
        <v>1187</v>
      </c>
      <c r="B1042" s="90" t="s">
        <v>53</v>
      </c>
      <c r="C1042" s="86" t="s">
        <v>54</v>
      </c>
    </row>
    <row r="1043" spans="1:3" ht="18" customHeight="1" x14ac:dyDescent="0.35">
      <c r="A1043" s="86" t="s">
        <v>1188</v>
      </c>
      <c r="B1043" s="90" t="s">
        <v>53</v>
      </c>
      <c r="C1043" s="86" t="s">
        <v>54</v>
      </c>
    </row>
    <row r="1044" spans="1:3" ht="18" customHeight="1" x14ac:dyDescent="0.35">
      <c r="A1044" s="86" t="s">
        <v>1189</v>
      </c>
      <c r="B1044" s="90" t="s">
        <v>53</v>
      </c>
      <c r="C1044" s="86" t="s">
        <v>54</v>
      </c>
    </row>
    <row r="1045" spans="1:3" ht="18" customHeight="1" x14ac:dyDescent="0.35">
      <c r="A1045" s="86" t="s">
        <v>1190</v>
      </c>
      <c r="B1045" s="90" t="s">
        <v>53</v>
      </c>
      <c r="C1045" s="86" t="s">
        <v>54</v>
      </c>
    </row>
    <row r="1046" spans="1:3" ht="18" customHeight="1" x14ac:dyDescent="0.35">
      <c r="A1046" s="86" t="s">
        <v>1191</v>
      </c>
      <c r="B1046" s="90" t="s">
        <v>53</v>
      </c>
      <c r="C1046" s="86" t="s">
        <v>54</v>
      </c>
    </row>
    <row r="1047" spans="1:3" ht="18" customHeight="1" x14ac:dyDescent="0.35">
      <c r="A1047" s="86" t="s">
        <v>1192</v>
      </c>
      <c r="B1047" s="90" t="s">
        <v>53</v>
      </c>
      <c r="C1047" s="86" t="s">
        <v>54</v>
      </c>
    </row>
    <row r="1048" spans="1:3" ht="18" customHeight="1" x14ac:dyDescent="0.35">
      <c r="A1048" s="86" t="s">
        <v>1193</v>
      </c>
      <c r="B1048" s="90" t="s">
        <v>53</v>
      </c>
      <c r="C1048" s="86" t="s">
        <v>54</v>
      </c>
    </row>
    <row r="1049" spans="1:3" ht="18" customHeight="1" x14ac:dyDescent="0.35">
      <c r="A1049" s="86" t="s">
        <v>1194</v>
      </c>
      <c r="B1049" s="90" t="s">
        <v>53</v>
      </c>
      <c r="C1049" s="86" t="s">
        <v>54</v>
      </c>
    </row>
    <row r="1050" spans="1:3" ht="18" customHeight="1" x14ac:dyDescent="0.35">
      <c r="A1050" s="86" t="s">
        <v>1195</v>
      </c>
      <c r="B1050" s="90" t="s">
        <v>53</v>
      </c>
      <c r="C1050" s="86" t="s">
        <v>54</v>
      </c>
    </row>
    <row r="1051" spans="1:3" ht="18" customHeight="1" x14ac:dyDescent="0.35">
      <c r="A1051" s="86" t="s">
        <v>1196</v>
      </c>
      <c r="B1051" s="90" t="s">
        <v>53</v>
      </c>
      <c r="C1051" s="86" t="s">
        <v>54</v>
      </c>
    </row>
    <row r="1052" spans="1:3" ht="18" customHeight="1" x14ac:dyDescent="0.35">
      <c r="A1052" s="86" t="s">
        <v>1197</v>
      </c>
      <c r="B1052" s="90" t="s">
        <v>53</v>
      </c>
      <c r="C1052" s="86" t="s">
        <v>54</v>
      </c>
    </row>
    <row r="1053" spans="1:3" ht="18" customHeight="1" x14ac:dyDescent="0.35">
      <c r="A1053" s="86" t="s">
        <v>1198</v>
      </c>
      <c r="B1053" s="90" t="s">
        <v>53</v>
      </c>
      <c r="C1053" s="86" t="s">
        <v>54</v>
      </c>
    </row>
    <row r="1054" spans="1:3" ht="18" customHeight="1" x14ac:dyDescent="0.35">
      <c r="A1054" s="86" t="s">
        <v>1199</v>
      </c>
      <c r="B1054" s="90" t="s">
        <v>53</v>
      </c>
      <c r="C1054" s="86" t="s">
        <v>54</v>
      </c>
    </row>
    <row r="1055" spans="1:3" ht="18" customHeight="1" x14ac:dyDescent="0.35">
      <c r="A1055" s="86" t="s">
        <v>1200</v>
      </c>
      <c r="B1055" s="90" t="s">
        <v>53</v>
      </c>
      <c r="C1055" s="86" t="s">
        <v>54</v>
      </c>
    </row>
    <row r="1056" spans="1:3" ht="18" customHeight="1" x14ac:dyDescent="0.35">
      <c r="A1056" s="86" t="s">
        <v>1201</v>
      </c>
      <c r="B1056" s="90" t="s">
        <v>53</v>
      </c>
      <c r="C1056" s="86" t="s">
        <v>54</v>
      </c>
    </row>
    <row r="1057" spans="1:3" ht="18" customHeight="1" x14ac:dyDescent="0.35">
      <c r="A1057" s="86" t="s">
        <v>1202</v>
      </c>
      <c r="B1057" s="90" t="s">
        <v>53</v>
      </c>
      <c r="C1057" s="86" t="s">
        <v>54</v>
      </c>
    </row>
    <row r="1058" spans="1:3" ht="18" customHeight="1" x14ac:dyDescent="0.35">
      <c r="A1058" s="86" t="s">
        <v>1203</v>
      </c>
      <c r="B1058" s="90" t="s">
        <v>53</v>
      </c>
      <c r="C1058" s="86" t="s">
        <v>54</v>
      </c>
    </row>
    <row r="1059" spans="1:3" ht="18" customHeight="1" x14ac:dyDescent="0.35">
      <c r="A1059" s="86" t="s">
        <v>1204</v>
      </c>
      <c r="B1059" s="90" t="s">
        <v>53</v>
      </c>
      <c r="C1059" s="86" t="s">
        <v>54</v>
      </c>
    </row>
    <row r="1060" spans="1:3" ht="18" customHeight="1" x14ac:dyDescent="0.35">
      <c r="A1060" s="86" t="s">
        <v>1205</v>
      </c>
      <c r="B1060" s="90" t="s">
        <v>53</v>
      </c>
      <c r="C1060" s="86" t="s">
        <v>54</v>
      </c>
    </row>
    <row r="1061" spans="1:3" ht="18" customHeight="1" x14ac:dyDescent="0.35">
      <c r="A1061" s="86" t="s">
        <v>1206</v>
      </c>
      <c r="B1061" s="90" t="s">
        <v>53</v>
      </c>
      <c r="C1061" s="86" t="s">
        <v>54</v>
      </c>
    </row>
    <row r="1062" spans="1:3" ht="18" customHeight="1" x14ac:dyDescent="0.35">
      <c r="A1062" s="86" t="s">
        <v>1207</v>
      </c>
      <c r="B1062" s="90" t="s">
        <v>53</v>
      </c>
      <c r="C1062" s="86" t="s">
        <v>54</v>
      </c>
    </row>
    <row r="1063" spans="1:3" ht="18" customHeight="1" x14ac:dyDescent="0.35">
      <c r="A1063" s="86" t="s">
        <v>1208</v>
      </c>
      <c r="B1063" s="90" t="s">
        <v>53</v>
      </c>
      <c r="C1063" s="86" t="s">
        <v>54</v>
      </c>
    </row>
    <row r="1064" spans="1:3" ht="18" customHeight="1" x14ac:dyDescent="0.35">
      <c r="A1064" s="86" t="s">
        <v>1209</v>
      </c>
      <c r="B1064" s="90" t="s">
        <v>53</v>
      </c>
      <c r="C1064" s="86" t="s">
        <v>54</v>
      </c>
    </row>
    <row r="1065" spans="1:3" ht="18" customHeight="1" x14ac:dyDescent="0.35">
      <c r="A1065" s="86" t="s">
        <v>1210</v>
      </c>
      <c r="B1065" s="90" t="s">
        <v>53</v>
      </c>
      <c r="C1065" s="86" t="s">
        <v>54</v>
      </c>
    </row>
    <row r="1066" spans="1:3" ht="18" customHeight="1" x14ac:dyDescent="0.35">
      <c r="A1066" s="86" t="s">
        <v>1211</v>
      </c>
      <c r="B1066" s="90" t="s">
        <v>53</v>
      </c>
      <c r="C1066" s="86" t="s">
        <v>54</v>
      </c>
    </row>
    <row r="1067" spans="1:3" ht="18" customHeight="1" x14ac:dyDescent="0.35">
      <c r="A1067" s="86" t="s">
        <v>1212</v>
      </c>
      <c r="B1067" s="90" t="s">
        <v>53</v>
      </c>
      <c r="C1067" s="86" t="s">
        <v>54</v>
      </c>
    </row>
    <row r="1068" spans="1:3" ht="18" customHeight="1" x14ac:dyDescent="0.35">
      <c r="A1068" s="86" t="s">
        <v>1213</v>
      </c>
      <c r="B1068" s="90" t="s">
        <v>53</v>
      </c>
      <c r="C1068" s="86" t="s">
        <v>54</v>
      </c>
    </row>
    <row r="1069" spans="1:3" ht="18" customHeight="1" x14ac:dyDescent="0.35">
      <c r="A1069" s="86" t="s">
        <v>1214</v>
      </c>
      <c r="B1069" s="90" t="s">
        <v>53</v>
      </c>
      <c r="C1069" s="86" t="s">
        <v>54</v>
      </c>
    </row>
    <row r="1070" spans="1:3" ht="18" customHeight="1" x14ac:dyDescent="0.35">
      <c r="A1070" s="86" t="s">
        <v>1215</v>
      </c>
      <c r="B1070" s="90" t="s">
        <v>53</v>
      </c>
      <c r="C1070" s="86" t="s">
        <v>54</v>
      </c>
    </row>
    <row r="1071" spans="1:3" ht="18" customHeight="1" x14ac:dyDescent="0.35">
      <c r="A1071" s="86" t="s">
        <v>1216</v>
      </c>
      <c r="B1071" s="90" t="s">
        <v>53</v>
      </c>
      <c r="C1071" s="86" t="s">
        <v>54</v>
      </c>
    </row>
    <row r="1072" spans="1:3" ht="18" customHeight="1" x14ac:dyDescent="0.35">
      <c r="A1072" s="86" t="s">
        <v>1217</v>
      </c>
      <c r="B1072" s="90" t="s">
        <v>53</v>
      </c>
      <c r="C1072" s="86" t="s">
        <v>54</v>
      </c>
    </row>
    <row r="1073" spans="1:3" ht="18" customHeight="1" x14ac:dyDescent="0.35">
      <c r="A1073" s="86" t="s">
        <v>1218</v>
      </c>
      <c r="B1073" s="90" t="s">
        <v>53</v>
      </c>
      <c r="C1073" s="86" t="s">
        <v>54</v>
      </c>
    </row>
    <row r="1074" spans="1:3" ht="18" customHeight="1" x14ac:dyDescent="0.35">
      <c r="A1074" s="86" t="s">
        <v>1219</v>
      </c>
      <c r="B1074" s="90" t="s">
        <v>53</v>
      </c>
      <c r="C1074" s="86" t="s">
        <v>54</v>
      </c>
    </row>
    <row r="1075" spans="1:3" ht="18" customHeight="1" x14ac:dyDescent="0.35">
      <c r="A1075" s="86" t="s">
        <v>1220</v>
      </c>
      <c r="B1075" s="90" t="s">
        <v>53</v>
      </c>
      <c r="C1075" s="86" t="s">
        <v>54</v>
      </c>
    </row>
    <row r="1076" spans="1:3" ht="18" customHeight="1" x14ac:dyDescent="0.35">
      <c r="A1076" s="86" t="s">
        <v>1221</v>
      </c>
      <c r="B1076" s="90" t="s">
        <v>53</v>
      </c>
      <c r="C1076" s="86" t="s">
        <v>54</v>
      </c>
    </row>
    <row r="1077" spans="1:3" ht="18" customHeight="1" x14ac:dyDescent="0.35">
      <c r="A1077" s="86" t="s">
        <v>1222</v>
      </c>
      <c r="B1077" s="90" t="s">
        <v>53</v>
      </c>
      <c r="C1077" s="86" t="s">
        <v>54</v>
      </c>
    </row>
    <row r="1078" spans="1:3" ht="18" customHeight="1" x14ac:dyDescent="0.35">
      <c r="A1078" s="86" t="s">
        <v>1223</v>
      </c>
      <c r="B1078" s="90" t="s">
        <v>53</v>
      </c>
      <c r="C1078" s="86" t="s">
        <v>54</v>
      </c>
    </row>
    <row r="1079" spans="1:3" ht="18" customHeight="1" x14ac:dyDescent="0.35">
      <c r="A1079" s="86" t="s">
        <v>1224</v>
      </c>
      <c r="B1079" s="90" t="s">
        <v>53</v>
      </c>
      <c r="C1079" s="86" t="s">
        <v>54</v>
      </c>
    </row>
    <row r="1080" spans="1:3" ht="18" customHeight="1" x14ac:dyDescent="0.35">
      <c r="A1080" s="86" t="s">
        <v>1225</v>
      </c>
      <c r="B1080" s="90" t="s">
        <v>53</v>
      </c>
      <c r="C1080" s="86" t="s">
        <v>54</v>
      </c>
    </row>
    <row r="1081" spans="1:3" ht="18" customHeight="1" x14ac:dyDescent="0.35">
      <c r="A1081" s="86" t="s">
        <v>1226</v>
      </c>
      <c r="B1081" s="90" t="s">
        <v>53</v>
      </c>
      <c r="C1081" s="86" t="s">
        <v>54</v>
      </c>
    </row>
    <row r="1082" spans="1:3" ht="18" customHeight="1" x14ac:dyDescent="0.35">
      <c r="A1082" s="86" t="s">
        <v>1227</v>
      </c>
      <c r="B1082" s="90" t="s">
        <v>53</v>
      </c>
      <c r="C1082" s="86" t="s">
        <v>54</v>
      </c>
    </row>
    <row r="1083" spans="1:3" ht="18" customHeight="1" x14ac:dyDescent="0.35">
      <c r="A1083" s="86" t="s">
        <v>1228</v>
      </c>
      <c r="B1083" s="90" t="s">
        <v>53</v>
      </c>
      <c r="C1083" s="86" t="s">
        <v>54</v>
      </c>
    </row>
    <row r="1084" spans="1:3" ht="18" customHeight="1" x14ac:dyDescent="0.35">
      <c r="A1084" s="86" t="s">
        <v>1229</v>
      </c>
      <c r="B1084" s="90" t="s">
        <v>53</v>
      </c>
      <c r="C1084" s="86" t="s">
        <v>54</v>
      </c>
    </row>
    <row r="1085" spans="1:3" ht="18" customHeight="1" x14ac:dyDescent="0.35">
      <c r="A1085" s="86" t="s">
        <v>1230</v>
      </c>
      <c r="B1085" s="90" t="s">
        <v>53</v>
      </c>
      <c r="C1085" s="86" t="s">
        <v>54</v>
      </c>
    </row>
    <row r="1086" spans="1:3" ht="18" customHeight="1" x14ac:dyDescent="0.35">
      <c r="A1086" s="86" t="s">
        <v>1231</v>
      </c>
      <c r="B1086" s="90" t="s">
        <v>53</v>
      </c>
      <c r="C1086" s="86" t="s">
        <v>54</v>
      </c>
    </row>
    <row r="1087" spans="1:3" ht="18" customHeight="1" x14ac:dyDescent="0.35">
      <c r="A1087" s="86" t="s">
        <v>1232</v>
      </c>
      <c r="B1087" s="90" t="s">
        <v>53</v>
      </c>
      <c r="C1087" s="86" t="s">
        <v>54</v>
      </c>
    </row>
    <row r="1088" spans="1:3" ht="18" customHeight="1" x14ac:dyDescent="0.35">
      <c r="A1088" s="86" t="s">
        <v>1233</v>
      </c>
      <c r="B1088" s="90" t="s">
        <v>53</v>
      </c>
      <c r="C1088" s="86" t="s">
        <v>54</v>
      </c>
    </row>
    <row r="1089" spans="1:3" ht="18" customHeight="1" x14ac:dyDescent="0.35">
      <c r="A1089" s="86" t="s">
        <v>1234</v>
      </c>
      <c r="B1089" s="90" t="s">
        <v>53</v>
      </c>
      <c r="C1089" s="86" t="s">
        <v>54</v>
      </c>
    </row>
    <row r="1090" spans="1:3" ht="18" customHeight="1" x14ac:dyDescent="0.35">
      <c r="A1090" s="86" t="s">
        <v>1235</v>
      </c>
      <c r="B1090" s="90" t="s">
        <v>53</v>
      </c>
      <c r="C1090" s="86" t="s">
        <v>54</v>
      </c>
    </row>
    <row r="1091" spans="1:3" ht="18" customHeight="1" x14ac:dyDescent="0.35">
      <c r="A1091" s="86" t="s">
        <v>1236</v>
      </c>
      <c r="B1091" s="90" t="s">
        <v>53</v>
      </c>
      <c r="C1091" s="86" t="s">
        <v>54</v>
      </c>
    </row>
    <row r="1092" spans="1:3" ht="18" customHeight="1" x14ac:dyDescent="0.35">
      <c r="A1092" s="86" t="s">
        <v>1237</v>
      </c>
      <c r="B1092" s="90" t="s">
        <v>53</v>
      </c>
      <c r="C1092" s="86" t="s">
        <v>54</v>
      </c>
    </row>
    <row r="1093" spans="1:3" ht="18" customHeight="1" x14ac:dyDescent="0.35">
      <c r="A1093" s="86" t="s">
        <v>1238</v>
      </c>
      <c r="B1093" s="90" t="s">
        <v>53</v>
      </c>
      <c r="C1093" s="86" t="s">
        <v>54</v>
      </c>
    </row>
    <row r="1094" spans="1:3" ht="18" customHeight="1" x14ac:dyDescent="0.35">
      <c r="A1094" s="86" t="s">
        <v>1239</v>
      </c>
      <c r="B1094" s="90" t="s">
        <v>53</v>
      </c>
      <c r="C1094" s="86" t="s">
        <v>54</v>
      </c>
    </row>
    <row r="1095" spans="1:3" ht="18" customHeight="1" x14ac:dyDescent="0.35">
      <c r="A1095" s="86" t="s">
        <v>1240</v>
      </c>
      <c r="B1095" s="90" t="s">
        <v>53</v>
      </c>
      <c r="C1095" s="86" t="s">
        <v>54</v>
      </c>
    </row>
    <row r="1096" spans="1:3" ht="18" customHeight="1" x14ac:dyDescent="0.35">
      <c r="A1096" s="86" t="s">
        <v>1241</v>
      </c>
      <c r="B1096" s="90" t="s">
        <v>53</v>
      </c>
      <c r="C1096" s="86" t="s">
        <v>54</v>
      </c>
    </row>
    <row r="1097" spans="1:3" ht="18" customHeight="1" x14ac:dyDescent="0.35">
      <c r="A1097" s="86" t="s">
        <v>1242</v>
      </c>
      <c r="B1097" s="90" t="s">
        <v>53</v>
      </c>
      <c r="C1097" s="86" t="s">
        <v>54</v>
      </c>
    </row>
    <row r="1098" spans="1:3" ht="18" customHeight="1" x14ac:dyDescent="0.35">
      <c r="A1098" s="86" t="s">
        <v>1243</v>
      </c>
      <c r="B1098" s="90" t="s">
        <v>53</v>
      </c>
      <c r="C1098" s="86" t="s">
        <v>54</v>
      </c>
    </row>
    <row r="1099" spans="1:3" ht="18" customHeight="1" x14ac:dyDescent="0.35">
      <c r="A1099" s="86" t="s">
        <v>1244</v>
      </c>
      <c r="B1099" s="90" t="s">
        <v>53</v>
      </c>
      <c r="C1099" s="86" t="s">
        <v>54</v>
      </c>
    </row>
    <row r="1100" spans="1:3" ht="18" customHeight="1" x14ac:dyDescent="0.35">
      <c r="A1100" s="86" t="s">
        <v>1245</v>
      </c>
      <c r="B1100" s="90" t="s">
        <v>53</v>
      </c>
      <c r="C1100" s="86" t="s">
        <v>54</v>
      </c>
    </row>
    <row r="1101" spans="1:3" ht="18" customHeight="1" x14ac:dyDescent="0.35">
      <c r="A1101" s="86" t="s">
        <v>1246</v>
      </c>
      <c r="B1101" s="90" t="s">
        <v>53</v>
      </c>
      <c r="C1101" s="86" t="s">
        <v>54</v>
      </c>
    </row>
    <row r="1102" spans="1:3" ht="18" customHeight="1" x14ac:dyDescent="0.35">
      <c r="A1102" s="86" t="s">
        <v>1247</v>
      </c>
      <c r="B1102" s="90" t="s">
        <v>53</v>
      </c>
      <c r="C1102" s="86" t="s">
        <v>54</v>
      </c>
    </row>
    <row r="1103" spans="1:3" ht="18" customHeight="1" x14ac:dyDescent="0.35">
      <c r="A1103" s="86" t="s">
        <v>1248</v>
      </c>
      <c r="B1103" s="90" t="s">
        <v>53</v>
      </c>
      <c r="C1103" s="86" t="s">
        <v>54</v>
      </c>
    </row>
    <row r="1104" spans="1:3" ht="18" customHeight="1" x14ac:dyDescent="0.35">
      <c r="A1104" s="86" t="s">
        <v>1249</v>
      </c>
      <c r="B1104" s="90" t="s">
        <v>53</v>
      </c>
      <c r="C1104" s="86" t="s">
        <v>54</v>
      </c>
    </row>
    <row r="1105" spans="1:3" ht="18" customHeight="1" x14ac:dyDescent="0.35">
      <c r="A1105" s="86" t="s">
        <v>1250</v>
      </c>
      <c r="B1105" s="90" t="s">
        <v>53</v>
      </c>
      <c r="C1105" s="86" t="s">
        <v>54</v>
      </c>
    </row>
    <row r="1106" spans="1:3" ht="18" customHeight="1" x14ac:dyDescent="0.35">
      <c r="A1106" s="86" t="s">
        <v>1251</v>
      </c>
      <c r="B1106" s="90" t="s">
        <v>53</v>
      </c>
      <c r="C1106" s="86" t="s">
        <v>54</v>
      </c>
    </row>
    <row r="1107" spans="1:3" ht="18" customHeight="1" x14ac:dyDescent="0.35">
      <c r="A1107" s="86" t="s">
        <v>1252</v>
      </c>
      <c r="B1107" s="90" t="s">
        <v>53</v>
      </c>
      <c r="C1107" s="86" t="s">
        <v>54</v>
      </c>
    </row>
    <row r="1108" spans="1:3" ht="18" customHeight="1" x14ac:dyDescent="0.35">
      <c r="A1108" s="86" t="s">
        <v>1253</v>
      </c>
      <c r="B1108" s="90" t="s">
        <v>53</v>
      </c>
      <c r="C1108" s="86" t="s">
        <v>54</v>
      </c>
    </row>
    <row r="1109" spans="1:3" ht="18" customHeight="1" x14ac:dyDescent="0.35">
      <c r="A1109" s="86" t="s">
        <v>1254</v>
      </c>
      <c r="B1109" s="90" t="s">
        <v>53</v>
      </c>
      <c r="C1109" s="86" t="s">
        <v>54</v>
      </c>
    </row>
    <row r="1110" spans="1:3" ht="18" customHeight="1" x14ac:dyDescent="0.35">
      <c r="A1110" s="86" t="s">
        <v>1255</v>
      </c>
      <c r="B1110" s="90" t="s">
        <v>53</v>
      </c>
      <c r="C1110" s="86" t="s">
        <v>54</v>
      </c>
    </row>
    <row r="1111" spans="1:3" ht="18" customHeight="1" x14ac:dyDescent="0.35">
      <c r="A1111" s="86" t="s">
        <v>1256</v>
      </c>
      <c r="B1111" s="90" t="s">
        <v>53</v>
      </c>
      <c r="C1111" s="86" t="s">
        <v>54</v>
      </c>
    </row>
    <row r="1112" spans="1:3" ht="18" customHeight="1" x14ac:dyDescent="0.35">
      <c r="A1112" s="86" t="s">
        <v>1257</v>
      </c>
      <c r="B1112" s="90" t="s">
        <v>53</v>
      </c>
      <c r="C1112" s="86" t="s">
        <v>54</v>
      </c>
    </row>
    <row r="1113" spans="1:3" ht="18" customHeight="1" x14ac:dyDescent="0.35">
      <c r="A1113" s="86" t="s">
        <v>1258</v>
      </c>
      <c r="B1113" s="90" t="s">
        <v>53</v>
      </c>
      <c r="C1113" s="86" t="s">
        <v>54</v>
      </c>
    </row>
    <row r="1114" spans="1:3" ht="18" customHeight="1" x14ac:dyDescent="0.35">
      <c r="A1114" s="86" t="s">
        <v>1259</v>
      </c>
      <c r="B1114" s="90" t="s">
        <v>53</v>
      </c>
      <c r="C1114" s="86" t="s">
        <v>54</v>
      </c>
    </row>
    <row r="1115" spans="1:3" ht="18" customHeight="1" x14ac:dyDescent="0.35">
      <c r="A1115" s="86" t="s">
        <v>1260</v>
      </c>
      <c r="B1115" s="90" t="s">
        <v>53</v>
      </c>
      <c r="C1115" s="86" t="s">
        <v>54</v>
      </c>
    </row>
    <row r="1116" spans="1:3" ht="18" customHeight="1" x14ac:dyDescent="0.35">
      <c r="A1116" s="86" t="s">
        <v>1261</v>
      </c>
      <c r="B1116" s="90" t="s">
        <v>53</v>
      </c>
      <c r="C1116" s="86" t="s">
        <v>54</v>
      </c>
    </row>
    <row r="1117" spans="1:3" ht="18" customHeight="1" x14ac:dyDescent="0.35">
      <c r="A1117" s="86" t="s">
        <v>1262</v>
      </c>
      <c r="B1117" s="90" t="s">
        <v>53</v>
      </c>
      <c r="C1117" s="86" t="s">
        <v>54</v>
      </c>
    </row>
    <row r="1118" spans="1:3" ht="18" customHeight="1" x14ac:dyDescent="0.35">
      <c r="A1118" s="86" t="s">
        <v>1263</v>
      </c>
      <c r="B1118" s="90" t="s">
        <v>53</v>
      </c>
      <c r="C1118" s="86" t="s">
        <v>54</v>
      </c>
    </row>
    <row r="1119" spans="1:3" ht="18" customHeight="1" x14ac:dyDescent="0.35">
      <c r="A1119" s="86" t="s">
        <v>1264</v>
      </c>
      <c r="B1119" s="90" t="s">
        <v>53</v>
      </c>
      <c r="C1119" s="86" t="s">
        <v>54</v>
      </c>
    </row>
    <row r="1120" spans="1:3" ht="18" customHeight="1" x14ac:dyDescent="0.35">
      <c r="A1120" s="86" t="s">
        <v>1265</v>
      </c>
      <c r="B1120" s="90" t="s">
        <v>53</v>
      </c>
      <c r="C1120" s="86" t="s">
        <v>54</v>
      </c>
    </row>
    <row r="1121" spans="1:3" ht="18" customHeight="1" x14ac:dyDescent="0.35">
      <c r="A1121" s="86" t="s">
        <v>1266</v>
      </c>
      <c r="B1121" s="90" t="s">
        <v>53</v>
      </c>
      <c r="C1121" s="86" t="s">
        <v>54</v>
      </c>
    </row>
    <row r="1122" spans="1:3" ht="18" customHeight="1" x14ac:dyDescent="0.35">
      <c r="A1122" s="86" t="s">
        <v>1267</v>
      </c>
      <c r="B1122" s="90" t="s">
        <v>53</v>
      </c>
      <c r="C1122" s="86" t="s">
        <v>54</v>
      </c>
    </row>
    <row r="1123" spans="1:3" ht="18" customHeight="1" x14ac:dyDescent="0.35">
      <c r="A1123" s="86" t="s">
        <v>1268</v>
      </c>
      <c r="B1123" s="90" t="s">
        <v>53</v>
      </c>
      <c r="C1123" s="86" t="s">
        <v>54</v>
      </c>
    </row>
    <row r="1124" spans="1:3" ht="18" customHeight="1" x14ac:dyDescent="0.35">
      <c r="A1124" s="86" t="s">
        <v>1269</v>
      </c>
      <c r="B1124" s="90" t="s">
        <v>53</v>
      </c>
      <c r="C1124" s="86" t="s">
        <v>54</v>
      </c>
    </row>
    <row r="1125" spans="1:3" ht="18" customHeight="1" x14ac:dyDescent="0.35">
      <c r="A1125" s="86" t="s">
        <v>1270</v>
      </c>
      <c r="B1125" s="90" t="s">
        <v>53</v>
      </c>
      <c r="C1125" s="86" t="s">
        <v>54</v>
      </c>
    </row>
    <row r="1126" spans="1:3" ht="18" customHeight="1" x14ac:dyDescent="0.35">
      <c r="A1126" s="86" t="s">
        <v>1271</v>
      </c>
      <c r="B1126" s="90" t="s">
        <v>53</v>
      </c>
      <c r="C1126" s="86" t="s">
        <v>54</v>
      </c>
    </row>
    <row r="1127" spans="1:3" ht="18" customHeight="1" x14ac:dyDescent="0.35">
      <c r="A1127" s="86" t="s">
        <v>1272</v>
      </c>
      <c r="B1127" s="90" t="s">
        <v>53</v>
      </c>
      <c r="C1127" s="86" t="s">
        <v>54</v>
      </c>
    </row>
    <row r="1128" spans="1:3" ht="18" customHeight="1" x14ac:dyDescent="0.35">
      <c r="A1128" s="86" t="s">
        <v>1273</v>
      </c>
      <c r="B1128" s="90" t="s">
        <v>53</v>
      </c>
      <c r="C1128" s="86" t="s">
        <v>54</v>
      </c>
    </row>
    <row r="1129" spans="1:3" ht="18" customHeight="1" x14ac:dyDescent="0.35">
      <c r="A1129" s="86" t="s">
        <v>1274</v>
      </c>
      <c r="B1129" s="90" t="s">
        <v>53</v>
      </c>
      <c r="C1129" s="86" t="s">
        <v>54</v>
      </c>
    </row>
    <row r="1130" spans="1:3" ht="18" customHeight="1" x14ac:dyDescent="0.35">
      <c r="A1130" s="86" t="s">
        <v>1275</v>
      </c>
      <c r="B1130" s="90" t="s">
        <v>53</v>
      </c>
      <c r="C1130" s="86" t="s">
        <v>706</v>
      </c>
    </row>
    <row r="1131" spans="1:3" ht="18" customHeight="1" x14ac:dyDescent="0.35">
      <c r="A1131" s="86" t="s">
        <v>1276</v>
      </c>
      <c r="B1131" s="90" t="s">
        <v>53</v>
      </c>
      <c r="C1131" s="86" t="s">
        <v>706</v>
      </c>
    </row>
    <row r="1132" spans="1:3" ht="18" customHeight="1" x14ac:dyDescent="0.35">
      <c r="A1132" s="86" t="s">
        <v>1277</v>
      </c>
      <c r="B1132" s="90" t="s">
        <v>53</v>
      </c>
      <c r="C1132" s="86" t="s">
        <v>706</v>
      </c>
    </row>
    <row r="1133" spans="1:3" ht="18" customHeight="1" x14ac:dyDescent="0.35">
      <c r="A1133" s="86" t="s">
        <v>1278</v>
      </c>
      <c r="B1133" s="90" t="s">
        <v>53</v>
      </c>
      <c r="C1133" s="86" t="s">
        <v>706</v>
      </c>
    </row>
    <row r="1134" spans="1:3" ht="18" customHeight="1" x14ac:dyDescent="0.35">
      <c r="A1134" s="86" t="s">
        <v>1279</v>
      </c>
      <c r="B1134" s="90" t="s">
        <v>53</v>
      </c>
      <c r="C1134" s="86" t="s">
        <v>706</v>
      </c>
    </row>
    <row r="1135" spans="1:3" ht="18" customHeight="1" x14ac:dyDescent="0.35">
      <c r="A1135" s="86" t="s">
        <v>1280</v>
      </c>
      <c r="B1135" s="90" t="s">
        <v>53</v>
      </c>
      <c r="C1135" s="86" t="s">
        <v>706</v>
      </c>
    </row>
    <row r="1136" spans="1:3" ht="18" customHeight="1" x14ac:dyDescent="0.35">
      <c r="A1136" s="86" t="s">
        <v>1281</v>
      </c>
      <c r="B1136" s="90" t="s">
        <v>53</v>
      </c>
      <c r="C1136" s="86" t="s">
        <v>706</v>
      </c>
    </row>
    <row r="1137" spans="1:3" ht="18" customHeight="1" x14ac:dyDescent="0.35">
      <c r="A1137" s="86" t="s">
        <v>1282</v>
      </c>
      <c r="B1137" s="90" t="s">
        <v>53</v>
      </c>
      <c r="C1137" s="86" t="s">
        <v>706</v>
      </c>
    </row>
    <row r="1138" spans="1:3" ht="18" customHeight="1" x14ac:dyDescent="0.35">
      <c r="A1138" s="86" t="s">
        <v>1283</v>
      </c>
      <c r="B1138" s="90" t="s">
        <v>53</v>
      </c>
      <c r="C1138" s="86" t="s">
        <v>706</v>
      </c>
    </row>
    <row r="1139" spans="1:3" ht="18" customHeight="1" x14ac:dyDescent="0.35">
      <c r="A1139" s="86" t="s">
        <v>1284</v>
      </c>
      <c r="B1139" s="90" t="s">
        <v>53</v>
      </c>
      <c r="C1139" s="86" t="s">
        <v>706</v>
      </c>
    </row>
    <row r="1140" spans="1:3" ht="18" customHeight="1" x14ac:dyDescent="0.35">
      <c r="A1140" s="86" t="s">
        <v>1285</v>
      </c>
      <c r="B1140" s="90" t="s">
        <v>53</v>
      </c>
      <c r="C1140" s="86" t="s">
        <v>706</v>
      </c>
    </row>
    <row r="1141" spans="1:3" ht="18" customHeight="1" x14ac:dyDescent="0.35">
      <c r="A1141" s="86" t="s">
        <v>1286</v>
      </c>
      <c r="B1141" s="90" t="s">
        <v>53</v>
      </c>
      <c r="C1141" s="86" t="s">
        <v>706</v>
      </c>
    </row>
    <row r="1142" spans="1:3" ht="18" customHeight="1" x14ac:dyDescent="0.35">
      <c r="A1142" s="86" t="s">
        <v>1287</v>
      </c>
      <c r="B1142" s="90" t="s">
        <v>53</v>
      </c>
      <c r="C1142" s="86" t="s">
        <v>706</v>
      </c>
    </row>
    <row r="1143" spans="1:3" ht="18" customHeight="1" x14ac:dyDescent="0.35">
      <c r="A1143" s="86" t="s">
        <v>1288</v>
      </c>
      <c r="B1143" s="90" t="s">
        <v>53</v>
      </c>
      <c r="C1143" s="86" t="s">
        <v>706</v>
      </c>
    </row>
    <row r="1144" spans="1:3" ht="18" customHeight="1" x14ac:dyDescent="0.35">
      <c r="A1144" s="86" t="s">
        <v>1289</v>
      </c>
      <c r="B1144" s="90" t="s">
        <v>53</v>
      </c>
      <c r="C1144" s="86" t="s">
        <v>706</v>
      </c>
    </row>
    <row r="1145" spans="1:3" ht="18" customHeight="1" x14ac:dyDescent="0.35">
      <c r="A1145" s="86" t="s">
        <v>1290</v>
      </c>
      <c r="B1145" s="90" t="s">
        <v>53</v>
      </c>
      <c r="C1145" s="86" t="s">
        <v>706</v>
      </c>
    </row>
    <row r="1146" spans="1:3" ht="18" customHeight="1" x14ac:dyDescent="0.35">
      <c r="A1146" s="86" t="s">
        <v>1291</v>
      </c>
      <c r="B1146" s="90" t="s">
        <v>53</v>
      </c>
      <c r="C1146" s="86" t="s">
        <v>1292</v>
      </c>
    </row>
    <row r="1147" spans="1:3" ht="18" customHeight="1" x14ac:dyDescent="0.35">
      <c r="A1147" s="86" t="s">
        <v>1293</v>
      </c>
      <c r="B1147" s="90" t="s">
        <v>53</v>
      </c>
      <c r="C1147" s="86" t="s">
        <v>1292</v>
      </c>
    </row>
    <row r="1148" spans="1:3" ht="18" customHeight="1" x14ac:dyDescent="0.35">
      <c r="A1148" s="86" t="s">
        <v>1294</v>
      </c>
      <c r="B1148" s="90" t="s">
        <v>53</v>
      </c>
      <c r="C1148" s="86" t="s">
        <v>1292</v>
      </c>
    </row>
    <row r="1149" spans="1:3" ht="18" customHeight="1" x14ac:dyDescent="0.35">
      <c r="A1149" s="86" t="s">
        <v>1295</v>
      </c>
      <c r="B1149" s="90" t="s">
        <v>53</v>
      </c>
      <c r="C1149" s="86" t="s">
        <v>725</v>
      </c>
    </row>
    <row r="1150" spans="1:3" ht="18" customHeight="1" x14ac:dyDescent="0.35">
      <c r="A1150" s="86" t="s">
        <v>1296</v>
      </c>
      <c r="B1150" s="90" t="s">
        <v>53</v>
      </c>
      <c r="C1150" s="86" t="s">
        <v>725</v>
      </c>
    </row>
    <row r="1151" spans="1:3" ht="18" customHeight="1" x14ac:dyDescent="0.35">
      <c r="A1151" s="86" t="s">
        <v>1297</v>
      </c>
      <c r="B1151" s="90" t="s">
        <v>53</v>
      </c>
      <c r="C1151" s="86" t="s">
        <v>725</v>
      </c>
    </row>
    <row r="1152" spans="1:3" ht="18" customHeight="1" x14ac:dyDescent="0.35">
      <c r="A1152" s="86" t="s">
        <v>1298</v>
      </c>
      <c r="B1152" s="90" t="s">
        <v>53</v>
      </c>
      <c r="C1152" s="86" t="s">
        <v>725</v>
      </c>
    </row>
    <row r="1153" spans="1:3" ht="18" customHeight="1" x14ac:dyDescent="0.35">
      <c r="A1153" s="86" t="s">
        <v>1299</v>
      </c>
      <c r="B1153" s="90" t="s">
        <v>53</v>
      </c>
      <c r="C1153" s="86" t="s">
        <v>725</v>
      </c>
    </row>
    <row r="1154" spans="1:3" ht="18" customHeight="1" x14ac:dyDescent="0.35">
      <c r="A1154" s="86" t="s">
        <v>1300</v>
      </c>
      <c r="B1154" s="90" t="s">
        <v>53</v>
      </c>
      <c r="C1154" s="86" t="s">
        <v>829</v>
      </c>
    </row>
    <row r="1155" spans="1:3" ht="18" customHeight="1" x14ac:dyDescent="0.35">
      <c r="A1155" s="86" t="s">
        <v>1301</v>
      </c>
      <c r="B1155" s="90" t="s">
        <v>53</v>
      </c>
      <c r="C1155" s="86" t="s">
        <v>829</v>
      </c>
    </row>
    <row r="1156" spans="1:3" ht="18" customHeight="1" x14ac:dyDescent="0.35">
      <c r="A1156" s="86" t="s">
        <v>1302</v>
      </c>
      <c r="B1156" s="90" t="s">
        <v>53</v>
      </c>
      <c r="C1156" s="86" t="s">
        <v>829</v>
      </c>
    </row>
    <row r="1157" spans="1:3" ht="18" customHeight="1" x14ac:dyDescent="0.35">
      <c r="A1157" s="86" t="s">
        <v>1303</v>
      </c>
      <c r="B1157" s="90" t="s">
        <v>53</v>
      </c>
      <c r="C1157" s="86"/>
    </row>
    <row r="1158" spans="1:3" ht="18" customHeight="1" x14ac:dyDescent="0.35">
      <c r="A1158" s="86" t="s">
        <v>1304</v>
      </c>
      <c r="B1158" s="90" t="s">
        <v>53</v>
      </c>
      <c r="C1158" s="86" t="s">
        <v>134</v>
      </c>
    </row>
    <row r="1159" spans="1:3" ht="18" customHeight="1" x14ac:dyDescent="0.35">
      <c r="A1159" s="86" t="s">
        <v>1305</v>
      </c>
      <c r="B1159" s="90" t="s">
        <v>53</v>
      </c>
      <c r="C1159" s="86" t="s">
        <v>134</v>
      </c>
    </row>
    <row r="1160" spans="1:3" ht="18" customHeight="1" x14ac:dyDescent="0.35">
      <c r="A1160" s="86" t="s">
        <v>1306</v>
      </c>
      <c r="B1160" s="90" t="s">
        <v>53</v>
      </c>
      <c r="C1160" s="86" t="s">
        <v>134</v>
      </c>
    </row>
    <row r="1161" spans="1:3" ht="18" customHeight="1" x14ac:dyDescent="0.35">
      <c r="A1161" s="86" t="s">
        <v>1307</v>
      </c>
      <c r="B1161" s="90" t="s">
        <v>53</v>
      </c>
      <c r="C1161" s="86" t="s">
        <v>134</v>
      </c>
    </row>
    <row r="1162" spans="1:3" ht="18" customHeight="1" x14ac:dyDescent="0.35">
      <c r="A1162" s="86" t="s">
        <v>1308</v>
      </c>
      <c r="B1162" s="90" t="s">
        <v>53</v>
      </c>
      <c r="C1162" s="86" t="s">
        <v>134</v>
      </c>
    </row>
    <row r="1163" spans="1:3" ht="18" customHeight="1" x14ac:dyDescent="0.35">
      <c r="A1163" s="86" t="s">
        <v>1309</v>
      </c>
      <c r="B1163" s="90" t="s">
        <v>53</v>
      </c>
      <c r="C1163" s="86" t="s">
        <v>134</v>
      </c>
    </row>
    <row r="1164" spans="1:3" ht="18" customHeight="1" x14ac:dyDescent="0.35">
      <c r="A1164" s="86" t="s">
        <v>1310</v>
      </c>
      <c r="B1164" s="90" t="s">
        <v>53</v>
      </c>
      <c r="C1164" s="86" t="s">
        <v>134</v>
      </c>
    </row>
    <row r="1165" spans="1:3" ht="18" customHeight="1" x14ac:dyDescent="0.35">
      <c r="A1165" s="86" t="s">
        <v>1311</v>
      </c>
      <c r="B1165" s="90" t="s">
        <v>53</v>
      </c>
      <c r="C1165" s="86" t="s">
        <v>134</v>
      </c>
    </row>
    <row r="1166" spans="1:3" ht="18" customHeight="1" x14ac:dyDescent="0.35">
      <c r="A1166" s="86" t="s">
        <v>1312</v>
      </c>
      <c r="B1166" s="90" t="s">
        <v>53</v>
      </c>
      <c r="C1166" s="86" t="s">
        <v>134</v>
      </c>
    </row>
    <row r="1167" spans="1:3" ht="18" customHeight="1" x14ac:dyDescent="0.35">
      <c r="A1167" s="86" t="s">
        <v>1313</v>
      </c>
      <c r="B1167" s="90" t="s">
        <v>53</v>
      </c>
      <c r="C1167" s="86" t="s">
        <v>134</v>
      </c>
    </row>
    <row r="1168" spans="1:3" ht="18" customHeight="1" x14ac:dyDescent="0.35">
      <c r="A1168" s="86" t="s">
        <v>1314</v>
      </c>
      <c r="B1168" s="90" t="s">
        <v>53</v>
      </c>
      <c r="C1168" s="86" t="s">
        <v>134</v>
      </c>
    </row>
    <row r="1169" spans="1:3" ht="18" customHeight="1" x14ac:dyDescent="0.35">
      <c r="A1169" s="86" t="s">
        <v>1315</v>
      </c>
      <c r="B1169" s="90" t="s">
        <v>53</v>
      </c>
      <c r="C1169" s="86" t="s">
        <v>134</v>
      </c>
    </row>
    <row r="1170" spans="1:3" ht="18" customHeight="1" x14ac:dyDescent="0.35">
      <c r="A1170" s="86" t="s">
        <v>1316</v>
      </c>
      <c r="B1170" s="90" t="s">
        <v>53</v>
      </c>
      <c r="C1170" s="86" t="s">
        <v>134</v>
      </c>
    </row>
    <row r="1171" spans="1:3" ht="18" customHeight="1" x14ac:dyDescent="0.35">
      <c r="A1171" s="86" t="s">
        <v>1317</v>
      </c>
      <c r="B1171" s="90" t="s">
        <v>53</v>
      </c>
      <c r="C1171" s="86" t="s">
        <v>134</v>
      </c>
    </row>
    <row r="1172" spans="1:3" ht="18" customHeight="1" x14ac:dyDescent="0.35">
      <c r="A1172" s="86" t="s">
        <v>1318</v>
      </c>
      <c r="B1172" s="90" t="s">
        <v>53</v>
      </c>
      <c r="C1172" s="86" t="s">
        <v>134</v>
      </c>
    </row>
    <row r="1173" spans="1:3" ht="18" customHeight="1" x14ac:dyDescent="0.35">
      <c r="A1173" s="86" t="s">
        <v>1319</v>
      </c>
      <c r="B1173" s="90" t="s">
        <v>53</v>
      </c>
      <c r="C1173" s="86" t="s">
        <v>54</v>
      </c>
    </row>
    <row r="1174" spans="1:3" ht="18" customHeight="1" x14ac:dyDescent="0.35">
      <c r="A1174" s="86" t="s">
        <v>1320</v>
      </c>
      <c r="B1174" s="90" t="s">
        <v>53</v>
      </c>
      <c r="C1174" s="86" t="s">
        <v>54</v>
      </c>
    </row>
    <row r="1175" spans="1:3" ht="18" customHeight="1" x14ac:dyDescent="0.35">
      <c r="A1175" s="86" t="s">
        <v>1321</v>
      </c>
      <c r="B1175" s="90" t="s">
        <v>53</v>
      </c>
      <c r="C1175" s="86" t="s">
        <v>54</v>
      </c>
    </row>
    <row r="1176" spans="1:3" ht="18" customHeight="1" x14ac:dyDescent="0.35">
      <c r="A1176" s="86" t="s">
        <v>1322</v>
      </c>
      <c r="B1176" s="90" t="s">
        <v>53</v>
      </c>
      <c r="C1176" s="86" t="s">
        <v>54</v>
      </c>
    </row>
    <row r="1177" spans="1:3" ht="18" customHeight="1" x14ac:dyDescent="0.35">
      <c r="A1177" s="86" t="s">
        <v>1323</v>
      </c>
      <c r="B1177" s="90" t="s">
        <v>53</v>
      </c>
      <c r="C1177" s="86"/>
    </row>
    <row r="1178" spans="1:3" ht="18" customHeight="1" x14ac:dyDescent="0.35">
      <c r="A1178" s="86" t="s">
        <v>1324</v>
      </c>
      <c r="B1178" s="90" t="s">
        <v>53</v>
      </c>
      <c r="C1178" s="86"/>
    </row>
    <row r="1179" spans="1:3" ht="18" customHeight="1" x14ac:dyDescent="0.35">
      <c r="A1179" s="86" t="s">
        <v>1325</v>
      </c>
      <c r="B1179" s="90" t="s">
        <v>53</v>
      </c>
      <c r="C1179" s="86"/>
    </row>
    <row r="1180" spans="1:3" ht="18" customHeight="1" x14ac:dyDescent="0.35">
      <c r="A1180" s="86" t="s">
        <v>1326</v>
      </c>
      <c r="B1180" s="90" t="s">
        <v>53</v>
      </c>
      <c r="C1180" s="86"/>
    </row>
    <row r="1181" spans="1:3" ht="18" customHeight="1" x14ac:dyDescent="0.35">
      <c r="A1181" s="86" t="s">
        <v>1327</v>
      </c>
      <c r="B1181" s="90" t="s">
        <v>53</v>
      </c>
      <c r="C1181" s="86" t="s">
        <v>1328</v>
      </c>
    </row>
    <row r="1182" spans="1:3" ht="18" customHeight="1" x14ac:dyDescent="0.35">
      <c r="A1182" s="86" t="s">
        <v>1329</v>
      </c>
      <c r="B1182" s="90" t="s">
        <v>53</v>
      </c>
      <c r="C1182" s="86" t="s">
        <v>1328</v>
      </c>
    </row>
    <row r="1183" spans="1:3" ht="18" customHeight="1" x14ac:dyDescent="0.35">
      <c r="A1183" s="24" t="s">
        <v>1330</v>
      </c>
      <c r="B1183" s="90" t="s">
        <v>53</v>
      </c>
      <c r="C1183" s="24" t="s">
        <v>83</v>
      </c>
    </row>
    <row r="1184" spans="1:3" ht="18" customHeight="1" x14ac:dyDescent="0.35">
      <c r="A1184" s="24" t="s">
        <v>1331</v>
      </c>
      <c r="B1184" s="90" t="s">
        <v>53</v>
      </c>
      <c r="C1184" s="24" t="s">
        <v>83</v>
      </c>
    </row>
    <row r="1185" spans="1:3" ht="18" customHeight="1" x14ac:dyDescent="0.35">
      <c r="A1185" s="24" t="s">
        <v>1332</v>
      </c>
      <c r="B1185" s="90" t="s">
        <v>53</v>
      </c>
      <c r="C1185" s="24" t="s">
        <v>83</v>
      </c>
    </row>
    <row r="1186" spans="1:3" ht="18" customHeight="1" x14ac:dyDescent="0.35">
      <c r="A1186" s="24" t="s">
        <v>1333</v>
      </c>
      <c r="B1186" s="90" t="s">
        <v>53</v>
      </c>
      <c r="C1186" s="24" t="s">
        <v>83</v>
      </c>
    </row>
    <row r="1187" spans="1:3" ht="18" customHeight="1" x14ac:dyDescent="0.35">
      <c r="A1187" s="24" t="s">
        <v>1334</v>
      </c>
      <c r="B1187" s="90" t="s">
        <v>53</v>
      </c>
      <c r="C1187" s="24" t="s">
        <v>83</v>
      </c>
    </row>
    <row r="1188" spans="1:3" ht="18" customHeight="1" x14ac:dyDescent="0.35">
      <c r="A1188" s="24" t="s">
        <v>1335</v>
      </c>
      <c r="B1188" s="90" t="s">
        <v>53</v>
      </c>
      <c r="C1188" s="24" t="s">
        <v>83</v>
      </c>
    </row>
    <row r="1189" spans="1:3" ht="18" customHeight="1" x14ac:dyDescent="0.35">
      <c r="A1189" s="24" t="s">
        <v>1336</v>
      </c>
      <c r="B1189" s="90" t="s">
        <v>53</v>
      </c>
      <c r="C1189" s="24" t="s">
        <v>83</v>
      </c>
    </row>
    <row r="1190" spans="1:3" ht="18" customHeight="1" x14ac:dyDescent="0.35">
      <c r="A1190" s="24" t="s">
        <v>1337</v>
      </c>
      <c r="B1190" s="90" t="s">
        <v>53</v>
      </c>
      <c r="C1190" s="24" t="s">
        <v>83</v>
      </c>
    </row>
    <row r="1191" spans="1:3" ht="18" customHeight="1" x14ac:dyDescent="0.35">
      <c r="A1191" s="24" t="s">
        <v>1338</v>
      </c>
      <c r="B1191" s="90" t="s">
        <v>53</v>
      </c>
      <c r="C1191" s="24" t="s">
        <v>83</v>
      </c>
    </row>
    <row r="1192" spans="1:3" ht="18" customHeight="1" x14ac:dyDescent="0.35">
      <c r="A1192" s="24" t="s">
        <v>1339</v>
      </c>
      <c r="B1192" s="90" t="s">
        <v>53</v>
      </c>
      <c r="C1192" s="24" t="s">
        <v>83</v>
      </c>
    </row>
    <row r="1193" spans="1:3" ht="18" customHeight="1" x14ac:dyDescent="0.35">
      <c r="A1193" s="24" t="s">
        <v>1340</v>
      </c>
      <c r="B1193" s="90" t="s">
        <v>53</v>
      </c>
      <c r="C1193" s="24" t="s">
        <v>83</v>
      </c>
    </row>
    <row r="1194" spans="1:3" ht="18" customHeight="1" x14ac:dyDescent="0.35">
      <c r="A1194" s="24" t="s">
        <v>1341</v>
      </c>
      <c r="B1194" s="90" t="s">
        <v>53</v>
      </c>
      <c r="C1194" s="24" t="s">
        <v>83</v>
      </c>
    </row>
    <row r="1195" spans="1:3" ht="18" customHeight="1" x14ac:dyDescent="0.35">
      <c r="A1195" s="24" t="s">
        <v>1342</v>
      </c>
      <c r="B1195" s="90" t="s">
        <v>53</v>
      </c>
      <c r="C1195" s="24" t="s">
        <v>83</v>
      </c>
    </row>
    <row r="1196" spans="1:3" ht="18" customHeight="1" x14ac:dyDescent="0.35">
      <c r="A1196" s="24" t="s">
        <v>1343</v>
      </c>
      <c r="B1196" s="90" t="s">
        <v>53</v>
      </c>
      <c r="C1196" s="24" t="s">
        <v>83</v>
      </c>
    </row>
    <row r="1197" spans="1:3" ht="18" customHeight="1" x14ac:dyDescent="0.35">
      <c r="A1197" s="24" t="s">
        <v>1344</v>
      </c>
      <c r="B1197" s="90" t="s">
        <v>53</v>
      </c>
      <c r="C1197" s="24" t="s">
        <v>83</v>
      </c>
    </row>
    <row r="1198" spans="1:3" ht="18" customHeight="1" x14ac:dyDescent="0.35">
      <c r="A1198" s="24" t="s">
        <v>1345</v>
      </c>
      <c r="B1198" s="90" t="s">
        <v>53</v>
      </c>
      <c r="C1198" s="24" t="s">
        <v>83</v>
      </c>
    </row>
    <row r="1199" spans="1:3" ht="18" customHeight="1" x14ac:dyDescent="0.35">
      <c r="A1199" s="24" t="s">
        <v>1346</v>
      </c>
      <c r="B1199" s="90" t="s">
        <v>53</v>
      </c>
      <c r="C1199" s="24" t="s">
        <v>83</v>
      </c>
    </row>
    <row r="1200" spans="1:3" ht="18" customHeight="1" x14ac:dyDescent="0.35">
      <c r="A1200" s="24" t="s">
        <v>1347</v>
      </c>
      <c r="B1200" s="90" t="s">
        <v>53</v>
      </c>
      <c r="C1200" s="24" t="s">
        <v>83</v>
      </c>
    </row>
    <row r="1201" spans="1:3" ht="18" customHeight="1" x14ac:dyDescent="0.35">
      <c r="A1201" s="24" t="s">
        <v>1348</v>
      </c>
      <c r="B1201" s="90" t="s">
        <v>53</v>
      </c>
      <c r="C1201" s="24" t="s">
        <v>83</v>
      </c>
    </row>
    <row r="1202" spans="1:3" ht="18" customHeight="1" x14ac:dyDescent="0.35">
      <c r="A1202" s="24" t="s">
        <v>1349</v>
      </c>
      <c r="B1202" s="90" t="s">
        <v>53</v>
      </c>
      <c r="C1202" s="24" t="s">
        <v>83</v>
      </c>
    </row>
    <row r="1203" spans="1:3" ht="18" customHeight="1" x14ac:dyDescent="0.35">
      <c r="A1203" s="24" t="s">
        <v>1350</v>
      </c>
      <c r="B1203" s="90" t="s">
        <v>53</v>
      </c>
      <c r="C1203" s="24" t="s">
        <v>83</v>
      </c>
    </row>
    <row r="1204" spans="1:3" ht="18" customHeight="1" x14ac:dyDescent="0.35">
      <c r="A1204" s="24" t="s">
        <v>1351</v>
      </c>
      <c r="B1204" s="90" t="s">
        <v>53</v>
      </c>
      <c r="C1204" s="24" t="s">
        <v>83</v>
      </c>
    </row>
    <row r="1205" spans="1:3" ht="18" customHeight="1" x14ac:dyDescent="0.35">
      <c r="A1205" s="24" t="s">
        <v>1352</v>
      </c>
      <c r="B1205" s="90" t="s">
        <v>53</v>
      </c>
      <c r="C1205" s="24" t="s">
        <v>83</v>
      </c>
    </row>
    <row r="1206" spans="1:3" ht="18" customHeight="1" x14ac:dyDescent="0.35">
      <c r="A1206" s="24" t="s">
        <v>1353</v>
      </c>
      <c r="B1206" s="90" t="s">
        <v>53</v>
      </c>
      <c r="C1206" s="24" t="s">
        <v>83</v>
      </c>
    </row>
    <row r="1207" spans="1:3" ht="18" customHeight="1" x14ac:dyDescent="0.35">
      <c r="A1207" s="24" t="s">
        <v>1354</v>
      </c>
      <c r="B1207" s="90" t="s">
        <v>53</v>
      </c>
      <c r="C1207" s="24" t="s">
        <v>83</v>
      </c>
    </row>
    <row r="1208" spans="1:3" ht="18" customHeight="1" x14ac:dyDescent="0.35">
      <c r="A1208" s="24" t="s">
        <v>1355</v>
      </c>
      <c r="B1208" s="90" t="s">
        <v>53</v>
      </c>
      <c r="C1208" s="24" t="s">
        <v>83</v>
      </c>
    </row>
    <row r="1209" spans="1:3" ht="18" customHeight="1" x14ac:dyDescent="0.35">
      <c r="A1209" s="24" t="s">
        <v>1356</v>
      </c>
      <c r="B1209" s="90" t="s">
        <v>53</v>
      </c>
      <c r="C1209" s="24" t="s">
        <v>83</v>
      </c>
    </row>
    <row r="1210" spans="1:3" ht="18" customHeight="1" x14ac:dyDescent="0.35">
      <c r="A1210" s="24" t="s">
        <v>1357</v>
      </c>
      <c r="B1210" s="90" t="s">
        <v>53</v>
      </c>
      <c r="C1210" s="24" t="s">
        <v>83</v>
      </c>
    </row>
    <row r="1211" spans="1:3" ht="18" customHeight="1" x14ac:dyDescent="0.35">
      <c r="A1211" s="24" t="s">
        <v>1358</v>
      </c>
      <c r="B1211" s="90" t="s">
        <v>53</v>
      </c>
      <c r="C1211" s="24" t="s">
        <v>83</v>
      </c>
    </row>
    <row r="1212" spans="1:3" ht="18" customHeight="1" x14ac:dyDescent="0.35">
      <c r="A1212" s="24" t="s">
        <v>1359</v>
      </c>
      <c r="B1212" s="90" t="s">
        <v>53</v>
      </c>
      <c r="C1212" s="24" t="s">
        <v>83</v>
      </c>
    </row>
    <row r="1213" spans="1:3" ht="18" customHeight="1" x14ac:dyDescent="0.35">
      <c r="A1213" s="24" t="s">
        <v>1360</v>
      </c>
      <c r="B1213" s="90" t="s">
        <v>53</v>
      </c>
      <c r="C1213" s="24" t="s">
        <v>83</v>
      </c>
    </row>
    <row r="1214" spans="1:3" ht="18" customHeight="1" x14ac:dyDescent="0.35">
      <c r="A1214" s="24" t="s">
        <v>1361</v>
      </c>
      <c r="B1214" s="90" t="s">
        <v>53</v>
      </c>
      <c r="C1214" s="24" t="s">
        <v>83</v>
      </c>
    </row>
    <row r="1215" spans="1:3" ht="18" customHeight="1" x14ac:dyDescent="0.35">
      <c r="A1215" s="24" t="s">
        <v>1362</v>
      </c>
      <c r="B1215" s="90" t="s">
        <v>53</v>
      </c>
      <c r="C1215" s="24" t="s">
        <v>83</v>
      </c>
    </row>
    <row r="1216" spans="1:3" ht="18" customHeight="1" x14ac:dyDescent="0.35">
      <c r="A1216" s="24" t="s">
        <v>1363</v>
      </c>
      <c r="B1216" s="90" t="s">
        <v>53</v>
      </c>
      <c r="C1216" s="24" t="s">
        <v>83</v>
      </c>
    </row>
    <row r="1217" spans="1:3" ht="18" customHeight="1" x14ac:dyDescent="0.35">
      <c r="A1217" s="24" t="s">
        <v>1364</v>
      </c>
      <c r="B1217" s="90" t="s">
        <v>53</v>
      </c>
      <c r="C1217" s="24" t="s">
        <v>83</v>
      </c>
    </row>
    <row r="1218" spans="1:3" ht="18" customHeight="1" x14ac:dyDescent="0.35">
      <c r="A1218" s="24" t="s">
        <v>1365</v>
      </c>
      <c r="B1218" s="90" t="s">
        <v>53</v>
      </c>
      <c r="C1218" s="24" t="s">
        <v>83</v>
      </c>
    </row>
    <row r="1219" spans="1:3" ht="18" customHeight="1" x14ac:dyDescent="0.35">
      <c r="A1219" s="24" t="s">
        <v>1366</v>
      </c>
      <c r="B1219" s="90" t="s">
        <v>53</v>
      </c>
      <c r="C1219" s="24" t="s">
        <v>83</v>
      </c>
    </row>
    <row r="1220" spans="1:3" ht="18" customHeight="1" x14ac:dyDescent="0.35">
      <c r="A1220" s="24" t="s">
        <v>1367</v>
      </c>
      <c r="B1220" s="90" t="s">
        <v>53</v>
      </c>
      <c r="C1220" s="24" t="s">
        <v>83</v>
      </c>
    </row>
    <row r="1221" spans="1:3" ht="18" customHeight="1" x14ac:dyDescent="0.35">
      <c r="A1221" s="24" t="s">
        <v>1368</v>
      </c>
      <c r="B1221" s="90" t="s">
        <v>53</v>
      </c>
      <c r="C1221" s="24" t="s">
        <v>83</v>
      </c>
    </row>
    <row r="1222" spans="1:3" ht="18" customHeight="1" x14ac:dyDescent="0.35">
      <c r="A1222" s="24" t="s">
        <v>1369</v>
      </c>
      <c r="B1222" s="90" t="s">
        <v>53</v>
      </c>
      <c r="C1222" s="24" t="s">
        <v>83</v>
      </c>
    </row>
    <row r="1223" spans="1:3" ht="18" customHeight="1" x14ac:dyDescent="0.35">
      <c r="A1223" s="24" t="s">
        <v>1370</v>
      </c>
      <c r="B1223" s="90" t="s">
        <v>53</v>
      </c>
      <c r="C1223" s="24" t="s">
        <v>83</v>
      </c>
    </row>
    <row r="1224" spans="1:3" ht="18" customHeight="1" x14ac:dyDescent="0.35">
      <c r="A1224" s="24" t="s">
        <v>1371</v>
      </c>
      <c r="B1224" s="90" t="s">
        <v>53</v>
      </c>
      <c r="C1224" s="24" t="s">
        <v>83</v>
      </c>
    </row>
    <row r="1225" spans="1:3" ht="18" customHeight="1" x14ac:dyDescent="0.35">
      <c r="A1225" s="24" t="s">
        <v>1372</v>
      </c>
      <c r="B1225" s="90" t="s">
        <v>53</v>
      </c>
      <c r="C1225" s="24" t="s">
        <v>83</v>
      </c>
    </row>
    <row r="1226" spans="1:3" ht="18" customHeight="1" x14ac:dyDescent="0.35">
      <c r="A1226" s="24" t="s">
        <v>1373</v>
      </c>
      <c r="B1226" s="90" t="s">
        <v>53</v>
      </c>
      <c r="C1226" s="24" t="s">
        <v>83</v>
      </c>
    </row>
    <row r="1227" spans="1:3" ht="18" customHeight="1" x14ac:dyDescent="0.35">
      <c r="A1227" s="24" t="s">
        <v>1374</v>
      </c>
      <c r="B1227" s="90" t="s">
        <v>53</v>
      </c>
      <c r="C1227" s="24" t="s">
        <v>83</v>
      </c>
    </row>
    <row r="1228" spans="1:3" ht="18" customHeight="1" x14ac:dyDescent="0.35">
      <c r="A1228" s="24" t="s">
        <v>1375</v>
      </c>
      <c r="B1228" s="90" t="s">
        <v>53</v>
      </c>
      <c r="C1228" s="24" t="s">
        <v>83</v>
      </c>
    </row>
    <row r="1229" spans="1:3" ht="18" customHeight="1" x14ac:dyDescent="0.35">
      <c r="A1229" s="24" t="s">
        <v>1376</v>
      </c>
      <c r="B1229" s="90" t="s">
        <v>53</v>
      </c>
      <c r="C1229" s="24" t="s">
        <v>83</v>
      </c>
    </row>
    <row r="1230" spans="1:3" ht="18" customHeight="1" x14ac:dyDescent="0.35">
      <c r="A1230" s="24" t="s">
        <v>1377</v>
      </c>
      <c r="B1230" s="90" t="s">
        <v>53</v>
      </c>
      <c r="C1230" s="24" t="s">
        <v>83</v>
      </c>
    </row>
    <row r="1231" spans="1:3" ht="18" customHeight="1" x14ac:dyDescent="0.35">
      <c r="A1231" s="24" t="s">
        <v>1378</v>
      </c>
      <c r="B1231" s="90" t="s">
        <v>53</v>
      </c>
      <c r="C1231" s="24" t="s">
        <v>83</v>
      </c>
    </row>
    <row r="1232" spans="1:3" ht="18" customHeight="1" x14ac:dyDescent="0.35">
      <c r="A1232" s="24" t="s">
        <v>1379</v>
      </c>
      <c r="B1232" s="90" t="s">
        <v>53</v>
      </c>
      <c r="C1232" s="24" t="s">
        <v>83</v>
      </c>
    </row>
    <row r="1233" spans="1:3" ht="18" customHeight="1" x14ac:dyDescent="0.35">
      <c r="A1233" s="24" t="s">
        <v>1380</v>
      </c>
      <c r="B1233" s="90" t="s">
        <v>53</v>
      </c>
      <c r="C1233" s="24" t="s">
        <v>83</v>
      </c>
    </row>
    <row r="1234" spans="1:3" ht="18" customHeight="1" x14ac:dyDescent="0.35">
      <c r="A1234" s="24" t="s">
        <v>1381</v>
      </c>
      <c r="B1234" s="90" t="s">
        <v>53</v>
      </c>
      <c r="C1234" s="24" t="s">
        <v>83</v>
      </c>
    </row>
    <row r="1235" spans="1:3" ht="18" customHeight="1" x14ac:dyDescent="0.35">
      <c r="A1235" s="24" t="s">
        <v>1382</v>
      </c>
      <c r="B1235" s="90" t="s">
        <v>53</v>
      </c>
      <c r="C1235" s="24" t="s">
        <v>83</v>
      </c>
    </row>
    <row r="1236" spans="1:3" ht="18" customHeight="1" x14ac:dyDescent="0.35">
      <c r="A1236" s="24" t="s">
        <v>1383</v>
      </c>
      <c r="B1236" s="90" t="s">
        <v>53</v>
      </c>
      <c r="C1236" s="24" t="s">
        <v>83</v>
      </c>
    </row>
    <row r="1237" spans="1:3" ht="18" customHeight="1" x14ac:dyDescent="0.35">
      <c r="A1237" s="24" t="s">
        <v>1384</v>
      </c>
      <c r="B1237" s="90" t="s">
        <v>53</v>
      </c>
      <c r="C1237" s="24" t="s">
        <v>83</v>
      </c>
    </row>
    <row r="1238" spans="1:3" ht="18" customHeight="1" x14ac:dyDescent="0.35">
      <c r="A1238" s="24" t="s">
        <v>1385</v>
      </c>
      <c r="B1238" s="90" t="s">
        <v>53</v>
      </c>
      <c r="C1238" s="24" t="s">
        <v>83</v>
      </c>
    </row>
    <row r="1239" spans="1:3" ht="18" customHeight="1" x14ac:dyDescent="0.35">
      <c r="A1239" s="24" t="s">
        <v>1386</v>
      </c>
      <c r="B1239" s="90" t="s">
        <v>53</v>
      </c>
      <c r="C1239" s="24" t="s">
        <v>83</v>
      </c>
    </row>
    <row r="1240" spans="1:3" ht="18" customHeight="1" x14ac:dyDescent="0.35">
      <c r="A1240" s="24" t="s">
        <v>1387</v>
      </c>
      <c r="B1240" s="90" t="s">
        <v>53</v>
      </c>
      <c r="C1240" s="24" t="s">
        <v>83</v>
      </c>
    </row>
    <row r="1241" spans="1:3" ht="18" customHeight="1" x14ac:dyDescent="0.35">
      <c r="A1241" s="24" t="s">
        <v>1388</v>
      </c>
      <c r="B1241" s="90" t="s">
        <v>53</v>
      </c>
      <c r="C1241" s="24" t="s">
        <v>83</v>
      </c>
    </row>
    <row r="1242" spans="1:3" ht="18" customHeight="1" x14ac:dyDescent="0.35">
      <c r="A1242" s="24" t="s">
        <v>1389</v>
      </c>
      <c r="B1242" s="90" t="s">
        <v>53</v>
      </c>
      <c r="C1242" s="24" t="s">
        <v>83</v>
      </c>
    </row>
    <row r="1243" spans="1:3" ht="18" customHeight="1" x14ac:dyDescent="0.35">
      <c r="A1243" s="24" t="s">
        <v>1390</v>
      </c>
      <c r="B1243" s="90" t="s">
        <v>53</v>
      </c>
      <c r="C1243" s="24" t="s">
        <v>83</v>
      </c>
    </row>
    <row r="1244" spans="1:3" ht="18" customHeight="1" x14ac:dyDescent="0.35">
      <c r="A1244" s="24" t="s">
        <v>1391</v>
      </c>
      <c r="B1244" s="90" t="s">
        <v>53</v>
      </c>
      <c r="C1244" s="24" t="s">
        <v>83</v>
      </c>
    </row>
    <row r="1245" spans="1:3" ht="18" customHeight="1" x14ac:dyDescent="0.35">
      <c r="A1245" s="24" t="s">
        <v>1392</v>
      </c>
      <c r="B1245" s="90" t="s">
        <v>53</v>
      </c>
      <c r="C1245" s="24" t="s">
        <v>83</v>
      </c>
    </row>
    <row r="1246" spans="1:3" ht="18" customHeight="1" x14ac:dyDescent="0.35">
      <c r="A1246" s="24" t="s">
        <v>1393</v>
      </c>
      <c r="B1246" s="90" t="s">
        <v>53</v>
      </c>
      <c r="C1246" s="24" t="s">
        <v>83</v>
      </c>
    </row>
    <row r="1247" spans="1:3" ht="18" customHeight="1" x14ac:dyDescent="0.35">
      <c r="A1247" s="24" t="s">
        <v>1394</v>
      </c>
      <c r="B1247" s="90" t="s">
        <v>53</v>
      </c>
      <c r="C1247" s="24" t="s">
        <v>83</v>
      </c>
    </row>
    <row r="1248" spans="1:3" ht="18" customHeight="1" x14ac:dyDescent="0.35">
      <c r="A1248" s="24" t="s">
        <v>1395</v>
      </c>
      <c r="B1248" s="90" t="s">
        <v>53</v>
      </c>
      <c r="C1248" s="24" t="s">
        <v>83</v>
      </c>
    </row>
    <row r="1249" spans="1:3" ht="18" customHeight="1" x14ac:dyDescent="0.35">
      <c r="A1249" s="24" t="s">
        <v>1396</v>
      </c>
      <c r="B1249" s="90" t="s">
        <v>53</v>
      </c>
      <c r="C1249" s="24" t="s">
        <v>83</v>
      </c>
    </row>
    <row r="1250" spans="1:3" ht="18" customHeight="1" x14ac:dyDescent="0.35">
      <c r="A1250" s="24" t="s">
        <v>1397</v>
      </c>
      <c r="B1250" s="90" t="s">
        <v>53</v>
      </c>
      <c r="C1250" s="24" t="s">
        <v>83</v>
      </c>
    </row>
    <row r="1251" spans="1:3" ht="18" customHeight="1" x14ac:dyDescent="0.35">
      <c r="A1251" s="24" t="s">
        <v>1398</v>
      </c>
      <c r="B1251" s="90" t="s">
        <v>53</v>
      </c>
      <c r="C1251" s="24" t="s">
        <v>83</v>
      </c>
    </row>
    <row r="1252" spans="1:3" ht="18" customHeight="1" x14ac:dyDescent="0.35">
      <c r="A1252" s="24" t="s">
        <v>1399</v>
      </c>
      <c r="B1252" s="90" t="s">
        <v>53</v>
      </c>
      <c r="C1252" s="24" t="s">
        <v>83</v>
      </c>
    </row>
    <row r="1253" spans="1:3" ht="18" customHeight="1" x14ac:dyDescent="0.35">
      <c r="A1253" s="24" t="s">
        <v>1400</v>
      </c>
      <c r="B1253" s="90" t="s">
        <v>53</v>
      </c>
      <c r="C1253" s="24" t="s">
        <v>83</v>
      </c>
    </row>
    <row r="1254" spans="1:3" ht="18" customHeight="1" x14ac:dyDescent="0.35">
      <c r="A1254" s="24" t="s">
        <v>1401</v>
      </c>
      <c r="B1254" s="90" t="s">
        <v>53</v>
      </c>
      <c r="C1254" s="24" t="s">
        <v>83</v>
      </c>
    </row>
    <row r="1255" spans="1:3" ht="18" customHeight="1" x14ac:dyDescent="0.35">
      <c r="A1255" s="24" t="s">
        <v>1402</v>
      </c>
      <c r="B1255" s="90" t="s">
        <v>53</v>
      </c>
      <c r="C1255" s="24" t="s">
        <v>83</v>
      </c>
    </row>
    <row r="1256" spans="1:3" ht="18" customHeight="1" x14ac:dyDescent="0.35">
      <c r="A1256" s="24" t="s">
        <v>1403</v>
      </c>
      <c r="B1256" s="90" t="s">
        <v>53</v>
      </c>
      <c r="C1256" s="24" t="s">
        <v>83</v>
      </c>
    </row>
    <row r="1257" spans="1:3" ht="18" customHeight="1" x14ac:dyDescent="0.35">
      <c r="A1257" s="24" t="s">
        <v>1404</v>
      </c>
      <c r="B1257" s="90" t="s">
        <v>53</v>
      </c>
      <c r="C1257" s="24" t="s">
        <v>83</v>
      </c>
    </row>
    <row r="1258" spans="1:3" ht="18" customHeight="1" x14ac:dyDescent="0.35">
      <c r="A1258" s="24" t="s">
        <v>1405</v>
      </c>
      <c r="B1258" s="90" t="s">
        <v>53</v>
      </c>
      <c r="C1258" s="24" t="s">
        <v>83</v>
      </c>
    </row>
    <row r="1259" spans="1:3" ht="18" customHeight="1" x14ac:dyDescent="0.35">
      <c r="A1259" s="24" t="s">
        <v>1406</v>
      </c>
      <c r="B1259" s="90" t="s">
        <v>53</v>
      </c>
      <c r="C1259" s="24" t="s">
        <v>83</v>
      </c>
    </row>
    <row r="1260" spans="1:3" ht="18" customHeight="1" x14ac:dyDescent="0.35">
      <c r="A1260" s="24" t="s">
        <v>1407</v>
      </c>
      <c r="B1260" s="90" t="s">
        <v>53</v>
      </c>
      <c r="C1260" s="24" t="s">
        <v>83</v>
      </c>
    </row>
    <row r="1261" spans="1:3" ht="18" customHeight="1" x14ac:dyDescent="0.35">
      <c r="A1261" s="24" t="s">
        <v>1408</v>
      </c>
      <c r="B1261" s="90" t="s">
        <v>53</v>
      </c>
      <c r="C1261" s="24" t="s">
        <v>83</v>
      </c>
    </row>
    <row r="1262" spans="1:3" ht="18" customHeight="1" x14ac:dyDescent="0.35">
      <c r="A1262" s="24" t="s">
        <v>1409</v>
      </c>
      <c r="B1262" s="90" t="s">
        <v>53</v>
      </c>
      <c r="C1262" s="24" t="s">
        <v>83</v>
      </c>
    </row>
    <row r="1263" spans="1:3" ht="18" customHeight="1" x14ac:dyDescent="0.35">
      <c r="A1263" s="24" t="s">
        <v>1410</v>
      </c>
      <c r="B1263" s="90" t="s">
        <v>53</v>
      </c>
      <c r="C1263" s="24" t="s">
        <v>83</v>
      </c>
    </row>
    <row r="1264" spans="1:3" ht="18" customHeight="1" x14ac:dyDescent="0.35">
      <c r="A1264" s="24" t="s">
        <v>1411</v>
      </c>
      <c r="B1264" s="90" t="s">
        <v>53</v>
      </c>
      <c r="C1264" s="24" t="s">
        <v>83</v>
      </c>
    </row>
    <row r="1265" spans="1:3" ht="18" customHeight="1" x14ac:dyDescent="0.35">
      <c r="A1265" s="24" t="s">
        <v>1412</v>
      </c>
      <c r="B1265" s="90" t="s">
        <v>53</v>
      </c>
      <c r="C1265" s="24" t="s">
        <v>83</v>
      </c>
    </row>
    <row r="1266" spans="1:3" ht="18" customHeight="1" x14ac:dyDescent="0.35">
      <c r="A1266" s="24" t="s">
        <v>1413</v>
      </c>
      <c r="B1266" s="90" t="s">
        <v>53</v>
      </c>
      <c r="C1266" s="24" t="s">
        <v>83</v>
      </c>
    </row>
    <row r="1267" spans="1:3" ht="18" customHeight="1" x14ac:dyDescent="0.35">
      <c r="A1267" s="24" t="s">
        <v>1414</v>
      </c>
      <c r="B1267" s="90" t="s">
        <v>53</v>
      </c>
      <c r="C1267" s="24" t="s">
        <v>83</v>
      </c>
    </row>
    <row r="1268" spans="1:3" ht="18" customHeight="1" x14ac:dyDescent="0.35">
      <c r="A1268" s="24" t="s">
        <v>1415</v>
      </c>
      <c r="B1268" s="90" t="s">
        <v>53</v>
      </c>
      <c r="C1268" s="24" t="s">
        <v>83</v>
      </c>
    </row>
    <row r="1269" spans="1:3" ht="18" customHeight="1" x14ac:dyDescent="0.35">
      <c r="A1269" s="24" t="s">
        <v>1416</v>
      </c>
      <c r="B1269" s="90" t="s">
        <v>53</v>
      </c>
      <c r="C1269" s="24" t="s">
        <v>83</v>
      </c>
    </row>
    <row r="1270" spans="1:3" ht="18" customHeight="1" x14ac:dyDescent="0.35">
      <c r="A1270" s="24" t="s">
        <v>1417</v>
      </c>
      <c r="B1270" s="90" t="s">
        <v>53</v>
      </c>
      <c r="C1270" s="24" t="s">
        <v>83</v>
      </c>
    </row>
    <row r="1271" spans="1:3" ht="18" customHeight="1" x14ac:dyDescent="0.35">
      <c r="A1271" s="24" t="s">
        <v>1418</v>
      </c>
      <c r="B1271" s="90" t="s">
        <v>53</v>
      </c>
      <c r="C1271" s="24" t="s">
        <v>83</v>
      </c>
    </row>
    <row r="1272" spans="1:3" ht="18" customHeight="1" x14ac:dyDescent="0.35">
      <c r="A1272" s="86" t="s">
        <v>1419</v>
      </c>
      <c r="B1272" s="90" t="s">
        <v>53</v>
      </c>
      <c r="C1272" s="86" t="s">
        <v>759</v>
      </c>
    </row>
    <row r="1273" spans="1:3" ht="18" customHeight="1" x14ac:dyDescent="0.35">
      <c r="A1273" s="86" t="s">
        <v>1420</v>
      </c>
      <c r="B1273" s="90" t="s">
        <v>53</v>
      </c>
      <c r="C1273" s="86" t="s">
        <v>759</v>
      </c>
    </row>
    <row r="1274" spans="1:3" ht="18" customHeight="1" x14ac:dyDescent="0.35">
      <c r="A1274" s="86" t="s">
        <v>1421</v>
      </c>
      <c r="B1274" s="90" t="s">
        <v>53</v>
      </c>
      <c r="C1274" s="86" t="s">
        <v>759</v>
      </c>
    </row>
    <row r="1275" spans="1:3" ht="18" customHeight="1" x14ac:dyDescent="0.35">
      <c r="A1275" s="86" t="s">
        <v>1422</v>
      </c>
      <c r="B1275" s="90" t="s">
        <v>53</v>
      </c>
      <c r="C1275" s="86" t="s">
        <v>759</v>
      </c>
    </row>
    <row r="1276" spans="1:3" ht="18" customHeight="1" x14ac:dyDescent="0.35">
      <c r="A1276" s="86" t="s">
        <v>1423</v>
      </c>
      <c r="B1276" s="90" t="s">
        <v>53</v>
      </c>
      <c r="C1276" s="86" t="s">
        <v>759</v>
      </c>
    </row>
    <row r="1277" spans="1:3" ht="18" customHeight="1" x14ac:dyDescent="0.35">
      <c r="A1277" s="86" t="s">
        <v>1424</v>
      </c>
      <c r="B1277" s="90" t="s">
        <v>53</v>
      </c>
      <c r="C1277" s="86" t="s">
        <v>759</v>
      </c>
    </row>
    <row r="1278" spans="1:3" ht="18" customHeight="1" x14ac:dyDescent="0.35">
      <c r="A1278" s="86" t="s">
        <v>1425</v>
      </c>
      <c r="B1278" s="90" t="s">
        <v>53</v>
      </c>
      <c r="C1278" s="86" t="s">
        <v>759</v>
      </c>
    </row>
    <row r="1279" spans="1:3" ht="18" customHeight="1" x14ac:dyDescent="0.35">
      <c r="A1279" s="86" t="s">
        <v>1426</v>
      </c>
      <c r="B1279" s="90" t="s">
        <v>53</v>
      </c>
      <c r="C1279" s="86" t="s">
        <v>759</v>
      </c>
    </row>
    <row r="1280" spans="1:3" ht="18" customHeight="1" x14ac:dyDescent="0.35">
      <c r="A1280" s="86" t="s">
        <v>1427</v>
      </c>
      <c r="B1280" s="90" t="s">
        <v>53</v>
      </c>
      <c r="C1280" s="86" t="s">
        <v>759</v>
      </c>
    </row>
    <row r="1281" spans="1:3" ht="18" customHeight="1" x14ac:dyDescent="0.35">
      <c r="A1281" s="86" t="s">
        <v>1428</v>
      </c>
      <c r="B1281" s="90" t="s">
        <v>53</v>
      </c>
      <c r="C1281" s="86" t="s">
        <v>759</v>
      </c>
    </row>
    <row r="1282" spans="1:3" ht="18" customHeight="1" x14ac:dyDescent="0.35">
      <c r="A1282" s="86" t="s">
        <v>1429</v>
      </c>
      <c r="B1282" s="90" t="s">
        <v>53</v>
      </c>
      <c r="C1282" s="86" t="s">
        <v>759</v>
      </c>
    </row>
    <row r="1283" spans="1:3" ht="18" customHeight="1" x14ac:dyDescent="0.35">
      <c r="A1283" s="86" t="s">
        <v>1430</v>
      </c>
      <c r="B1283" s="90" t="s">
        <v>53</v>
      </c>
      <c r="C1283" s="86" t="s">
        <v>759</v>
      </c>
    </row>
    <row r="1284" spans="1:3" ht="18" customHeight="1" x14ac:dyDescent="0.35">
      <c r="A1284" s="86" t="s">
        <v>1431</v>
      </c>
      <c r="B1284" s="90" t="s">
        <v>53</v>
      </c>
      <c r="C1284" s="86" t="s">
        <v>759</v>
      </c>
    </row>
    <row r="1285" spans="1:3" ht="18" customHeight="1" x14ac:dyDescent="0.35">
      <c r="A1285" s="86" t="s">
        <v>1432</v>
      </c>
      <c r="B1285" s="90" t="s">
        <v>53</v>
      </c>
      <c r="C1285" s="86" t="s">
        <v>759</v>
      </c>
    </row>
    <row r="1286" spans="1:3" ht="18" customHeight="1" x14ac:dyDescent="0.35">
      <c r="A1286" s="86" t="s">
        <v>1433</v>
      </c>
      <c r="B1286" s="90" t="s">
        <v>53</v>
      </c>
      <c r="C1286" s="86" t="s">
        <v>759</v>
      </c>
    </row>
    <row r="1287" spans="1:3" ht="18" customHeight="1" x14ac:dyDescent="0.35">
      <c r="A1287" s="86" t="s">
        <v>1434</v>
      </c>
      <c r="B1287" s="90" t="s">
        <v>53</v>
      </c>
      <c r="C1287" s="86" t="s">
        <v>759</v>
      </c>
    </row>
    <row r="1288" spans="1:3" ht="18" customHeight="1" x14ac:dyDescent="0.35">
      <c r="A1288" s="86" t="s">
        <v>1435</v>
      </c>
      <c r="B1288" s="90" t="s">
        <v>53</v>
      </c>
      <c r="C1288" s="86" t="s">
        <v>759</v>
      </c>
    </row>
    <row r="1289" spans="1:3" ht="18" customHeight="1" x14ac:dyDescent="0.35">
      <c r="A1289" s="86" t="s">
        <v>1436</v>
      </c>
      <c r="B1289" s="90" t="s">
        <v>53</v>
      </c>
      <c r="C1289" s="86" t="s">
        <v>759</v>
      </c>
    </row>
    <row r="1290" spans="1:3" ht="18" customHeight="1" x14ac:dyDescent="0.35">
      <c r="A1290" s="86" t="s">
        <v>1437</v>
      </c>
      <c r="B1290" s="90" t="s">
        <v>53</v>
      </c>
      <c r="C1290" s="86" t="s">
        <v>759</v>
      </c>
    </row>
    <row r="1291" spans="1:3" ht="18" customHeight="1" x14ac:dyDescent="0.35">
      <c r="A1291" s="86" t="s">
        <v>1438</v>
      </c>
      <c r="B1291" s="90" t="s">
        <v>53</v>
      </c>
      <c r="C1291" s="86" t="s">
        <v>759</v>
      </c>
    </row>
    <row r="1292" spans="1:3" ht="18" customHeight="1" x14ac:dyDescent="0.35">
      <c r="A1292" s="86" t="s">
        <v>1439</v>
      </c>
      <c r="B1292" s="90" t="s">
        <v>53</v>
      </c>
      <c r="C1292" s="86" t="s">
        <v>759</v>
      </c>
    </row>
    <row r="1293" spans="1:3" ht="18" customHeight="1" x14ac:dyDescent="0.35">
      <c r="A1293" s="86" t="s">
        <v>1440</v>
      </c>
      <c r="B1293" s="90" t="s">
        <v>53</v>
      </c>
      <c r="C1293" s="86" t="s">
        <v>759</v>
      </c>
    </row>
    <row r="1294" spans="1:3" ht="18" customHeight="1" x14ac:dyDescent="0.35">
      <c r="A1294" s="86" t="s">
        <v>1441</v>
      </c>
      <c r="B1294" s="90" t="s">
        <v>53</v>
      </c>
      <c r="C1294" s="86" t="s">
        <v>759</v>
      </c>
    </row>
    <row r="1295" spans="1:3" ht="18" customHeight="1" x14ac:dyDescent="0.35">
      <c r="A1295" s="86" t="s">
        <v>1442</v>
      </c>
      <c r="B1295" s="90" t="s">
        <v>53</v>
      </c>
      <c r="C1295" s="86" t="s">
        <v>759</v>
      </c>
    </row>
    <row r="1296" spans="1:3" ht="18" customHeight="1" x14ac:dyDescent="0.35">
      <c r="A1296" s="86" t="s">
        <v>1443</v>
      </c>
      <c r="B1296" s="90" t="s">
        <v>53</v>
      </c>
      <c r="C1296" s="86" t="s">
        <v>759</v>
      </c>
    </row>
    <row r="1297" spans="1:3" ht="18" customHeight="1" x14ac:dyDescent="0.35">
      <c r="A1297" s="86" t="s">
        <v>1444</v>
      </c>
      <c r="B1297" s="90" t="s">
        <v>53</v>
      </c>
      <c r="C1297" s="86" t="s">
        <v>759</v>
      </c>
    </row>
    <row r="1298" spans="1:3" ht="18" customHeight="1" x14ac:dyDescent="0.35">
      <c r="A1298" s="86" t="s">
        <v>1445</v>
      </c>
      <c r="B1298" s="90" t="s">
        <v>53</v>
      </c>
      <c r="C1298" s="86" t="s">
        <v>759</v>
      </c>
    </row>
    <row r="1299" spans="1:3" ht="18" customHeight="1" x14ac:dyDescent="0.35">
      <c r="A1299" s="86" t="s">
        <v>1446</v>
      </c>
      <c r="B1299" s="90" t="s">
        <v>53</v>
      </c>
      <c r="C1299" s="86" t="s">
        <v>759</v>
      </c>
    </row>
    <row r="1300" spans="1:3" ht="18" customHeight="1" x14ac:dyDescent="0.35">
      <c r="A1300" s="86" t="s">
        <v>1447</v>
      </c>
      <c r="B1300" s="90" t="s">
        <v>53</v>
      </c>
      <c r="C1300" s="86" t="s">
        <v>759</v>
      </c>
    </row>
    <row r="1301" spans="1:3" ht="18" customHeight="1" x14ac:dyDescent="0.35">
      <c r="A1301" s="86" t="s">
        <v>1448</v>
      </c>
      <c r="B1301" s="90" t="s">
        <v>53</v>
      </c>
      <c r="C1301" s="86" t="s">
        <v>759</v>
      </c>
    </row>
    <row r="1302" spans="1:3" ht="18" customHeight="1" x14ac:dyDescent="0.35">
      <c r="A1302" s="86" t="s">
        <v>1449</v>
      </c>
      <c r="B1302" s="90" t="s">
        <v>53</v>
      </c>
      <c r="C1302" s="86" t="s">
        <v>759</v>
      </c>
    </row>
    <row r="1303" spans="1:3" ht="18" customHeight="1" x14ac:dyDescent="0.35">
      <c r="A1303" s="86" t="s">
        <v>1450</v>
      </c>
      <c r="B1303" s="90" t="s">
        <v>53</v>
      </c>
      <c r="C1303" s="86" t="s">
        <v>759</v>
      </c>
    </row>
    <row r="1304" spans="1:3" ht="18" customHeight="1" x14ac:dyDescent="0.35">
      <c r="A1304" s="86" t="s">
        <v>1451</v>
      </c>
      <c r="B1304" s="90" t="s">
        <v>53</v>
      </c>
      <c r="C1304" s="86" t="s">
        <v>759</v>
      </c>
    </row>
    <row r="1305" spans="1:3" ht="18" customHeight="1" x14ac:dyDescent="0.35">
      <c r="A1305" s="86" t="s">
        <v>1452</v>
      </c>
      <c r="B1305" s="90" t="s">
        <v>53</v>
      </c>
      <c r="C1305" s="86" t="s">
        <v>759</v>
      </c>
    </row>
    <row r="1306" spans="1:3" ht="18" customHeight="1" x14ac:dyDescent="0.35">
      <c r="A1306" s="86" t="s">
        <v>1453</v>
      </c>
      <c r="B1306" s="90" t="s">
        <v>53</v>
      </c>
      <c r="C1306" s="86" t="s">
        <v>759</v>
      </c>
    </row>
    <row r="1307" spans="1:3" ht="18" customHeight="1" x14ac:dyDescent="0.35">
      <c r="A1307" s="86" t="s">
        <v>1454</v>
      </c>
      <c r="B1307" s="90" t="s">
        <v>53</v>
      </c>
      <c r="C1307" s="86" t="s">
        <v>759</v>
      </c>
    </row>
    <row r="1308" spans="1:3" ht="18" customHeight="1" x14ac:dyDescent="0.35">
      <c r="A1308" s="86" t="s">
        <v>1455</v>
      </c>
      <c r="B1308" s="90" t="s">
        <v>53</v>
      </c>
      <c r="C1308" s="86" t="s">
        <v>759</v>
      </c>
    </row>
    <row r="1309" spans="1:3" ht="18" customHeight="1" x14ac:dyDescent="0.35">
      <c r="A1309" s="86" t="s">
        <v>1456</v>
      </c>
      <c r="B1309" s="90" t="s">
        <v>53</v>
      </c>
      <c r="C1309" s="86" t="s">
        <v>759</v>
      </c>
    </row>
    <row r="1310" spans="1:3" ht="18" customHeight="1" x14ac:dyDescent="0.35">
      <c r="A1310" s="86" t="s">
        <v>1457</v>
      </c>
      <c r="B1310" s="90" t="s">
        <v>53</v>
      </c>
      <c r="C1310" s="86" t="s">
        <v>759</v>
      </c>
    </row>
    <row r="1311" spans="1:3" ht="18" customHeight="1" x14ac:dyDescent="0.35">
      <c r="A1311" s="86" t="s">
        <v>1458</v>
      </c>
      <c r="B1311" s="90" t="s">
        <v>53</v>
      </c>
      <c r="C1311" s="86" t="s">
        <v>759</v>
      </c>
    </row>
    <row r="1312" spans="1:3" ht="18" customHeight="1" x14ac:dyDescent="0.35">
      <c r="A1312" s="86" t="s">
        <v>1459</v>
      </c>
      <c r="B1312" s="90" t="s">
        <v>53</v>
      </c>
      <c r="C1312" s="86" t="s">
        <v>759</v>
      </c>
    </row>
    <row r="1313" spans="1:3" ht="18" customHeight="1" x14ac:dyDescent="0.35">
      <c r="A1313" s="86" t="s">
        <v>1460</v>
      </c>
      <c r="B1313" s="90" t="s">
        <v>53</v>
      </c>
      <c r="C1313" s="86" t="s">
        <v>759</v>
      </c>
    </row>
    <row r="1314" spans="1:3" ht="18" customHeight="1" x14ac:dyDescent="0.35">
      <c r="A1314" s="86" t="s">
        <v>1461</v>
      </c>
      <c r="B1314" s="90" t="s">
        <v>53</v>
      </c>
      <c r="C1314" s="86" t="s">
        <v>759</v>
      </c>
    </row>
    <row r="1315" spans="1:3" ht="18" customHeight="1" x14ac:dyDescent="0.35">
      <c r="A1315" s="86" t="s">
        <v>1462</v>
      </c>
      <c r="B1315" s="90" t="s">
        <v>53</v>
      </c>
      <c r="C1315" s="86" t="s">
        <v>759</v>
      </c>
    </row>
    <row r="1316" spans="1:3" ht="18" customHeight="1" x14ac:dyDescent="0.35">
      <c r="A1316" s="86" t="s">
        <v>1463</v>
      </c>
      <c r="B1316" s="90" t="s">
        <v>53</v>
      </c>
      <c r="C1316" s="86" t="s">
        <v>759</v>
      </c>
    </row>
    <row r="1317" spans="1:3" ht="18" customHeight="1" x14ac:dyDescent="0.35">
      <c r="A1317" s="86" t="s">
        <v>1464</v>
      </c>
      <c r="B1317" s="90" t="s">
        <v>53</v>
      </c>
      <c r="C1317" s="86" t="s">
        <v>759</v>
      </c>
    </row>
    <row r="1318" spans="1:3" ht="18" customHeight="1" x14ac:dyDescent="0.35">
      <c r="A1318" s="86" t="s">
        <v>1465</v>
      </c>
      <c r="B1318" s="90" t="s">
        <v>53</v>
      </c>
      <c r="C1318" s="86" t="s">
        <v>759</v>
      </c>
    </row>
    <row r="1319" spans="1:3" ht="18" customHeight="1" x14ac:dyDescent="0.35">
      <c r="A1319" s="86" t="s">
        <v>1466</v>
      </c>
      <c r="B1319" s="90" t="s">
        <v>53</v>
      </c>
      <c r="C1319" s="86" t="s">
        <v>759</v>
      </c>
    </row>
    <row r="1320" spans="1:3" ht="18" customHeight="1" x14ac:dyDescent="0.35">
      <c r="A1320" s="86" t="s">
        <v>1467</v>
      </c>
      <c r="B1320" s="90" t="s">
        <v>53</v>
      </c>
      <c r="C1320" s="86" t="s">
        <v>759</v>
      </c>
    </row>
    <row r="1321" spans="1:3" ht="18" customHeight="1" x14ac:dyDescent="0.35">
      <c r="A1321" s="86" t="s">
        <v>1468</v>
      </c>
      <c r="B1321" s="90" t="s">
        <v>53</v>
      </c>
      <c r="C1321" s="86" t="s">
        <v>759</v>
      </c>
    </row>
    <row r="1322" spans="1:3" ht="18" customHeight="1" x14ac:dyDescent="0.35">
      <c r="A1322" s="86" t="s">
        <v>1469</v>
      </c>
      <c r="B1322" s="90" t="s">
        <v>53</v>
      </c>
      <c r="C1322" s="86" t="s">
        <v>759</v>
      </c>
    </row>
    <row r="1323" spans="1:3" ht="18" customHeight="1" x14ac:dyDescent="0.35">
      <c r="A1323" s="86" t="s">
        <v>1470</v>
      </c>
      <c r="B1323" s="90" t="s">
        <v>53</v>
      </c>
      <c r="C1323" s="86" t="s">
        <v>759</v>
      </c>
    </row>
    <row r="1324" spans="1:3" ht="18" customHeight="1" x14ac:dyDescent="0.35">
      <c r="A1324" s="86" t="s">
        <v>1471</v>
      </c>
      <c r="B1324" s="90" t="s">
        <v>53</v>
      </c>
      <c r="C1324" s="86" t="s">
        <v>759</v>
      </c>
    </row>
    <row r="1325" spans="1:3" ht="18" customHeight="1" x14ac:dyDescent="0.35">
      <c r="A1325" s="86" t="s">
        <v>1472</v>
      </c>
      <c r="B1325" s="90" t="s">
        <v>53</v>
      </c>
      <c r="C1325" s="86" t="s">
        <v>759</v>
      </c>
    </row>
    <row r="1326" spans="1:3" ht="18" customHeight="1" x14ac:dyDescent="0.35">
      <c r="A1326" s="86" t="s">
        <v>1473</v>
      </c>
      <c r="B1326" s="90" t="s">
        <v>53</v>
      </c>
      <c r="C1326" s="86" t="s">
        <v>759</v>
      </c>
    </row>
    <row r="1327" spans="1:3" ht="18" customHeight="1" x14ac:dyDescent="0.35">
      <c r="A1327" s="86" t="s">
        <v>1474</v>
      </c>
      <c r="B1327" s="90" t="s">
        <v>53</v>
      </c>
      <c r="C1327" s="86" t="s">
        <v>759</v>
      </c>
    </row>
    <row r="1328" spans="1:3" ht="18" customHeight="1" x14ac:dyDescent="0.35">
      <c r="A1328" s="86" t="s">
        <v>1475</v>
      </c>
      <c r="B1328" s="90" t="s">
        <v>53</v>
      </c>
      <c r="C1328" s="86" t="s">
        <v>759</v>
      </c>
    </row>
    <row r="1329" spans="1:4" ht="18" customHeight="1" x14ac:dyDescent="0.35">
      <c r="A1329" s="86" t="s">
        <v>1476</v>
      </c>
      <c r="B1329" s="90" t="s">
        <v>53</v>
      </c>
      <c r="C1329" s="86" t="s">
        <v>759</v>
      </c>
    </row>
    <row r="1330" spans="1:4" ht="18" customHeight="1" x14ac:dyDescent="0.35">
      <c r="A1330" s="86" t="s">
        <v>1477</v>
      </c>
      <c r="B1330" s="90" t="s">
        <v>53</v>
      </c>
      <c r="C1330" s="86" t="s">
        <v>759</v>
      </c>
    </row>
    <row r="1331" spans="1:4" ht="18" customHeight="1" x14ac:dyDescent="0.35">
      <c r="A1331" s="86" t="s">
        <v>1478</v>
      </c>
      <c r="B1331" s="90" t="s">
        <v>53</v>
      </c>
      <c r="C1331" s="86" t="s">
        <v>759</v>
      </c>
    </row>
    <row r="1332" spans="1:4" ht="18" customHeight="1" x14ac:dyDescent="0.35">
      <c r="A1332" s="86" t="s">
        <v>1479</v>
      </c>
      <c r="B1332" s="90" t="s">
        <v>53</v>
      </c>
      <c r="C1332" s="86" t="s">
        <v>759</v>
      </c>
    </row>
    <row r="1333" spans="1:4" ht="18" customHeight="1" x14ac:dyDescent="0.35">
      <c r="A1333" s="86" t="s">
        <v>1480</v>
      </c>
      <c r="B1333" s="90" t="s">
        <v>53</v>
      </c>
      <c r="C1333" s="86" t="s">
        <v>759</v>
      </c>
    </row>
    <row r="1334" spans="1:4" ht="18" customHeight="1" x14ac:dyDescent="0.35">
      <c r="A1334" s="86" t="s">
        <v>1481</v>
      </c>
      <c r="B1334" s="90" t="s">
        <v>53</v>
      </c>
      <c r="C1334" s="86" t="s">
        <v>759</v>
      </c>
    </row>
    <row r="1335" spans="1:4" ht="18" customHeight="1" x14ac:dyDescent="0.35">
      <c r="A1335" s="86" t="s">
        <v>1482</v>
      </c>
      <c r="B1335" s="90" t="s">
        <v>53</v>
      </c>
      <c r="C1335" s="86" t="s">
        <v>759</v>
      </c>
    </row>
    <row r="1336" spans="1:4" ht="18" customHeight="1" x14ac:dyDescent="0.35">
      <c r="A1336" s="86" t="s">
        <v>1483</v>
      </c>
      <c r="B1336" s="90" t="s">
        <v>53</v>
      </c>
      <c r="C1336" s="86" t="s">
        <v>759</v>
      </c>
    </row>
    <row r="1337" spans="1:4" ht="18" customHeight="1" x14ac:dyDescent="0.35">
      <c r="A1337" s="86" t="s">
        <v>1484</v>
      </c>
      <c r="B1337" s="90" t="s">
        <v>53</v>
      </c>
      <c r="C1337" s="86" t="s">
        <v>759</v>
      </c>
    </row>
    <row r="1338" spans="1:4" ht="18" customHeight="1" x14ac:dyDescent="0.35">
      <c r="A1338" s="86" t="s">
        <v>1485</v>
      </c>
      <c r="B1338" s="90" t="s">
        <v>53</v>
      </c>
      <c r="C1338" s="86" t="s">
        <v>759</v>
      </c>
    </row>
    <row r="1339" spans="1:4" ht="18" customHeight="1" x14ac:dyDescent="0.35">
      <c r="A1339" s="86" t="s">
        <v>1486</v>
      </c>
      <c r="B1339" s="90" t="s">
        <v>53</v>
      </c>
      <c r="C1339" s="86" t="s">
        <v>759</v>
      </c>
    </row>
    <row r="1340" spans="1:4" ht="18" customHeight="1" x14ac:dyDescent="0.35">
      <c r="A1340" s="86" t="s">
        <v>1487</v>
      </c>
      <c r="B1340" s="90" t="s">
        <v>53</v>
      </c>
      <c r="C1340" s="86" t="s">
        <v>759</v>
      </c>
    </row>
    <row r="1341" spans="1:4" ht="18" customHeight="1" x14ac:dyDescent="0.35">
      <c r="A1341" s="86" t="s">
        <v>1488</v>
      </c>
      <c r="B1341" s="90" t="s">
        <v>53</v>
      </c>
      <c r="C1341" s="86" t="s">
        <v>759</v>
      </c>
    </row>
    <row r="1342" spans="1:4" ht="18" customHeight="1" x14ac:dyDescent="0.35">
      <c r="A1342" s="88" t="s">
        <v>1489</v>
      </c>
      <c r="B1342" s="90" t="s">
        <v>53</v>
      </c>
      <c r="C1342" s="88" t="s">
        <v>759</v>
      </c>
      <c r="D1342" s="75" t="s">
        <v>760</v>
      </c>
    </row>
    <row r="1343" spans="1:4" ht="18" customHeight="1" x14ac:dyDescent="0.35">
      <c r="A1343" s="86" t="s">
        <v>1490</v>
      </c>
      <c r="B1343" s="90" t="s">
        <v>53</v>
      </c>
      <c r="C1343" s="86" t="s">
        <v>759</v>
      </c>
    </row>
    <row r="1344" spans="1:4" ht="18" customHeight="1" x14ac:dyDescent="0.35">
      <c r="A1344" s="86" t="s">
        <v>1491</v>
      </c>
      <c r="B1344" s="90" t="s">
        <v>53</v>
      </c>
      <c r="C1344" s="86" t="s">
        <v>759</v>
      </c>
    </row>
    <row r="1345" spans="1:4" ht="18" customHeight="1" x14ac:dyDescent="0.35">
      <c r="A1345" s="86" t="s">
        <v>1492</v>
      </c>
      <c r="B1345" s="90" t="s">
        <v>53</v>
      </c>
      <c r="C1345" s="86" t="s">
        <v>759</v>
      </c>
    </row>
    <row r="1346" spans="1:4" ht="18" customHeight="1" x14ac:dyDescent="0.35">
      <c r="A1346" s="88" t="s">
        <v>1493</v>
      </c>
      <c r="B1346" s="90" t="s">
        <v>53</v>
      </c>
      <c r="C1346" s="88" t="s">
        <v>759</v>
      </c>
      <c r="D1346" s="75" t="s">
        <v>760</v>
      </c>
    </row>
    <row r="1347" spans="1:4" ht="18" customHeight="1" x14ac:dyDescent="0.35">
      <c r="A1347" s="86" t="s">
        <v>1494</v>
      </c>
      <c r="B1347" s="90" t="s">
        <v>53</v>
      </c>
      <c r="C1347" s="86" t="s">
        <v>759</v>
      </c>
    </row>
    <row r="1348" spans="1:4" ht="18" customHeight="1" x14ac:dyDescent="0.35">
      <c r="A1348" s="86" t="s">
        <v>1495</v>
      </c>
      <c r="B1348" s="90" t="s">
        <v>53</v>
      </c>
      <c r="C1348" s="86" t="s">
        <v>759</v>
      </c>
    </row>
    <row r="1349" spans="1:4" ht="18" customHeight="1" x14ac:dyDescent="0.35">
      <c r="A1349" s="86" t="s">
        <v>1496</v>
      </c>
      <c r="B1349" s="90" t="s">
        <v>53</v>
      </c>
      <c r="C1349" s="86" t="s">
        <v>759</v>
      </c>
    </row>
    <row r="1350" spans="1:4" ht="18" customHeight="1" x14ac:dyDescent="0.35">
      <c r="A1350" s="86" t="s">
        <v>1497</v>
      </c>
      <c r="B1350" s="90" t="s">
        <v>53</v>
      </c>
      <c r="C1350" s="86" t="s">
        <v>759</v>
      </c>
    </row>
    <row r="1351" spans="1:4" ht="18" customHeight="1" x14ac:dyDescent="0.35">
      <c r="A1351" s="86" t="s">
        <v>1498</v>
      </c>
      <c r="B1351" s="90" t="s">
        <v>53</v>
      </c>
      <c r="C1351" s="86" t="s">
        <v>759</v>
      </c>
    </row>
    <row r="1352" spans="1:4" ht="18" customHeight="1" x14ac:dyDescent="0.35">
      <c r="A1352" s="86" t="s">
        <v>1499</v>
      </c>
      <c r="B1352" s="90" t="s">
        <v>53</v>
      </c>
      <c r="C1352" s="86" t="s">
        <v>711</v>
      </c>
    </row>
    <row r="1353" spans="1:4" ht="18" customHeight="1" x14ac:dyDescent="0.35">
      <c r="A1353" s="86" t="s">
        <v>1500</v>
      </c>
      <c r="B1353" s="90" t="s">
        <v>53</v>
      </c>
      <c r="C1353" s="86" t="s">
        <v>54</v>
      </c>
    </row>
    <row r="1354" spans="1:4" ht="18" customHeight="1" x14ac:dyDescent="0.35">
      <c r="A1354" s="86" t="s">
        <v>1501</v>
      </c>
      <c r="B1354" s="90" t="s">
        <v>53</v>
      </c>
      <c r="C1354" s="86" t="s">
        <v>54</v>
      </c>
    </row>
    <row r="1355" spans="1:4" ht="18" customHeight="1" x14ac:dyDescent="0.35">
      <c r="A1355" s="86" t="s">
        <v>1502</v>
      </c>
      <c r="B1355" s="90" t="s">
        <v>53</v>
      </c>
      <c r="C1355" s="86" t="s">
        <v>674</v>
      </c>
    </row>
    <row r="1356" spans="1:4" ht="18" customHeight="1" x14ac:dyDescent="0.35">
      <c r="A1356" s="86" t="s">
        <v>1503</v>
      </c>
      <c r="B1356" s="90" t="s">
        <v>53</v>
      </c>
      <c r="C1356" s="86" t="s">
        <v>674</v>
      </c>
    </row>
    <row r="1357" spans="1:4" ht="18" customHeight="1" x14ac:dyDescent="0.35">
      <c r="A1357" s="86" t="s">
        <v>1504</v>
      </c>
      <c r="B1357" s="90" t="s">
        <v>53</v>
      </c>
      <c r="C1357" s="86" t="s">
        <v>674</v>
      </c>
    </row>
    <row r="1358" spans="1:4" ht="18" customHeight="1" x14ac:dyDescent="0.35">
      <c r="A1358" s="86" t="s">
        <v>1505</v>
      </c>
      <c r="B1358" s="90" t="s">
        <v>53</v>
      </c>
      <c r="C1358" s="86" t="s">
        <v>54</v>
      </c>
    </row>
    <row r="1359" spans="1:4" ht="18" customHeight="1" x14ac:dyDescent="0.35">
      <c r="A1359" s="86" t="s">
        <v>1506</v>
      </c>
      <c r="B1359" s="90" t="s">
        <v>53</v>
      </c>
      <c r="C1359" s="86" t="s">
        <v>54</v>
      </c>
    </row>
    <row r="1360" spans="1:4" ht="18" customHeight="1" x14ac:dyDescent="0.35">
      <c r="A1360" s="86" t="s">
        <v>1507</v>
      </c>
      <c r="B1360" s="90" t="s">
        <v>53</v>
      </c>
      <c r="C1360" s="86" t="s">
        <v>54</v>
      </c>
    </row>
    <row r="1361" spans="1:3" ht="18" customHeight="1" x14ac:dyDescent="0.35">
      <c r="A1361" s="86" t="s">
        <v>1508</v>
      </c>
      <c r="B1361" s="90" t="s">
        <v>53</v>
      </c>
      <c r="C1361" s="86" t="s">
        <v>54</v>
      </c>
    </row>
    <row r="1362" spans="1:3" ht="18" customHeight="1" x14ac:dyDescent="0.35">
      <c r="A1362" s="86" t="s">
        <v>1509</v>
      </c>
      <c r="B1362" s="90" t="s">
        <v>53</v>
      </c>
      <c r="C1362" s="86" t="s">
        <v>54</v>
      </c>
    </row>
    <row r="1363" spans="1:3" ht="18" customHeight="1" x14ac:dyDescent="0.35">
      <c r="A1363" s="86" t="s">
        <v>1510</v>
      </c>
      <c r="B1363" s="90" t="s">
        <v>53</v>
      </c>
      <c r="C1363" s="86" t="s">
        <v>769</v>
      </c>
    </row>
    <row r="1364" spans="1:3" ht="18" customHeight="1" x14ac:dyDescent="0.35">
      <c r="A1364" s="86" t="s">
        <v>1511</v>
      </c>
      <c r="B1364" s="90" t="s">
        <v>53</v>
      </c>
      <c r="C1364" s="86" t="s">
        <v>769</v>
      </c>
    </row>
    <row r="1365" spans="1:3" ht="18" customHeight="1" x14ac:dyDescent="0.35">
      <c r="A1365" s="86" t="s">
        <v>1512</v>
      </c>
      <c r="B1365" s="90" t="s">
        <v>53</v>
      </c>
      <c r="C1365" s="86" t="s">
        <v>769</v>
      </c>
    </row>
    <row r="1366" spans="1:3" ht="18" customHeight="1" x14ac:dyDescent="0.35">
      <c r="A1366" s="86" t="s">
        <v>1513</v>
      </c>
      <c r="B1366" s="90" t="s">
        <v>53</v>
      </c>
      <c r="C1366" s="86" t="s">
        <v>769</v>
      </c>
    </row>
    <row r="1367" spans="1:3" ht="18" customHeight="1" x14ac:dyDescent="0.35">
      <c r="A1367" s="86" t="s">
        <v>1514</v>
      </c>
      <c r="B1367" s="90" t="s">
        <v>53</v>
      </c>
      <c r="C1367" s="86" t="s">
        <v>769</v>
      </c>
    </row>
    <row r="1368" spans="1:3" ht="18" customHeight="1" x14ac:dyDescent="0.35">
      <c r="A1368" s="86" t="s">
        <v>1515</v>
      </c>
      <c r="B1368" s="90" t="s">
        <v>53</v>
      </c>
      <c r="C1368" s="86" t="s">
        <v>769</v>
      </c>
    </row>
    <row r="1369" spans="1:3" ht="18" customHeight="1" x14ac:dyDescent="0.35">
      <c r="A1369" s="86" t="s">
        <v>1516</v>
      </c>
      <c r="B1369" s="90" t="s">
        <v>53</v>
      </c>
      <c r="C1369" s="86" t="s">
        <v>769</v>
      </c>
    </row>
    <row r="1370" spans="1:3" ht="18" customHeight="1" x14ac:dyDescent="0.35">
      <c r="A1370" s="86" t="s">
        <v>1517</v>
      </c>
      <c r="B1370" s="90" t="s">
        <v>53</v>
      </c>
      <c r="C1370" s="86" t="s">
        <v>769</v>
      </c>
    </row>
    <row r="1371" spans="1:3" ht="18" customHeight="1" x14ac:dyDescent="0.35">
      <c r="A1371" s="86" t="s">
        <v>1518</v>
      </c>
      <c r="B1371" s="90" t="s">
        <v>53</v>
      </c>
      <c r="C1371" s="86" t="s">
        <v>769</v>
      </c>
    </row>
    <row r="1372" spans="1:3" ht="18" customHeight="1" x14ac:dyDescent="0.35">
      <c r="A1372" s="86" t="s">
        <v>1519</v>
      </c>
      <c r="B1372" s="90" t="s">
        <v>53</v>
      </c>
      <c r="C1372" s="86" t="s">
        <v>769</v>
      </c>
    </row>
    <row r="1373" spans="1:3" ht="18" customHeight="1" x14ac:dyDescent="0.35">
      <c r="A1373" s="86" t="s">
        <v>1520</v>
      </c>
      <c r="B1373" s="90" t="s">
        <v>53</v>
      </c>
      <c r="C1373" s="86" t="s">
        <v>769</v>
      </c>
    </row>
    <row r="1374" spans="1:3" ht="18" customHeight="1" x14ac:dyDescent="0.35">
      <c r="A1374" s="86" t="s">
        <v>1521</v>
      </c>
      <c r="B1374" s="90" t="s">
        <v>53</v>
      </c>
      <c r="C1374" s="86" t="s">
        <v>769</v>
      </c>
    </row>
    <row r="1375" spans="1:3" ht="18" customHeight="1" x14ac:dyDescent="0.35">
      <c r="A1375" s="86" t="s">
        <v>1522</v>
      </c>
      <c r="B1375" s="90" t="s">
        <v>53</v>
      </c>
      <c r="C1375" s="86" t="s">
        <v>769</v>
      </c>
    </row>
    <row r="1376" spans="1:3" ht="18" customHeight="1" x14ac:dyDescent="0.35">
      <c r="A1376" s="86" t="s">
        <v>1523</v>
      </c>
      <c r="B1376" s="90" t="s">
        <v>53</v>
      </c>
      <c r="C1376" s="86" t="s">
        <v>769</v>
      </c>
    </row>
    <row r="1377" spans="1:3" ht="18" customHeight="1" x14ac:dyDescent="0.35">
      <c r="A1377" s="86" t="s">
        <v>1524</v>
      </c>
      <c r="B1377" s="90" t="s">
        <v>53</v>
      </c>
      <c r="C1377" s="86" t="s">
        <v>769</v>
      </c>
    </row>
    <row r="1378" spans="1:3" ht="18" customHeight="1" x14ac:dyDescent="0.35">
      <c r="A1378" s="86" t="s">
        <v>1525</v>
      </c>
      <c r="B1378" s="90" t="s">
        <v>53</v>
      </c>
      <c r="C1378" s="86" t="s">
        <v>54</v>
      </c>
    </row>
    <row r="1379" spans="1:3" ht="18" customHeight="1" x14ac:dyDescent="0.35">
      <c r="A1379" s="86" t="s">
        <v>1526</v>
      </c>
      <c r="B1379" s="90" t="s">
        <v>53</v>
      </c>
      <c r="C1379" s="86" t="s">
        <v>54</v>
      </c>
    </row>
    <row r="1380" spans="1:3" ht="18" customHeight="1" x14ac:dyDescent="0.35">
      <c r="A1380" s="86" t="s">
        <v>1527</v>
      </c>
      <c r="B1380" s="90" t="s">
        <v>53</v>
      </c>
      <c r="C1380" s="86" t="s">
        <v>713</v>
      </c>
    </row>
    <row r="1381" spans="1:3" ht="18" customHeight="1" x14ac:dyDescent="0.35">
      <c r="A1381" s="86" t="s">
        <v>1528</v>
      </c>
      <c r="B1381" s="90" t="s">
        <v>53</v>
      </c>
      <c r="C1381" s="86" t="s">
        <v>117</v>
      </c>
    </row>
    <row r="1382" spans="1:3" ht="18" customHeight="1" x14ac:dyDescent="0.35">
      <c r="A1382" s="86" t="s">
        <v>1529</v>
      </c>
      <c r="B1382" s="90" t="s">
        <v>53</v>
      </c>
      <c r="C1382" s="86" t="s">
        <v>117</v>
      </c>
    </row>
    <row r="1383" spans="1:3" ht="18" customHeight="1" x14ac:dyDescent="0.35">
      <c r="A1383" s="86" t="s">
        <v>1530</v>
      </c>
      <c r="B1383" s="90" t="s">
        <v>53</v>
      </c>
      <c r="C1383" s="86" t="s">
        <v>54</v>
      </c>
    </row>
    <row r="1384" spans="1:3" ht="18" customHeight="1" x14ac:dyDescent="0.35">
      <c r="A1384" s="86" t="s">
        <v>1531</v>
      </c>
      <c r="B1384" s="90" t="s">
        <v>53</v>
      </c>
      <c r="C1384" s="86" t="s">
        <v>54</v>
      </c>
    </row>
    <row r="1385" spans="1:3" ht="18" customHeight="1" x14ac:dyDescent="0.35">
      <c r="A1385" s="86" t="s">
        <v>1532</v>
      </c>
      <c r="B1385" s="90" t="s">
        <v>53</v>
      </c>
      <c r="C1385" s="86" t="s">
        <v>54</v>
      </c>
    </row>
    <row r="1386" spans="1:3" ht="18" customHeight="1" x14ac:dyDescent="0.35">
      <c r="A1386" s="86" t="s">
        <v>1533</v>
      </c>
      <c r="B1386" s="90" t="s">
        <v>53</v>
      </c>
      <c r="C1386" s="86" t="s">
        <v>54</v>
      </c>
    </row>
    <row r="1387" spans="1:3" ht="18" customHeight="1" x14ac:dyDescent="0.35">
      <c r="A1387" s="86" t="s">
        <v>1534</v>
      </c>
      <c r="B1387" s="90" t="s">
        <v>53</v>
      </c>
      <c r="C1387" s="86" t="s">
        <v>54</v>
      </c>
    </row>
    <row r="1388" spans="1:3" ht="18" customHeight="1" x14ac:dyDescent="0.35">
      <c r="A1388" s="86" t="s">
        <v>1535</v>
      </c>
      <c r="B1388" s="90" t="s">
        <v>53</v>
      </c>
      <c r="C1388" s="86" t="s">
        <v>54</v>
      </c>
    </row>
    <row r="1389" spans="1:3" ht="18" customHeight="1" x14ac:dyDescent="0.35">
      <c r="A1389" s="86" t="s">
        <v>1536</v>
      </c>
      <c r="B1389" s="90" t="s">
        <v>53</v>
      </c>
      <c r="C1389" s="86" t="s">
        <v>54</v>
      </c>
    </row>
    <row r="1390" spans="1:3" ht="18" customHeight="1" x14ac:dyDescent="0.35">
      <c r="A1390" s="86" t="s">
        <v>1537</v>
      </c>
      <c r="B1390" s="90" t="s">
        <v>53</v>
      </c>
      <c r="C1390" s="86" t="s">
        <v>54</v>
      </c>
    </row>
    <row r="1391" spans="1:3" ht="18" customHeight="1" x14ac:dyDescent="0.35">
      <c r="A1391" s="86" t="s">
        <v>1538</v>
      </c>
      <c r="B1391" s="90" t="s">
        <v>53</v>
      </c>
      <c r="C1391" s="86" t="s">
        <v>54</v>
      </c>
    </row>
    <row r="1392" spans="1:3" ht="18" customHeight="1" x14ac:dyDescent="0.35">
      <c r="A1392" s="86" t="s">
        <v>1539</v>
      </c>
      <c r="B1392" s="90" t="s">
        <v>53</v>
      </c>
      <c r="C1392" s="86" t="s">
        <v>54</v>
      </c>
    </row>
    <row r="1393" spans="1:3" ht="18" customHeight="1" x14ac:dyDescent="0.35">
      <c r="A1393" s="86" t="s">
        <v>1540</v>
      </c>
      <c r="B1393" s="90" t="s">
        <v>53</v>
      </c>
      <c r="C1393" s="86" t="s">
        <v>54</v>
      </c>
    </row>
    <row r="1394" spans="1:3" ht="18" customHeight="1" x14ac:dyDescent="0.35">
      <c r="A1394" s="86" t="s">
        <v>1541</v>
      </c>
      <c r="B1394" s="90" t="s">
        <v>53</v>
      </c>
      <c r="C1394" s="86" t="s">
        <v>54</v>
      </c>
    </row>
    <row r="1395" spans="1:3" ht="18" customHeight="1" x14ac:dyDescent="0.35">
      <c r="A1395" s="86" t="s">
        <v>1542</v>
      </c>
      <c r="B1395" s="90" t="s">
        <v>53</v>
      </c>
      <c r="C1395" s="86" t="s">
        <v>54</v>
      </c>
    </row>
    <row r="1396" spans="1:3" ht="18" customHeight="1" x14ac:dyDescent="0.35">
      <c r="A1396" s="86" t="s">
        <v>1543</v>
      </c>
      <c r="B1396" s="90" t="s">
        <v>53</v>
      </c>
      <c r="C1396" s="86" t="s">
        <v>54</v>
      </c>
    </row>
    <row r="1397" spans="1:3" ht="18" customHeight="1" x14ac:dyDescent="0.35">
      <c r="A1397" s="86" t="s">
        <v>1544</v>
      </c>
      <c r="B1397" s="90" t="s">
        <v>53</v>
      </c>
      <c r="C1397" s="86" t="s">
        <v>54</v>
      </c>
    </row>
    <row r="1398" spans="1:3" ht="18" customHeight="1" x14ac:dyDescent="0.35">
      <c r="A1398" s="86" t="s">
        <v>1545</v>
      </c>
      <c r="B1398" s="90" t="s">
        <v>53</v>
      </c>
      <c r="C1398" s="86" t="s">
        <v>54</v>
      </c>
    </row>
    <row r="1399" spans="1:3" ht="18" customHeight="1" x14ac:dyDescent="0.35">
      <c r="A1399" s="86" t="s">
        <v>1546</v>
      </c>
      <c r="B1399" s="90" t="s">
        <v>53</v>
      </c>
      <c r="C1399" s="86" t="s">
        <v>54</v>
      </c>
    </row>
    <row r="1400" spans="1:3" ht="18" customHeight="1" x14ac:dyDescent="0.35">
      <c r="A1400" s="86" t="s">
        <v>1547</v>
      </c>
      <c r="B1400" s="90" t="s">
        <v>53</v>
      </c>
      <c r="C1400" s="86" t="s">
        <v>54</v>
      </c>
    </row>
    <row r="1401" spans="1:3" ht="18" customHeight="1" x14ac:dyDescent="0.35">
      <c r="A1401" s="86" t="s">
        <v>1548</v>
      </c>
      <c r="B1401" s="90" t="s">
        <v>53</v>
      </c>
      <c r="C1401" s="86" t="s">
        <v>54</v>
      </c>
    </row>
    <row r="1402" spans="1:3" ht="18" customHeight="1" x14ac:dyDescent="0.35">
      <c r="A1402" s="86" t="s">
        <v>1549</v>
      </c>
      <c r="B1402" s="90" t="s">
        <v>53</v>
      </c>
      <c r="C1402" s="86" t="s">
        <v>54</v>
      </c>
    </row>
    <row r="1403" spans="1:3" ht="18" customHeight="1" x14ac:dyDescent="0.35">
      <c r="A1403" s="86" t="s">
        <v>1550</v>
      </c>
      <c r="B1403" s="90" t="s">
        <v>53</v>
      </c>
      <c r="C1403" s="86" t="s">
        <v>54</v>
      </c>
    </row>
    <row r="1404" spans="1:3" ht="18" customHeight="1" x14ac:dyDescent="0.35">
      <c r="A1404" s="86" t="s">
        <v>1551</v>
      </c>
      <c r="B1404" s="90" t="s">
        <v>53</v>
      </c>
      <c r="C1404" s="86" t="s">
        <v>54</v>
      </c>
    </row>
    <row r="1405" spans="1:3" ht="18" customHeight="1" x14ac:dyDescent="0.35">
      <c r="A1405" s="86" t="s">
        <v>1552</v>
      </c>
      <c r="B1405" s="90" t="s">
        <v>53</v>
      </c>
      <c r="C1405" s="86" t="s">
        <v>54</v>
      </c>
    </row>
    <row r="1406" spans="1:3" ht="18" customHeight="1" x14ac:dyDescent="0.35">
      <c r="A1406" s="86" t="s">
        <v>1553</v>
      </c>
      <c r="B1406" s="90" t="s">
        <v>53</v>
      </c>
      <c r="C1406" s="86" t="s">
        <v>54</v>
      </c>
    </row>
    <row r="1407" spans="1:3" ht="18" customHeight="1" x14ac:dyDescent="0.35">
      <c r="A1407" s="86" t="s">
        <v>1554</v>
      </c>
      <c r="B1407" s="90" t="s">
        <v>53</v>
      </c>
      <c r="C1407" s="86" t="s">
        <v>54</v>
      </c>
    </row>
    <row r="1408" spans="1:3" ht="18" customHeight="1" x14ac:dyDescent="0.35">
      <c r="A1408" s="86" t="s">
        <v>1555</v>
      </c>
      <c r="B1408" s="90" t="s">
        <v>53</v>
      </c>
      <c r="C1408" s="86" t="s">
        <v>54</v>
      </c>
    </row>
    <row r="1409" spans="1:3" ht="18" customHeight="1" x14ac:dyDescent="0.35">
      <c r="A1409" s="86" t="s">
        <v>1556</v>
      </c>
      <c r="B1409" s="90" t="s">
        <v>53</v>
      </c>
      <c r="C1409" s="86" t="s">
        <v>54</v>
      </c>
    </row>
    <row r="1410" spans="1:3" ht="18" customHeight="1" x14ac:dyDescent="0.35">
      <c r="A1410" s="86" t="s">
        <v>1557</v>
      </c>
      <c r="B1410" s="90" t="s">
        <v>53</v>
      </c>
      <c r="C1410" s="86" t="s">
        <v>54</v>
      </c>
    </row>
    <row r="1411" spans="1:3" ht="18" customHeight="1" x14ac:dyDescent="0.35">
      <c r="A1411" s="86" t="s">
        <v>1558</v>
      </c>
      <c r="B1411" s="90" t="s">
        <v>53</v>
      </c>
      <c r="C1411" s="86" t="s">
        <v>54</v>
      </c>
    </row>
    <row r="1412" spans="1:3" ht="18" customHeight="1" x14ac:dyDescent="0.35">
      <c r="A1412" s="86" t="s">
        <v>1559</v>
      </c>
      <c r="B1412" s="90" t="s">
        <v>53</v>
      </c>
      <c r="C1412" s="86" t="s">
        <v>1560</v>
      </c>
    </row>
    <row r="1413" spans="1:3" ht="18" customHeight="1" x14ac:dyDescent="0.35">
      <c r="A1413" s="86" t="s">
        <v>1561</v>
      </c>
      <c r="B1413" s="90" t="s">
        <v>53</v>
      </c>
      <c r="C1413" s="86" t="s">
        <v>1562</v>
      </c>
    </row>
    <row r="1414" spans="1:3" ht="18" customHeight="1" x14ac:dyDescent="0.35">
      <c r="A1414" s="86" t="s">
        <v>1563</v>
      </c>
      <c r="B1414" s="90" t="s">
        <v>53</v>
      </c>
      <c r="C1414" s="86" t="s">
        <v>1564</v>
      </c>
    </row>
    <row r="1415" spans="1:3" ht="18" customHeight="1" x14ac:dyDescent="0.35">
      <c r="A1415" s="86" t="s">
        <v>1565</v>
      </c>
      <c r="B1415" s="90" t="s">
        <v>53</v>
      </c>
      <c r="C1415" s="86" t="s">
        <v>1566</v>
      </c>
    </row>
    <row r="1416" spans="1:3" ht="18" customHeight="1" x14ac:dyDescent="0.35">
      <c r="A1416" s="86" t="s">
        <v>1567</v>
      </c>
      <c r="B1416" s="90" t="s">
        <v>53</v>
      </c>
      <c r="C1416" s="86" t="s">
        <v>1566</v>
      </c>
    </row>
    <row r="1417" spans="1:3" ht="18" customHeight="1" x14ac:dyDescent="0.35">
      <c r="A1417" s="86" t="s">
        <v>1568</v>
      </c>
      <c r="B1417" s="90" t="s">
        <v>53</v>
      </c>
      <c r="C1417" s="86" t="s">
        <v>1566</v>
      </c>
    </row>
    <row r="1418" spans="1:3" ht="18" customHeight="1" x14ac:dyDescent="0.35">
      <c r="A1418" s="86" t="s">
        <v>1569</v>
      </c>
      <c r="B1418" s="90" t="s">
        <v>53</v>
      </c>
      <c r="C1418" s="86" t="s">
        <v>1570</v>
      </c>
    </row>
    <row r="1419" spans="1:3" ht="18" customHeight="1" x14ac:dyDescent="0.35">
      <c r="A1419" s="86" t="s">
        <v>1571</v>
      </c>
      <c r="B1419" s="90" t="s">
        <v>53</v>
      </c>
      <c r="C1419" s="86" t="s">
        <v>54</v>
      </c>
    </row>
    <row r="1420" spans="1:3" ht="18" customHeight="1" x14ac:dyDescent="0.35">
      <c r="A1420" s="86" t="s">
        <v>1572</v>
      </c>
      <c r="B1420" s="90" t="s">
        <v>53</v>
      </c>
      <c r="C1420" s="86" t="s">
        <v>54</v>
      </c>
    </row>
    <row r="1421" spans="1:3" ht="18" customHeight="1" x14ac:dyDescent="0.35">
      <c r="A1421" s="86" t="s">
        <v>1573</v>
      </c>
      <c r="B1421" s="90" t="s">
        <v>53</v>
      </c>
      <c r="C1421" s="86" t="s">
        <v>54</v>
      </c>
    </row>
    <row r="1422" spans="1:3" ht="18" customHeight="1" x14ac:dyDescent="0.35">
      <c r="A1422" s="86" t="s">
        <v>1574</v>
      </c>
      <c r="B1422" s="90" t="s">
        <v>53</v>
      </c>
      <c r="C1422" s="86" t="s">
        <v>54</v>
      </c>
    </row>
    <row r="1423" spans="1:3" ht="18" customHeight="1" x14ac:dyDescent="0.35">
      <c r="A1423" s="86" t="s">
        <v>1575</v>
      </c>
      <c r="B1423" s="90" t="s">
        <v>53</v>
      </c>
      <c r="C1423" s="86" t="s">
        <v>54</v>
      </c>
    </row>
    <row r="1424" spans="1:3" ht="18" customHeight="1" x14ac:dyDescent="0.35">
      <c r="A1424" s="86" t="s">
        <v>1576</v>
      </c>
      <c r="B1424" s="90" t="s">
        <v>53</v>
      </c>
      <c r="C1424" s="86" t="s">
        <v>1577</v>
      </c>
    </row>
    <row r="1425" spans="1:3" ht="18" customHeight="1" x14ac:dyDescent="0.35">
      <c r="A1425" s="86" t="s">
        <v>1578</v>
      </c>
      <c r="B1425" s="90" t="s">
        <v>53</v>
      </c>
      <c r="C1425" s="86" t="s">
        <v>1579</v>
      </c>
    </row>
    <row r="1426" spans="1:3" ht="18" customHeight="1" x14ac:dyDescent="0.35">
      <c r="A1426" s="86" t="s">
        <v>1580</v>
      </c>
      <c r="B1426" s="90" t="s">
        <v>53</v>
      </c>
      <c r="C1426" s="86" t="s">
        <v>144</v>
      </c>
    </row>
    <row r="1427" spans="1:3" ht="18" customHeight="1" x14ac:dyDescent="0.35">
      <c r="A1427" s="86" t="s">
        <v>1581</v>
      </c>
      <c r="B1427" s="90" t="s">
        <v>53</v>
      </c>
      <c r="C1427" s="86" t="s">
        <v>54</v>
      </c>
    </row>
    <row r="1428" spans="1:3" ht="18" customHeight="1" x14ac:dyDescent="0.35">
      <c r="A1428" s="86" t="s">
        <v>1582</v>
      </c>
      <c r="B1428" s="90" t="s">
        <v>53</v>
      </c>
      <c r="C1428" s="86" t="s">
        <v>739</v>
      </c>
    </row>
    <row r="1429" spans="1:3" ht="18" customHeight="1" x14ac:dyDescent="0.35">
      <c r="A1429" s="86" t="s">
        <v>1583</v>
      </c>
      <c r="B1429" s="90" t="s">
        <v>53</v>
      </c>
      <c r="C1429" s="86" t="s">
        <v>739</v>
      </c>
    </row>
    <row r="1430" spans="1:3" ht="18" customHeight="1" x14ac:dyDescent="0.35">
      <c r="A1430" s="86" t="s">
        <v>1584</v>
      </c>
      <c r="B1430" s="90" t="s">
        <v>53</v>
      </c>
      <c r="C1430" s="86" t="s">
        <v>739</v>
      </c>
    </row>
    <row r="1431" spans="1:3" ht="18" customHeight="1" x14ac:dyDescent="0.35">
      <c r="A1431" s="86" t="s">
        <v>1585</v>
      </c>
      <c r="B1431" s="90" t="s">
        <v>53</v>
      </c>
      <c r="C1431" s="86" t="s">
        <v>739</v>
      </c>
    </row>
    <row r="1432" spans="1:3" ht="18" customHeight="1" x14ac:dyDescent="0.35">
      <c r="A1432" s="86" t="s">
        <v>1586</v>
      </c>
      <c r="B1432" s="90" t="s">
        <v>53</v>
      </c>
      <c r="C1432" s="86" t="s">
        <v>54</v>
      </c>
    </row>
    <row r="1433" spans="1:3" ht="18" customHeight="1" x14ac:dyDescent="0.35">
      <c r="A1433" s="86" t="s">
        <v>1587</v>
      </c>
      <c r="B1433" s="90" t="s">
        <v>53</v>
      </c>
      <c r="C1433" s="86" t="s">
        <v>706</v>
      </c>
    </row>
    <row r="1434" spans="1:3" ht="18" customHeight="1" x14ac:dyDescent="0.35">
      <c r="A1434" s="86" t="s">
        <v>1588</v>
      </c>
      <c r="B1434" s="90" t="s">
        <v>53</v>
      </c>
      <c r="C1434" s="86" t="s">
        <v>54</v>
      </c>
    </row>
    <row r="1435" spans="1:3" ht="18" customHeight="1" x14ac:dyDescent="0.35">
      <c r="A1435" s="86" t="s">
        <v>1589</v>
      </c>
      <c r="B1435" s="90" t="s">
        <v>53</v>
      </c>
      <c r="C1435" s="86" t="s">
        <v>54</v>
      </c>
    </row>
    <row r="1436" spans="1:3" ht="18" customHeight="1" x14ac:dyDescent="0.35">
      <c r="A1436" s="86" t="s">
        <v>1590</v>
      </c>
      <c r="B1436" s="90" t="s">
        <v>53</v>
      </c>
      <c r="C1436" s="86" t="s">
        <v>137</v>
      </c>
    </row>
    <row r="1437" spans="1:3" ht="18" customHeight="1" x14ac:dyDescent="0.35">
      <c r="A1437" s="86" t="s">
        <v>1591</v>
      </c>
      <c r="B1437" s="90" t="s">
        <v>53</v>
      </c>
      <c r="C1437" s="86" t="s">
        <v>137</v>
      </c>
    </row>
    <row r="1438" spans="1:3" ht="18" customHeight="1" x14ac:dyDescent="0.35">
      <c r="A1438" s="86" t="s">
        <v>1592</v>
      </c>
      <c r="B1438" s="90" t="s">
        <v>53</v>
      </c>
      <c r="C1438" s="86" t="s">
        <v>109</v>
      </c>
    </row>
    <row r="1439" spans="1:3" ht="18" customHeight="1" x14ac:dyDescent="0.35">
      <c r="A1439" s="86" t="s">
        <v>1593</v>
      </c>
      <c r="B1439" s="90" t="s">
        <v>53</v>
      </c>
      <c r="C1439" s="86" t="s">
        <v>109</v>
      </c>
    </row>
    <row r="1440" spans="1:3" ht="18" customHeight="1" x14ac:dyDescent="0.35">
      <c r="A1440" s="86" t="s">
        <v>1594</v>
      </c>
      <c r="B1440" s="90" t="s">
        <v>53</v>
      </c>
      <c r="C1440" s="86" t="s">
        <v>114</v>
      </c>
    </row>
    <row r="1441" spans="1:3" ht="18" customHeight="1" x14ac:dyDescent="0.35">
      <c r="A1441" s="86" t="s">
        <v>1595</v>
      </c>
      <c r="B1441" s="90" t="s">
        <v>53</v>
      </c>
      <c r="C1441" s="86" t="s">
        <v>54</v>
      </c>
    </row>
    <row r="1442" spans="1:3" ht="18" customHeight="1" x14ac:dyDescent="0.35">
      <c r="A1442" s="86" t="s">
        <v>1596</v>
      </c>
      <c r="B1442" s="90" t="s">
        <v>53</v>
      </c>
      <c r="C1442" s="86" t="s">
        <v>54</v>
      </c>
    </row>
    <row r="1443" spans="1:3" ht="18" customHeight="1" x14ac:dyDescent="0.35">
      <c r="A1443" s="86" t="s">
        <v>1597</v>
      </c>
      <c r="B1443" s="90" t="s">
        <v>53</v>
      </c>
      <c r="C1443" s="86" t="s">
        <v>54</v>
      </c>
    </row>
    <row r="1444" spans="1:3" ht="18" customHeight="1" x14ac:dyDescent="0.35">
      <c r="A1444" s="86" t="s">
        <v>1598</v>
      </c>
      <c r="B1444" s="90" t="s">
        <v>53</v>
      </c>
      <c r="C1444" s="86" t="s">
        <v>54</v>
      </c>
    </row>
    <row r="1445" spans="1:3" ht="18" customHeight="1" x14ac:dyDescent="0.35">
      <c r="A1445" s="86" t="s">
        <v>1599</v>
      </c>
      <c r="B1445" s="90" t="s">
        <v>53</v>
      </c>
      <c r="C1445" s="86" t="s">
        <v>54</v>
      </c>
    </row>
    <row r="1446" spans="1:3" ht="18" customHeight="1" x14ac:dyDescent="0.35">
      <c r="A1446" s="86" t="s">
        <v>1600</v>
      </c>
      <c r="B1446" s="90" t="s">
        <v>53</v>
      </c>
      <c r="C1446" s="86" t="s">
        <v>54</v>
      </c>
    </row>
    <row r="1447" spans="1:3" ht="18" customHeight="1" x14ac:dyDescent="0.35">
      <c r="A1447" s="86" t="s">
        <v>1601</v>
      </c>
      <c r="B1447" s="90" t="s">
        <v>53</v>
      </c>
      <c r="C1447" s="86" t="s">
        <v>125</v>
      </c>
    </row>
    <row r="1448" spans="1:3" ht="18" customHeight="1" x14ac:dyDescent="0.35">
      <c r="A1448" s="86" t="s">
        <v>1602</v>
      </c>
      <c r="B1448" s="90" t="s">
        <v>53</v>
      </c>
      <c r="C1448" s="86" t="s">
        <v>125</v>
      </c>
    </row>
    <row r="1449" spans="1:3" ht="18" customHeight="1" x14ac:dyDescent="0.35">
      <c r="A1449" s="86" t="s">
        <v>1603</v>
      </c>
      <c r="B1449" s="90" t="s">
        <v>53</v>
      </c>
      <c r="C1449" s="86" t="s">
        <v>829</v>
      </c>
    </row>
    <row r="1450" spans="1:3" ht="18" customHeight="1" x14ac:dyDescent="0.35">
      <c r="A1450" s="86" t="s">
        <v>1604</v>
      </c>
      <c r="B1450" s="90" t="s">
        <v>53</v>
      </c>
      <c r="C1450" s="86" t="s">
        <v>829</v>
      </c>
    </row>
    <row r="1451" spans="1:3" ht="18" customHeight="1" x14ac:dyDescent="0.35">
      <c r="A1451" s="86" t="s">
        <v>1605</v>
      </c>
      <c r="B1451" s="90" t="s">
        <v>53</v>
      </c>
      <c r="C1451" s="86" t="s">
        <v>103</v>
      </c>
    </row>
    <row r="1452" spans="1:3" ht="18" customHeight="1" x14ac:dyDescent="0.35">
      <c r="A1452" s="87" t="s">
        <v>1606</v>
      </c>
      <c r="B1452" s="90" t="s">
        <v>53</v>
      </c>
      <c r="C1452" s="87" t="s">
        <v>103</v>
      </c>
    </row>
    <row r="1453" spans="1:3" ht="18" customHeight="1" x14ac:dyDescent="0.35">
      <c r="A1453" s="86" t="s">
        <v>1607</v>
      </c>
      <c r="B1453" s="90" t="s">
        <v>53</v>
      </c>
      <c r="C1453" s="86" t="s">
        <v>134</v>
      </c>
    </row>
    <row r="1454" spans="1:3" ht="18" customHeight="1" x14ac:dyDescent="0.35">
      <c r="A1454" s="86" t="s">
        <v>1608</v>
      </c>
      <c r="B1454" s="90" t="s">
        <v>53</v>
      </c>
      <c r="C1454" s="86" t="s">
        <v>134</v>
      </c>
    </row>
    <row r="1455" spans="1:3" ht="18" customHeight="1" x14ac:dyDescent="0.35">
      <c r="A1455" s="86" t="s">
        <v>1609</v>
      </c>
      <c r="B1455" s="90" t="s">
        <v>53</v>
      </c>
      <c r="C1455" s="86" t="s">
        <v>144</v>
      </c>
    </row>
    <row r="1456" spans="1:3" ht="18" customHeight="1" x14ac:dyDescent="0.35">
      <c r="A1456" s="86" t="s">
        <v>1610</v>
      </c>
      <c r="B1456" s="90" t="s">
        <v>53</v>
      </c>
      <c r="C1456" s="86" t="s">
        <v>144</v>
      </c>
    </row>
    <row r="1457" spans="1:3" ht="18" customHeight="1" x14ac:dyDescent="0.35">
      <c r="A1457" t="s">
        <v>1611</v>
      </c>
      <c r="B1457" t="s">
        <v>871</v>
      </c>
      <c r="C1457" s="24" t="s">
        <v>1612</v>
      </c>
    </row>
    <row r="1458" spans="1:3" ht="18" customHeight="1" x14ac:dyDescent="0.35">
      <c r="A1458" t="s">
        <v>1613</v>
      </c>
      <c r="B1458" t="s">
        <v>871</v>
      </c>
      <c r="C1458" s="24" t="s">
        <v>1612</v>
      </c>
    </row>
  </sheetData>
  <autoFilter ref="A1:C1456" xr:uid="{29909E9A-CB7A-4F0F-BC90-605086AF3A1A}">
    <sortState xmlns:xlrd2="http://schemas.microsoft.com/office/spreadsheetml/2017/richdata2" ref="A2:C393">
      <sortCondition ref="A1:A389"/>
    </sortState>
  </autoFilter>
  <conditionalFormatting sqref="A1:A1456 A1459:A1048576">
    <cfRule type="duplicateValues" dxfId="16" priority="11"/>
  </conditionalFormatting>
  <conditionalFormatting sqref="A1214">
    <cfRule type="duplicateValues" dxfId="15" priority="13"/>
  </conditionalFormatting>
  <conditionalFormatting sqref="F2:F9">
    <cfRule type="duplicateValues" dxfId="14" priority="3"/>
  </conditionalFormatting>
  <conditionalFormatting sqref="F2:F9">
    <cfRule type="duplicateValues" dxfId="13" priority="4"/>
  </conditionalFormatting>
  <conditionalFormatting sqref="F1">
    <cfRule type="duplicateValues" dxfId="12" priority="1"/>
  </conditionalFormatting>
  <conditionalFormatting sqref="F1">
    <cfRule type="duplicateValues" dxfId="11" priority="2"/>
  </conditionalFormatting>
  <conditionalFormatting sqref="A1:A1440">
    <cfRule type="duplicateValues" dxfId="10" priority="35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C6E6B-9526-410A-B55A-B1DA1D0CBD30}">
  <sheetPr codeName="Hoja4"/>
  <dimension ref="A1:I46"/>
  <sheetViews>
    <sheetView workbookViewId="0">
      <selection activeCell="C9" sqref="C9"/>
    </sheetView>
  </sheetViews>
  <sheetFormatPr baseColWidth="10" defaultColWidth="11.453125" defaultRowHeight="14.5" x14ac:dyDescent="0.35"/>
  <cols>
    <col min="1" max="1" width="16.453125" customWidth="1"/>
    <col min="2" max="2" width="33.54296875" customWidth="1"/>
    <col min="3" max="3" width="32.7265625" customWidth="1"/>
    <col min="8" max="8" width="36.453125" customWidth="1"/>
    <col min="9" max="9" width="20.54296875" customWidth="1"/>
  </cols>
  <sheetData>
    <row r="1" spans="1:9" x14ac:dyDescent="0.35">
      <c r="A1" s="8" t="s">
        <v>1614</v>
      </c>
      <c r="B1" s="8" t="s">
        <v>1615</v>
      </c>
      <c r="C1" s="8" t="s">
        <v>1616</v>
      </c>
      <c r="D1" s="8" t="s">
        <v>1617</v>
      </c>
      <c r="E1" s="8" t="s">
        <v>1618</v>
      </c>
      <c r="F1" s="8" t="s">
        <v>1619</v>
      </c>
      <c r="G1" s="8" t="s">
        <v>1620</v>
      </c>
      <c r="H1" s="8" t="s">
        <v>1621</v>
      </c>
      <c r="I1" s="8" t="s">
        <v>1622</v>
      </c>
    </row>
    <row r="2" spans="1:9" x14ac:dyDescent="0.35">
      <c r="A2" t="s">
        <v>1623</v>
      </c>
      <c r="B2" s="43" t="s">
        <v>1624</v>
      </c>
      <c r="C2" t="s">
        <v>1625</v>
      </c>
      <c r="D2">
        <v>1</v>
      </c>
      <c r="E2" t="s">
        <v>1626</v>
      </c>
      <c r="F2" t="s">
        <v>1627</v>
      </c>
      <c r="G2" t="s">
        <v>1628</v>
      </c>
      <c r="I2" t="s">
        <v>31</v>
      </c>
    </row>
    <row r="3" spans="1:9" x14ac:dyDescent="0.35">
      <c r="A3" t="s">
        <v>1629</v>
      </c>
      <c r="B3" s="43" t="s">
        <v>1630</v>
      </c>
      <c r="C3" t="s">
        <v>1631</v>
      </c>
      <c r="D3">
        <v>2</v>
      </c>
      <c r="E3" t="s">
        <v>1632</v>
      </c>
      <c r="F3" t="s">
        <v>1633</v>
      </c>
      <c r="G3" t="s">
        <v>1634</v>
      </c>
      <c r="H3" t="s">
        <v>1635</v>
      </c>
      <c r="I3" t="s">
        <v>1636</v>
      </c>
    </row>
    <row r="4" spans="1:9" x14ac:dyDescent="0.35">
      <c r="B4" s="43" t="s">
        <v>1637</v>
      </c>
      <c r="C4" t="s">
        <v>1638</v>
      </c>
      <c r="D4">
        <v>3</v>
      </c>
      <c r="E4" t="s">
        <v>1639</v>
      </c>
      <c r="F4" t="s">
        <v>1640</v>
      </c>
      <c r="H4" t="s">
        <v>1641</v>
      </c>
      <c r="I4" t="s">
        <v>1642</v>
      </c>
    </row>
    <row r="5" spans="1:9" x14ac:dyDescent="0.35">
      <c r="B5" s="43" t="s">
        <v>1643</v>
      </c>
      <c r="C5" t="s">
        <v>1644</v>
      </c>
      <c r="D5">
        <v>4</v>
      </c>
      <c r="E5" t="s">
        <v>1645</v>
      </c>
      <c r="F5" t="s">
        <v>1644</v>
      </c>
      <c r="H5" t="s">
        <v>1646</v>
      </c>
    </row>
    <row r="6" spans="1:9" x14ac:dyDescent="0.35">
      <c r="B6" s="42" t="s">
        <v>1647</v>
      </c>
      <c r="E6" t="s">
        <v>1648</v>
      </c>
      <c r="H6" t="s">
        <v>1649</v>
      </c>
    </row>
    <row r="7" spans="1:9" x14ac:dyDescent="0.35">
      <c r="B7" s="42" t="s">
        <v>1650</v>
      </c>
      <c r="E7" t="s">
        <v>1651</v>
      </c>
      <c r="H7" t="s">
        <v>1652</v>
      </c>
    </row>
    <row r="8" spans="1:9" x14ac:dyDescent="0.35">
      <c r="B8" s="42" t="s">
        <v>1653</v>
      </c>
      <c r="H8" t="s">
        <v>1654</v>
      </c>
    </row>
    <row r="9" spans="1:9" x14ac:dyDescent="0.35">
      <c r="B9" s="42" t="s">
        <v>1655</v>
      </c>
      <c r="H9" t="s">
        <v>1656</v>
      </c>
    </row>
    <row r="10" spans="1:9" x14ac:dyDescent="0.35">
      <c r="B10" s="42" t="s">
        <v>1657</v>
      </c>
      <c r="H10" t="s">
        <v>1658</v>
      </c>
    </row>
    <row r="11" spans="1:9" x14ac:dyDescent="0.35">
      <c r="B11" s="42" t="s">
        <v>1659</v>
      </c>
      <c r="H11" t="s">
        <v>1660</v>
      </c>
    </row>
    <row r="12" spans="1:9" x14ac:dyDescent="0.35">
      <c r="H12" t="s">
        <v>1661</v>
      </c>
    </row>
    <row r="13" spans="1:9" x14ac:dyDescent="0.35">
      <c r="B13" s="73" t="s">
        <v>1662</v>
      </c>
      <c r="C13" t="s">
        <v>1625</v>
      </c>
      <c r="E13" t="s">
        <v>1663</v>
      </c>
      <c r="F13" t="s">
        <v>1627</v>
      </c>
      <c r="H13" t="s">
        <v>1664</v>
      </c>
    </row>
    <row r="14" spans="1:9" x14ac:dyDescent="0.35">
      <c r="B14" s="73"/>
      <c r="F14" t="s">
        <v>1633</v>
      </c>
      <c r="H14" t="s">
        <v>1665</v>
      </c>
    </row>
    <row r="15" spans="1:9" x14ac:dyDescent="0.35">
      <c r="F15" t="s">
        <v>1640</v>
      </c>
      <c r="H15" t="s">
        <v>1666</v>
      </c>
    </row>
    <row r="16" spans="1:9" x14ac:dyDescent="0.35">
      <c r="F16" t="s">
        <v>1644</v>
      </c>
      <c r="H16" t="s">
        <v>1667</v>
      </c>
    </row>
    <row r="17" spans="2:8" x14ac:dyDescent="0.35">
      <c r="H17" t="s">
        <v>1668</v>
      </c>
    </row>
    <row r="18" spans="2:8" x14ac:dyDescent="0.35">
      <c r="B18" s="73" t="s">
        <v>0</v>
      </c>
      <c r="C18" t="s">
        <v>1644</v>
      </c>
      <c r="E18" t="s">
        <v>0</v>
      </c>
      <c r="F18" t="s">
        <v>1627</v>
      </c>
      <c r="H18" t="s">
        <v>1669</v>
      </c>
    </row>
    <row r="19" spans="2:8" x14ac:dyDescent="0.35">
      <c r="F19" t="s">
        <v>1633</v>
      </c>
      <c r="H19" t="s">
        <v>1670</v>
      </c>
    </row>
    <row r="20" spans="2:8" x14ac:dyDescent="0.35">
      <c r="H20" t="s">
        <v>1671</v>
      </c>
    </row>
    <row r="21" spans="2:8" x14ac:dyDescent="0.35">
      <c r="H21" t="s">
        <v>1672</v>
      </c>
    </row>
    <row r="22" spans="2:8" x14ac:dyDescent="0.35">
      <c r="H22" t="s">
        <v>1673</v>
      </c>
    </row>
    <row r="23" spans="2:8" x14ac:dyDescent="0.35">
      <c r="H23" t="s">
        <v>1674</v>
      </c>
    </row>
    <row r="24" spans="2:8" x14ac:dyDescent="0.35">
      <c r="H24" t="s">
        <v>1675</v>
      </c>
    </row>
    <row r="25" spans="2:8" x14ac:dyDescent="0.35">
      <c r="H25" t="s">
        <v>1676</v>
      </c>
    </row>
    <row r="26" spans="2:8" x14ac:dyDescent="0.35">
      <c r="H26" t="s">
        <v>1677</v>
      </c>
    </row>
    <row r="27" spans="2:8" x14ac:dyDescent="0.35">
      <c r="H27" t="s">
        <v>1678</v>
      </c>
    </row>
    <row r="28" spans="2:8" x14ac:dyDescent="0.35">
      <c r="H28" t="s">
        <v>1679</v>
      </c>
    </row>
    <row r="29" spans="2:8" x14ac:dyDescent="0.35">
      <c r="H29" t="s">
        <v>1680</v>
      </c>
    </row>
    <row r="30" spans="2:8" x14ac:dyDescent="0.35">
      <c r="H30" t="s">
        <v>1681</v>
      </c>
    </row>
    <row r="31" spans="2:8" x14ac:dyDescent="0.35">
      <c r="H31" t="s">
        <v>1682</v>
      </c>
    </row>
    <row r="32" spans="2:8" x14ac:dyDescent="0.35">
      <c r="H32" t="s">
        <v>1683</v>
      </c>
    </row>
    <row r="33" spans="8:8" x14ac:dyDescent="0.35">
      <c r="H33" t="s">
        <v>1684</v>
      </c>
    </row>
    <row r="34" spans="8:8" x14ac:dyDescent="0.35">
      <c r="H34" t="s">
        <v>1685</v>
      </c>
    </row>
    <row r="35" spans="8:8" x14ac:dyDescent="0.35">
      <c r="H35" t="s">
        <v>1686</v>
      </c>
    </row>
    <row r="36" spans="8:8" x14ac:dyDescent="0.35">
      <c r="H36" t="s">
        <v>1687</v>
      </c>
    </row>
    <row r="37" spans="8:8" x14ac:dyDescent="0.35">
      <c r="H37" t="s">
        <v>1688</v>
      </c>
    </row>
    <row r="38" spans="8:8" x14ac:dyDescent="0.35">
      <c r="H38" t="s">
        <v>1689</v>
      </c>
    </row>
    <row r="39" spans="8:8" x14ac:dyDescent="0.35">
      <c r="H39" t="s">
        <v>1690</v>
      </c>
    </row>
    <row r="40" spans="8:8" x14ac:dyDescent="0.35">
      <c r="H40" t="s">
        <v>1691</v>
      </c>
    </row>
    <row r="41" spans="8:8" x14ac:dyDescent="0.35">
      <c r="H41" t="s">
        <v>1692</v>
      </c>
    </row>
    <row r="42" spans="8:8" x14ac:dyDescent="0.35">
      <c r="H42" t="s">
        <v>1693</v>
      </c>
    </row>
    <row r="43" spans="8:8" x14ac:dyDescent="0.35">
      <c r="H43" t="s">
        <v>1694</v>
      </c>
    </row>
    <row r="44" spans="8:8" x14ac:dyDescent="0.35">
      <c r="H44" t="s">
        <v>1695</v>
      </c>
    </row>
    <row r="45" spans="8:8" x14ac:dyDescent="0.35">
      <c r="H45" t="s">
        <v>1696</v>
      </c>
    </row>
    <row r="46" spans="8:8" x14ac:dyDescent="0.35">
      <c r="H46" t="s">
        <v>1697</v>
      </c>
    </row>
  </sheetData>
  <phoneticPr fontId="8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0540E-3FC2-4D86-9779-CECF83C3B686}">
  <sheetPr codeName="Hoja5"/>
  <dimension ref="B1:AF28"/>
  <sheetViews>
    <sheetView workbookViewId="0">
      <selection activeCell="AB8" sqref="AB8"/>
    </sheetView>
  </sheetViews>
  <sheetFormatPr baseColWidth="10" defaultColWidth="11.453125" defaultRowHeight="14.5" x14ac:dyDescent="0.35"/>
  <cols>
    <col min="1" max="1" width="1.7265625" customWidth="1"/>
    <col min="2" max="2" width="14.453125" customWidth="1"/>
    <col min="3" max="3" width="25.7265625" customWidth="1"/>
    <col min="4" max="4" width="1.7265625" customWidth="1"/>
    <col min="5" max="5" width="3.453125" style="22" customWidth="1"/>
    <col min="6" max="6" width="1.7265625" customWidth="1"/>
    <col min="7" max="7" width="25.26953125" customWidth="1"/>
    <col min="8" max="8" width="21.54296875" customWidth="1"/>
    <col min="10" max="10" width="3.453125" customWidth="1"/>
    <col min="11" max="11" width="19.7265625" customWidth="1"/>
    <col min="12" max="12" width="15.54296875" bestFit="1" customWidth="1"/>
    <col min="13" max="13" width="15.54296875" style="5" bestFit="1" customWidth="1"/>
    <col min="14" max="14" width="33" customWidth="1"/>
    <col min="15" max="15" width="1.7265625" customWidth="1"/>
    <col min="16" max="16" width="3.453125" style="22" customWidth="1"/>
    <col min="17" max="17" width="1.7265625" customWidth="1"/>
    <col min="18" max="18" width="20" bestFit="1" customWidth="1"/>
    <col min="19" max="19" width="71.54296875" customWidth="1"/>
    <col min="20" max="20" width="1.7265625" customWidth="1"/>
    <col min="21" max="21" width="3.26953125" style="20" customWidth="1"/>
    <col min="22" max="22" width="1.7265625" customWidth="1"/>
    <col min="23" max="23" width="15.453125" customWidth="1"/>
    <col min="24" max="25" width="19.54296875" bestFit="1" customWidth="1"/>
    <col min="26" max="26" width="19.54296875" customWidth="1"/>
    <col min="27" max="27" width="14.54296875" bestFit="1" customWidth="1"/>
    <col min="28" max="28" width="16.453125" customWidth="1"/>
    <col min="29" max="30" width="16" bestFit="1" customWidth="1"/>
    <col min="32" max="32" width="8" bestFit="1" customWidth="1"/>
    <col min="33" max="33" width="9.453125" customWidth="1"/>
  </cols>
  <sheetData>
    <row r="1" spans="2:32" x14ac:dyDescent="0.35">
      <c r="E1" s="21"/>
      <c r="P1" s="21"/>
      <c r="U1" s="19"/>
      <c r="W1" s="190" t="s">
        <v>1698</v>
      </c>
      <c r="X1" s="16" t="s">
        <v>1699</v>
      </c>
      <c r="Y1" s="16" t="s">
        <v>1700</v>
      </c>
      <c r="Z1" s="16" t="s">
        <v>1701</v>
      </c>
      <c r="AA1" s="17" t="s">
        <v>1702</v>
      </c>
      <c r="AB1" s="16" t="s">
        <v>1703</v>
      </c>
      <c r="AC1" s="16" t="s">
        <v>1704</v>
      </c>
      <c r="AD1" s="16" t="s">
        <v>1705</v>
      </c>
      <c r="AE1" s="16" t="s">
        <v>1706</v>
      </c>
      <c r="AF1" s="18" t="s">
        <v>1707</v>
      </c>
    </row>
    <row r="2" spans="2:32" ht="15" thickBot="1" x14ac:dyDescent="0.4">
      <c r="W2" s="191"/>
      <c r="X2" s="14">
        <f>IF('Incident Com. (COMPLETAR)'!E30="Yes",1,0)</f>
        <v>0</v>
      </c>
      <c r="Y2" s="14" t="str">
        <f>'Incident Com. (COMPLETAR)'!E6</f>
        <v>Aperture Incident</v>
      </c>
      <c r="Z2" s="14" t="str">
        <f>C4</f>
        <v>No encontrado. Completar</v>
      </c>
      <c r="AA2" s="25" t="str">
        <f>C3</f>
        <v>No encontrado. Completar</v>
      </c>
      <c r="AB2" s="14">
        <f>NOTIFICACIÓN!C13</f>
        <v>0</v>
      </c>
      <c r="AC2" s="14">
        <f>'Incident Com. (COMPLETAR)'!E16</f>
        <v>0</v>
      </c>
      <c r="AD2" s="14">
        <f>'Incident Com. (COMPLETAR)'!E18</f>
        <v>0</v>
      </c>
      <c r="AE2" s="14">
        <f>'Incident Com. (COMPLETAR)'!E8</f>
        <v>0</v>
      </c>
      <c r="AF2" s="15">
        <f>'Incident Com. (COMPLETAR)'!E22</f>
        <v>0</v>
      </c>
    </row>
    <row r="3" spans="2:32" ht="15" thickBot="1" x14ac:dyDescent="0.4">
      <c r="B3" s="13" t="s">
        <v>1708</v>
      </c>
      <c r="C3" s="12" t="str">
        <f>IFERROR(VLOOKUP('Incident Com. (COMPLETAR)'!E10,BBDD!A:C,3,FALSE),"No encontrado. Completar")</f>
        <v>No encontrado. Completar</v>
      </c>
    </row>
    <row r="4" spans="2:32" ht="15" thickBot="1" x14ac:dyDescent="0.4">
      <c r="B4" s="13" t="s">
        <v>1701</v>
      </c>
      <c r="C4" s="12" t="str">
        <f>IFERROR(VLOOKUP('Incident Com. (COMPLETAR)'!E10,BBDD!A:B,2,FALSE),"No encontrado. Completar")</f>
        <v>No encontrado. Completar</v>
      </c>
      <c r="K4" s="9"/>
      <c r="W4" s="23" t="s">
        <v>1709</v>
      </c>
      <c r="X4" s="12" t="str">
        <f>IF(X2=1,_xlfn.CONCAT("[REVISED] ",Y2," // ",Z2," // ",AA2," // ",AB2," // ",IF(C7=1,AD2,_xlfn.CONCAT(AD2," // ",AC2))," // ",AE2," (P5)"," - Impact: ",AF2), _xlfn.CONCAT(Y2," // ",Z2," // ",AA2," // ",AB2," // ",IF(C7=1,AD2,_xlfn.CONCAT(AD2," // ",AC2))," // ",AE2," (P5)"," - Impact: ",AF2))</f>
        <v>Aperture Incident // No encontrado. Completar // No encontrado. Completar // 0 // 0 // 0 // 0 (P5) - Impact: 0</v>
      </c>
      <c r="Y4" s="12"/>
    </row>
    <row r="5" spans="2:32" ht="16" thickBot="1" x14ac:dyDescent="0.4">
      <c r="B5" s="13" t="s">
        <v>1710</v>
      </c>
      <c r="C5" s="12" t="str">
        <f>CONCATENATE('Incident Com. (COMPLETAR)'!E8," (P5)")</f>
        <v xml:space="preserve"> (P5)</v>
      </c>
      <c r="R5" s="187" t="s">
        <v>22</v>
      </c>
      <c r="S5" s="188"/>
    </row>
    <row r="6" spans="2:32" ht="15" thickBot="1" x14ac:dyDescent="0.4">
      <c r="R6" s="2" t="s">
        <v>1711</v>
      </c>
      <c r="S6" s="11" t="s">
        <v>25</v>
      </c>
    </row>
    <row r="7" spans="2:32" ht="29.5" thickBot="1" x14ac:dyDescent="0.4">
      <c r="B7" s="44" t="s">
        <v>1615</v>
      </c>
      <c r="C7" s="24" cm="1">
        <f t="array" ref="C7">IF(OR('Incident Com. (COMPLETAR)'!E16:F16="BGP Down",'Incident Com. (COMPLETAR)'!E16:F16="Link Down",'Incident Com. (COMPLETAR)'!E16:F16="Tunnel Down",'Incident Com. (COMPLETAR)'!E16:F16="Interface Down"),1,0)</f>
        <v>0</v>
      </c>
      <c r="G7" s="27" t="str" cm="1">
        <f t="array" ref="G7">IFERROR(LOOKUP(2,1/(K:K&lt;&gt;""),K:K),"")</f>
        <v/>
      </c>
      <c r="H7" s="39" t="str" cm="1">
        <f t="array" ref="H7">IFERROR(LOOKUP(2,1/(L:L&lt;&gt;""),L:L),"")</f>
        <v/>
      </c>
      <c r="I7" s="40" t="str" cm="1">
        <f t="array" ref="I7">IFERROR(LOOKUP(2,1/(M:M&lt;&gt;""),M:M),"")</f>
        <v/>
      </c>
      <c r="R7" s="7">
        <f ca="1">NOW()</f>
        <v>45853.725240624997</v>
      </c>
      <c r="S7" s="1">
        <f>IF(Y2="Closure Incident",R11,'Incident Com. (COMPLETAR)'!D56)</f>
        <v>0</v>
      </c>
    </row>
    <row r="8" spans="2:32" ht="15" thickBot="1" x14ac:dyDescent="0.4">
      <c r="G8" s="4"/>
      <c r="H8" s="4"/>
    </row>
    <row r="9" spans="2:32" ht="15" thickBot="1" x14ac:dyDescent="0.4">
      <c r="B9" s="44" t="s">
        <v>1620</v>
      </c>
      <c r="G9" s="4"/>
      <c r="H9" s="4"/>
    </row>
    <row r="10" spans="2:32" ht="16" thickBot="1" x14ac:dyDescent="0.4">
      <c r="G10" s="4"/>
      <c r="H10" s="4"/>
      <c r="R10" s="187" t="s">
        <v>1712</v>
      </c>
      <c r="S10" s="188"/>
    </row>
    <row r="11" spans="2:32" x14ac:dyDescent="0.35">
      <c r="G11" s="3" t="s">
        <v>1713</v>
      </c>
      <c r="H11" s="3" t="s">
        <v>1714</v>
      </c>
      <c r="I11" s="3" t="s">
        <v>1715</v>
      </c>
      <c r="R11" s="189" t="str" cm="1">
        <f t="array" ref="R11">CONCATENATE("The service has remained stable since ", TEXT(IFERROR(LOOKUP(2,1/(H:H&lt;&gt;""),H:H),""),"dd/mm hh:mm"), " GMT+1. After having monitored its stability for the last 24 hours, we proceed to close the ticket.")</f>
        <v>The service has remained stable since Hora Fin de la alerta GMT+1. After having monitored its stability for the last 24 hours, we proceed to close the ticket.</v>
      </c>
      <c r="S11" s="189"/>
    </row>
    <row r="12" spans="2:32" x14ac:dyDescent="0.35">
      <c r="G12" s="6" t="str">
        <f>IF('Incident Com. (COMPLETAR)'!C36="","",'Incident Com. (COMPLETAR)'!C36)</f>
        <v/>
      </c>
      <c r="H12" s="6" t="str">
        <f>IF('Incident Com. (COMPLETAR)'!E36="","",'Incident Com. (COMPLETAR)'!E36)</f>
        <v/>
      </c>
      <c r="I12" s="1" t="str">
        <f t="shared" ref="I12:I17" si="0">IFERROR(ROUND((H12-G12)*24*60,0),"")</f>
        <v/>
      </c>
      <c r="K12" s="37" t="str">
        <f>IF(G12="","",G12)</f>
        <v/>
      </c>
      <c r="L12" s="37" t="str">
        <f>IF(H12="","",H12)</f>
        <v/>
      </c>
      <c r="M12" s="38" t="str">
        <f>IF(I12="","",CONCATENATE(I12," min"))</f>
        <v/>
      </c>
    </row>
    <row r="13" spans="2:32" x14ac:dyDescent="0.35">
      <c r="G13" s="6" t="str">
        <f>IF('Incident Com. (COMPLETAR)'!C37="","",'Incident Com. (COMPLETAR)'!C37)</f>
        <v/>
      </c>
      <c r="H13" s="6" t="str">
        <f>IF('Incident Com. (COMPLETAR)'!E37="","",'Incident Com. (COMPLETAR)'!E37)</f>
        <v/>
      </c>
      <c r="I13" s="1" t="str">
        <f t="shared" si="0"/>
        <v/>
      </c>
      <c r="K13" s="26" t="str">
        <f t="shared" ref="K13:L21" si="1">IF(G13="","",CONCATENATE(TEXT(K12,"dd/mm/aaa hh:mm"),CHAR(10),TEXT(G13,"dd/mm/aaa hh:mm")))</f>
        <v/>
      </c>
      <c r="L13" s="26" t="str">
        <f>IF(H13="","",CONCATENATE(TEXT(L12,"dd/mm/aaa hh:mm"),CHAR(10),TEXT(H13,"dd/mm/aaa hh:mm")))</f>
        <v/>
      </c>
      <c r="M13" s="38" t="str">
        <f>IF(I13="","",CONCATENATE(M12, " + ",I13," min"))</f>
        <v/>
      </c>
      <c r="N13" s="10" t="s">
        <v>1716</v>
      </c>
    </row>
    <row r="14" spans="2:32" x14ac:dyDescent="0.35">
      <c r="G14" s="6" t="str">
        <f>IF('Incident Com. (COMPLETAR)'!C38="","",'Incident Com. (COMPLETAR)'!C38)</f>
        <v/>
      </c>
      <c r="H14" s="6" t="str">
        <f>IF('Incident Com. (COMPLETAR)'!E38="","",'Incident Com. (COMPLETAR)'!E38)</f>
        <v/>
      </c>
      <c r="I14" s="1" t="str">
        <f t="shared" si="0"/>
        <v/>
      </c>
      <c r="K14" s="26" t="str">
        <f t="shared" si="1"/>
        <v/>
      </c>
      <c r="L14" s="26" t="str">
        <f t="shared" si="1"/>
        <v/>
      </c>
      <c r="M14" s="38" t="str">
        <f>IF(I14="","",CONCATENATE(M13, " + ",I14," min"))</f>
        <v/>
      </c>
    </row>
    <row r="15" spans="2:32" x14ac:dyDescent="0.35">
      <c r="G15" s="6" t="str">
        <f>IF('Incident Com. (COMPLETAR)'!C39="","",'Incident Com. (COMPLETAR)'!C39)</f>
        <v/>
      </c>
      <c r="H15" s="6" t="str">
        <f>IF('Incident Com. (COMPLETAR)'!E39="","",'Incident Com. (COMPLETAR)'!E39)</f>
        <v/>
      </c>
      <c r="I15" s="1" t="str">
        <f t="shared" si="0"/>
        <v/>
      </c>
      <c r="K15" s="26" t="str">
        <f t="shared" si="1"/>
        <v/>
      </c>
      <c r="L15" s="26" t="str">
        <f t="shared" si="1"/>
        <v/>
      </c>
      <c r="M15" s="38" t="str">
        <f t="shared" ref="M15:M21" si="2">IF(I15="","",CONCATENATE(M14, " + ",I15," min"))</f>
        <v/>
      </c>
    </row>
    <row r="16" spans="2:32" x14ac:dyDescent="0.35">
      <c r="G16" s="6" t="str">
        <f>IF('Incident Com. (COMPLETAR)'!C40="","",'Incident Com. (COMPLETAR)'!C40)</f>
        <v/>
      </c>
      <c r="H16" s="6" t="str">
        <f>IF('Incident Com. (COMPLETAR)'!E40="","",'Incident Com. (COMPLETAR)'!E40)</f>
        <v/>
      </c>
      <c r="I16" s="1" t="str">
        <f t="shared" si="0"/>
        <v/>
      </c>
      <c r="K16" s="26" t="str">
        <f t="shared" si="1"/>
        <v/>
      </c>
      <c r="L16" s="26" t="str">
        <f t="shared" si="1"/>
        <v/>
      </c>
      <c r="M16" s="38" t="str">
        <f t="shared" si="2"/>
        <v/>
      </c>
    </row>
    <row r="17" spans="7:13" x14ac:dyDescent="0.35">
      <c r="G17" s="6" t="str">
        <f>IF('Incident Com. (COMPLETAR)'!C41="","",'Incident Com. (COMPLETAR)'!C41)</f>
        <v/>
      </c>
      <c r="H17" s="6" t="str">
        <f>IF('Incident Com. (COMPLETAR)'!E41="","",'Incident Com. (COMPLETAR)'!E41)</f>
        <v/>
      </c>
      <c r="I17" s="1" t="str">
        <f t="shared" si="0"/>
        <v/>
      </c>
      <c r="K17" s="26" t="str">
        <f t="shared" si="1"/>
        <v/>
      </c>
      <c r="L17" s="26" t="str">
        <f t="shared" si="1"/>
        <v/>
      </c>
      <c r="M17" s="38" t="str">
        <f t="shared" si="2"/>
        <v/>
      </c>
    </row>
    <row r="18" spans="7:13" x14ac:dyDescent="0.35">
      <c r="G18" s="6" t="str">
        <f>IF('Incident Com. (COMPLETAR)'!C42="","",'Incident Com. (COMPLETAR)'!C42)</f>
        <v/>
      </c>
      <c r="H18" s="6" t="str">
        <f>IF('Incident Com. (COMPLETAR)'!E42="","",'Incident Com. (COMPLETAR)'!E42)</f>
        <v/>
      </c>
      <c r="I18" s="1" t="str">
        <f>IFERROR(ROUND((H18-G18)*24*60,0),"")</f>
        <v/>
      </c>
      <c r="K18" s="26" t="str">
        <f t="shared" si="1"/>
        <v/>
      </c>
      <c r="L18" s="26" t="str">
        <f t="shared" si="1"/>
        <v/>
      </c>
      <c r="M18" s="38" t="str">
        <f t="shared" si="2"/>
        <v/>
      </c>
    </row>
    <row r="19" spans="7:13" x14ac:dyDescent="0.35">
      <c r="G19" s="6" t="str">
        <f>IF('Incident Com. (COMPLETAR)'!C43="","",'Incident Com. (COMPLETAR)'!C43)</f>
        <v/>
      </c>
      <c r="H19" s="6" t="str">
        <f>IF('Incident Com. (COMPLETAR)'!E43="","",'Incident Com. (COMPLETAR)'!E43)</f>
        <v/>
      </c>
      <c r="I19" s="1" t="str">
        <f t="shared" ref="I19:I28" si="3">IFERROR(ROUND((H19-G19)*24*60,0),"")</f>
        <v/>
      </c>
      <c r="K19" s="26" t="str">
        <f t="shared" si="1"/>
        <v/>
      </c>
      <c r="L19" s="26" t="str">
        <f t="shared" si="1"/>
        <v/>
      </c>
      <c r="M19" s="38" t="str">
        <f t="shared" si="2"/>
        <v/>
      </c>
    </row>
    <row r="20" spans="7:13" x14ac:dyDescent="0.35">
      <c r="G20" s="6" t="str">
        <f>IF('Incident Com. (COMPLETAR)'!C44="","",'Incident Com. (COMPLETAR)'!C44)</f>
        <v/>
      </c>
      <c r="H20" s="6" t="str">
        <f>IF('Incident Com. (COMPLETAR)'!E44="","",'Incident Com. (COMPLETAR)'!E44)</f>
        <v/>
      </c>
      <c r="I20" s="1" t="str">
        <f t="shared" si="3"/>
        <v/>
      </c>
      <c r="K20" s="26" t="str">
        <f t="shared" si="1"/>
        <v/>
      </c>
      <c r="L20" s="26" t="str">
        <f t="shared" si="1"/>
        <v/>
      </c>
      <c r="M20" s="38" t="str">
        <f t="shared" si="2"/>
        <v/>
      </c>
    </row>
    <row r="21" spans="7:13" x14ac:dyDescent="0.35">
      <c r="G21" s="6" t="str">
        <f>IF('Incident Com. (COMPLETAR)'!C45="","",'Incident Com. (COMPLETAR)'!C45)</f>
        <v/>
      </c>
      <c r="H21" s="6" t="str">
        <f>IF('Incident Com. (COMPLETAR)'!E45="","",'Incident Com. (COMPLETAR)'!E45)</f>
        <v/>
      </c>
      <c r="I21" s="1" t="str">
        <f t="shared" si="3"/>
        <v/>
      </c>
      <c r="K21" s="26" t="str">
        <f t="shared" si="1"/>
        <v/>
      </c>
      <c r="L21" s="26" t="str">
        <f t="shared" si="1"/>
        <v/>
      </c>
      <c r="M21" s="38" t="str">
        <f t="shared" si="2"/>
        <v/>
      </c>
    </row>
    <row r="22" spans="7:13" x14ac:dyDescent="0.35">
      <c r="G22" s="6" t="str">
        <f>IF('Incident Com. (COMPLETAR)'!C46="","",'Incident Com. (COMPLETAR)'!C46)</f>
        <v/>
      </c>
      <c r="H22" s="6" t="str">
        <f>IF('Incident Com. (COMPLETAR)'!E46="","",'Incident Com. (COMPLETAR)'!E46)</f>
        <v/>
      </c>
      <c r="I22" s="1" t="str">
        <f t="shared" si="3"/>
        <v/>
      </c>
      <c r="K22" s="26" t="str">
        <f t="shared" ref="K22:K28" si="4">IF(G22="","",CONCATENATE(TEXT(K21,"dd/mm/aaa hh:mm"),CHAR(10),TEXT(G22,"dd/mm/aaa hh:mm")))</f>
        <v/>
      </c>
      <c r="L22" s="26" t="str">
        <f t="shared" ref="L22:L28" si="5">IF(H22="","",CONCATENATE(TEXT(L21,"dd/mm/aaa hh:mm"),CHAR(10),TEXT(H22,"dd/mm/aaa hh:mm")))</f>
        <v/>
      </c>
      <c r="M22" s="38" t="str">
        <f t="shared" ref="M22:M28" si="6">IF(I22="","",CONCATENATE(M21, " + ",I22," min"))</f>
        <v/>
      </c>
    </row>
    <row r="23" spans="7:13" x14ac:dyDescent="0.35">
      <c r="G23" s="6" t="str">
        <f>IF('Incident Com. (COMPLETAR)'!C47="","",'Incident Com. (COMPLETAR)'!C47)</f>
        <v/>
      </c>
      <c r="H23" s="6" t="str">
        <f>IF('Incident Com. (COMPLETAR)'!E47="","",'Incident Com. (COMPLETAR)'!E47)</f>
        <v/>
      </c>
      <c r="I23" s="1" t="str">
        <f t="shared" si="3"/>
        <v/>
      </c>
      <c r="K23" s="26" t="str">
        <f t="shared" si="4"/>
        <v/>
      </c>
      <c r="L23" s="26" t="str">
        <f t="shared" si="5"/>
        <v/>
      </c>
      <c r="M23" s="38" t="str">
        <f t="shared" si="6"/>
        <v/>
      </c>
    </row>
    <row r="24" spans="7:13" x14ac:dyDescent="0.35">
      <c r="G24" s="6" t="str">
        <f>IF('Incident Com. (COMPLETAR)'!C48="","",'Incident Com. (COMPLETAR)'!C48)</f>
        <v/>
      </c>
      <c r="H24" s="6" t="str">
        <f>IF('Incident Com. (COMPLETAR)'!E48="","",'Incident Com. (COMPLETAR)'!E48)</f>
        <v/>
      </c>
      <c r="I24" s="1" t="str">
        <f t="shared" si="3"/>
        <v/>
      </c>
      <c r="K24" s="26" t="str">
        <f t="shared" si="4"/>
        <v/>
      </c>
      <c r="L24" s="26" t="str">
        <f t="shared" si="5"/>
        <v/>
      </c>
      <c r="M24" s="38" t="str">
        <f t="shared" si="6"/>
        <v/>
      </c>
    </row>
    <row r="25" spans="7:13" x14ac:dyDescent="0.35">
      <c r="G25" s="6" t="str">
        <f>IF('Incident Com. (COMPLETAR)'!C49="","",'Incident Com. (COMPLETAR)'!C49)</f>
        <v/>
      </c>
      <c r="H25" s="6" t="str">
        <f>IF('Incident Com. (COMPLETAR)'!E49="","",'Incident Com. (COMPLETAR)'!E49)</f>
        <v/>
      </c>
      <c r="I25" s="1" t="str">
        <f t="shared" si="3"/>
        <v/>
      </c>
      <c r="K25" s="26" t="str">
        <f t="shared" si="4"/>
        <v/>
      </c>
      <c r="L25" s="26" t="str">
        <f t="shared" si="5"/>
        <v/>
      </c>
      <c r="M25" s="38" t="str">
        <f t="shared" si="6"/>
        <v/>
      </c>
    </row>
    <row r="26" spans="7:13" x14ac:dyDescent="0.35">
      <c r="G26" s="6" t="str">
        <f>IF('Incident Com. (COMPLETAR)'!C50="","",'Incident Com. (COMPLETAR)'!C50)</f>
        <v/>
      </c>
      <c r="H26" s="6" t="str">
        <f>IF('Incident Com. (COMPLETAR)'!E50="","",'Incident Com. (COMPLETAR)'!E50)</f>
        <v/>
      </c>
      <c r="I26" s="1" t="str">
        <f t="shared" si="3"/>
        <v/>
      </c>
      <c r="K26" s="26" t="str">
        <f t="shared" si="4"/>
        <v/>
      </c>
      <c r="L26" s="26" t="str">
        <f t="shared" si="5"/>
        <v/>
      </c>
      <c r="M26" s="38" t="str">
        <f t="shared" si="6"/>
        <v/>
      </c>
    </row>
    <row r="27" spans="7:13" x14ac:dyDescent="0.35">
      <c r="G27" s="6" t="str">
        <f>IF('Incident Com. (COMPLETAR)'!C51="","",'Incident Com. (COMPLETAR)'!C51)</f>
        <v/>
      </c>
      <c r="H27" s="6" t="str">
        <f>IF('Incident Com. (COMPLETAR)'!E51="","",'Incident Com. (COMPLETAR)'!E51)</f>
        <v/>
      </c>
      <c r="I27" s="1" t="str">
        <f t="shared" si="3"/>
        <v/>
      </c>
      <c r="K27" s="26" t="str">
        <f t="shared" si="4"/>
        <v/>
      </c>
      <c r="L27" s="26" t="str">
        <f t="shared" si="5"/>
        <v/>
      </c>
      <c r="M27" s="38" t="str">
        <f t="shared" si="6"/>
        <v/>
      </c>
    </row>
    <row r="28" spans="7:13" x14ac:dyDescent="0.35">
      <c r="G28" s="6" t="str">
        <f>IF('Incident Com. (COMPLETAR)'!C52="","",'Incident Com. (COMPLETAR)'!C52)</f>
        <v/>
      </c>
      <c r="H28" s="6" t="str">
        <f>IF('Incident Com. (COMPLETAR)'!E52="","",'Incident Com. (COMPLETAR)'!E52)</f>
        <v/>
      </c>
      <c r="I28" s="1" t="str">
        <f t="shared" si="3"/>
        <v/>
      </c>
      <c r="K28" s="26" t="str">
        <f t="shared" si="4"/>
        <v/>
      </c>
      <c r="L28" s="26" t="str">
        <f t="shared" si="5"/>
        <v/>
      </c>
      <c r="M28" s="38" t="str">
        <f t="shared" si="6"/>
        <v/>
      </c>
    </row>
  </sheetData>
  <mergeCells count="4">
    <mergeCell ref="R5:S5"/>
    <mergeCell ref="R10:S10"/>
    <mergeCell ref="R11:S11"/>
    <mergeCell ref="W1:W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7985C-CD66-4CF3-BCBB-AC0F9731AF5E}">
  <sheetPr>
    <tabColor theme="0" tint="-0.249977111117893"/>
  </sheetPr>
  <dimension ref="B1:I394"/>
  <sheetViews>
    <sheetView showGridLines="0" zoomScaleNormal="100" workbookViewId="0"/>
  </sheetViews>
  <sheetFormatPr baseColWidth="10" defaultColWidth="11.453125" defaultRowHeight="14.5" x14ac:dyDescent="0.35"/>
  <cols>
    <col min="1" max="1" width="7" style="24" customWidth="1"/>
    <col min="2" max="2" width="30.453125" style="24" customWidth="1"/>
    <col min="3" max="3" width="20.7265625" style="24" customWidth="1"/>
    <col min="4" max="4" width="26.453125" style="24" customWidth="1"/>
    <col min="5" max="5" width="24.26953125" style="24" customWidth="1"/>
    <col min="6" max="6" width="2.54296875" style="24" customWidth="1"/>
    <col min="7" max="7" width="20.54296875" style="24" customWidth="1"/>
    <col min="8" max="8" width="23.26953125" style="24" customWidth="1"/>
    <col min="9" max="9" width="17.26953125" style="24" customWidth="1"/>
    <col min="10" max="10" width="18.54296875" style="24" customWidth="1"/>
    <col min="11" max="16384" width="11.453125" style="24"/>
  </cols>
  <sheetData>
    <row r="1" spans="2:9" ht="18" customHeight="1" x14ac:dyDescent="0.35">
      <c r="B1" s="75" t="s">
        <v>0</v>
      </c>
    </row>
    <row r="2" spans="2:9" ht="18" customHeight="1" thickBot="1" x14ac:dyDescent="0.4">
      <c r="B2" s="75" t="s">
        <v>1717</v>
      </c>
    </row>
    <row r="3" spans="2:9" ht="18" customHeight="1" thickBot="1" x14ac:dyDescent="0.4">
      <c r="B3" s="51" t="s">
        <v>1</v>
      </c>
      <c r="C3" s="55" t="str">
        <f>Fórmulas!X4</f>
        <v>Aperture Incident // No encontrado. Completar // No encontrado. Completar // 0 // 0 // 0 // 0 (P5) - Impact: 0</v>
      </c>
      <c r="D3" s="56"/>
      <c r="E3" s="56"/>
      <c r="F3" s="56"/>
      <c r="G3" s="56"/>
      <c r="H3" s="57"/>
    </row>
    <row r="4" spans="2:9" ht="18" customHeight="1" x14ac:dyDescent="0.35">
      <c r="B4" s="77"/>
      <c r="C4" s="78"/>
      <c r="D4" s="78"/>
      <c r="E4" s="78"/>
      <c r="F4" s="78"/>
      <c r="G4" s="78"/>
      <c r="H4" s="78"/>
    </row>
    <row r="5" spans="2:9" ht="18" customHeight="1" thickBot="1" x14ac:dyDescent="0.4"/>
    <row r="6" spans="2:9" ht="60" customHeight="1" thickBot="1" x14ac:dyDescent="0.4">
      <c r="B6" s="144"/>
      <c r="C6" s="145"/>
      <c r="D6" s="145"/>
      <c r="E6" s="146"/>
      <c r="G6" s="142" t="str">
        <f>CONCATENATE(SUM('Incident Com. (COMPLETAR)'!I:I)," ERRORES")</f>
        <v>8 ERRORES</v>
      </c>
      <c r="H6" s="143"/>
    </row>
    <row r="7" spans="2:9" ht="21" customHeight="1" x14ac:dyDescent="0.35">
      <c r="B7" s="79" t="s">
        <v>2</v>
      </c>
      <c r="C7" s="147" t="s">
        <v>0</v>
      </c>
      <c r="D7" s="147"/>
      <c r="E7" s="148"/>
      <c r="G7" s="154" t="s">
        <v>3</v>
      </c>
      <c r="H7" s="154"/>
    </row>
    <row r="8" spans="2:9" ht="30" customHeight="1" x14ac:dyDescent="0.35">
      <c r="B8" s="32" t="s">
        <v>4</v>
      </c>
      <c r="C8" s="46" t="str">
        <f>'Incident Com. (COMPLETAR)'!E14</f>
        <v>No encontrado. Completar</v>
      </c>
      <c r="D8" s="28" t="s">
        <v>5</v>
      </c>
      <c r="E8" s="33" t="str">
        <f>IF('Incident Com. (COMPLETAR)'!E8="","",Fórmulas!C5)</f>
        <v/>
      </c>
    </row>
    <row r="9" spans="2:9" ht="21" customHeight="1" x14ac:dyDescent="0.35">
      <c r="B9" s="32" t="s">
        <v>1718</v>
      </c>
      <c r="C9" s="29" t="str">
        <f>Fórmulas!G7</f>
        <v/>
      </c>
      <c r="D9" s="28" t="s">
        <v>1719</v>
      </c>
      <c r="E9" s="34" t="str">
        <f>Fórmulas!H7</f>
        <v/>
      </c>
      <c r="G9" s="153" t="s">
        <v>8</v>
      </c>
      <c r="H9" s="153"/>
      <c r="I9" s="24" t="s">
        <v>9</v>
      </c>
    </row>
    <row r="10" spans="2:9" ht="21" customHeight="1" x14ac:dyDescent="0.35">
      <c r="B10" s="32" t="s">
        <v>10</v>
      </c>
      <c r="C10" s="30" t="str">
        <f>Fórmulas!I7</f>
        <v/>
      </c>
      <c r="D10" s="28" t="s">
        <v>11</v>
      </c>
      <c r="E10" s="33">
        <f>'Incident Com. (COMPLETAR)'!E18</f>
        <v>0</v>
      </c>
      <c r="G10" s="153" t="s">
        <v>12</v>
      </c>
      <c r="H10" s="153"/>
      <c r="I10" s="24" t="s">
        <v>13</v>
      </c>
    </row>
    <row r="11" spans="2:9" ht="21" customHeight="1" x14ac:dyDescent="0.35">
      <c r="B11" s="32" t="s">
        <v>14</v>
      </c>
      <c r="C11" s="149" t="str">
        <f>IF('Incident Com. (COMPLETAR)'!E20="","PENDIENTE",'Incident Com. (COMPLETAR)'!E20)</f>
        <v>PENDIENTE</v>
      </c>
      <c r="D11" s="149"/>
      <c r="E11" s="150"/>
    </row>
    <row r="12" spans="2:9" ht="21" customHeight="1" x14ac:dyDescent="0.35">
      <c r="B12" s="32" t="s">
        <v>15</v>
      </c>
      <c r="C12" s="31" t="str">
        <f>IF('Incident Com. (COMPLETAR)'!E22="","",'Incident Com. (COMPLETAR)'!E22)</f>
        <v/>
      </c>
      <c r="D12" s="28" t="s">
        <v>16</v>
      </c>
      <c r="E12" s="35" t="str">
        <f>IF('Incident Com. (COMPLETAR)'!E24="","",'Incident Com. (COMPLETAR)'!E24)</f>
        <v/>
      </c>
      <c r="G12" s="54" t="s">
        <v>17</v>
      </c>
      <c r="H12" s="53" t="str">
        <f ca="1">IF('Incident Com. (COMPLETAR)'!E6="Aperture Incident",IF('Incident Com. (COMPLETAR)'!C36="","",IF(AND(Fórmulas!C4="GSNET DATA",Fórmulas!AC2="Saturation"),45-((NOW()-'Incident Com. (COMPLETAR)'!C36)*1440),30-((NOW()-'Incident Com. (COMPLETAR)'!C36)*1440))),"")</f>
        <v/>
      </c>
    </row>
    <row r="13" spans="2:9" ht="21" customHeight="1" x14ac:dyDescent="0.35">
      <c r="B13" s="32" t="s">
        <v>18</v>
      </c>
      <c r="C13" s="151">
        <f>IF('Incident Com. (COMPLETAR)'!E12="",'Incident Com. (COMPLETAR)'!E10,_xlfn.CONCAT('Incident Com. (COMPLETAR)'!E10," to ",'Incident Com. (COMPLETAR)'!E12))</f>
        <v>0</v>
      </c>
      <c r="D13" s="151"/>
      <c r="E13" s="152"/>
      <c r="G13" s="54" t="s">
        <v>19</v>
      </c>
      <c r="H13" s="76">
        <f ca="1">NOW()</f>
        <v>45853.725240624997</v>
      </c>
    </row>
    <row r="14" spans="2:9" ht="21" customHeight="1" x14ac:dyDescent="0.35">
      <c r="B14" s="32" t="s">
        <v>20</v>
      </c>
      <c r="C14" s="139" t="str">
        <f>IF('Incident Com. (COMPLETAR)'!E26="","",'Incident Com. (COMPLETAR)'!E26)</f>
        <v/>
      </c>
      <c r="D14" s="140"/>
      <c r="E14" s="141"/>
    </row>
    <row r="15" spans="2:9" ht="21" customHeight="1" thickBot="1" x14ac:dyDescent="0.4">
      <c r="B15" s="36" t="s">
        <v>21</v>
      </c>
      <c r="C15" s="161" t="str">
        <f>IF('Incident Com. (COMPLETAR)'!E28="","",'Incident Com. (COMPLETAR)'!E28)</f>
        <v/>
      </c>
      <c r="D15" s="162"/>
      <c r="E15" s="163"/>
    </row>
    <row r="16" spans="2:9" ht="21" customHeight="1" thickBot="1" x14ac:dyDescent="0.4">
      <c r="B16" s="158" t="s">
        <v>22</v>
      </c>
      <c r="C16" s="159"/>
      <c r="D16" s="159"/>
      <c r="E16" s="160"/>
      <c r="G16" s="24" t="s">
        <v>23</v>
      </c>
    </row>
    <row r="17" spans="2:8" ht="21" customHeight="1" x14ac:dyDescent="0.35">
      <c r="B17" s="49" t="s">
        <v>1720</v>
      </c>
      <c r="C17" s="156" t="s">
        <v>25</v>
      </c>
      <c r="D17" s="156"/>
      <c r="E17" s="157"/>
    </row>
    <row r="18" spans="2:8" ht="39.65" customHeight="1" x14ac:dyDescent="0.35">
      <c r="B18" s="45"/>
      <c r="C18" s="149"/>
      <c r="D18" s="149"/>
      <c r="E18" s="164"/>
    </row>
    <row r="19" spans="2:8" ht="14.65" customHeight="1" x14ac:dyDescent="0.35">
      <c r="B19" s="155" t="s">
        <v>26</v>
      </c>
      <c r="C19" s="155"/>
      <c r="D19" s="155"/>
      <c r="E19" s="155"/>
      <c r="H19" s="84"/>
    </row>
    <row r="20" spans="2:8" ht="40.15" customHeight="1" x14ac:dyDescent="0.35">
      <c r="B20" s="47"/>
      <c r="C20" s="48"/>
      <c r="D20" s="48"/>
      <c r="E20" s="48"/>
      <c r="H20" s="84"/>
    </row>
    <row r="21" spans="2:8" ht="40.15" customHeight="1" x14ac:dyDescent="0.35">
      <c r="B21" s="47"/>
      <c r="C21" s="48"/>
      <c r="D21" s="48"/>
      <c r="E21" s="48"/>
      <c r="H21" s="84"/>
    </row>
    <row r="22" spans="2:8" ht="40.15" customHeight="1" x14ac:dyDescent="0.35">
      <c r="B22" s="47"/>
      <c r="C22" s="48"/>
      <c r="D22" s="48"/>
      <c r="E22" s="48"/>
      <c r="H22" s="84"/>
    </row>
    <row r="23" spans="2:8" ht="14.65" customHeight="1" x14ac:dyDescent="0.35">
      <c r="B23" s="47"/>
      <c r="C23" s="48"/>
      <c r="D23" s="48"/>
      <c r="E23" s="48"/>
    </row>
    <row r="24" spans="2:8" ht="14.65" customHeight="1" x14ac:dyDescent="0.35">
      <c r="B24" s="47"/>
      <c r="C24" s="48"/>
      <c r="D24" s="48"/>
      <c r="E24" s="48"/>
    </row>
    <row r="25" spans="2:8" ht="14.65" customHeight="1" x14ac:dyDescent="0.35">
      <c r="B25" s="47"/>
      <c r="C25" s="48"/>
      <c r="D25" s="48"/>
      <c r="E25" s="48"/>
    </row>
    <row r="26" spans="2:8" ht="14.65" customHeight="1" x14ac:dyDescent="0.35">
      <c r="B26" s="47"/>
      <c r="C26" s="48"/>
      <c r="D26" s="48"/>
      <c r="E26" s="48"/>
    </row>
    <row r="27" spans="2:8" x14ac:dyDescent="0.35">
      <c r="B27" s="47"/>
      <c r="C27" s="48"/>
      <c r="D27" s="48"/>
      <c r="E27" s="48"/>
    </row>
    <row r="28" spans="2:8" x14ac:dyDescent="0.35">
      <c r="B28" s="47"/>
      <c r="C28" s="52"/>
      <c r="D28" s="48"/>
      <c r="E28" s="48"/>
    </row>
    <row r="29" spans="2:8" x14ac:dyDescent="0.35">
      <c r="B29" s="47"/>
      <c r="C29" s="48"/>
      <c r="D29" s="48"/>
      <c r="E29" s="48"/>
    </row>
    <row r="30" spans="2:8" x14ac:dyDescent="0.35">
      <c r="B30" s="47"/>
      <c r="C30" s="48"/>
      <c r="D30" s="48"/>
      <c r="E30" s="48"/>
    </row>
    <row r="31" spans="2:8" x14ac:dyDescent="0.35">
      <c r="B31" s="47"/>
      <c r="C31" s="48"/>
      <c r="D31" s="48"/>
      <c r="E31" s="48"/>
    </row>
    <row r="32" spans="2:8" x14ac:dyDescent="0.35">
      <c r="B32" s="47"/>
      <c r="C32" s="48"/>
      <c r="D32" s="48"/>
      <c r="E32" s="48"/>
    </row>
    <row r="33" spans="2:5" x14ac:dyDescent="0.35">
      <c r="B33" s="47"/>
      <c r="C33" s="48"/>
      <c r="D33" s="48"/>
      <c r="E33" s="48"/>
    </row>
    <row r="34" spans="2:5" x14ac:dyDescent="0.35">
      <c r="B34" s="47"/>
      <c r="C34" s="48"/>
      <c r="D34" s="48"/>
      <c r="E34" s="48"/>
    </row>
    <row r="35" spans="2:5" x14ac:dyDescent="0.35">
      <c r="B35" s="47"/>
      <c r="C35" s="48"/>
      <c r="D35" s="48"/>
      <c r="E35" s="48"/>
    </row>
    <row r="36" spans="2:5" x14ac:dyDescent="0.35">
      <c r="B36" s="47"/>
      <c r="C36" s="48"/>
      <c r="D36" s="48"/>
      <c r="E36" s="48"/>
    </row>
    <row r="37" spans="2:5" x14ac:dyDescent="0.35">
      <c r="B37" s="47"/>
      <c r="C37" s="48"/>
      <c r="D37" s="48"/>
      <c r="E37" s="48"/>
    </row>
    <row r="38" spans="2:5" x14ac:dyDescent="0.35">
      <c r="B38" s="47"/>
      <c r="C38" s="48"/>
      <c r="D38" s="48"/>
      <c r="E38" s="48"/>
    </row>
    <row r="39" spans="2:5" x14ac:dyDescent="0.35">
      <c r="B39" s="47"/>
      <c r="C39" s="48"/>
      <c r="D39" s="48"/>
      <c r="E39" s="48"/>
    </row>
    <row r="40" spans="2:5" x14ac:dyDescent="0.35">
      <c r="B40" s="47"/>
      <c r="C40" s="48"/>
      <c r="D40" s="48"/>
      <c r="E40" s="48"/>
    </row>
    <row r="41" spans="2:5" x14ac:dyDescent="0.35">
      <c r="B41" s="47"/>
      <c r="C41" s="48"/>
      <c r="D41" s="48"/>
      <c r="E41" s="48"/>
    </row>
    <row r="42" spans="2:5" x14ac:dyDescent="0.35">
      <c r="B42" s="47"/>
      <c r="C42" s="48"/>
      <c r="D42" s="48"/>
      <c r="E42" s="48"/>
    </row>
    <row r="43" spans="2:5" x14ac:dyDescent="0.35">
      <c r="B43" s="47"/>
      <c r="C43" s="48"/>
      <c r="D43" s="48"/>
      <c r="E43" s="48"/>
    </row>
    <row r="44" spans="2:5" x14ac:dyDescent="0.35">
      <c r="B44" s="47"/>
      <c r="C44" s="48"/>
      <c r="D44" s="48"/>
      <c r="E44" s="48"/>
    </row>
    <row r="45" spans="2:5" x14ac:dyDescent="0.35">
      <c r="B45" s="47"/>
      <c r="C45" s="48"/>
      <c r="D45" s="48"/>
      <c r="E45" s="48"/>
    </row>
    <row r="46" spans="2:5" x14ac:dyDescent="0.35">
      <c r="B46" s="47"/>
      <c r="C46" s="48"/>
      <c r="D46" s="48"/>
      <c r="E46" s="48"/>
    </row>
    <row r="47" spans="2:5" x14ac:dyDescent="0.35">
      <c r="B47" s="47"/>
      <c r="C47" s="48"/>
      <c r="D47" s="48"/>
      <c r="E47" s="48"/>
    </row>
    <row r="48" spans="2:5" x14ac:dyDescent="0.35">
      <c r="B48" s="47"/>
      <c r="C48" s="48"/>
      <c r="D48" s="48"/>
      <c r="E48" s="48"/>
    </row>
    <row r="49" spans="2:5" x14ac:dyDescent="0.35">
      <c r="B49" s="47"/>
      <c r="C49" s="48"/>
      <c r="D49" s="48"/>
      <c r="E49" s="48"/>
    </row>
    <row r="50" spans="2:5" x14ac:dyDescent="0.35">
      <c r="B50" s="47"/>
      <c r="C50" s="48"/>
      <c r="D50" s="48"/>
      <c r="E50" s="48"/>
    </row>
    <row r="51" spans="2:5" x14ac:dyDescent="0.35">
      <c r="B51" s="47"/>
      <c r="C51" s="48"/>
      <c r="D51" s="48"/>
      <c r="E51" s="48"/>
    </row>
    <row r="52" spans="2:5" x14ac:dyDescent="0.35">
      <c r="B52" s="47"/>
      <c r="C52" s="48"/>
      <c r="D52" s="48"/>
      <c r="E52" s="48"/>
    </row>
    <row r="53" spans="2:5" x14ac:dyDescent="0.35">
      <c r="B53" s="47"/>
      <c r="C53" s="48"/>
      <c r="D53" s="48"/>
      <c r="E53" s="48"/>
    </row>
    <row r="54" spans="2:5" x14ac:dyDescent="0.35">
      <c r="B54" s="47"/>
      <c r="C54" s="48"/>
      <c r="D54" s="48"/>
      <c r="E54" s="48"/>
    </row>
    <row r="55" spans="2:5" x14ac:dyDescent="0.35">
      <c r="B55" s="47"/>
      <c r="C55" s="48"/>
      <c r="D55" s="48"/>
      <c r="E55" s="48"/>
    </row>
    <row r="56" spans="2:5" x14ac:dyDescent="0.35">
      <c r="B56" s="47"/>
      <c r="C56" s="48"/>
      <c r="D56" s="48"/>
      <c r="E56" s="48"/>
    </row>
    <row r="57" spans="2:5" x14ac:dyDescent="0.35">
      <c r="B57" s="47"/>
      <c r="C57" s="48"/>
      <c r="D57" s="48"/>
      <c r="E57" s="48"/>
    </row>
    <row r="58" spans="2:5" x14ac:dyDescent="0.35">
      <c r="B58" s="47"/>
      <c r="C58" s="48"/>
      <c r="D58" s="48"/>
      <c r="E58" s="48"/>
    </row>
    <row r="59" spans="2:5" x14ac:dyDescent="0.35">
      <c r="B59" s="47"/>
      <c r="C59" s="48"/>
      <c r="D59" s="48"/>
      <c r="E59" s="48"/>
    </row>
    <row r="60" spans="2:5" x14ac:dyDescent="0.35">
      <c r="B60" s="47"/>
      <c r="C60" s="48"/>
      <c r="D60" s="48"/>
      <c r="E60" s="48"/>
    </row>
    <row r="61" spans="2:5" x14ac:dyDescent="0.35">
      <c r="B61" s="47"/>
      <c r="C61" s="48"/>
      <c r="D61" s="48"/>
      <c r="E61" s="48"/>
    </row>
    <row r="62" spans="2:5" x14ac:dyDescent="0.35">
      <c r="B62" s="47"/>
      <c r="C62" s="48"/>
      <c r="D62" s="48"/>
      <c r="E62" s="48"/>
    </row>
    <row r="63" spans="2:5" x14ac:dyDescent="0.35">
      <c r="B63" s="47"/>
      <c r="C63" s="48"/>
      <c r="D63" s="48"/>
      <c r="E63" s="48"/>
    </row>
    <row r="64" spans="2:5" x14ac:dyDescent="0.35">
      <c r="B64" s="47"/>
      <c r="C64" s="48"/>
      <c r="D64" s="48"/>
      <c r="E64" s="48"/>
    </row>
    <row r="65" spans="2:5" x14ac:dyDescent="0.35">
      <c r="B65" s="47"/>
      <c r="C65" s="48"/>
      <c r="D65" s="48"/>
      <c r="E65" s="48"/>
    </row>
    <row r="66" spans="2:5" x14ac:dyDescent="0.35">
      <c r="B66" s="47"/>
      <c r="C66" s="48"/>
      <c r="D66" s="48"/>
      <c r="E66" s="48"/>
    </row>
    <row r="67" spans="2:5" x14ac:dyDescent="0.35">
      <c r="B67" s="47"/>
      <c r="C67" s="48"/>
      <c r="D67" s="48"/>
      <c r="E67" s="48"/>
    </row>
    <row r="68" spans="2:5" x14ac:dyDescent="0.35">
      <c r="B68" s="47"/>
      <c r="C68" s="48"/>
      <c r="D68" s="48"/>
      <c r="E68" s="48"/>
    </row>
    <row r="69" spans="2:5" x14ac:dyDescent="0.35">
      <c r="B69" s="47"/>
      <c r="C69" s="48"/>
      <c r="D69" s="48"/>
      <c r="E69" s="48"/>
    </row>
    <row r="70" spans="2:5" x14ac:dyDescent="0.35">
      <c r="B70" s="47"/>
      <c r="C70" s="48"/>
      <c r="D70" s="48"/>
      <c r="E70" s="48"/>
    </row>
    <row r="71" spans="2:5" x14ac:dyDescent="0.35">
      <c r="B71" s="47"/>
      <c r="C71" s="48"/>
      <c r="D71" s="48"/>
      <c r="E71" s="48"/>
    </row>
    <row r="72" spans="2:5" x14ac:dyDescent="0.35">
      <c r="B72" s="47"/>
      <c r="C72" s="48"/>
      <c r="D72" s="48"/>
      <c r="E72" s="48"/>
    </row>
    <row r="73" spans="2:5" x14ac:dyDescent="0.35">
      <c r="B73" s="47"/>
      <c r="C73" s="48"/>
      <c r="D73" s="48"/>
      <c r="E73" s="48"/>
    </row>
    <row r="74" spans="2:5" x14ac:dyDescent="0.35">
      <c r="B74" s="47"/>
      <c r="C74" s="48"/>
      <c r="D74" s="48"/>
      <c r="E74" s="48"/>
    </row>
    <row r="75" spans="2:5" x14ac:dyDescent="0.35">
      <c r="B75" s="47"/>
      <c r="C75" s="48"/>
      <c r="D75" s="48"/>
      <c r="E75" s="48"/>
    </row>
    <row r="76" spans="2:5" x14ac:dyDescent="0.35">
      <c r="B76" s="47"/>
      <c r="C76" s="48"/>
      <c r="D76" s="48"/>
      <c r="E76" s="48"/>
    </row>
    <row r="77" spans="2:5" x14ac:dyDescent="0.35">
      <c r="B77" s="47"/>
      <c r="C77" s="48"/>
      <c r="D77" s="48"/>
      <c r="E77" s="48"/>
    </row>
    <row r="78" spans="2:5" x14ac:dyDescent="0.35">
      <c r="B78" s="47"/>
      <c r="C78" s="48"/>
      <c r="D78" s="48"/>
      <c r="E78" s="48"/>
    </row>
    <row r="79" spans="2:5" x14ac:dyDescent="0.35">
      <c r="B79" s="47"/>
      <c r="C79" s="48"/>
      <c r="D79" s="48"/>
      <c r="E79" s="48"/>
    </row>
    <row r="80" spans="2:5" x14ac:dyDescent="0.35">
      <c r="B80" s="47"/>
      <c r="C80" s="48"/>
      <c r="D80" s="48"/>
      <c r="E80" s="48"/>
    </row>
    <row r="81" spans="2:5" x14ac:dyDescent="0.35">
      <c r="B81" s="47"/>
      <c r="C81" s="48"/>
      <c r="D81" s="48"/>
      <c r="E81" s="48"/>
    </row>
    <row r="82" spans="2:5" x14ac:dyDescent="0.35">
      <c r="B82" s="47"/>
      <c r="C82" s="48"/>
      <c r="D82" s="48"/>
      <c r="E82" s="48"/>
    </row>
    <row r="83" spans="2:5" x14ac:dyDescent="0.35">
      <c r="B83" s="47"/>
      <c r="C83" s="48"/>
      <c r="D83" s="48"/>
      <c r="E83" s="48"/>
    </row>
    <row r="84" spans="2:5" x14ac:dyDescent="0.35">
      <c r="B84" s="47"/>
      <c r="C84" s="48"/>
      <c r="D84" s="48"/>
      <c r="E84" s="48"/>
    </row>
    <row r="85" spans="2:5" x14ac:dyDescent="0.35">
      <c r="B85" s="47"/>
      <c r="C85" s="48"/>
      <c r="D85" s="48"/>
      <c r="E85" s="48"/>
    </row>
    <row r="86" spans="2:5" x14ac:dyDescent="0.35">
      <c r="B86" s="47"/>
      <c r="C86" s="48"/>
      <c r="D86" s="48"/>
      <c r="E86" s="48"/>
    </row>
    <row r="87" spans="2:5" x14ac:dyDescent="0.35">
      <c r="B87" s="47"/>
      <c r="C87" s="48"/>
      <c r="D87" s="48"/>
      <c r="E87" s="48"/>
    </row>
    <row r="88" spans="2:5" x14ac:dyDescent="0.35">
      <c r="B88" s="47"/>
      <c r="C88" s="48"/>
      <c r="D88" s="48"/>
      <c r="E88" s="48"/>
    </row>
    <row r="89" spans="2:5" x14ac:dyDescent="0.35">
      <c r="B89" s="47"/>
      <c r="C89" s="48"/>
      <c r="D89" s="48"/>
      <c r="E89" s="48"/>
    </row>
    <row r="90" spans="2:5" x14ac:dyDescent="0.35">
      <c r="B90" s="47"/>
      <c r="C90" s="48"/>
      <c r="D90" s="48"/>
      <c r="E90" s="48"/>
    </row>
    <row r="91" spans="2:5" x14ac:dyDescent="0.35">
      <c r="B91" s="47"/>
      <c r="C91" s="48"/>
      <c r="D91" s="48"/>
      <c r="E91" s="48"/>
    </row>
    <row r="92" spans="2:5" x14ac:dyDescent="0.35">
      <c r="B92" s="47"/>
      <c r="C92" s="48"/>
      <c r="D92" s="48"/>
      <c r="E92" s="48"/>
    </row>
    <row r="93" spans="2:5" x14ac:dyDescent="0.35">
      <c r="B93" s="47"/>
      <c r="C93" s="48"/>
      <c r="D93" s="48"/>
      <c r="E93" s="48"/>
    </row>
    <row r="94" spans="2:5" x14ac:dyDescent="0.35">
      <c r="B94" s="47"/>
      <c r="C94" s="48"/>
      <c r="D94" s="48"/>
      <c r="E94" s="48"/>
    </row>
    <row r="95" spans="2:5" x14ac:dyDescent="0.35">
      <c r="B95" s="47"/>
      <c r="C95" s="48"/>
      <c r="D95" s="48"/>
      <c r="E95" s="48"/>
    </row>
    <row r="96" spans="2:5" x14ac:dyDescent="0.35">
      <c r="B96" s="47"/>
      <c r="C96" s="48"/>
      <c r="D96" s="48"/>
      <c r="E96" s="48"/>
    </row>
    <row r="97" spans="2:5" x14ac:dyDescent="0.35">
      <c r="B97" s="47"/>
      <c r="C97" s="48"/>
      <c r="D97" s="48"/>
      <c r="E97" s="48"/>
    </row>
    <row r="98" spans="2:5" x14ac:dyDescent="0.35">
      <c r="B98" s="47"/>
      <c r="C98" s="48"/>
      <c r="D98" s="48"/>
      <c r="E98" s="48"/>
    </row>
    <row r="99" spans="2:5" x14ac:dyDescent="0.35">
      <c r="B99" s="47"/>
      <c r="C99" s="48"/>
      <c r="D99" s="48"/>
      <c r="E99" s="48"/>
    </row>
    <row r="100" spans="2:5" x14ac:dyDescent="0.35">
      <c r="B100" s="47"/>
      <c r="C100" s="48"/>
      <c r="D100" s="48"/>
      <c r="E100" s="48"/>
    </row>
    <row r="101" spans="2:5" x14ac:dyDescent="0.35">
      <c r="B101" s="47"/>
      <c r="C101" s="48"/>
      <c r="D101" s="48"/>
      <c r="E101" s="48"/>
    </row>
    <row r="102" spans="2:5" x14ac:dyDescent="0.35">
      <c r="B102" s="47"/>
      <c r="C102" s="48"/>
      <c r="D102" s="48"/>
      <c r="E102" s="48"/>
    </row>
    <row r="103" spans="2:5" x14ac:dyDescent="0.35">
      <c r="B103" s="47"/>
      <c r="C103" s="48"/>
      <c r="D103" s="48"/>
      <c r="E103" s="48"/>
    </row>
    <row r="104" spans="2:5" x14ac:dyDescent="0.35">
      <c r="B104" s="47"/>
      <c r="C104" s="48"/>
      <c r="D104" s="48"/>
      <c r="E104" s="48"/>
    </row>
    <row r="105" spans="2:5" x14ac:dyDescent="0.35">
      <c r="B105" s="47"/>
      <c r="C105" s="48"/>
      <c r="D105" s="48"/>
      <c r="E105" s="48"/>
    </row>
    <row r="106" spans="2:5" x14ac:dyDescent="0.35">
      <c r="B106" s="47"/>
      <c r="C106" s="48"/>
      <c r="D106" s="48"/>
      <c r="E106" s="48"/>
    </row>
    <row r="107" spans="2:5" x14ac:dyDescent="0.35">
      <c r="B107" s="47"/>
      <c r="C107" s="48"/>
      <c r="D107" s="48"/>
      <c r="E107" s="48"/>
    </row>
    <row r="108" spans="2:5" x14ac:dyDescent="0.35">
      <c r="B108" s="47"/>
      <c r="C108" s="48"/>
      <c r="D108" s="48"/>
      <c r="E108" s="48"/>
    </row>
    <row r="109" spans="2:5" x14ac:dyDescent="0.35">
      <c r="B109" s="47"/>
      <c r="C109" s="48"/>
      <c r="D109" s="48"/>
      <c r="E109" s="48"/>
    </row>
    <row r="110" spans="2:5" x14ac:dyDescent="0.35">
      <c r="B110" s="47"/>
      <c r="C110" s="48"/>
      <c r="D110" s="48"/>
      <c r="E110" s="48"/>
    </row>
    <row r="111" spans="2:5" x14ac:dyDescent="0.35">
      <c r="B111" s="47"/>
      <c r="C111" s="48"/>
      <c r="D111" s="48"/>
      <c r="E111" s="48"/>
    </row>
    <row r="112" spans="2:5" x14ac:dyDescent="0.35">
      <c r="B112" s="47"/>
      <c r="C112" s="48"/>
      <c r="D112" s="48"/>
      <c r="E112" s="48"/>
    </row>
    <row r="113" spans="2:5" x14ac:dyDescent="0.35">
      <c r="B113" s="47"/>
      <c r="C113" s="48"/>
      <c r="D113" s="48"/>
      <c r="E113" s="48"/>
    </row>
    <row r="114" spans="2:5" x14ac:dyDescent="0.35">
      <c r="B114" s="47"/>
      <c r="C114" s="48"/>
      <c r="D114" s="48"/>
      <c r="E114" s="48"/>
    </row>
    <row r="115" spans="2:5" x14ac:dyDescent="0.35">
      <c r="B115" s="47"/>
      <c r="C115" s="48"/>
      <c r="D115" s="48"/>
      <c r="E115" s="48"/>
    </row>
    <row r="116" spans="2:5" x14ac:dyDescent="0.35">
      <c r="B116" s="47"/>
      <c r="C116" s="48"/>
      <c r="D116" s="48"/>
      <c r="E116" s="48"/>
    </row>
    <row r="117" spans="2:5" x14ac:dyDescent="0.35">
      <c r="B117" s="47"/>
      <c r="C117" s="48"/>
      <c r="D117" s="48"/>
      <c r="E117" s="48"/>
    </row>
    <row r="118" spans="2:5" x14ac:dyDescent="0.35">
      <c r="B118" s="47"/>
      <c r="C118" s="48"/>
      <c r="D118" s="48"/>
      <c r="E118" s="48"/>
    </row>
    <row r="119" spans="2:5" x14ac:dyDescent="0.35">
      <c r="B119" s="47"/>
      <c r="C119" s="48"/>
      <c r="D119" s="48"/>
      <c r="E119" s="48"/>
    </row>
    <row r="120" spans="2:5" x14ac:dyDescent="0.35">
      <c r="B120" s="47"/>
      <c r="C120" s="48"/>
      <c r="D120" s="48"/>
      <c r="E120" s="48"/>
    </row>
    <row r="121" spans="2:5" x14ac:dyDescent="0.35">
      <c r="B121" s="47"/>
      <c r="C121" s="48"/>
      <c r="D121" s="48"/>
      <c r="E121" s="48"/>
    </row>
    <row r="122" spans="2:5" x14ac:dyDescent="0.35">
      <c r="B122" s="47"/>
      <c r="C122" s="48"/>
      <c r="D122" s="48"/>
      <c r="E122" s="48"/>
    </row>
    <row r="123" spans="2:5" x14ac:dyDescent="0.35">
      <c r="B123" s="47"/>
      <c r="C123" s="48"/>
      <c r="D123" s="48"/>
      <c r="E123" s="48"/>
    </row>
    <row r="124" spans="2:5" x14ac:dyDescent="0.35">
      <c r="B124" s="47"/>
      <c r="C124" s="48"/>
      <c r="D124" s="48"/>
      <c r="E124" s="48"/>
    </row>
    <row r="125" spans="2:5" x14ac:dyDescent="0.35">
      <c r="B125" s="47"/>
      <c r="C125" s="48"/>
      <c r="D125" s="48"/>
      <c r="E125" s="48"/>
    </row>
    <row r="126" spans="2:5" x14ac:dyDescent="0.35">
      <c r="B126" s="47"/>
      <c r="C126" s="48"/>
      <c r="D126" s="48"/>
      <c r="E126" s="48"/>
    </row>
    <row r="127" spans="2:5" x14ac:dyDescent="0.35">
      <c r="B127" s="47"/>
      <c r="C127" s="48"/>
      <c r="D127" s="48"/>
      <c r="E127" s="48"/>
    </row>
    <row r="128" spans="2:5" x14ac:dyDescent="0.35">
      <c r="B128" s="47"/>
      <c r="C128" s="48"/>
      <c r="D128" s="48"/>
      <c r="E128" s="48"/>
    </row>
    <row r="129" spans="2:5" x14ac:dyDescent="0.35">
      <c r="B129" s="47"/>
      <c r="C129" s="48"/>
      <c r="D129" s="48"/>
      <c r="E129" s="48"/>
    </row>
    <row r="130" spans="2:5" x14ac:dyDescent="0.35">
      <c r="B130" s="47"/>
      <c r="C130" s="48"/>
      <c r="D130" s="48"/>
      <c r="E130" s="48"/>
    </row>
    <row r="131" spans="2:5" x14ac:dyDescent="0.35">
      <c r="B131" s="47"/>
      <c r="C131" s="48"/>
      <c r="D131" s="48"/>
      <c r="E131" s="48"/>
    </row>
    <row r="132" spans="2:5" x14ac:dyDescent="0.35">
      <c r="B132" s="47"/>
      <c r="C132" s="48"/>
      <c r="D132" s="48"/>
      <c r="E132" s="48"/>
    </row>
    <row r="133" spans="2:5" x14ac:dyDescent="0.35">
      <c r="B133" s="47"/>
      <c r="C133" s="48"/>
      <c r="D133" s="48"/>
      <c r="E133" s="48"/>
    </row>
    <row r="134" spans="2:5" x14ac:dyDescent="0.35">
      <c r="B134" s="47"/>
      <c r="C134" s="48"/>
      <c r="D134" s="48"/>
      <c r="E134" s="48"/>
    </row>
    <row r="135" spans="2:5" x14ac:dyDescent="0.35">
      <c r="B135" s="47"/>
      <c r="C135" s="48"/>
      <c r="D135" s="48"/>
      <c r="E135" s="48"/>
    </row>
    <row r="136" spans="2:5" x14ac:dyDescent="0.35">
      <c r="B136" s="47"/>
      <c r="C136" s="48"/>
      <c r="D136" s="48"/>
      <c r="E136" s="48"/>
    </row>
    <row r="137" spans="2:5" x14ac:dyDescent="0.35">
      <c r="B137" s="47"/>
      <c r="C137" s="48"/>
      <c r="D137" s="48"/>
      <c r="E137" s="48"/>
    </row>
    <row r="138" spans="2:5" x14ac:dyDescent="0.35">
      <c r="B138" s="47"/>
      <c r="C138" s="48"/>
      <c r="D138" s="48"/>
      <c r="E138" s="48"/>
    </row>
    <row r="139" spans="2:5" x14ac:dyDescent="0.35">
      <c r="B139" s="47"/>
      <c r="C139" s="48"/>
      <c r="D139" s="48"/>
      <c r="E139" s="48"/>
    </row>
    <row r="140" spans="2:5" x14ac:dyDescent="0.35">
      <c r="B140" s="47"/>
      <c r="C140" s="48"/>
      <c r="D140" s="48"/>
      <c r="E140" s="48"/>
    </row>
    <row r="141" spans="2:5" x14ac:dyDescent="0.35">
      <c r="B141" s="47"/>
      <c r="C141" s="48"/>
      <c r="D141" s="48"/>
      <c r="E141" s="48"/>
    </row>
    <row r="142" spans="2:5" x14ac:dyDescent="0.35">
      <c r="B142" s="47"/>
      <c r="C142" s="48"/>
      <c r="D142" s="48"/>
      <c r="E142" s="48"/>
    </row>
    <row r="143" spans="2:5" x14ac:dyDescent="0.35">
      <c r="B143" s="47"/>
      <c r="C143" s="48"/>
      <c r="D143" s="48"/>
      <c r="E143" s="48"/>
    </row>
    <row r="144" spans="2:5" x14ac:dyDescent="0.35">
      <c r="B144" s="47"/>
      <c r="C144" s="48"/>
      <c r="D144" s="48"/>
      <c r="E144" s="48"/>
    </row>
    <row r="145" spans="2:5" x14ac:dyDescent="0.35">
      <c r="B145" s="47"/>
      <c r="C145" s="48"/>
      <c r="D145" s="48"/>
      <c r="E145" s="48"/>
    </row>
    <row r="146" spans="2:5" x14ac:dyDescent="0.35">
      <c r="B146" s="47"/>
      <c r="C146" s="48"/>
      <c r="D146" s="48"/>
      <c r="E146" s="48"/>
    </row>
    <row r="147" spans="2:5" x14ac:dyDescent="0.35">
      <c r="B147" s="47"/>
      <c r="C147" s="48"/>
      <c r="D147" s="48"/>
      <c r="E147" s="48"/>
    </row>
    <row r="148" spans="2:5" x14ac:dyDescent="0.35">
      <c r="B148" s="47"/>
      <c r="C148" s="48"/>
      <c r="D148" s="48"/>
      <c r="E148" s="48"/>
    </row>
    <row r="149" spans="2:5" x14ac:dyDescent="0.35">
      <c r="B149" s="47"/>
      <c r="C149" s="48"/>
      <c r="D149" s="48"/>
      <c r="E149" s="48"/>
    </row>
    <row r="150" spans="2:5" x14ac:dyDescent="0.35">
      <c r="B150" s="47"/>
      <c r="C150" s="48"/>
      <c r="D150" s="48"/>
      <c r="E150" s="48"/>
    </row>
    <row r="151" spans="2:5" x14ac:dyDescent="0.35">
      <c r="B151" s="47"/>
      <c r="C151" s="48"/>
      <c r="D151" s="48"/>
      <c r="E151" s="48"/>
    </row>
    <row r="152" spans="2:5" x14ac:dyDescent="0.35">
      <c r="B152" s="47"/>
      <c r="C152" s="48"/>
      <c r="D152" s="48"/>
      <c r="E152" s="48"/>
    </row>
    <row r="153" spans="2:5" x14ac:dyDescent="0.35">
      <c r="B153" s="47"/>
      <c r="C153" s="48"/>
      <c r="D153" s="48"/>
      <c r="E153" s="48"/>
    </row>
    <row r="154" spans="2:5" x14ac:dyDescent="0.35">
      <c r="B154" s="47"/>
      <c r="C154" s="48"/>
      <c r="D154" s="48"/>
      <c r="E154" s="48"/>
    </row>
    <row r="155" spans="2:5" x14ac:dyDescent="0.35">
      <c r="B155" s="47"/>
      <c r="C155" s="48"/>
      <c r="D155" s="48"/>
      <c r="E155" s="48"/>
    </row>
    <row r="156" spans="2:5" x14ac:dyDescent="0.35">
      <c r="B156" s="47"/>
      <c r="C156" s="48"/>
      <c r="D156" s="48"/>
      <c r="E156" s="48"/>
    </row>
    <row r="157" spans="2:5" x14ac:dyDescent="0.35">
      <c r="B157" s="47"/>
      <c r="C157" s="48"/>
      <c r="D157" s="48"/>
      <c r="E157" s="48"/>
    </row>
    <row r="158" spans="2:5" x14ac:dyDescent="0.35">
      <c r="B158" s="47"/>
      <c r="C158" s="48"/>
      <c r="D158" s="48"/>
      <c r="E158" s="48"/>
    </row>
    <row r="159" spans="2:5" x14ac:dyDescent="0.35">
      <c r="B159" s="47"/>
      <c r="C159" s="48"/>
      <c r="D159" s="48"/>
      <c r="E159" s="48"/>
    </row>
    <row r="160" spans="2:5" x14ac:dyDescent="0.35">
      <c r="B160" s="47"/>
      <c r="C160" s="48"/>
      <c r="D160" s="48"/>
      <c r="E160" s="48"/>
    </row>
    <row r="161" spans="2:5" x14ac:dyDescent="0.35">
      <c r="B161" s="47"/>
      <c r="C161" s="48"/>
      <c r="D161" s="48"/>
      <c r="E161" s="48"/>
    </row>
    <row r="162" spans="2:5" x14ac:dyDescent="0.35">
      <c r="B162" s="47"/>
      <c r="C162" s="48"/>
      <c r="D162" s="48"/>
      <c r="E162" s="48"/>
    </row>
    <row r="163" spans="2:5" x14ac:dyDescent="0.35">
      <c r="B163" s="47"/>
      <c r="C163" s="48"/>
      <c r="D163" s="48"/>
      <c r="E163" s="48"/>
    </row>
    <row r="164" spans="2:5" x14ac:dyDescent="0.35">
      <c r="B164" s="47"/>
      <c r="C164" s="48"/>
      <c r="D164" s="48"/>
      <c r="E164" s="48"/>
    </row>
    <row r="165" spans="2:5" x14ac:dyDescent="0.35">
      <c r="B165" s="47"/>
      <c r="C165" s="48"/>
      <c r="D165" s="48"/>
      <c r="E165" s="48"/>
    </row>
    <row r="166" spans="2:5" x14ac:dyDescent="0.35">
      <c r="B166" s="47"/>
      <c r="C166" s="48"/>
      <c r="D166" s="48"/>
      <c r="E166" s="48"/>
    </row>
    <row r="167" spans="2:5" x14ac:dyDescent="0.35">
      <c r="B167" s="47"/>
      <c r="C167" s="48"/>
      <c r="D167" s="48"/>
      <c r="E167" s="48"/>
    </row>
    <row r="168" spans="2:5" x14ac:dyDescent="0.35">
      <c r="B168" s="47"/>
      <c r="C168" s="48"/>
      <c r="D168" s="48"/>
      <c r="E168" s="48"/>
    </row>
    <row r="169" spans="2:5" x14ac:dyDescent="0.35">
      <c r="B169" s="47"/>
      <c r="C169" s="48"/>
      <c r="D169" s="48"/>
      <c r="E169" s="48"/>
    </row>
    <row r="170" spans="2:5" x14ac:dyDescent="0.35">
      <c r="B170" s="47"/>
      <c r="C170" s="48"/>
      <c r="D170" s="48"/>
      <c r="E170" s="48"/>
    </row>
    <row r="171" spans="2:5" x14ac:dyDescent="0.35">
      <c r="B171" s="47"/>
      <c r="C171" s="48"/>
      <c r="D171" s="48"/>
      <c r="E171" s="48"/>
    </row>
    <row r="172" spans="2:5" x14ac:dyDescent="0.35">
      <c r="B172" s="47"/>
      <c r="C172" s="48"/>
      <c r="D172" s="48"/>
      <c r="E172" s="48"/>
    </row>
    <row r="173" spans="2:5" x14ac:dyDescent="0.35">
      <c r="B173" s="47"/>
      <c r="C173" s="48"/>
      <c r="D173" s="48"/>
      <c r="E173" s="48"/>
    </row>
    <row r="174" spans="2:5" x14ac:dyDescent="0.35">
      <c r="B174" s="47"/>
      <c r="C174" s="48"/>
      <c r="D174" s="48"/>
      <c r="E174" s="48"/>
    </row>
    <row r="175" spans="2:5" x14ac:dyDescent="0.35">
      <c r="B175" s="47"/>
      <c r="C175" s="48"/>
      <c r="D175" s="48"/>
      <c r="E175" s="48"/>
    </row>
    <row r="176" spans="2:5" x14ac:dyDescent="0.35">
      <c r="B176" s="47"/>
      <c r="C176" s="48"/>
      <c r="D176" s="48"/>
      <c r="E176" s="48"/>
    </row>
    <row r="177" spans="2:5" x14ac:dyDescent="0.35">
      <c r="B177" s="47"/>
      <c r="C177" s="48"/>
      <c r="D177" s="48"/>
      <c r="E177" s="48"/>
    </row>
    <row r="178" spans="2:5" x14ac:dyDescent="0.35">
      <c r="B178" s="47"/>
      <c r="C178" s="48"/>
      <c r="D178" s="48"/>
      <c r="E178" s="48"/>
    </row>
    <row r="179" spans="2:5" x14ac:dyDescent="0.35">
      <c r="B179" s="47"/>
      <c r="C179" s="48"/>
      <c r="D179" s="48"/>
      <c r="E179" s="48"/>
    </row>
    <row r="180" spans="2:5" x14ac:dyDescent="0.35">
      <c r="B180" s="47"/>
      <c r="C180" s="48"/>
      <c r="D180" s="48"/>
      <c r="E180" s="48"/>
    </row>
    <row r="181" spans="2:5" x14ac:dyDescent="0.35">
      <c r="B181" s="47"/>
      <c r="C181" s="48"/>
      <c r="D181" s="48"/>
      <c r="E181" s="48"/>
    </row>
    <row r="182" spans="2:5" x14ac:dyDescent="0.35">
      <c r="B182" s="47"/>
      <c r="C182" s="48"/>
      <c r="D182" s="48"/>
      <c r="E182" s="48"/>
    </row>
    <row r="183" spans="2:5" x14ac:dyDescent="0.35">
      <c r="B183" s="47"/>
      <c r="C183" s="48"/>
      <c r="D183" s="48"/>
      <c r="E183" s="48"/>
    </row>
    <row r="184" spans="2:5" x14ac:dyDescent="0.35">
      <c r="B184" s="47"/>
      <c r="C184" s="48"/>
      <c r="D184" s="48"/>
      <c r="E184" s="48"/>
    </row>
    <row r="185" spans="2:5" x14ac:dyDescent="0.35">
      <c r="B185" s="47"/>
      <c r="C185" s="48"/>
      <c r="D185" s="48"/>
      <c r="E185" s="48"/>
    </row>
    <row r="186" spans="2:5" x14ac:dyDescent="0.35">
      <c r="B186" s="47"/>
      <c r="C186" s="48"/>
      <c r="D186" s="48"/>
      <c r="E186" s="48"/>
    </row>
    <row r="187" spans="2:5" x14ac:dyDescent="0.35">
      <c r="B187" s="47"/>
      <c r="C187" s="48"/>
      <c r="D187" s="48"/>
      <c r="E187" s="48"/>
    </row>
    <row r="188" spans="2:5" x14ac:dyDescent="0.35">
      <c r="B188" s="47"/>
      <c r="C188" s="48"/>
      <c r="D188" s="48"/>
      <c r="E188" s="48"/>
    </row>
    <row r="189" spans="2:5" x14ac:dyDescent="0.35">
      <c r="B189" s="47"/>
      <c r="C189" s="48"/>
      <c r="D189" s="48"/>
      <c r="E189" s="48"/>
    </row>
    <row r="190" spans="2:5" x14ac:dyDescent="0.35">
      <c r="B190" s="47"/>
      <c r="C190" s="48"/>
      <c r="D190" s="48"/>
      <c r="E190" s="48"/>
    </row>
    <row r="191" spans="2:5" x14ac:dyDescent="0.35">
      <c r="B191" s="47"/>
      <c r="C191" s="48"/>
      <c r="D191" s="48"/>
      <c r="E191" s="48"/>
    </row>
    <row r="192" spans="2:5" x14ac:dyDescent="0.35">
      <c r="B192" s="47"/>
      <c r="C192" s="48"/>
      <c r="D192" s="48"/>
      <c r="E192" s="48"/>
    </row>
    <row r="193" spans="2:5" x14ac:dyDescent="0.35">
      <c r="B193" s="47"/>
      <c r="C193" s="48"/>
      <c r="D193" s="48"/>
      <c r="E193" s="48"/>
    </row>
    <row r="194" spans="2:5" x14ac:dyDescent="0.35">
      <c r="B194" s="47"/>
      <c r="C194" s="48"/>
      <c r="D194" s="48"/>
      <c r="E194" s="48"/>
    </row>
    <row r="195" spans="2:5" x14ac:dyDescent="0.35">
      <c r="B195" s="47"/>
      <c r="C195" s="48"/>
      <c r="D195" s="48"/>
      <c r="E195" s="48"/>
    </row>
    <row r="196" spans="2:5" x14ac:dyDescent="0.35">
      <c r="B196" s="47"/>
      <c r="C196" s="48"/>
      <c r="D196" s="48"/>
      <c r="E196" s="48"/>
    </row>
    <row r="197" spans="2:5" x14ac:dyDescent="0.35">
      <c r="B197" s="47"/>
      <c r="C197" s="48"/>
      <c r="D197" s="48"/>
      <c r="E197" s="48"/>
    </row>
    <row r="198" spans="2:5" x14ac:dyDescent="0.35">
      <c r="B198" s="47"/>
      <c r="C198" s="48"/>
      <c r="D198" s="48"/>
      <c r="E198" s="48"/>
    </row>
    <row r="199" spans="2:5" x14ac:dyDescent="0.35">
      <c r="B199" s="47"/>
      <c r="C199" s="48"/>
      <c r="D199" s="48"/>
      <c r="E199" s="48"/>
    </row>
    <row r="200" spans="2:5" x14ac:dyDescent="0.35">
      <c r="B200" s="47"/>
      <c r="C200" s="48"/>
      <c r="D200" s="48"/>
      <c r="E200" s="48"/>
    </row>
    <row r="201" spans="2:5" x14ac:dyDescent="0.35">
      <c r="B201" s="47"/>
      <c r="C201" s="48"/>
      <c r="D201" s="48"/>
      <c r="E201" s="48"/>
    </row>
    <row r="202" spans="2:5" x14ac:dyDescent="0.35">
      <c r="B202" s="47"/>
      <c r="C202" s="48"/>
      <c r="D202" s="48"/>
      <c r="E202" s="48"/>
    </row>
    <row r="203" spans="2:5" x14ac:dyDescent="0.35">
      <c r="B203" s="47"/>
      <c r="C203" s="48"/>
      <c r="D203" s="48"/>
      <c r="E203" s="48"/>
    </row>
    <row r="204" spans="2:5" x14ac:dyDescent="0.35">
      <c r="B204" s="47"/>
      <c r="C204" s="48"/>
      <c r="D204" s="48"/>
      <c r="E204" s="48"/>
    </row>
    <row r="205" spans="2:5" x14ac:dyDescent="0.35">
      <c r="B205" s="47"/>
      <c r="C205" s="48"/>
      <c r="D205" s="48"/>
      <c r="E205" s="48"/>
    </row>
    <row r="206" spans="2:5" x14ac:dyDescent="0.35">
      <c r="B206" s="47"/>
      <c r="C206" s="48"/>
      <c r="D206" s="48"/>
      <c r="E206" s="48"/>
    </row>
    <row r="207" spans="2:5" x14ac:dyDescent="0.35">
      <c r="B207" s="47"/>
      <c r="C207" s="48"/>
      <c r="D207" s="48"/>
      <c r="E207" s="48"/>
    </row>
    <row r="208" spans="2:5" x14ac:dyDescent="0.35">
      <c r="B208" s="47"/>
      <c r="C208" s="48"/>
      <c r="D208" s="48"/>
      <c r="E208" s="48"/>
    </row>
    <row r="209" spans="2:5" x14ac:dyDescent="0.35">
      <c r="B209" s="47"/>
      <c r="C209" s="48"/>
      <c r="D209" s="48"/>
      <c r="E209" s="48"/>
    </row>
    <row r="210" spans="2:5" x14ac:dyDescent="0.35">
      <c r="B210" s="47"/>
      <c r="C210" s="48"/>
      <c r="D210" s="48"/>
      <c r="E210" s="48"/>
    </row>
    <row r="211" spans="2:5" x14ac:dyDescent="0.35">
      <c r="B211" s="47"/>
      <c r="C211" s="48"/>
      <c r="D211" s="48"/>
      <c r="E211" s="48"/>
    </row>
    <row r="212" spans="2:5" x14ac:dyDescent="0.35">
      <c r="B212" s="47"/>
      <c r="C212" s="48"/>
      <c r="D212" s="48"/>
      <c r="E212" s="48"/>
    </row>
    <row r="213" spans="2:5" x14ac:dyDescent="0.35">
      <c r="B213" s="47"/>
      <c r="C213" s="48"/>
      <c r="D213" s="48"/>
      <c r="E213" s="48"/>
    </row>
    <row r="214" spans="2:5" x14ac:dyDescent="0.35">
      <c r="B214" s="47"/>
      <c r="C214" s="48"/>
      <c r="D214" s="48"/>
      <c r="E214" s="48"/>
    </row>
    <row r="215" spans="2:5" x14ac:dyDescent="0.35">
      <c r="B215" s="47"/>
      <c r="C215" s="48"/>
      <c r="D215" s="48"/>
      <c r="E215" s="48"/>
    </row>
    <row r="216" spans="2:5" x14ac:dyDescent="0.35">
      <c r="B216" s="47"/>
      <c r="C216" s="48"/>
      <c r="D216" s="48"/>
      <c r="E216" s="48"/>
    </row>
    <row r="217" spans="2:5" x14ac:dyDescent="0.35">
      <c r="B217" s="47"/>
      <c r="C217" s="48"/>
      <c r="D217" s="48"/>
      <c r="E217" s="48"/>
    </row>
    <row r="218" spans="2:5" x14ac:dyDescent="0.35">
      <c r="B218" s="47"/>
      <c r="C218" s="48"/>
      <c r="D218" s="48"/>
      <c r="E218" s="48"/>
    </row>
    <row r="219" spans="2:5" x14ac:dyDescent="0.35">
      <c r="B219" s="47"/>
      <c r="C219" s="48"/>
      <c r="D219" s="48"/>
      <c r="E219" s="48"/>
    </row>
    <row r="220" spans="2:5" x14ac:dyDescent="0.35">
      <c r="B220" s="47"/>
      <c r="C220" s="48"/>
      <c r="D220" s="48"/>
      <c r="E220" s="48"/>
    </row>
    <row r="221" spans="2:5" x14ac:dyDescent="0.35">
      <c r="B221" s="47"/>
      <c r="C221" s="48"/>
      <c r="D221" s="48"/>
      <c r="E221" s="48"/>
    </row>
    <row r="222" spans="2:5" x14ac:dyDescent="0.35">
      <c r="B222" s="47"/>
      <c r="C222" s="48"/>
      <c r="D222" s="48"/>
      <c r="E222" s="48"/>
    </row>
    <row r="223" spans="2:5" x14ac:dyDescent="0.35">
      <c r="B223" s="47"/>
      <c r="C223" s="48"/>
      <c r="D223" s="48"/>
      <c r="E223" s="48"/>
    </row>
    <row r="224" spans="2:5" x14ac:dyDescent="0.35">
      <c r="B224" s="47"/>
      <c r="C224" s="48"/>
      <c r="D224" s="48"/>
      <c r="E224" s="48"/>
    </row>
    <row r="225" spans="2:5" x14ac:dyDescent="0.35">
      <c r="B225" s="47"/>
      <c r="C225" s="48"/>
      <c r="D225" s="48"/>
      <c r="E225" s="48"/>
    </row>
    <row r="226" spans="2:5" x14ac:dyDescent="0.35">
      <c r="B226" s="47"/>
      <c r="C226" s="48"/>
      <c r="D226" s="48"/>
      <c r="E226" s="48"/>
    </row>
    <row r="227" spans="2:5" x14ac:dyDescent="0.35">
      <c r="B227" s="47"/>
      <c r="C227" s="48"/>
      <c r="D227" s="48"/>
      <c r="E227" s="48"/>
    </row>
    <row r="228" spans="2:5" x14ac:dyDescent="0.35">
      <c r="B228" s="47"/>
      <c r="C228" s="48"/>
      <c r="D228" s="48"/>
      <c r="E228" s="48"/>
    </row>
    <row r="229" spans="2:5" x14ac:dyDescent="0.35">
      <c r="B229" s="47"/>
      <c r="C229" s="48"/>
      <c r="D229" s="48"/>
      <c r="E229" s="48"/>
    </row>
    <row r="230" spans="2:5" x14ac:dyDescent="0.35">
      <c r="B230" s="47"/>
      <c r="C230" s="48"/>
      <c r="D230" s="48"/>
      <c r="E230" s="48"/>
    </row>
    <row r="231" spans="2:5" x14ac:dyDescent="0.35">
      <c r="B231" s="47"/>
      <c r="C231" s="48"/>
      <c r="D231" s="48"/>
      <c r="E231" s="48"/>
    </row>
    <row r="232" spans="2:5" x14ac:dyDescent="0.35">
      <c r="B232" s="47"/>
      <c r="C232" s="48"/>
      <c r="D232" s="48"/>
      <c r="E232" s="48"/>
    </row>
    <row r="233" spans="2:5" x14ac:dyDescent="0.35">
      <c r="B233" s="47"/>
      <c r="C233" s="48"/>
      <c r="D233" s="48"/>
      <c r="E233" s="48"/>
    </row>
    <row r="234" spans="2:5" x14ac:dyDescent="0.35">
      <c r="B234" s="47"/>
      <c r="C234" s="48"/>
      <c r="D234" s="48"/>
      <c r="E234" s="48"/>
    </row>
    <row r="235" spans="2:5" x14ac:dyDescent="0.35">
      <c r="B235" s="47"/>
      <c r="C235" s="48"/>
      <c r="D235" s="48"/>
      <c r="E235" s="48"/>
    </row>
    <row r="236" spans="2:5" x14ac:dyDescent="0.35">
      <c r="B236" s="47"/>
      <c r="C236" s="48"/>
      <c r="D236" s="48"/>
      <c r="E236" s="48"/>
    </row>
    <row r="237" spans="2:5" x14ac:dyDescent="0.35">
      <c r="B237" s="47"/>
      <c r="C237" s="48"/>
      <c r="D237" s="48"/>
      <c r="E237" s="48"/>
    </row>
    <row r="238" spans="2:5" x14ac:dyDescent="0.35">
      <c r="B238" s="47"/>
      <c r="C238" s="48"/>
      <c r="D238" s="48"/>
      <c r="E238" s="48"/>
    </row>
    <row r="239" spans="2:5" x14ac:dyDescent="0.35">
      <c r="B239" s="47"/>
      <c r="C239" s="48"/>
      <c r="D239" s="48"/>
      <c r="E239" s="48"/>
    </row>
    <row r="240" spans="2:5" x14ac:dyDescent="0.35">
      <c r="B240" s="47"/>
      <c r="C240" s="48"/>
      <c r="D240" s="48"/>
      <c r="E240" s="48"/>
    </row>
    <row r="241" spans="2:5" x14ac:dyDescent="0.35">
      <c r="B241" s="47"/>
      <c r="C241" s="48"/>
      <c r="D241" s="48"/>
      <c r="E241" s="48"/>
    </row>
    <row r="242" spans="2:5" x14ac:dyDescent="0.35">
      <c r="B242" s="47"/>
      <c r="C242" s="48"/>
      <c r="D242" s="48"/>
      <c r="E242" s="48"/>
    </row>
    <row r="243" spans="2:5" x14ac:dyDescent="0.35">
      <c r="B243" s="47"/>
      <c r="C243" s="48"/>
      <c r="D243" s="48"/>
      <c r="E243" s="48"/>
    </row>
    <row r="244" spans="2:5" x14ac:dyDescent="0.35">
      <c r="B244" s="47"/>
      <c r="C244" s="48"/>
      <c r="D244" s="48"/>
      <c r="E244" s="48"/>
    </row>
    <row r="245" spans="2:5" x14ac:dyDescent="0.35">
      <c r="B245" s="47"/>
      <c r="C245" s="48"/>
      <c r="D245" s="48"/>
      <c r="E245" s="48"/>
    </row>
    <row r="246" spans="2:5" x14ac:dyDescent="0.35">
      <c r="B246" s="47"/>
      <c r="C246" s="48"/>
      <c r="D246" s="48"/>
      <c r="E246" s="48"/>
    </row>
    <row r="247" spans="2:5" x14ac:dyDescent="0.35">
      <c r="B247" s="47"/>
      <c r="C247" s="48"/>
      <c r="D247" s="48"/>
      <c r="E247" s="48"/>
    </row>
    <row r="248" spans="2:5" x14ac:dyDescent="0.35">
      <c r="B248" s="47"/>
      <c r="C248" s="48"/>
      <c r="D248" s="48"/>
      <c r="E248" s="48"/>
    </row>
    <row r="249" spans="2:5" x14ac:dyDescent="0.35">
      <c r="B249" s="47"/>
      <c r="C249" s="48"/>
      <c r="D249" s="48"/>
      <c r="E249" s="48"/>
    </row>
    <row r="250" spans="2:5" x14ac:dyDescent="0.35">
      <c r="B250" s="47"/>
      <c r="C250" s="48"/>
      <c r="D250" s="48"/>
      <c r="E250" s="48"/>
    </row>
    <row r="251" spans="2:5" x14ac:dyDescent="0.35">
      <c r="B251" s="47"/>
      <c r="C251" s="48"/>
      <c r="D251" s="48"/>
      <c r="E251" s="48"/>
    </row>
    <row r="252" spans="2:5" x14ac:dyDescent="0.35">
      <c r="B252" s="47"/>
      <c r="C252" s="48"/>
      <c r="D252" s="48"/>
      <c r="E252" s="48"/>
    </row>
    <row r="253" spans="2:5" x14ac:dyDescent="0.35">
      <c r="B253" s="47"/>
      <c r="C253" s="48"/>
      <c r="D253" s="48"/>
      <c r="E253" s="48"/>
    </row>
    <row r="254" spans="2:5" x14ac:dyDescent="0.35">
      <c r="B254" s="47"/>
      <c r="C254" s="48"/>
      <c r="D254" s="48"/>
      <c r="E254" s="48"/>
    </row>
    <row r="255" spans="2:5" x14ac:dyDescent="0.35">
      <c r="B255" s="47"/>
      <c r="C255" s="48"/>
      <c r="D255" s="48"/>
      <c r="E255" s="48"/>
    </row>
    <row r="256" spans="2:5" x14ac:dyDescent="0.35">
      <c r="B256" s="47"/>
      <c r="C256" s="48"/>
      <c r="D256" s="48"/>
      <c r="E256" s="48"/>
    </row>
    <row r="257" spans="2:5" x14ac:dyDescent="0.35">
      <c r="B257" s="47"/>
      <c r="C257" s="48"/>
      <c r="D257" s="48"/>
      <c r="E257" s="48"/>
    </row>
    <row r="258" spans="2:5" x14ac:dyDescent="0.35">
      <c r="B258" s="47"/>
      <c r="C258" s="48"/>
      <c r="D258" s="48"/>
      <c r="E258" s="48"/>
    </row>
    <row r="259" spans="2:5" x14ac:dyDescent="0.35">
      <c r="B259" s="47"/>
      <c r="C259" s="48"/>
      <c r="D259" s="48"/>
      <c r="E259" s="48"/>
    </row>
    <row r="260" spans="2:5" x14ac:dyDescent="0.35">
      <c r="B260" s="47"/>
      <c r="C260" s="48"/>
      <c r="D260" s="48"/>
      <c r="E260" s="48"/>
    </row>
    <row r="261" spans="2:5" x14ac:dyDescent="0.35">
      <c r="B261" s="47"/>
      <c r="C261" s="48"/>
      <c r="D261" s="48"/>
      <c r="E261" s="48"/>
    </row>
    <row r="262" spans="2:5" x14ac:dyDescent="0.35">
      <c r="B262" s="47"/>
      <c r="C262" s="48"/>
      <c r="D262" s="48"/>
      <c r="E262" s="48"/>
    </row>
    <row r="263" spans="2:5" x14ac:dyDescent="0.35">
      <c r="B263" s="47"/>
      <c r="C263" s="48"/>
      <c r="D263" s="48"/>
      <c r="E263" s="48"/>
    </row>
    <row r="264" spans="2:5" x14ac:dyDescent="0.35">
      <c r="B264" s="47"/>
      <c r="C264" s="48"/>
      <c r="D264" s="48"/>
      <c r="E264" s="48"/>
    </row>
    <row r="265" spans="2:5" x14ac:dyDescent="0.35">
      <c r="B265" s="47"/>
      <c r="C265" s="48"/>
      <c r="D265" s="48"/>
      <c r="E265" s="48"/>
    </row>
    <row r="266" spans="2:5" x14ac:dyDescent="0.35">
      <c r="B266" s="47"/>
      <c r="C266" s="48"/>
      <c r="D266" s="48"/>
      <c r="E266" s="48"/>
    </row>
    <row r="267" spans="2:5" x14ac:dyDescent="0.35">
      <c r="B267" s="47"/>
      <c r="C267" s="48"/>
      <c r="D267" s="48"/>
      <c r="E267" s="48"/>
    </row>
    <row r="268" spans="2:5" x14ac:dyDescent="0.35">
      <c r="B268" s="47"/>
      <c r="C268" s="48"/>
      <c r="D268" s="48"/>
      <c r="E268" s="48"/>
    </row>
    <row r="269" spans="2:5" x14ac:dyDescent="0.35">
      <c r="B269" s="47"/>
      <c r="C269" s="48"/>
      <c r="D269" s="48"/>
      <c r="E269" s="48"/>
    </row>
    <row r="270" spans="2:5" x14ac:dyDescent="0.35">
      <c r="B270" s="47"/>
      <c r="C270" s="48"/>
      <c r="D270" s="48"/>
      <c r="E270" s="48"/>
    </row>
    <row r="271" spans="2:5" x14ac:dyDescent="0.35">
      <c r="B271" s="47"/>
      <c r="C271" s="48"/>
      <c r="D271" s="48"/>
      <c r="E271" s="48"/>
    </row>
    <row r="272" spans="2:5" x14ac:dyDescent="0.35">
      <c r="B272" s="47"/>
      <c r="C272" s="48"/>
      <c r="D272" s="48"/>
      <c r="E272" s="48"/>
    </row>
    <row r="273" spans="2:5" x14ac:dyDescent="0.35">
      <c r="B273" s="47"/>
      <c r="C273" s="48"/>
      <c r="D273" s="48"/>
      <c r="E273" s="48"/>
    </row>
    <row r="274" spans="2:5" x14ac:dyDescent="0.35">
      <c r="B274" s="47"/>
      <c r="C274" s="48"/>
      <c r="D274" s="48"/>
      <c r="E274" s="48"/>
    </row>
    <row r="275" spans="2:5" x14ac:dyDescent="0.35">
      <c r="B275" s="47"/>
      <c r="C275" s="48"/>
      <c r="D275" s="48"/>
      <c r="E275" s="48"/>
    </row>
    <row r="276" spans="2:5" x14ac:dyDescent="0.35">
      <c r="B276" s="47"/>
      <c r="C276" s="48"/>
      <c r="D276" s="48"/>
      <c r="E276" s="48"/>
    </row>
    <row r="277" spans="2:5" x14ac:dyDescent="0.35">
      <c r="B277" s="47"/>
      <c r="C277" s="48"/>
      <c r="D277" s="48"/>
      <c r="E277" s="48"/>
    </row>
    <row r="278" spans="2:5" x14ac:dyDescent="0.35">
      <c r="B278" s="47"/>
      <c r="C278" s="48"/>
      <c r="D278" s="48"/>
      <c r="E278" s="48"/>
    </row>
    <row r="279" spans="2:5" x14ac:dyDescent="0.35">
      <c r="B279" s="47"/>
      <c r="C279" s="48"/>
      <c r="D279" s="48"/>
      <c r="E279" s="48"/>
    </row>
    <row r="280" spans="2:5" x14ac:dyDescent="0.35">
      <c r="B280" s="47"/>
      <c r="C280" s="48"/>
      <c r="D280" s="48"/>
      <c r="E280" s="48"/>
    </row>
    <row r="281" spans="2:5" x14ac:dyDescent="0.35">
      <c r="B281" s="47"/>
      <c r="C281" s="48"/>
      <c r="D281" s="48"/>
      <c r="E281" s="48"/>
    </row>
    <row r="282" spans="2:5" x14ac:dyDescent="0.35">
      <c r="B282" s="47"/>
      <c r="C282" s="48"/>
      <c r="D282" s="48"/>
      <c r="E282" s="48"/>
    </row>
    <row r="283" spans="2:5" x14ac:dyDescent="0.35">
      <c r="B283" s="47"/>
      <c r="C283" s="48"/>
      <c r="D283" s="48"/>
      <c r="E283" s="48"/>
    </row>
    <row r="284" spans="2:5" x14ac:dyDescent="0.35">
      <c r="B284" s="47"/>
      <c r="C284" s="48"/>
      <c r="D284" s="48"/>
      <c r="E284" s="48"/>
    </row>
    <row r="285" spans="2:5" x14ac:dyDescent="0.35">
      <c r="B285" s="47"/>
      <c r="C285" s="48"/>
      <c r="D285" s="48"/>
      <c r="E285" s="48"/>
    </row>
    <row r="286" spans="2:5" x14ac:dyDescent="0.35">
      <c r="B286" s="47"/>
      <c r="C286" s="48"/>
      <c r="D286" s="48"/>
      <c r="E286" s="48"/>
    </row>
    <row r="287" spans="2:5" x14ac:dyDescent="0.35">
      <c r="B287" s="47"/>
      <c r="C287" s="48"/>
      <c r="D287" s="48"/>
      <c r="E287" s="48"/>
    </row>
    <row r="288" spans="2:5" x14ac:dyDescent="0.35">
      <c r="B288" s="47"/>
      <c r="C288" s="48"/>
      <c r="D288" s="48"/>
      <c r="E288" s="48"/>
    </row>
    <row r="289" spans="2:5" x14ac:dyDescent="0.35">
      <c r="B289" s="47"/>
      <c r="C289" s="48"/>
      <c r="D289" s="48"/>
      <c r="E289" s="48"/>
    </row>
    <row r="290" spans="2:5" x14ac:dyDescent="0.35">
      <c r="B290" s="47"/>
      <c r="C290" s="48"/>
      <c r="D290" s="48"/>
      <c r="E290" s="48"/>
    </row>
    <row r="291" spans="2:5" x14ac:dyDescent="0.35">
      <c r="B291" s="47"/>
      <c r="C291" s="48"/>
      <c r="D291" s="48"/>
      <c r="E291" s="48"/>
    </row>
    <row r="292" spans="2:5" x14ac:dyDescent="0.35">
      <c r="B292" s="47"/>
      <c r="C292" s="48"/>
      <c r="D292" s="48"/>
      <c r="E292" s="48"/>
    </row>
    <row r="293" spans="2:5" x14ac:dyDescent="0.35">
      <c r="B293" s="47"/>
      <c r="C293" s="48"/>
      <c r="D293" s="48"/>
      <c r="E293" s="48"/>
    </row>
    <row r="294" spans="2:5" x14ac:dyDescent="0.35">
      <c r="B294" s="47"/>
      <c r="C294" s="48"/>
      <c r="D294" s="48"/>
      <c r="E294" s="48"/>
    </row>
    <row r="295" spans="2:5" x14ac:dyDescent="0.35">
      <c r="B295" s="47"/>
      <c r="C295" s="48"/>
      <c r="D295" s="48"/>
      <c r="E295" s="48"/>
    </row>
    <row r="296" spans="2:5" x14ac:dyDescent="0.35">
      <c r="B296" s="47"/>
      <c r="C296" s="48"/>
      <c r="D296" s="48"/>
      <c r="E296" s="48"/>
    </row>
    <row r="297" spans="2:5" x14ac:dyDescent="0.35">
      <c r="B297" s="47"/>
      <c r="C297" s="48"/>
      <c r="D297" s="48"/>
      <c r="E297" s="48"/>
    </row>
    <row r="298" spans="2:5" x14ac:dyDescent="0.35">
      <c r="B298" s="47"/>
      <c r="C298" s="48"/>
      <c r="D298" s="48"/>
      <c r="E298" s="48"/>
    </row>
    <row r="299" spans="2:5" x14ac:dyDescent="0.35">
      <c r="B299" s="47"/>
      <c r="C299" s="48"/>
      <c r="D299" s="48"/>
      <c r="E299" s="48"/>
    </row>
    <row r="300" spans="2:5" x14ac:dyDescent="0.35">
      <c r="B300" s="47"/>
      <c r="C300" s="48"/>
      <c r="D300" s="48"/>
      <c r="E300" s="48"/>
    </row>
    <row r="301" spans="2:5" x14ac:dyDescent="0.35">
      <c r="B301" s="47"/>
      <c r="C301" s="48"/>
      <c r="D301" s="48"/>
      <c r="E301" s="48"/>
    </row>
    <row r="302" spans="2:5" x14ac:dyDescent="0.35">
      <c r="B302" s="47"/>
      <c r="C302" s="48"/>
      <c r="D302" s="48"/>
      <c r="E302" s="48"/>
    </row>
    <row r="303" spans="2:5" x14ac:dyDescent="0.35">
      <c r="B303" s="47"/>
      <c r="C303" s="48"/>
      <c r="D303" s="48"/>
      <c r="E303" s="48"/>
    </row>
    <row r="304" spans="2:5" x14ac:dyDescent="0.35">
      <c r="B304" s="47"/>
      <c r="C304" s="48"/>
      <c r="D304" s="48"/>
      <c r="E304" s="48"/>
    </row>
    <row r="305" spans="2:5" x14ac:dyDescent="0.35">
      <c r="B305" s="47"/>
      <c r="C305" s="48"/>
      <c r="D305" s="48"/>
      <c r="E305" s="48"/>
    </row>
    <row r="306" spans="2:5" x14ac:dyDescent="0.35">
      <c r="B306" s="47"/>
      <c r="C306" s="48"/>
      <c r="D306" s="48"/>
      <c r="E306" s="48"/>
    </row>
    <row r="307" spans="2:5" x14ac:dyDescent="0.35">
      <c r="B307" s="47"/>
      <c r="C307" s="48"/>
      <c r="D307" s="48"/>
      <c r="E307" s="48"/>
    </row>
    <row r="308" spans="2:5" x14ac:dyDescent="0.35">
      <c r="B308" s="47"/>
      <c r="C308" s="48"/>
      <c r="D308" s="48"/>
      <c r="E308" s="48"/>
    </row>
    <row r="309" spans="2:5" x14ac:dyDescent="0.35">
      <c r="B309" s="47"/>
      <c r="C309" s="48"/>
      <c r="D309" s="48"/>
      <c r="E309" s="48"/>
    </row>
    <row r="310" spans="2:5" x14ac:dyDescent="0.35">
      <c r="B310" s="47"/>
      <c r="C310" s="48"/>
      <c r="D310" s="48"/>
      <c r="E310" s="48"/>
    </row>
    <row r="311" spans="2:5" x14ac:dyDescent="0.35">
      <c r="B311" s="47"/>
      <c r="C311" s="48"/>
      <c r="D311" s="48"/>
      <c r="E311" s="48"/>
    </row>
    <row r="312" spans="2:5" x14ac:dyDescent="0.35">
      <c r="B312" s="47"/>
      <c r="C312" s="48"/>
      <c r="D312" s="48"/>
      <c r="E312" s="48"/>
    </row>
    <row r="313" spans="2:5" x14ac:dyDescent="0.35">
      <c r="B313" s="47"/>
      <c r="C313" s="48"/>
      <c r="D313" s="48"/>
      <c r="E313" s="48"/>
    </row>
    <row r="314" spans="2:5" x14ac:dyDescent="0.35">
      <c r="B314" s="47"/>
      <c r="C314" s="48"/>
      <c r="D314" s="48"/>
      <c r="E314" s="48"/>
    </row>
    <row r="315" spans="2:5" x14ac:dyDescent="0.35">
      <c r="B315" s="47"/>
      <c r="C315" s="48"/>
      <c r="D315" s="48"/>
      <c r="E315" s="48"/>
    </row>
    <row r="316" spans="2:5" x14ac:dyDescent="0.35">
      <c r="B316" s="47"/>
      <c r="C316" s="48"/>
      <c r="D316" s="48"/>
      <c r="E316" s="48"/>
    </row>
    <row r="317" spans="2:5" x14ac:dyDescent="0.35">
      <c r="B317" s="47"/>
      <c r="C317" s="48"/>
      <c r="D317" s="48"/>
      <c r="E317" s="48"/>
    </row>
    <row r="318" spans="2:5" x14ac:dyDescent="0.35">
      <c r="B318" s="47"/>
      <c r="C318" s="48"/>
      <c r="D318" s="48"/>
      <c r="E318" s="48"/>
    </row>
    <row r="319" spans="2:5" x14ac:dyDescent="0.35">
      <c r="B319" s="47"/>
      <c r="C319" s="48"/>
      <c r="D319" s="48"/>
      <c r="E319" s="48"/>
    </row>
    <row r="320" spans="2:5" x14ac:dyDescent="0.35">
      <c r="B320" s="47"/>
      <c r="C320" s="48"/>
      <c r="D320" s="48"/>
      <c r="E320" s="48"/>
    </row>
    <row r="321" spans="2:5" x14ac:dyDescent="0.35">
      <c r="B321" s="47"/>
      <c r="C321" s="48"/>
      <c r="D321" s="48"/>
      <c r="E321" s="48"/>
    </row>
    <row r="322" spans="2:5" x14ac:dyDescent="0.35">
      <c r="B322" s="47"/>
      <c r="C322" s="48"/>
      <c r="D322" s="48"/>
      <c r="E322" s="48"/>
    </row>
    <row r="323" spans="2:5" x14ac:dyDescent="0.35">
      <c r="B323" s="47"/>
      <c r="C323" s="48"/>
      <c r="D323" s="48"/>
      <c r="E323" s="48"/>
    </row>
    <row r="324" spans="2:5" x14ac:dyDescent="0.35">
      <c r="B324" s="47"/>
      <c r="C324" s="48"/>
      <c r="D324" s="48"/>
      <c r="E324" s="48"/>
    </row>
    <row r="325" spans="2:5" x14ac:dyDescent="0.35">
      <c r="B325" s="47"/>
      <c r="C325" s="48"/>
      <c r="D325" s="48"/>
      <c r="E325" s="48"/>
    </row>
    <row r="326" spans="2:5" x14ac:dyDescent="0.35">
      <c r="B326" s="47"/>
      <c r="C326" s="48"/>
      <c r="D326" s="48"/>
      <c r="E326" s="48"/>
    </row>
    <row r="327" spans="2:5" x14ac:dyDescent="0.35">
      <c r="B327" s="47"/>
      <c r="C327" s="48"/>
      <c r="D327" s="48"/>
      <c r="E327" s="48"/>
    </row>
    <row r="328" spans="2:5" x14ac:dyDescent="0.35">
      <c r="B328" s="47"/>
      <c r="C328" s="48"/>
      <c r="D328" s="48"/>
      <c r="E328" s="48"/>
    </row>
    <row r="329" spans="2:5" x14ac:dyDescent="0.35">
      <c r="B329" s="47"/>
      <c r="C329" s="48"/>
      <c r="D329" s="48"/>
      <c r="E329" s="48"/>
    </row>
    <row r="330" spans="2:5" x14ac:dyDescent="0.35">
      <c r="B330" s="47"/>
      <c r="C330" s="48"/>
      <c r="D330" s="48"/>
      <c r="E330" s="48"/>
    </row>
    <row r="331" spans="2:5" x14ac:dyDescent="0.35">
      <c r="B331" s="47"/>
      <c r="C331" s="48"/>
      <c r="D331" s="48"/>
      <c r="E331" s="48"/>
    </row>
    <row r="332" spans="2:5" x14ac:dyDescent="0.35">
      <c r="B332" s="47"/>
      <c r="C332" s="48"/>
      <c r="D332" s="48"/>
      <c r="E332" s="48"/>
    </row>
    <row r="333" spans="2:5" x14ac:dyDescent="0.35">
      <c r="B333" s="47"/>
      <c r="C333" s="48"/>
      <c r="D333" s="48"/>
      <c r="E333" s="48"/>
    </row>
    <row r="334" spans="2:5" x14ac:dyDescent="0.35">
      <c r="B334" s="47"/>
      <c r="C334" s="48"/>
      <c r="D334" s="48"/>
      <c r="E334" s="48"/>
    </row>
    <row r="335" spans="2:5" x14ac:dyDescent="0.35">
      <c r="B335" s="47"/>
      <c r="C335" s="48"/>
      <c r="D335" s="48"/>
      <c r="E335" s="48"/>
    </row>
    <row r="336" spans="2:5" x14ac:dyDescent="0.35">
      <c r="B336" s="47"/>
      <c r="C336" s="48"/>
      <c r="D336" s="48"/>
      <c r="E336" s="48"/>
    </row>
    <row r="337" spans="2:5" x14ac:dyDescent="0.35">
      <c r="B337" s="47"/>
      <c r="C337" s="48"/>
      <c r="D337" s="48"/>
      <c r="E337" s="48"/>
    </row>
    <row r="338" spans="2:5" x14ac:dyDescent="0.35">
      <c r="B338" s="47"/>
      <c r="C338" s="48"/>
      <c r="D338" s="48"/>
      <c r="E338" s="48"/>
    </row>
    <row r="339" spans="2:5" x14ac:dyDescent="0.35">
      <c r="B339" s="47"/>
      <c r="C339" s="48"/>
      <c r="D339" s="48"/>
      <c r="E339" s="48"/>
    </row>
    <row r="340" spans="2:5" x14ac:dyDescent="0.35">
      <c r="B340" s="47"/>
      <c r="C340" s="48"/>
      <c r="D340" s="48"/>
      <c r="E340" s="48"/>
    </row>
    <row r="341" spans="2:5" x14ac:dyDescent="0.35">
      <c r="B341" s="47"/>
      <c r="C341" s="48"/>
      <c r="D341" s="48"/>
      <c r="E341" s="48"/>
    </row>
    <row r="342" spans="2:5" x14ac:dyDescent="0.35">
      <c r="B342" s="47"/>
      <c r="C342" s="48"/>
      <c r="D342" s="48"/>
      <c r="E342" s="48"/>
    </row>
    <row r="343" spans="2:5" x14ac:dyDescent="0.35">
      <c r="B343" s="47"/>
      <c r="C343" s="48"/>
      <c r="D343" s="48"/>
      <c r="E343" s="48"/>
    </row>
    <row r="344" spans="2:5" x14ac:dyDescent="0.35">
      <c r="B344" s="47"/>
      <c r="C344" s="48"/>
      <c r="D344" s="48"/>
      <c r="E344" s="48"/>
    </row>
    <row r="345" spans="2:5" x14ac:dyDescent="0.35">
      <c r="B345" s="47"/>
      <c r="C345" s="48"/>
      <c r="D345" s="48"/>
      <c r="E345" s="48"/>
    </row>
    <row r="346" spans="2:5" x14ac:dyDescent="0.35">
      <c r="B346" s="47"/>
      <c r="C346" s="48"/>
      <c r="D346" s="48"/>
      <c r="E346" s="48"/>
    </row>
    <row r="347" spans="2:5" x14ac:dyDescent="0.35">
      <c r="B347" s="47"/>
      <c r="C347" s="48"/>
      <c r="D347" s="48"/>
      <c r="E347" s="48"/>
    </row>
    <row r="348" spans="2:5" x14ac:dyDescent="0.35">
      <c r="B348" s="47"/>
      <c r="C348" s="48"/>
      <c r="D348" s="48"/>
      <c r="E348" s="48"/>
    </row>
    <row r="349" spans="2:5" x14ac:dyDescent="0.35">
      <c r="B349" s="47"/>
      <c r="C349" s="48"/>
      <c r="D349" s="48"/>
      <c r="E349" s="48"/>
    </row>
    <row r="350" spans="2:5" x14ac:dyDescent="0.35">
      <c r="B350" s="47"/>
      <c r="C350" s="48"/>
      <c r="D350" s="48"/>
      <c r="E350" s="48"/>
    </row>
    <row r="351" spans="2:5" x14ac:dyDescent="0.35">
      <c r="B351" s="47"/>
      <c r="C351" s="48"/>
      <c r="D351" s="48"/>
      <c r="E351" s="48"/>
    </row>
    <row r="352" spans="2:5" x14ac:dyDescent="0.35">
      <c r="B352" s="47"/>
      <c r="C352" s="48"/>
      <c r="D352" s="48"/>
      <c r="E352" s="48"/>
    </row>
    <row r="353" spans="2:5" x14ac:dyDescent="0.35">
      <c r="B353" s="47"/>
      <c r="C353" s="48"/>
      <c r="D353" s="48"/>
      <c r="E353" s="48"/>
    </row>
    <row r="354" spans="2:5" x14ac:dyDescent="0.35">
      <c r="B354" s="47"/>
      <c r="C354" s="48"/>
      <c r="D354" s="48"/>
      <c r="E354" s="48"/>
    </row>
    <row r="355" spans="2:5" x14ac:dyDescent="0.35">
      <c r="B355" s="47"/>
      <c r="C355" s="48"/>
      <c r="D355" s="48"/>
      <c r="E355" s="48"/>
    </row>
    <row r="356" spans="2:5" x14ac:dyDescent="0.35">
      <c r="B356" s="47"/>
      <c r="C356" s="48"/>
      <c r="D356" s="48"/>
      <c r="E356" s="48"/>
    </row>
    <row r="357" spans="2:5" x14ac:dyDescent="0.35">
      <c r="B357" s="47"/>
      <c r="C357" s="48"/>
      <c r="D357" s="48"/>
      <c r="E357" s="48"/>
    </row>
    <row r="358" spans="2:5" x14ac:dyDescent="0.35">
      <c r="B358" s="47"/>
      <c r="C358" s="48"/>
      <c r="D358" s="48"/>
      <c r="E358" s="48"/>
    </row>
    <row r="359" spans="2:5" x14ac:dyDescent="0.35">
      <c r="B359" s="47"/>
      <c r="C359" s="48"/>
      <c r="D359" s="48"/>
      <c r="E359" s="48"/>
    </row>
    <row r="360" spans="2:5" x14ac:dyDescent="0.35">
      <c r="B360" s="47"/>
      <c r="C360" s="48"/>
      <c r="D360" s="48"/>
      <c r="E360" s="48"/>
    </row>
    <row r="361" spans="2:5" x14ac:dyDescent="0.35">
      <c r="B361" s="47"/>
      <c r="C361" s="48"/>
      <c r="D361" s="48"/>
      <c r="E361" s="48"/>
    </row>
    <row r="362" spans="2:5" x14ac:dyDescent="0.35">
      <c r="B362" s="47"/>
      <c r="C362" s="48"/>
      <c r="D362" s="48"/>
      <c r="E362" s="48"/>
    </row>
    <row r="363" spans="2:5" x14ac:dyDescent="0.35">
      <c r="B363" s="47"/>
      <c r="C363" s="48"/>
      <c r="D363" s="48"/>
      <c r="E363" s="48"/>
    </row>
    <row r="364" spans="2:5" x14ac:dyDescent="0.35">
      <c r="B364" s="47"/>
      <c r="C364" s="48"/>
      <c r="D364" s="48"/>
      <c r="E364" s="48"/>
    </row>
    <row r="365" spans="2:5" x14ac:dyDescent="0.35">
      <c r="B365" s="47"/>
      <c r="C365" s="48"/>
      <c r="D365" s="48"/>
      <c r="E365" s="48"/>
    </row>
    <row r="366" spans="2:5" x14ac:dyDescent="0.35">
      <c r="B366" s="47"/>
      <c r="C366" s="48"/>
      <c r="D366" s="48"/>
      <c r="E366" s="48"/>
    </row>
    <row r="367" spans="2:5" x14ac:dyDescent="0.35">
      <c r="B367" s="47"/>
      <c r="C367" s="48"/>
      <c r="D367" s="48"/>
      <c r="E367" s="48"/>
    </row>
    <row r="368" spans="2:5" x14ac:dyDescent="0.35">
      <c r="B368" s="47"/>
      <c r="C368" s="48"/>
      <c r="D368" s="48"/>
      <c r="E368" s="48"/>
    </row>
    <row r="369" spans="2:5" x14ac:dyDescent="0.35">
      <c r="B369" s="47"/>
      <c r="C369" s="48"/>
      <c r="D369" s="48"/>
      <c r="E369" s="48"/>
    </row>
    <row r="370" spans="2:5" x14ac:dyDescent="0.35">
      <c r="B370" s="47"/>
      <c r="C370" s="48"/>
      <c r="D370" s="48"/>
      <c r="E370" s="48"/>
    </row>
    <row r="371" spans="2:5" x14ac:dyDescent="0.35">
      <c r="B371" s="47"/>
      <c r="C371" s="48"/>
      <c r="D371" s="48"/>
      <c r="E371" s="48"/>
    </row>
    <row r="372" spans="2:5" x14ac:dyDescent="0.35">
      <c r="B372" s="47"/>
      <c r="C372" s="48"/>
      <c r="D372" s="48"/>
      <c r="E372" s="48"/>
    </row>
    <row r="373" spans="2:5" x14ac:dyDescent="0.35">
      <c r="B373" s="47"/>
      <c r="C373" s="48"/>
      <c r="D373" s="48"/>
      <c r="E373" s="48"/>
    </row>
    <row r="374" spans="2:5" x14ac:dyDescent="0.35">
      <c r="B374" s="47"/>
      <c r="C374" s="48"/>
      <c r="D374" s="48"/>
      <c r="E374" s="48"/>
    </row>
    <row r="375" spans="2:5" x14ac:dyDescent="0.35">
      <c r="B375" s="47"/>
      <c r="C375" s="48"/>
      <c r="D375" s="48"/>
      <c r="E375" s="48"/>
    </row>
    <row r="376" spans="2:5" x14ac:dyDescent="0.35">
      <c r="B376" s="47"/>
      <c r="C376" s="48"/>
      <c r="D376" s="48"/>
      <c r="E376" s="48"/>
    </row>
    <row r="377" spans="2:5" x14ac:dyDescent="0.35">
      <c r="B377" s="47"/>
      <c r="C377" s="48"/>
      <c r="D377" s="48"/>
      <c r="E377" s="48"/>
    </row>
    <row r="378" spans="2:5" x14ac:dyDescent="0.35">
      <c r="B378" s="47"/>
      <c r="C378" s="48"/>
      <c r="D378" s="48"/>
      <c r="E378" s="48"/>
    </row>
    <row r="379" spans="2:5" x14ac:dyDescent="0.35">
      <c r="B379" s="47"/>
      <c r="C379" s="48"/>
      <c r="D379" s="48"/>
      <c r="E379" s="48"/>
    </row>
    <row r="380" spans="2:5" x14ac:dyDescent="0.35">
      <c r="B380" s="47"/>
      <c r="C380" s="48"/>
      <c r="D380" s="48"/>
      <c r="E380" s="48"/>
    </row>
    <row r="381" spans="2:5" x14ac:dyDescent="0.35">
      <c r="B381" s="47"/>
      <c r="C381" s="48"/>
      <c r="D381" s="48"/>
      <c r="E381" s="48"/>
    </row>
    <row r="382" spans="2:5" x14ac:dyDescent="0.35">
      <c r="B382" s="47"/>
      <c r="C382" s="48"/>
      <c r="D382" s="48"/>
      <c r="E382" s="48"/>
    </row>
    <row r="383" spans="2:5" x14ac:dyDescent="0.35">
      <c r="B383" s="47"/>
      <c r="C383" s="48"/>
      <c r="D383" s="48"/>
      <c r="E383" s="48"/>
    </row>
    <row r="384" spans="2:5" x14ac:dyDescent="0.35">
      <c r="B384" s="47"/>
      <c r="C384" s="48"/>
      <c r="D384" s="48"/>
      <c r="E384" s="48"/>
    </row>
    <row r="385" spans="2:5" x14ac:dyDescent="0.35">
      <c r="B385" s="47"/>
      <c r="C385" s="48"/>
      <c r="D385" s="48"/>
      <c r="E385" s="48"/>
    </row>
    <row r="386" spans="2:5" x14ac:dyDescent="0.35">
      <c r="B386" s="47"/>
      <c r="C386" s="48"/>
      <c r="D386" s="48"/>
      <c r="E386" s="48"/>
    </row>
    <row r="387" spans="2:5" x14ac:dyDescent="0.35">
      <c r="B387" s="47"/>
      <c r="C387" s="48"/>
      <c r="D387" s="48"/>
      <c r="E387" s="48"/>
    </row>
    <row r="388" spans="2:5" x14ac:dyDescent="0.35">
      <c r="B388" s="47"/>
      <c r="C388" s="48"/>
      <c r="D388" s="48"/>
      <c r="E388" s="48"/>
    </row>
    <row r="389" spans="2:5" x14ac:dyDescent="0.35">
      <c r="B389" s="47"/>
      <c r="C389" s="48"/>
      <c r="D389" s="48"/>
      <c r="E389" s="48"/>
    </row>
    <row r="390" spans="2:5" x14ac:dyDescent="0.35">
      <c r="B390" s="47"/>
      <c r="C390" s="48"/>
      <c r="D390" s="48"/>
      <c r="E390" s="48"/>
    </row>
    <row r="391" spans="2:5" x14ac:dyDescent="0.35">
      <c r="B391" s="47"/>
      <c r="C391" s="48"/>
      <c r="D391" s="48"/>
      <c r="E391" s="48"/>
    </row>
    <row r="392" spans="2:5" x14ac:dyDescent="0.35">
      <c r="B392" s="47"/>
      <c r="C392" s="48"/>
      <c r="D392" s="48"/>
      <c r="E392" s="48"/>
    </row>
    <row r="393" spans="2:5" x14ac:dyDescent="0.35">
      <c r="B393" s="47"/>
      <c r="C393" s="48"/>
      <c r="D393" s="48"/>
      <c r="E393" s="48"/>
    </row>
    <row r="394" spans="2:5" x14ac:dyDescent="0.35">
      <c r="B394" s="47"/>
      <c r="C394" s="48"/>
      <c r="D394" s="48"/>
      <c r="E394" s="48"/>
    </row>
  </sheetData>
  <mergeCells count="14">
    <mergeCell ref="G10:H10"/>
    <mergeCell ref="B6:E6"/>
    <mergeCell ref="G6:H6"/>
    <mergeCell ref="C7:E7"/>
    <mergeCell ref="G7:H7"/>
    <mergeCell ref="G9:H9"/>
    <mergeCell ref="C18:E18"/>
    <mergeCell ref="B19:E19"/>
    <mergeCell ref="C11:E11"/>
    <mergeCell ref="C13:E13"/>
    <mergeCell ref="C14:E14"/>
    <mergeCell ref="C15:E15"/>
    <mergeCell ref="B16:E16"/>
    <mergeCell ref="C17:E17"/>
  </mergeCells>
  <conditionalFormatting sqref="C8">
    <cfRule type="expression" dxfId="9" priority="8">
      <formula>$C$8="No encontrado. Completar"</formula>
    </cfRule>
  </conditionalFormatting>
  <conditionalFormatting sqref="C11:E11">
    <cfRule type="expression" dxfId="8" priority="7">
      <formula>$C$11="PENDIENTE"</formula>
    </cfRule>
  </conditionalFormatting>
  <conditionalFormatting sqref="H12">
    <cfRule type="colorScale" priority="1">
      <colorScale>
        <cfvo type="num" val="10"/>
        <cfvo type="num" val="20"/>
        <cfvo type="num" val="25"/>
        <color rgb="FFFCC0C1"/>
        <color rgb="FFFFF5C1"/>
        <color rgb="FFD3EDDA"/>
      </colorScale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C7256455-5B71-4D86-B5E4-E768E879FEE5}">
            <xm:f>SUM('Incident Com. (COMPLETAR)'!$I$4:$I$57)&gt;0</xm:f>
            <x14:dxf>
              <fill>
                <patternFill>
                  <bgColor rgb="FFFF9B9B"/>
                </patternFill>
              </fill>
            </x14:dxf>
          </x14:cfRule>
          <xm:sqref>C3:J3</xm:sqref>
        </x14:conditionalFormatting>
        <x14:conditionalFormatting xmlns:xm="http://schemas.microsoft.com/office/excel/2006/main">
          <x14:cfRule type="expression" priority="9" id="{B060C21C-9286-40D3-90E4-F596586FBB94}">
            <xm:f>'Incident Com. (COMPLETAR)'!$E$6="Aperture Incident"</xm:f>
            <x14:dxf>
              <fill>
                <patternFill>
                  <bgColor theme="5" tint="0.39994506668294322"/>
                </patternFill>
              </fill>
            </x14:dxf>
          </x14:cfRule>
          <x14:cfRule type="expression" priority="10" id="{3A3C0DFE-F0A5-47FC-A3C1-F18A55F67ADF}">
            <xm:f>'Incident Com. (COMPLETAR)'!$E$6="Update Incident"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" id="{97832980-E9F7-4AC5-B3EC-BA76FD668B6C}">
            <xm:f>'Incident Com. (COMPLETAR)'!$E$6="Closure Incident"</xm:f>
            <x14:dxf>
              <fill>
                <patternFill>
                  <bgColor theme="9" tint="0.59996337778862885"/>
                </patternFill>
              </fill>
            </x14:dxf>
          </x14:cfRule>
          <xm:sqref>B3</xm:sqref>
        </x14:conditionalFormatting>
        <x14:conditionalFormatting xmlns:xm="http://schemas.microsoft.com/office/excel/2006/main">
          <x14:cfRule type="expression" priority="6" id="{0E293113-4398-4FDE-9710-6C9CD4E300D1}">
            <xm:f>LEN('Incident Com. (COMPLETAR)'!$E$8:$F$8)&lt;&gt;12</xm:f>
            <x14:dxf>
              <fill>
                <patternFill>
                  <bgColor rgb="FFFF9F9F"/>
                </patternFill>
              </fill>
            </x14:dxf>
          </x14:cfRule>
          <xm:sqref>E8</xm:sqref>
        </x14:conditionalFormatting>
        <x14:conditionalFormatting xmlns:xm="http://schemas.microsoft.com/office/excel/2006/main">
          <x14:cfRule type="expression" priority="4" id="{01E6D18D-9687-476C-A62F-2A1A7C574796}">
            <xm:f>SUM('Incident Com. (COMPLETAR)'!$I:$I)&gt;0</xm:f>
            <x14:dxf>
              <fill>
                <patternFill>
                  <bgColor rgb="FFFF0000"/>
                </patternFill>
              </fill>
            </x14:dxf>
          </x14:cfRule>
          <x14:cfRule type="expression" priority="5" id="{177C1BCE-C540-4236-9E94-FECF69B964A3}">
            <xm:f>SUM('Incident Com. (COMPLETAR)'!$I:$I)=0</xm:f>
            <x14:dxf>
              <fill>
                <patternFill>
                  <bgColor rgb="FF00B050"/>
                </patternFill>
              </fill>
            </x14:dxf>
          </x14:cfRule>
          <xm:sqref>G6:H6</xm:sqref>
        </x14:conditionalFormatting>
        <x14:conditionalFormatting xmlns:xm="http://schemas.microsoft.com/office/excel/2006/main">
          <x14:cfRule type="expression" priority="2" id="{FF7AD057-D83A-4DBF-B8AC-1DF29F359AF6}">
            <xm:f>'Incident Com. (COMPLETAR)'!$I$18=1</xm:f>
            <x14:dxf>
              <fill>
                <patternFill>
                  <bgColor rgb="FFFF9F9F"/>
                </patternFill>
              </fill>
            </x14:dxf>
          </x14:cfRule>
          <xm:sqref>E10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scriptIds xmlns="http://schemas.microsoft.com/office/extensibility/maker/v1.0" id="script-ids-node-id">
  <scriptId id="ms-officescript%3A%2F%2Fonedrive_business_itemlink%2F013P6QKTCIKOUPXAXPCBA257UHK5WZYGZN:ms-officescript%3A%2F%2Fonedrive_business_sharinglink%2Fu!aHR0cHM6Ly9zYW50YW5kZXJuZXQtbXkuc2hhcmVwb2ludC5jb20vOnU6L2cvcGVyc29uYWwveDg5MTM2MV9zYW50YW5kZXJnbG9iYWx0ZWNoX2NvbS9FVWhUcVB1Qzd4QkJydjZIVjIyY0d5MEJwOFR2UXJYb1Y3MHV4MlV1Nm9sZnNB"/>
  <scriptId xmlns="" id="ms-officescript%3A%2F%2Fonedrive_business_itemlink%2F013P6QKTD4WFGGVK5QYFBZQVFFIN3AP4Q7:ms-officescript%3A%2F%2Fonedrive_business_sharinglink%2Fu!aHR0cHM6Ly9zYW50YW5kZXJuZXQtbXkuc2hhcmVwb2ludC5jb20vOnU6L2cvcGVyc29uYWwveDg5MTM2MV9zYW50YW5kZXJnbG9iYWx0ZWNoX2NvbS9FWHl4VEdxcnNNRkRtRlNsUTNZSDhoOEJ0VFZENWFZTVVCNVdwck9WOTY5UTh3"/>
  <scriptId xmlns="" id="ms-officescript%3A%2F%2Fonedrive_business_itemlink%2F013P6QKTGZ644LGIAHNNFKP2VE6YYTPUBM:ms-officescript%3A%2F%2Fonedrive_business_sharinglink%2Fu!aHR0cHM6Ly9zYW50YW5kZXJuZXQtbXkuc2hhcmVwb2ludC5jb20vOnU6L2cvcGVyc29uYWwveDg5MTM2MV9zYW50YW5kZXJnbG9iYWx0ZWNoX2NvbS9FZG4zT0xNZ0IydEtwLXFrOWpFMzBDd0JLdVFJc0Fla3JiajR2RnVRZ1NUdVBR"/>
</scriptId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53D453421A95D4FAA4AEEF46A964E01" ma:contentTypeVersion="14" ma:contentTypeDescription="Create a new document." ma:contentTypeScope="" ma:versionID="605a64d098304869f5592feea1ff01e0">
  <xsd:schema xmlns:xsd="http://www.w3.org/2001/XMLSchema" xmlns:xs="http://www.w3.org/2001/XMLSchema" xmlns:p="http://schemas.microsoft.com/office/2006/metadata/properties" xmlns:ns2="f2d69cfc-9e5e-49f5-89c5-c4254f1df494" xmlns:ns3="c4ea02d4-fa21-4b0d-ae81-62618081dde3" targetNamespace="http://schemas.microsoft.com/office/2006/metadata/properties" ma:root="true" ma:fieldsID="3660d38ccca2602157664ced66b1c521" ns2:_="" ns3:_="">
    <xsd:import namespace="f2d69cfc-9e5e-49f5-89c5-c4254f1df494"/>
    <xsd:import namespace="c4ea02d4-fa21-4b0d-ae81-62618081dde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d69cfc-9e5e-49f5-89c5-c4254f1df49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471ada5-31db-43fa-8830-84ca9293ff4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4ea02d4-fa21-4b0d-ae81-62618081dde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438222be-8632-4fe4-ba3b-3c93a424c0d8}" ma:internalName="TaxCatchAll" ma:showField="CatchAllData" ma:web="c4ea02d4-fa21-4b0d-ae81-62618081dd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4ea02d4-fa21-4b0d-ae81-62618081dde3" xsi:nil="true"/>
    <lcf76f155ced4ddcb4097134ff3c332f xmlns="f2d69cfc-9e5e-49f5-89c5-c4254f1df494">
      <Terms xmlns="http://schemas.microsoft.com/office/infopath/2007/PartnerControls"/>
    </lcf76f155ced4ddcb4097134ff3c332f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643C50D-26BB-4892-AE4B-B12D675E6EB6}">
  <ds:schemaRefs>
    <ds:schemaRef ds:uri="http://schemas.microsoft.com/office/extensibility/maker/v1.0"/>
    <ds:schemaRef ds:uri=""/>
  </ds:schemaRefs>
</ds:datastoreItem>
</file>

<file path=customXml/itemProps2.xml><?xml version="1.0" encoding="utf-8"?>
<ds:datastoreItem xmlns:ds="http://schemas.openxmlformats.org/officeDocument/2006/customXml" ds:itemID="{0975BABD-11A9-4B24-8250-2903E875DFF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2d69cfc-9e5e-49f5-89c5-c4254f1df494"/>
    <ds:schemaRef ds:uri="c4ea02d4-fa21-4b0d-ae81-62618081dd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0B59409-D1FC-4B0F-968F-225488D91AEC}">
  <ds:schemaRefs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purl.org/dc/terms/"/>
    <ds:schemaRef ds:uri="c4ea02d4-fa21-4b0d-ae81-62618081dde3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f2d69cfc-9e5e-49f5-89c5-c4254f1df494"/>
    <ds:schemaRef ds:uri="http://purl.org/dc/elements/1.1/"/>
  </ds:schemaRefs>
</ds:datastoreItem>
</file>

<file path=customXml/itemProps4.xml><?xml version="1.0" encoding="utf-8"?>
<ds:datastoreItem xmlns:ds="http://schemas.openxmlformats.org/officeDocument/2006/customXml" ds:itemID="{9CD02BA4-4C09-4D3C-B51D-B5B13A78BD9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NOTIFICACIÓN</vt:lpstr>
      <vt:lpstr>Incident Com. (COMPLETAR)</vt:lpstr>
      <vt:lpstr>BBDD</vt:lpstr>
      <vt:lpstr>Listas</vt:lpstr>
      <vt:lpstr>Fórmulas</vt:lpstr>
      <vt:lpstr>BCKP</vt:lpstr>
    </vt:vector>
  </TitlesOfParts>
  <Manager/>
  <Company>Grupo Santander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Iparraguirre - Daniel Domingo</dc:creator>
  <cp:keywords/>
  <dc:description/>
  <cp:lastModifiedBy>Benitez Gonzalez Inmaculada</cp:lastModifiedBy>
  <cp:revision/>
  <dcterms:created xsi:type="dcterms:W3CDTF">2024-02-20T07:42:07Z</dcterms:created>
  <dcterms:modified xsi:type="dcterms:W3CDTF">2025-07-15T15:24:23Z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c2abd79-57a9-4473-8700-c843f76a1e37_Enabled">
    <vt:lpwstr>true</vt:lpwstr>
  </property>
  <property fmtid="{D5CDD505-2E9C-101B-9397-08002B2CF9AE}" pid="3" name="MSIP_Label_0c2abd79-57a9-4473-8700-c843f76a1e37_SetDate">
    <vt:lpwstr>2024-02-20T07:45:00Z</vt:lpwstr>
  </property>
  <property fmtid="{D5CDD505-2E9C-101B-9397-08002B2CF9AE}" pid="4" name="MSIP_Label_0c2abd79-57a9-4473-8700-c843f76a1e37_Method">
    <vt:lpwstr>Privileged</vt:lpwstr>
  </property>
  <property fmtid="{D5CDD505-2E9C-101B-9397-08002B2CF9AE}" pid="5" name="MSIP_Label_0c2abd79-57a9-4473-8700-c843f76a1e37_Name">
    <vt:lpwstr>Internal</vt:lpwstr>
  </property>
  <property fmtid="{D5CDD505-2E9C-101B-9397-08002B2CF9AE}" pid="6" name="MSIP_Label_0c2abd79-57a9-4473-8700-c843f76a1e37_SiteId">
    <vt:lpwstr>35595a02-4d6d-44ac-99e1-f9ab4cd872db</vt:lpwstr>
  </property>
  <property fmtid="{D5CDD505-2E9C-101B-9397-08002B2CF9AE}" pid="7" name="MSIP_Label_0c2abd79-57a9-4473-8700-c843f76a1e37_ActionId">
    <vt:lpwstr>3c0f7402-22de-42f4-a908-e72aa50e6bc0</vt:lpwstr>
  </property>
  <property fmtid="{D5CDD505-2E9C-101B-9397-08002B2CF9AE}" pid="8" name="MSIP_Label_0c2abd79-57a9-4473-8700-c843f76a1e37_ContentBits">
    <vt:lpwstr>0</vt:lpwstr>
  </property>
  <property fmtid="{D5CDD505-2E9C-101B-9397-08002B2CF9AE}" pid="9" name="ContentTypeId">
    <vt:lpwstr>0x010100053D453421A95D4FAA4AEEF46A964E01</vt:lpwstr>
  </property>
  <property fmtid="{D5CDD505-2E9C-101B-9397-08002B2CF9AE}" pid="10" name="MediaServiceImageTags">
    <vt:lpwstr/>
  </property>
</Properties>
</file>