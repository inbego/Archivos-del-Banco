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834576_santanderglobaltech_com/Documents/Documentos/Guardias Intervenciones Desplazamientos/"/>
    </mc:Choice>
  </mc:AlternateContent>
  <xr:revisionPtr revIDLastSave="587" documentId="8_{76D0025C-EE45-4809-AC8C-80584FA20F11}" xr6:coauthVersionLast="47" xr6:coauthVersionMax="47" xr10:uidLastSave="{11056D02-83D8-4955-BB75-D99A9A2E9385}"/>
  <bookViews>
    <workbookView xWindow="2940" yWindow="14290" windowWidth="19420" windowHeight="10300" tabRatio="469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<sst xmlns="http://schemas.openxmlformats.org/spreadsheetml/2006/main" count="93" uniqueCount="60">
  <si>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</si>
  <si>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</si>
  <si>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</si>
  <si>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</si>
  <si>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</si>
  <si>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</si>
  <si>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</si>
  <si>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</si>
  <si>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</si>
  <si>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</si>
  <si>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</si>
  <si>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</si>
  <si>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</si>
  <si>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</si>
  <si>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</si>
  <si>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</si>
  <si>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</si>
  <si>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</si>
  <si>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</si>
  <si>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</si>
  <si>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</si>
  <si>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</si>
  <si>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</si>
  <si>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</si>
  <si>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</si>
  <si>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</si>
  <si>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</si>
  <si>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</si>
  <si>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DIVISIO</t>
  </si>
  <si>
    <t>x834576</t>
  </si>
  <si>
    <t>Jose Luis de Juan</t>
  </si>
  <si>
    <t>53902321G</t>
  </si>
  <si>
    <t>DE JUAN MEJÍA</t>
  </si>
  <si>
    <t>JOSE LUIS</t>
  </si>
  <si>
    <t>Civir</t>
  </si>
  <si>
    <t>EUT Comunicaciones</t>
  </si>
  <si>
    <t>de Juan Mejía</t>
  </si>
  <si>
    <t>Jose Luis</t>
  </si>
  <si>
    <t>1h</t>
  </si>
  <si>
    <t>20:00</t>
  </si>
  <si>
    <t>Precarga Upgrade SBOA8304 CISCO C9200L-48P-4X por obsolecencia, nueva version cat9k_lite_iosxe.17.12.05.SPA.bin</t>
  </si>
  <si>
    <t>Upgrade equipos SBOA8304 CISCO C9200L-48P-4X por obsolecencia, nueva version cat9k_lite_iosxe.17.12.05.SPA.bin</t>
  </si>
  <si>
    <t>SEPTIEMBRE</t>
  </si>
  <si>
    <t>CHG002481499</t>
  </si>
  <si>
    <t>TSQ Cambio Vlan STRITONS05W-21 Puerto 48</t>
  </si>
  <si>
    <t>19:00</t>
  </si>
  <si>
    <t xml:space="preserve">AÑADO 1 HORA PENDIENTE DEL MES PASADO CHG002481499 </t>
  </si>
  <si>
    <t>OCTUBRE</t>
  </si>
  <si>
    <t>4h</t>
  </si>
  <si>
    <t>13h</t>
  </si>
  <si>
    <t>00:00</t>
  </si>
  <si>
    <t xml:space="preserve">1 HORA PENDIENTE DEL MES PASADO CHG002481499 </t>
  </si>
  <si>
    <t>CHG002500372</t>
  </si>
  <si>
    <t>CHG002500409</t>
  </si>
  <si>
    <t>CHG002509260</t>
  </si>
  <si>
    <t>CHG002509283</t>
  </si>
  <si>
    <t>3h</t>
  </si>
  <si>
    <t>23:00</t>
  </si>
  <si>
    <t>13:00</t>
  </si>
  <si>
    <t>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</si>
</sst>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9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9" fillId="0" borderId="6" xfId="2" applyFont="1" applyBorder="1" applyAlignment="1">
      <alignment horizontal="center" vertical="center" wrapText="1"/>
    </xf>
    <xf numFmtId="165" fontId="1" fillId="0" borderId="7" xfId="2" applyNumberFormat="1" applyBorder="1"/>
    <xf numFmtId="165" fontId="1" fillId="0" borderId="0" xfId="2" applyNumberFormat="1"/>
    <xf numFmtId="165" fontId="3" fillId="0" borderId="0" xfId="2" applyNumberFormat="1" applyFont="1"/>
    <xf numFmtId="0" fontId="1" fillId="0" borderId="3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14" fontId="0" fillId="5" borderId="3" xfId="0" applyNumberFormat="1" applyFill="1" applyBorder="1" applyAlignment="1">
      <alignment horizontal="left" vertical="center"/>
    </xf>
    <xf numFmtId="20" fontId="0" fillId="5" borderId="3" xfId="0" applyNumberFormat="1" applyFill="1" applyBorder="1" applyAlignment="1">
      <alignment horizontal="left" vertical="center"/>
    </xf>
    <xf numFmtId="2" fontId="0" fillId="5" borderId="3" xfId="0" applyNumberFormat="1" applyFill="1" applyBorder="1" applyAlignment="1">
      <alignment horizontal="left" vertical="center"/>
    </xf>
    <xf numFmtId="0" fontId="0" fillId="5" borderId="3" xfId="0" applyFill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vertical="center" wrapText="1"/>
    </xf>
    <xf numFmtId="14" fontId="3" fillId="6" borderId="3" xfId="0" applyNumberFormat="1" applyFont="1" applyFill="1" applyBorder="1" applyAlignment="1">
      <alignment horizontal="left" vertical="center" wrapText="1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INTERVENCIONES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(Tabla1[[#This Row],[ Importe   ]]*Tabla1[[#This Row],[ Nº Interv. ]])+(Tabla1[[#This Row],[ Importe  ]]*Tabla1[[#This Row],[Nº Guardias ]])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showGridLines="0" tabSelected="1" zoomScale="90" zoomScaleNormal="90" workbookViewId="0">
      <selection activeCell="I3" sqref="I3"/>
    </sheetView>
  </sheetViews>
  <sheetFormatPr baseColWidth="10" defaultColWidth="11.42578125" defaultRowHeight="15"/>
  <cols>
    <col min="1" max="1" width="11.28515625" bestFit="1" customWidth="1"/>
    <col min="2" max="2" width="23.28515625" bestFit="1" customWidth="1"/>
    <col min="3" max="3" width="15.85546875" bestFit="1" customWidth="1"/>
    <col min="4" max="4" width="26.7109375" bestFit="1" customWidth="1"/>
    <col min="5" max="6" width="18.28515625" customWidth="1"/>
    <col min="7" max="7" width="11.5703125" bestFit="1" customWidth="1"/>
    <col min="8" max="8" width="26.42578125" bestFit="1" customWidth="1"/>
    <col min="9" max="9" width="11.85546875" bestFit="1" customWidth="1"/>
    <col min="10" max="10" width="12.5703125" bestFit="1" customWidth="1"/>
    <col min="11" max="11" width="30.28515625" bestFit="1" customWidth="1"/>
  </cols>
  <sheetData>
    <row r="1" spans="1:11" ht="38.25">
      <c r="A1" s="1" t="s">
        <v>0</v>
      </c>
      <c r="B1" s="2" t="s">
        <v>1</v>
      </c>
      <c r="C1" s="2" t="s">
        <v>2</v>
      </c>
      <c r="D1" s="2" t="s">
        <v>3</v>
      </c>
      <c r="E1" s="2" t="s">
        <v>28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1">
      <c r="A2" s="16" t="s">
        <v>29</v>
      </c>
      <c r="B2" s="34" t="s">
        <v>32</v>
      </c>
      <c r="C2" s="35" t="s">
        <v>33</v>
      </c>
      <c r="D2" s="34"/>
      <c r="E2" s="39"/>
      <c r="F2" s="39"/>
      <c r="G2" s="37">
        <v>45943</v>
      </c>
      <c r="H2" s="36"/>
      <c r="I2" s="37">
        <v>45949</v>
      </c>
      <c r="J2" s="38" t="s">
        <v>47</v>
      </c>
      <c r="K2" s="38"/>
    </row>
    <row r="3" spans="1:11">
      <c r="A3" s="16"/>
      <c r="B3" s="17"/>
      <c r="C3" s="18"/>
      <c r="D3" s="17"/>
      <c r="E3" s="17"/>
      <c r="F3" s="17"/>
      <c r="G3" s="20"/>
      <c r="H3" s="19"/>
      <c r="I3" s="20"/>
      <c r="J3" s="21"/>
      <c r="K3" s="22"/>
    </row>
    <row r="4" spans="1:11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1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1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1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1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1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"/>
  <sheetViews>
    <sheetView showGridLines="0" zoomScale="115" zoomScaleNormal="115" workbookViewId="0">
      <selection activeCell="H16" sqref="H16"/>
    </sheetView>
  </sheetViews>
  <sheetFormatPr baseColWidth="10" defaultColWidth="11.42578125" defaultRowHeight="12" customHeight="1"/>
  <cols>
    <col min="2" max="3" width="24.85546875" bestFit="1" customWidth="1"/>
    <col min="4" max="4" width="14.85546875" bestFit="1" customWidth="1"/>
    <col min="5" max="5" width="19.5703125" bestFit="1" customWidth="1"/>
    <col min="6" max="6" width="13.42578125" bestFit="1" customWidth="1"/>
    <col min="7" max="7" width="17.5703125" bestFit="1" customWidth="1"/>
    <col min="8" max="8" width="13" bestFit="1" customWidth="1"/>
    <col min="9" max="10" width="11" bestFit="1" customWidth="1"/>
    <col min="11" max="11" width="17.42578125" bestFit="1" customWidth="1"/>
    <col min="12" max="12" width="16.85546875" bestFit="1" customWidth="1"/>
    <col min="13" max="13" width="115.42578125" bestFit="1" customWidth="1"/>
    <col min="14" max="14" width="84.85546875" bestFit="1" customWidth="1"/>
    <col min="15" max="15" width="44.85546875" bestFit="1" customWidth="1"/>
    <col min="16" max="16" width="120.140625" bestFit="1" customWidth="1"/>
  </cols>
  <sheetData>
    <row r="1" spans="1:14" ht="26.1" customHeigh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>
      <c r="A2" s="34" t="s">
        <v>34</v>
      </c>
      <c r="B2" s="34" t="s">
        <v>35</v>
      </c>
      <c r="C2" s="47" t="s">
        <v>29</v>
      </c>
      <c r="D2" s="26" t="s">
        <v>36</v>
      </c>
      <c r="E2" s="25" t="s">
        <v>37</v>
      </c>
      <c r="F2" s="27">
        <v>45933</v>
      </c>
      <c r="G2" s="27">
        <v>45933</v>
      </c>
      <c r="H2" s="48" t="s">
        <v>39</v>
      </c>
      <c r="I2" s="48" t="s">
        <v>50</v>
      </c>
      <c r="J2" s="40" t="s">
        <v>48</v>
      </c>
      <c r="K2" s="25" t="s">
        <v>47</v>
      </c>
      <c r="L2" s="26" t="s">
        <v>52</v>
      </c>
      <c r="M2" s="26" t="s">
        <v>40</v>
      </c>
      <c r="N2" s="53"/>
    </row>
    <row r="3" spans="1:14" ht="12" customHeight="1">
      <c r="A3" s="34" t="s">
        <v>34</v>
      </c>
      <c r="B3" s="34" t="s">
        <v>35</v>
      </c>
      <c r="C3" s="47" t="s">
        <v>29</v>
      </c>
      <c r="D3" s="26" t="s">
        <v>36</v>
      </c>
      <c r="E3" s="25" t="s">
        <v>37</v>
      </c>
      <c r="F3" s="27">
        <v>45934</v>
      </c>
      <c r="G3" s="27">
        <v>45934</v>
      </c>
      <c r="H3" s="28">
        <v>0.33333333333333331</v>
      </c>
      <c r="I3" s="28">
        <v>0.875</v>
      </c>
      <c r="J3" s="40" t="s">
        <v>49</v>
      </c>
      <c r="K3" s="25" t="s">
        <v>47</v>
      </c>
      <c r="L3" s="26" t="s">
        <v>53</v>
      </c>
      <c r="M3" s="26" t="s">
        <v>41</v>
      </c>
      <c r="N3" s="53"/>
    </row>
    <row r="4" spans="1:14" ht="12" customHeight="1">
      <c r="A4" s="34" t="s">
        <v>34</v>
      </c>
      <c r="B4" s="34" t="s">
        <v>35</v>
      </c>
      <c r="C4" s="47" t="s">
        <v>29</v>
      </c>
      <c r="D4" s="26" t="s">
        <v>36</v>
      </c>
      <c r="E4" s="25" t="s">
        <v>37</v>
      </c>
      <c r="F4" s="27">
        <v>45940</v>
      </c>
      <c r="G4" s="27">
        <v>45940</v>
      </c>
      <c r="H4" s="48" t="s">
        <v>39</v>
      </c>
      <c r="I4" s="48" t="s">
        <v>57</v>
      </c>
      <c r="J4" s="40" t="s">
        <v>56</v>
      </c>
      <c r="K4" s="25" t="s">
        <v>47</v>
      </c>
      <c r="L4" s="26" t="s">
        <v>54</v>
      </c>
      <c r="M4" s="26" t="s">
        <v>40</v>
      </c>
    </row>
    <row r="5" spans="1:14" ht="12" customHeight="1">
      <c r="A5" s="34" t="s">
        <v>34</v>
      </c>
      <c r="B5" s="34" t="s">
        <v>35</v>
      </c>
      <c r="C5" s="47" t="s">
        <v>29</v>
      </c>
      <c r="D5" s="26" t="s">
        <v>36</v>
      </c>
      <c r="E5" s="25" t="s">
        <v>37</v>
      </c>
      <c r="F5" s="27">
        <v>45941</v>
      </c>
      <c r="G5" s="27">
        <v>45941</v>
      </c>
      <c r="H5" s="28">
        <v>0.33333333333333331</v>
      </c>
      <c r="I5" s="48" t="s">
        <v>58</v>
      </c>
      <c r="J5" s="40" t="s">
        <v>59</v>
      </c>
      <c r="K5" s="25" t="s">
        <v>47</v>
      </c>
      <c r="L5" s="26" t="s">
        <v>55</v>
      </c>
      <c r="M5" s="26" t="s">
        <v>41</v>
      </c>
      <c r="N5" s="53"/>
    </row>
    <row r="6" spans="1:14" ht="12" customHeight="1">
      <c r="A6" s="57" t="s">
        <v>34</v>
      </c>
      <c r="B6" s="57" t="s">
        <v>35</v>
      </c>
      <c r="C6" s="57" t="s">
        <v>29</v>
      </c>
      <c r="D6" s="57" t="s">
        <v>36</v>
      </c>
      <c r="E6" s="57" t="s">
        <v>37</v>
      </c>
      <c r="F6" s="58">
        <v>45924</v>
      </c>
      <c r="G6" s="58">
        <v>45924</v>
      </c>
      <c r="H6" s="57" t="s">
        <v>45</v>
      </c>
      <c r="I6" s="57" t="s">
        <v>39</v>
      </c>
      <c r="J6" s="57" t="s">
        <v>38</v>
      </c>
      <c r="K6" s="57" t="s">
        <v>42</v>
      </c>
      <c r="L6" s="57" t="s">
        <v>43</v>
      </c>
      <c r="M6" s="57" t="s">
        <v>44</v>
      </c>
      <c r="N6" s="57" t="s">
        <v>51</v>
      </c>
    </row>
    <row r="7" spans="1:14" ht="12" customHeight="1">
      <c r="A7" s="34"/>
      <c r="B7" s="23"/>
      <c r="C7" s="41"/>
      <c r="D7" s="42"/>
      <c r="E7" s="24"/>
      <c r="F7" s="43"/>
      <c r="G7" s="43"/>
      <c r="H7" s="44"/>
      <c r="I7" s="44"/>
      <c r="J7" s="45"/>
      <c r="K7" s="46"/>
      <c r="L7" s="24"/>
      <c r="M7" s="24"/>
    </row>
    <row r="8" spans="1:14" ht="12" customHeight="1">
      <c r="A8" s="34"/>
      <c r="B8" s="23"/>
      <c r="C8" s="41"/>
      <c r="D8" s="42"/>
      <c r="E8" s="24"/>
      <c r="F8" s="43"/>
      <c r="G8" s="43"/>
      <c r="H8" s="44"/>
      <c r="I8" s="44"/>
      <c r="J8" s="45"/>
      <c r="K8" s="46"/>
      <c r="L8" s="24"/>
      <c r="M8" s="24"/>
      <c r="N8" s="50"/>
    </row>
    <row r="9" spans="1:14" ht="12" customHeight="1">
      <c r="A9" s="49"/>
      <c r="B9" s="49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50"/>
    </row>
    <row r="10" spans="1:14" ht="12" customHeight="1">
      <c r="A10" s="34"/>
      <c r="B10" s="23"/>
      <c r="C10" s="41"/>
      <c r="D10" s="42"/>
      <c r="E10" s="24"/>
      <c r="F10" s="43"/>
      <c r="G10" s="43"/>
      <c r="H10" s="44"/>
      <c r="I10" s="44"/>
      <c r="J10" s="45"/>
      <c r="K10" s="46"/>
      <c r="L10" s="24"/>
      <c r="M10" s="24"/>
      <c r="N10" s="54"/>
    </row>
    <row r="11" spans="1:14" ht="12" customHeight="1">
      <c r="A11" s="34"/>
      <c r="B11" s="23"/>
      <c r="C11" s="41"/>
      <c r="D11" s="42"/>
      <c r="E11" s="24"/>
      <c r="F11" s="43"/>
      <c r="G11" s="43"/>
      <c r="H11" s="44"/>
      <c r="I11" s="44"/>
      <c r="J11" s="45"/>
      <c r="K11" s="46"/>
      <c r="L11" s="24"/>
      <c r="M11" s="24"/>
      <c r="N11" s="54"/>
    </row>
    <row r="12" spans="1:14" ht="12" customHeight="1">
      <c r="A12" s="49"/>
      <c r="B12" s="49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50"/>
    </row>
    <row r="13" spans="1:14" ht="12" customHeight="1">
      <c r="A13" s="34"/>
      <c r="B13" s="23"/>
      <c r="C13" s="41"/>
      <c r="D13" s="42"/>
      <c r="E13" s="24"/>
      <c r="F13" s="43"/>
      <c r="G13" s="43"/>
      <c r="H13" s="44"/>
      <c r="I13" s="44"/>
      <c r="J13" s="45"/>
      <c r="K13" s="46"/>
      <c r="L13" s="24"/>
      <c r="M13" s="24"/>
      <c r="N13" s="54"/>
    </row>
    <row r="14" spans="1:14" ht="12" customHeight="1">
      <c r="A14" s="34"/>
      <c r="B14" s="23"/>
      <c r="C14" s="41"/>
      <c r="D14" s="42"/>
      <c r="E14" s="24"/>
      <c r="F14" s="43"/>
      <c r="G14" s="43"/>
      <c r="H14" s="44"/>
      <c r="I14" s="44"/>
      <c r="J14" s="45"/>
      <c r="K14" s="46"/>
      <c r="L14" s="24"/>
      <c r="M14" s="24"/>
      <c r="N14" s="54"/>
    </row>
    <row r="15" spans="1:14" ht="12" customHeight="1">
      <c r="A15" s="34"/>
      <c r="B15" s="23"/>
      <c r="C15" s="41"/>
      <c r="D15" s="42"/>
      <c r="E15" s="24"/>
      <c r="F15" s="43"/>
      <c r="G15" s="43"/>
      <c r="H15" s="44"/>
      <c r="I15" s="44"/>
      <c r="J15" s="45"/>
      <c r="K15" s="46"/>
      <c r="L15" s="24"/>
      <c r="M15" s="24"/>
      <c r="N15" s="54"/>
    </row>
    <row r="16" spans="1:14" ht="12" customHeight="1">
      <c r="A16" s="34"/>
      <c r="B16" s="23"/>
      <c r="C16" s="41"/>
      <c r="D16" s="42"/>
      <c r="E16" s="24"/>
      <c r="F16" s="43"/>
      <c r="G16" s="43"/>
      <c r="H16" s="44"/>
      <c r="I16" s="44"/>
      <c r="J16" s="45"/>
      <c r="K16" s="46"/>
      <c r="L16" s="24"/>
      <c r="M16" s="24"/>
      <c r="N16" s="54"/>
    </row>
    <row r="17" spans="1:14" ht="12" customHeight="1">
      <c r="A17" s="34"/>
      <c r="B17" s="23"/>
      <c r="C17" s="41"/>
      <c r="D17" s="42"/>
      <c r="E17" s="24"/>
      <c r="F17" s="43"/>
      <c r="G17" s="43"/>
      <c r="H17" s="44"/>
      <c r="I17" s="44"/>
      <c r="J17" s="45"/>
      <c r="K17" s="46"/>
      <c r="L17" s="24"/>
      <c r="M17" s="24"/>
      <c r="N17" s="54"/>
    </row>
    <row r="18" spans="1:14" ht="12" customHeight="1">
      <c r="A18" s="34"/>
      <c r="B18" s="23"/>
      <c r="C18" s="41"/>
      <c r="D18" s="42"/>
      <c r="E18" s="24"/>
      <c r="F18" s="43"/>
      <c r="G18" s="43"/>
      <c r="H18" s="44"/>
      <c r="I18" s="44"/>
      <c r="J18" s="45"/>
      <c r="K18" s="46"/>
      <c r="L18" s="24"/>
      <c r="M18" s="24"/>
      <c r="N18" s="54"/>
    </row>
    <row r="19" spans="1:14" ht="12" customHeight="1">
      <c r="A19" s="34"/>
      <c r="B19" s="23"/>
      <c r="C19" s="41"/>
      <c r="D19" s="42"/>
      <c r="E19" s="24"/>
      <c r="F19" s="43"/>
      <c r="G19" s="43"/>
      <c r="H19" s="44"/>
      <c r="I19" s="44"/>
      <c r="J19" s="45"/>
      <c r="K19" s="46"/>
      <c r="L19" s="24"/>
      <c r="M19" s="24"/>
      <c r="N19" s="54"/>
    </row>
    <row r="20" spans="1:14" ht="12" customHeight="1">
      <c r="A20" s="49"/>
      <c r="B20" s="49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50"/>
    </row>
    <row r="21" spans="1:14" ht="12" customHeight="1">
      <c r="A21" s="34"/>
      <c r="B21" s="23"/>
      <c r="C21" s="41"/>
      <c r="D21" s="42"/>
      <c r="E21" s="24"/>
      <c r="F21" s="43"/>
      <c r="G21" s="43"/>
      <c r="H21" s="44"/>
      <c r="I21" s="44"/>
      <c r="J21" s="45"/>
      <c r="K21" s="46"/>
      <c r="L21" s="24"/>
      <c r="M21" s="24"/>
      <c r="N21" s="54"/>
    </row>
    <row r="22" spans="1:14" ht="12" customHeight="1">
      <c r="A22" s="34"/>
      <c r="B22" s="23"/>
      <c r="C22" s="41"/>
      <c r="D22" s="42"/>
      <c r="E22" s="24"/>
      <c r="F22" s="43"/>
      <c r="G22" s="43"/>
      <c r="H22" s="44"/>
      <c r="I22" s="44"/>
      <c r="J22" s="45"/>
      <c r="K22" s="46"/>
      <c r="L22" s="24"/>
      <c r="M22" s="24"/>
      <c r="N22" s="54"/>
    </row>
    <row r="23" spans="1:14" ht="12" customHeight="1">
      <c r="A23" s="51"/>
      <c r="B23" s="51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1"/>
    </row>
    <row r="24" spans="1:14" ht="12" customHeight="1">
      <c r="A24" s="25"/>
      <c r="B24" s="25"/>
      <c r="C24" s="25"/>
      <c r="D24" s="26"/>
      <c r="E24" s="26"/>
      <c r="F24" s="27"/>
      <c r="G24" s="27"/>
      <c r="H24" s="28"/>
      <c r="I24" s="28"/>
      <c r="J24" s="25"/>
      <c r="K24" s="26"/>
      <c r="L24" s="25"/>
      <c r="M24" s="29"/>
      <c r="N24" s="55"/>
    </row>
    <row r="25" spans="1:14" ht="12" customHeight="1">
      <c r="A25" s="25"/>
      <c r="B25" s="25"/>
      <c r="C25" s="25"/>
      <c r="D25" s="26"/>
      <c r="E25" s="26"/>
      <c r="F25" s="27"/>
      <c r="G25" s="27"/>
      <c r="H25" s="28"/>
      <c r="I25" s="28"/>
      <c r="J25" s="25"/>
      <c r="K25" s="26"/>
      <c r="L25" s="25"/>
      <c r="M25" s="29"/>
      <c r="N25" s="56"/>
    </row>
    <row r="26" spans="1:14" ht="12" customHeight="1">
      <c r="A26" s="25"/>
      <c r="B26" s="25"/>
      <c r="C26" s="25"/>
      <c r="D26" s="26"/>
      <c r="E26" s="26"/>
      <c r="F26" s="27"/>
      <c r="G26" s="27"/>
      <c r="H26" s="28"/>
      <c r="I26" s="28"/>
      <c r="J26" s="25"/>
      <c r="K26" s="26"/>
      <c r="L26" s="25"/>
      <c r="M26" s="29"/>
      <c r="N26" s="56"/>
    </row>
    <row r="27" spans="1:14" ht="12" customHeight="1">
      <c r="A27" s="25"/>
      <c r="B27" s="25"/>
      <c r="C27" s="25"/>
      <c r="D27" s="26"/>
      <c r="E27" s="26"/>
      <c r="F27" s="27"/>
      <c r="G27" s="27"/>
      <c r="H27" s="28"/>
      <c r="I27" s="28"/>
      <c r="J27" s="25"/>
      <c r="K27" s="26"/>
      <c r="L27" s="25"/>
      <c r="M27" s="29"/>
      <c r="N27" s="56"/>
    </row>
    <row r="28" spans="1:14" ht="12" customHeight="1">
      <c r="A28" s="25"/>
      <c r="B28" s="25"/>
      <c r="C28" s="25"/>
      <c r="D28" s="26"/>
      <c r="E28" s="26"/>
      <c r="F28" s="27"/>
      <c r="G28" s="27"/>
      <c r="H28" s="28"/>
      <c r="I28" s="28"/>
      <c r="J28" s="25"/>
      <c r="K28" s="26"/>
      <c r="L28" s="25"/>
      <c r="M28" s="29"/>
      <c r="N28" s="56"/>
    </row>
    <row r="29" spans="1:14" ht="12" customHeight="1">
      <c r="A29" s="25"/>
      <c r="B29" s="25"/>
      <c r="C29" s="25"/>
      <c r="D29" s="26"/>
      <c r="E29" s="26"/>
      <c r="F29" s="27"/>
      <c r="G29" s="27"/>
      <c r="H29" s="28"/>
      <c r="I29" s="28"/>
      <c r="J29" s="25"/>
      <c r="K29" s="26"/>
      <c r="L29" s="25"/>
      <c r="M29" s="29"/>
      <c r="N29" s="56"/>
    </row>
    <row r="30" spans="1:14" ht="12" customHeight="1">
      <c r="A30" s="25"/>
      <c r="B30" s="25"/>
      <c r="C30" s="25"/>
      <c r="D30" s="26"/>
      <c r="E30" s="26"/>
      <c r="F30" s="27"/>
      <c r="G30" s="27"/>
      <c r="H30" s="28"/>
      <c r="I30" s="28"/>
      <c r="J30" s="25"/>
      <c r="K30" s="26"/>
      <c r="L30" s="25"/>
      <c r="M30" s="29"/>
      <c r="N30" s="56"/>
    </row>
    <row r="31" spans="1:14" ht="12" customHeight="1">
      <c r="A31" s="51"/>
      <c r="B31" s="51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1"/>
    </row>
    <row r="32" spans="1:14" ht="12" customHeight="1">
      <c r="A32" s="34"/>
      <c r="B32" s="23"/>
      <c r="C32" s="41"/>
      <c r="D32" s="42"/>
      <c r="E32" s="24"/>
      <c r="F32" s="43"/>
      <c r="G32" s="43"/>
      <c r="H32" s="44"/>
      <c r="I32" s="44"/>
      <c r="J32" s="45"/>
      <c r="K32" s="46"/>
      <c r="L32" s="24"/>
      <c r="M32" s="24"/>
      <c r="N32" s="54"/>
    </row>
    <row r="33" spans="1:14" ht="12" customHeight="1">
      <c r="A33" s="34"/>
      <c r="B33" s="23"/>
      <c r="C33" s="41"/>
      <c r="D33" s="42"/>
      <c r="E33" s="24"/>
      <c r="F33" s="43"/>
      <c r="G33" s="43"/>
      <c r="H33" s="44"/>
      <c r="I33" s="44"/>
      <c r="J33" s="45"/>
      <c r="K33" s="46"/>
      <c r="L33" s="24"/>
      <c r="M33" s="24"/>
      <c r="N33" s="54"/>
    </row>
    <row r="34" spans="1:14" ht="12" customHeight="1">
      <c r="A34" s="34"/>
      <c r="B34" s="23"/>
      <c r="C34" s="41"/>
      <c r="D34" s="42"/>
      <c r="E34" s="24"/>
      <c r="F34" s="43"/>
      <c r="G34" s="43"/>
      <c r="H34" s="44"/>
      <c r="I34" s="44"/>
      <c r="J34" s="45"/>
      <c r="K34" s="46"/>
      <c r="L34" s="24"/>
      <c r="M34" s="24"/>
      <c r="N34" s="54"/>
    </row>
    <row r="35" spans="1:14" ht="12" customHeight="1">
      <c r="A35" s="34"/>
      <c r="B35" s="23"/>
      <c r="C35" s="41"/>
      <c r="D35" s="42"/>
      <c r="E35" s="24"/>
      <c r="F35" s="43"/>
      <c r="G35" s="43"/>
      <c r="H35" s="44"/>
      <c r="I35" s="44"/>
      <c r="J35" s="45"/>
      <c r="K35" s="46"/>
      <c r="L35" s="24"/>
      <c r="M35" s="24"/>
      <c r="N35" s="54"/>
    </row>
  </sheetData>
  <mergeCells count="5">
    <mergeCell ref="N32:N35"/>
    <mergeCell ref="N13:N19"/>
    <mergeCell ref="N21:N22"/>
    <mergeCell ref="N24:N30"/>
    <mergeCell ref="N10:N11"/>
  </mergeCells>
  <phoneticPr fontId="13" type="noConversion"/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B32:B35 B21:B22 B10:B11 B13:B19 B7:B8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A32:A35 A21:A22 A10:A11 A13:A19 A7:A8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A24:B30 K24:K30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="90" zoomScaleNormal="90" workbookViewId="0">
      <selection activeCell="H2" sqref="H2"/>
    </sheetView>
  </sheetViews>
  <sheetFormatPr baseColWidth="10" defaultColWidth="30.42578125" defaultRowHeight="12.75"/>
  <cols>
    <col min="1" max="1" width="11.85546875" style="8" bestFit="1" customWidth="1"/>
    <col min="2" max="2" width="31.42578125" style="8" bestFit="1" customWidth="1"/>
    <col min="3" max="3" width="18.7109375" style="8" bestFit="1" customWidth="1"/>
    <col min="4" max="4" width="15.85546875" style="8" bestFit="1" customWidth="1"/>
    <col min="5" max="5" width="19.28515625" style="8" customWidth="1"/>
    <col min="6" max="6" width="16.42578125" style="8" bestFit="1" customWidth="1"/>
    <col min="7" max="7" width="11.42578125" style="8" bestFit="1" customWidth="1"/>
    <col min="8" max="8" width="48.5703125" style="8" bestFit="1" customWidth="1"/>
    <col min="9" max="16384" width="30.42578125" style="8"/>
  </cols>
  <sheetData>
    <row r="1" spans="1:8" ht="15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25.5">
      <c r="A2" s="30" t="s">
        <v>31</v>
      </c>
      <c r="B2" s="11" t="s">
        <v>30</v>
      </c>
      <c r="C2" s="9">
        <v>1</v>
      </c>
      <c r="D2" s="10">
        <v>300</v>
      </c>
      <c r="E2" s="9">
        <v>26</v>
      </c>
      <c r="F2" s="10">
        <v>30</v>
      </c>
      <c r="G2" s="31">
        <f>(Tabla1[[#This Row],[ Importe   ]]*Tabla1[[#This Row],[ Nº Interv. ]])+(Tabla1[[#This Row],[ Importe  ]]*Tabla1[[#This Row],[Nº Guardias ]])</f>
        <v>1080</v>
      </c>
      <c r="H2" s="53" t="s">
        <v>46</v>
      </c>
    </row>
    <row r="3" spans="1:8" ht="15">
      <c r="A3" s="30"/>
      <c r="B3" s="11"/>
      <c r="C3" s="9"/>
      <c r="D3" s="10"/>
      <c r="E3" s="9"/>
      <c r="F3" s="10"/>
      <c r="G3" s="31">
        <f>(Tabla1[[#This Row],[ Importe   ]]*Tabla1[[#This Row],[ Nº Interv. ]])+(Tabla1[[#This Row],[ Importe  ]]*Tabla1[[#This Row],[Nº Guardias ]])</f>
        <v>0</v>
      </c>
    </row>
    <row r="4" spans="1:8" ht="15">
      <c r="A4" s="30"/>
      <c r="B4" s="11"/>
      <c r="C4" s="9"/>
      <c r="D4" s="10"/>
      <c r="E4" s="9"/>
      <c r="F4" s="10"/>
      <c r="G4" s="31">
        <f>(Tabla1[[#This Row],[ Importe   ]]*Tabla1[[#This Row],[ Nº Interv. ]])+(Tabla1[[#This Row],[ Importe  ]]*Tabla1[[#This Row],[Nº Guardias ]])</f>
        <v>0</v>
      </c>
    </row>
    <row r="5" spans="1:8" ht="15">
      <c r="A5" s="30"/>
      <c r="B5" s="11"/>
      <c r="C5" s="9"/>
      <c r="D5" s="10"/>
      <c r="E5" s="9"/>
      <c r="F5" s="10"/>
      <c r="G5" s="31">
        <f>(Tabla1[[#This Row],[ Importe   ]]*Tabla1[[#This Row],[ Nº Interv. ]])+(Tabla1[[#This Row],[ Importe  ]]*Tabla1[[#This Row],[Nº Guardias ]])</f>
        <v>0</v>
      </c>
    </row>
    <row r="6" spans="1:8" ht="15">
      <c r="A6" s="30"/>
      <c r="B6" s="11"/>
      <c r="C6" s="9"/>
      <c r="D6" s="10"/>
      <c r="E6" s="9"/>
      <c r="F6" s="10"/>
      <c r="G6" s="31">
        <f>(Tabla1[[#This Row],[ Importe   ]]*Tabla1[[#This Row],[ Nº Interv. ]])+(Tabla1[[#This Row],[ Importe  ]]*Tabla1[[#This Row],[Nº Guardias ]])</f>
        <v>0</v>
      </c>
    </row>
    <row r="7" spans="1:8" ht="15">
      <c r="A7" s="30"/>
      <c r="B7" s="11"/>
      <c r="C7" s="9"/>
      <c r="D7" s="10"/>
      <c r="E7" s="9"/>
      <c r="F7" s="10"/>
      <c r="G7" s="31">
        <f>(Tabla1[[#This Row],[ Importe   ]]*Tabla1[[#This Row],[ Nº Interv. ]])+(Tabla1[[#This Row],[ Importe  ]]*Tabla1[[#This Row],[Nº Guardias ]])</f>
        <v>0</v>
      </c>
    </row>
    <row r="8" spans="1:8" ht="15">
      <c r="A8" s="30"/>
      <c r="B8" s="11"/>
      <c r="C8" s="9"/>
      <c r="D8" s="10"/>
      <c r="E8" s="9"/>
      <c r="F8" s="10"/>
      <c r="G8" s="31">
        <f>(Tabla1[[#This Row],[ Importe   ]]*Tabla1[[#This Row],[ Nº Interv. ]])+(Tabla1[[#This Row],[ Importe  ]]*Tabla1[[#This Row],[Nº Guardias ]])</f>
        <v>0</v>
      </c>
    </row>
    <row r="9" spans="1:8" ht="15">
      <c r="A9" s="30"/>
      <c r="B9" s="11"/>
      <c r="C9" s="9"/>
      <c r="D9" s="10"/>
      <c r="E9" s="9"/>
      <c r="F9" s="10"/>
      <c r="G9" s="31">
        <f>(Tabla1[[#This Row],[ Importe   ]]*Tabla1[[#This Row],[ Nº Interv. ]])+(Tabla1[[#This Row],[ Importe  ]]*Tabla1[[#This Row],[Nº Guardias ]])</f>
        <v>0</v>
      </c>
    </row>
    <row r="10" spans="1:8" ht="15">
      <c r="A10" s="30"/>
      <c r="B10" s="11"/>
      <c r="C10" s="9"/>
      <c r="D10" s="10"/>
      <c r="E10" s="9"/>
      <c r="F10" s="10"/>
      <c r="G10" s="31">
        <f>(Tabla1[[#This Row],[ Importe   ]]*Tabla1[[#This Row],[ Nº Interv. ]])+(Tabla1[[#This Row],[ Importe  ]]*Tabla1[[#This Row],[Nº Guardias ]])</f>
        <v>0</v>
      </c>
    </row>
    <row r="11" spans="1:8" ht="15">
      <c r="A11" s="30"/>
      <c r="B11" s="11"/>
      <c r="C11" s="9"/>
      <c r="D11" s="10"/>
      <c r="E11" s="9"/>
      <c r="F11" s="10"/>
      <c r="G11" s="31">
        <f>(Tabla1[[#This Row],[ Importe   ]]*Tabla1[[#This Row],[ Nº Interv. ]])+(Tabla1[[#This Row],[ Importe  ]]*Tabla1[[#This Row],[Nº Guardias ]])</f>
        <v>0</v>
      </c>
    </row>
    <row r="12" spans="1:8" ht="15">
      <c r="A12" s="30"/>
      <c r="B12" s="11"/>
      <c r="C12" s="9"/>
      <c r="D12" s="10"/>
      <c r="E12" s="9"/>
      <c r="F12" s="10"/>
      <c r="G12" s="31">
        <f>(Tabla1[[#This Row],[ Importe   ]]*Tabla1[[#This Row],[ Nº Interv. ]])+(Tabla1[[#This Row],[ Importe  ]]*Tabla1[[#This Row],[Nº Guardias ]])</f>
        <v>0</v>
      </c>
    </row>
    <row r="13" spans="1:8" ht="15">
      <c r="A13" s="30"/>
      <c r="B13" s="11"/>
      <c r="C13" s="9"/>
      <c r="D13" s="10"/>
      <c r="E13" s="9"/>
      <c r="F13" s="10"/>
      <c r="G13" s="31">
        <f>(Tabla1[[#This Row],[ Importe   ]]*Tabla1[[#This Row],[ Nº Interv. ]])+(Tabla1[[#This Row],[ Importe  ]]*Tabla1[[#This Row],[Nº Guardias ]])</f>
        <v>0</v>
      </c>
    </row>
    <row r="14" spans="1:8" ht="15">
      <c r="A14" s="30"/>
      <c r="B14" s="11"/>
      <c r="C14" s="9"/>
      <c r="D14" s="10"/>
      <c r="E14" s="9"/>
      <c r="F14" s="10"/>
      <c r="G14" s="31">
        <f>(Tabla1[[#This Row],[ Importe   ]]*Tabla1[[#This Row],[ Nº Interv. ]])+(Tabla1[[#This Row],[ Importe  ]]*Tabla1[[#This Row],[Nº Guardias ]])</f>
        <v>0</v>
      </c>
    </row>
    <row r="16" spans="1:8">
      <c r="D16" s="32"/>
      <c r="F16" s="32"/>
      <c r="G16" s="3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De Juan Mejia Jose Luis</cp:lastModifiedBy>
  <dcterms:created xsi:type="dcterms:W3CDTF">2019-03-28T07:32:31Z</dcterms:created>
  <dcterms:modified xsi:type="dcterms:W3CDTF">2025-11-11T10:28:17Z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