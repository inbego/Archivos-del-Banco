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678" documentId="120_S{52A51CD7-DAF4-51AA-A050-913CA746B7D8}" xr6:coauthVersionLast="47" xr6:coauthVersionMax="47" xr10:uidLastSave="{9D1ED96E-EF31-43CA-84EA-2EF9473AC176}"/>
  <bookViews>
    <workbookView xWindow="28680" yWindow="-120" windowWidth="38640" windowHeight="15720" firstSheet="7" activeTab="7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Julio 2026" sheetId="13" r:id="rId8"/>
    <sheet name="TD" sheetId="9" r:id="rId9"/>
    <sheet name="Datos" sheetId="8" state="hidden" r:id="rId10"/>
  </sheets>
  <definedNames>
    <definedName name="_xlnm._FilterDatabase" localSheetId="9" hidden="1">Datos!$A$1:$H$66</definedName>
    <definedName name="SegmentaciónDeDatos_Año">#N/A</definedName>
    <definedName name="SegmentaciónDeDatos_Mes">#N/A</definedName>
  </definedNames>
  <calcPr calcId="191028"/>
  <pivotCaches>
    <pivotCache cacheId="829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8" i="8" l="1"/>
  <c r="C128" i="8"/>
  <c r="B113" i="8"/>
  <c r="C113" i="8"/>
  <c r="B114" i="8"/>
  <c r="C114" i="8"/>
  <c r="B115" i="8"/>
  <c r="C115" i="8"/>
  <c r="B116" i="8"/>
  <c r="C116" i="8"/>
  <c r="B117" i="8"/>
  <c r="C117" i="8"/>
  <c r="B118" i="8"/>
  <c r="C118" i="8"/>
  <c r="B119" i="8"/>
  <c r="C119" i="8"/>
  <c r="B120" i="8"/>
  <c r="C120" i="8"/>
  <c r="B121" i="8"/>
  <c r="C121" i="8"/>
  <c r="B122" i="8"/>
  <c r="C122" i="8"/>
  <c r="B123" i="8"/>
  <c r="C123" i="8"/>
  <c r="B124" i="8"/>
  <c r="C124" i="8"/>
  <c r="B125" i="8"/>
  <c r="C125" i="8"/>
  <c r="B126" i="8"/>
  <c r="C126" i="8"/>
  <c r="B127" i="8"/>
  <c r="C127" i="8"/>
  <c r="B95" i="8"/>
  <c r="C95" i="8"/>
  <c r="B96" i="8"/>
  <c r="C96" i="8"/>
  <c r="B97" i="8"/>
  <c r="C97" i="8"/>
  <c r="B98" i="8"/>
  <c r="C98" i="8"/>
  <c r="B99" i="8"/>
  <c r="C99" i="8"/>
  <c r="B100" i="8"/>
  <c r="C100" i="8"/>
  <c r="B101" i="8"/>
  <c r="C101" i="8"/>
  <c r="B102" i="8"/>
  <c r="C102" i="8"/>
  <c r="B103" i="8"/>
  <c r="C103" i="8"/>
  <c r="B104" i="8"/>
  <c r="C104" i="8"/>
  <c r="B105" i="8"/>
  <c r="C105" i="8"/>
  <c r="B106" i="8"/>
  <c r="C106" i="8"/>
  <c r="B107" i="8"/>
  <c r="C107" i="8"/>
  <c r="B108" i="8"/>
  <c r="C108" i="8"/>
  <c r="B109" i="8"/>
  <c r="C109" i="8"/>
  <c r="B110" i="8"/>
  <c r="C110" i="8"/>
  <c r="B111" i="8"/>
  <c r="C111" i="8"/>
  <c r="B112" i="8"/>
  <c r="C112" i="8"/>
  <c r="B93" i="8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tc={F0C4BF24-7837-4399-8F42-EA16E1E7CC57}</author>
  </authors>
  <commentList>
    <comment ref="H98" authorId="0" shapeId="0" xr:uid="{F0C4BF24-7837-4399-8F42-EA16E1E7CC57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<sst xmlns="http://schemas.openxmlformats.org/spreadsheetml/2006/main" count="1443" uniqueCount="319">
  <si>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</si>
  <si>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</si>
  <si>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</si>
  <si>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</si>
  <si>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</si>
  <si>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</si>
  <si>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</si>
  <si>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</si>
  <si>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</si>
  <si>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</si>
  <si>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</si>
  <si>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</si>
  <si>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</si>
  <si>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</si>
  <si>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</si>
  <si>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</si>
  <si>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</si>
  <si>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</si>
  <si>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</si>
  <si>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</si>
  <si>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</si>
  <si>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</si>
  <si>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</si>
  <si>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</si>
  <si>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</si>
  <si>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</si>
  <si>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</si>
  <si>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</si>
  <si>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</si>
  <si>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</si>
  <si>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</si>
  <si>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</si>
  <si>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</si>
  <si>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</si>
  <si>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</si>
  <si>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</si>
  <si>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</si>
  <si>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</si>
  <si>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</si>
  <si>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</si>
  <si>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</si>
  <si>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</si>
  <si>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</si>
  <si>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</si>
  <si>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</si>
  <si>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</si>
  <si>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</si>
  <si>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</si>
  <si>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</si>
  <si>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</si>
  <si>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</si>
  <si>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</si>
  <si>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</si>
  <si>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</si>
  <si>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</si>
  <si>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</si>
  <si>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</si>
  <si>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</si>
  <si>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</si>
  <si>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</si>
  <si>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</si>
  <si>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</si>
  <si>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</si>
  <si>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</si>
  <si>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</si>
  <si>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</si>
  <si>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</si>
  <si>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</si>
  <si>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</si>
  <si>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</si>
  <si>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</si>
  <si>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</si>
  <si>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</si>
  <si>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</si>
  <si>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</si>
  <si>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</si>
  <si>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</si>
  <si>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</si>
  <si>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</si>
  <si>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</si>
  <si>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</si>
  <si>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</si>
  <si>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</si>
  <si>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</si>
  <si>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</si>
  <si>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</si>
  <si>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</si>
  <si>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</si>
  <si>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</si>
  <si>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</si>
  <si>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</si>
  <si>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</si>
  <si>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</si>
  <si>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</si>
  <si>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</si>
  <si>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</si>
  <si>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</si>
  <si>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</si>
  <si>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</si>
  <si>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</si>
  <si>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</si>
  <si>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</si>
  <si>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</si>
  <si>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</si>
  <si>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</si>
  <si>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</si>
  <si>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</si>
  <si>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</si>
  <si>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</si>
  <si>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</si>
  <si>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</si>
  <si>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</si>
  <si>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</si>
  <si>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</si>
  <si>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</si>
  <si>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</si>
  <si>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</si>
  <si>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</si>
  <si>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</si>
  <si>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</si>
  <si>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</si>
  <si>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</si>
  <si>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</si>
  <si>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</si>
  <si>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</si>
  <si>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</si>
  <si>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</si>
  <si>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</si>
  <si>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</si>
  <si>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</si>
  <si>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</si>
  <si>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</si>
  <si>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</si>
  <si>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</si>
  <si>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</si>
  <si>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</si>
  <si>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</si>
  <si>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</si>
  <si>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</si>
  <si>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</si>
  <si>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</si>
  <si>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</si>
  <si>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</si>
  <si>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</si>
  <si>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</si>
  <si>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</si>
  <si>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</si>
  <si>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</si>
  <si>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</si>
  <si>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</si>
  <si>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</si>
  <si>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</si>
  <si>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</si>
  <si>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</si>
  <si>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</si>
  <si>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</si>
  <si>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</si>
  <si>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</si>
  <si>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</si>
  <si>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</si>
  <si>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</si>
  <si>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</si>
  <si>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</si>
  <si>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</si>
  <si>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</si>
  <si>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</si>
  <si>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</si>
  <si>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</si>
  <si>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</si>
  <si>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</si>
  <si>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</si>
  <si>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</si>
  <si>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</si>
  <si>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</si>
  <si>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</si>
  <si>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</si>
  <si>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</si>
  <si>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</si>
  <si>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</si>
  <si>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</si>
  <si>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</si>
  <si>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</si>
  <si>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</si>
  <si>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</si>
  <si>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</si>
  <si>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</si>
  <si>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</si>
  <si>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</si>
  <si>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</si>
  <si>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</si>
  <si>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</si>
  <si>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</si>
  <si>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</si>
  <si>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</si>
  <si>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</si>
  <si>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</si>
  <si>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</si>
  <si>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</si>
  <si>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</si>
  <si>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</si>
  <si>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</si>
  <si>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</si>
  <si>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</si>
  <si>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</si>
  <si>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</si>
  <si>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</si>
  <si>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</si>
  <si>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</si>
  <si>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</si>
  <si>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</si>
  <si>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</si>
  <si>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</si>
  <si>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</si>
  <si>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</si>
  <si>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</si>
  <si>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</si>
  <si>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</si>
  <si>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</si>
  <si>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</si>
  <si>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</si>
  <si>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</si>
  <si>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</si>
  <si>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</si>
  <si>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</si>
  <si>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</si>
  <si>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</si>
  <si>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</si>
  <si>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</si>
  <si>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</si>
  <si>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</si>
  <si>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</si>
  <si>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</si>
  <si>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</si>
  <si>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</si>
  <si>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</si>
  <si>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</si>
  <si>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</si>
  <si>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</si>
  <si>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</si>
  <si>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</si>
  <si>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</si>
  <si>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</si>
  <si>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</si>
  <si>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</si>
  <si>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</si>
  <si>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</si>
  <si>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</si>
  <si>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</si>
  <si>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</si>
  <si>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</si>
  <si>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</si>
  <si>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</si>
  <si>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</si>
  <si>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</si>
  <si>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</si>
  <si>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</si>
  <si>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</si>
  <si>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</si>
  <si>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</si>
  <si>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</si>
  <si>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</si>
  <si>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</si>
  <si>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</si>
  <si>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</si>
  <si>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</si>
  <si>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</si>
  <si>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</si>
  <si>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</si>
  <si>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</si>
  <si>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</si>
  <si>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</si>
  <si>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</si>
  <si>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</si>
  <si>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</si>
  <si>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Se equivoca en poner la hora de finalizacion en el evento</t>
  </si>
  <si>
    <t>INC067645717</t>
  </si>
  <si>
    <t>No pone los dos circuitos a los que afecta, solo uno</t>
  </si>
  <si>
    <t>INC067746257</t>
  </si>
  <si>
    <t>Se olvida poner cuanta ha aumentado la latencia</t>
  </si>
  <si>
    <t>INC067748508</t>
  </si>
  <si>
    <t>INC067754050</t>
  </si>
  <si>
    <t>Edgar Rendon Soto</t>
  </si>
  <si>
    <t>Lo envia como update cuando es un Aperture</t>
  </si>
  <si>
    <t>INC067981754</t>
  </si>
  <si>
    <t>Envia como Update y es un Aperture</t>
  </si>
  <si>
    <t>INC067992306</t>
  </si>
  <si>
    <t>pone dos circuitos y luego lo cambia a uno</t>
  </si>
  <si>
    <t>Campus</t>
  </si>
  <si>
    <t>INC068006225</t>
  </si>
  <si>
    <t>Envia como Update y es un Closure</t>
  </si>
  <si>
    <t>INC067993400</t>
  </si>
  <si>
    <t>13/06/2026 10:31</t>
  </si>
  <si>
    <t>Envia como Closure y es un Update</t>
  </si>
  <si>
    <t>INC068121067</t>
  </si>
  <si>
    <t>13/06/2026 15:03</t>
  </si>
  <si>
    <t>INC068148313</t>
  </si>
  <si>
    <t>INC068248493</t>
  </si>
  <si>
    <t>Se envia una nueva franja horaria de comienzo que luego eliminan</t>
  </si>
  <si>
    <t>INC068262416</t>
  </si>
  <si>
    <t>Se pone mal la hora de la incidencia en eventos</t>
  </si>
  <si>
    <t>INC068340143</t>
  </si>
  <si>
    <t>Álvaro Cerrato Borrallo</t>
  </si>
  <si>
    <t>Se envía como down cuando ya estaba levantado</t>
  </si>
  <si>
    <t xml:space="preserve">INC068496383 </t>
  </si>
  <si>
    <t>No cambia el asunto y lo manda como update en vez de closure</t>
  </si>
  <si>
    <t xml:space="preserve">INC068522214 </t>
  </si>
  <si>
    <t>Lo manda como caído cuando sigue levantado</t>
  </si>
  <si>
    <t xml:space="preserve">INC068648717 </t>
  </si>
  <si>
    <t>Pone mal la hora de la incidencia en el evento</t>
  </si>
  <si>
    <t>INC068693937</t>
  </si>
  <si>
    <t>Ya habia una incidencia abierta por este problema pero se hizo un nuevo aperture porque no estaba en la tabla de cambio de turno</t>
  </si>
  <si>
    <t>INC068696625</t>
  </si>
  <si>
    <t>No se actualizo la info en el evento</t>
  </si>
  <si>
    <t>INC068390643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</si>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</sst>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2" fontId="0" fillId="0" borderId="4" xfId="0" applyNumberFormat="1" applyBorder="1"/>
    <xf numFmtId="0" fontId="0" fillId="0" borderId="7" xfId="0" applyBorder="1"/>
    <xf numFmtId="0" fontId="6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TD!$A$4:$A$17</c:f>
              <c:strCache>
                <c:ptCount val="13"/>
                <c:pt idx="0">
                  <c:v>Cesar Caleb Cuevas Marquez</c:v>
                </c:pt>
                <c:pt idx="1">
                  <c:v>Christian Alfredo Guerrero Banda</c:v>
                </c:pt>
                <c:pt idx="2">
                  <c:v>Gabriel Daniel Chiriac</c:v>
                </c:pt>
                <c:pt idx="3">
                  <c:v>Leobardo Angel Ibarra Rios</c:v>
                </c:pt>
                <c:pt idx="4">
                  <c:v>Luis Enrique Zarazua Vargas</c:v>
                </c:pt>
                <c:pt idx="5">
                  <c:v>Sergio Sanz Blázquez</c:v>
                </c:pt>
                <c:pt idx="6">
                  <c:v>Cruz Jared Orta Vargas</c:v>
                </c:pt>
                <c:pt idx="7">
                  <c:v>Erick Josue Castillo Zambrano</c:v>
                </c:pt>
                <c:pt idx="8">
                  <c:v>Óscar Rodríguez Zárate</c:v>
                </c:pt>
                <c:pt idx="9">
                  <c:v>Fernando Martín Pavón</c:v>
                </c:pt>
                <c:pt idx="10">
                  <c:v>Jorge González García</c:v>
                </c:pt>
                <c:pt idx="11">
                  <c:v>Álvaro Cerrato Borrallo</c:v>
                </c:pt>
                <c:pt idx="12">
                  <c:v>Edgar Rendon Soto</c:v>
                </c:pt>
              </c:strCache>
            </c:strRef>
          </c:cat>
          <c:val>
            <c:numRef>
              <c:f>TD!$B$4:$B$17</c:f>
              <c:numCache>
                <c:formatCode>General</c:formatCode>
                <c:ptCount val="13"/>
                <c:pt idx="0">
                  <c:v>23</c:v>
                </c:pt>
                <c:pt idx="1">
                  <c:v>19</c:v>
                </c:pt>
                <c:pt idx="2">
                  <c:v>17</c:v>
                </c:pt>
                <c:pt idx="3">
                  <c:v>13</c:v>
                </c:pt>
                <c:pt idx="4">
                  <c:v>13</c:v>
                </c:pt>
                <c:pt idx="5">
                  <c:v>11</c:v>
                </c:pt>
                <c:pt idx="6">
                  <c:v>10</c:v>
                </c:pt>
                <c:pt idx="7">
                  <c:v>7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75</c:v>
                </c:pt>
                <c:pt idx="1">
                  <c:v>42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TD!$A$42:$A$52</c:f>
              <c:strCache>
                <c:ptCount val="10"/>
                <c:pt idx="0">
                  <c:v>GSNET International</c:v>
                </c:pt>
                <c:pt idx="1">
                  <c:v>Global</c:v>
                </c:pt>
                <c:pt idx="2">
                  <c:v>GSNET Cloud</c:v>
                </c:pt>
                <c:pt idx="3">
                  <c:v>GSNET Data</c:v>
                </c:pt>
                <c:pt idx="4">
                  <c:v>Campus Conectivity</c:v>
                </c:pt>
                <c:pt idx="5">
                  <c:v>Cloud</c:v>
                </c:pt>
                <c:pt idx="6">
                  <c:v>GSNET Internet</c:v>
                </c:pt>
                <c:pt idx="7">
                  <c:v>Campus </c:v>
                </c:pt>
                <c:pt idx="8">
                  <c:v>Campus</c:v>
                </c:pt>
                <c:pt idx="9">
                  <c:v>Branches Connectivity</c:v>
                </c:pt>
              </c:strCache>
            </c:strRef>
          </c:cat>
          <c:val>
            <c:numRef>
              <c:f>TD!$B$42:$B$52</c:f>
              <c:numCache>
                <c:formatCode>General</c:formatCode>
                <c:ptCount val="10"/>
                <c:pt idx="0">
                  <c:v>39</c:v>
                </c:pt>
                <c:pt idx="1">
                  <c:v>27</c:v>
                </c:pt>
                <c:pt idx="2">
                  <c:v>20</c:v>
                </c:pt>
                <c:pt idx="3">
                  <c:v>16</c:v>
                </c:pt>
                <c:pt idx="4">
                  <c:v>11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66674</xdr:colOff>
      <xdr:row>1</xdr:row>
      <xdr:rowOff>109537</xdr:rowOff>
    </xdr:from>
    <xdr:to>
      <xdr:col>13</xdr:col>
      <xdr:colOff>38099</xdr:colOff>
      <xdr:row>20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17462</xdr:colOff>
      <xdr:row>35</xdr:row>
      <xdr:rowOff>160337</xdr:rowOff>
    </xdr:from>
    <xdr:to>
      <xdr:col>13</xdr:col>
      <xdr:colOff>38100</xdr:colOff>
      <xdr:row>50</xdr:row>
      <xdr:rowOff>46037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352425</xdr:colOff>
      <xdr:row>2</xdr:row>
      <xdr:rowOff>38100</xdr:rowOff>
    </xdr:from>
    <xdr:to>
      <xdr:col>15</xdr:col>
      <xdr:colOff>695325</xdr:colOff>
      <xdr:row>16</xdr:row>
      <xdr:rowOff>34925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91775" y="419100"/>
              <a:ext cx="1866900" cy="2663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203.412929398146" createdVersion="8" refreshedVersion="8" minRefreshableVersion="3" recordCount="128" xr:uid="{A8DCFFB8-E28C-40FD-A94B-188402D3C453}">
  <cacheSource type="worksheet">
    <worksheetSource ref="A1:H1048576" sheet="Datos"/>
  </cacheSource>
  <cacheFields count="8">
    <cacheField name="Enviado el" numFmtId="0">
      <sharedItems containsDate="1" containsBlank="1" containsMixedTypes="1" minDate="2026-01-05T11:46:00" maxDate="2026-06-29T04:45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Operador " numFmtId="0">
      <sharedItems containsBlank="1" count="15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s v="Edgar Rendon Soto"/>
        <s v="Álvaro Cerrato Borrallo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11">
        <s v="GSNET Data"/>
        <s v="GSNET Cloud"/>
        <s v="GSNET International"/>
        <s v="Branches Connectivity"/>
        <s v="GSNET Internet"/>
        <s v="Campus Conectivity"/>
        <s v="Cloud"/>
        <s v="Campus "/>
        <s v="Global"/>
        <s v="Campus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d v="2026-05-08T08:14:00"/>
    <x v="0"/>
    <x v="4"/>
    <x v="9"/>
    <s v="Ticket equivocado al realizar update"/>
    <x v="0"/>
    <x v="8"/>
    <s v="INC066805981 "/>
  </r>
  <r>
    <d v="2026-05-08T12:47:00"/>
    <x v="0"/>
    <x v="4"/>
    <x v="9"/>
    <s v="Realizar un closure cuando no le correspondia"/>
    <x v="0"/>
    <x v="6"/>
    <s v="INC066828442 "/>
  </r>
  <r>
    <d v="2026-05-09T17:36:00"/>
    <x v="0"/>
    <x v="4"/>
    <x v="0"/>
    <s v="Fallo al indicar el circuito afectado"/>
    <x v="0"/>
    <x v="8"/>
    <s v="INC066827336 "/>
  </r>
  <r>
    <d v="2026-05-10T06:43:00"/>
    <x v="0"/>
    <x v="4"/>
    <x v="9"/>
    <s v="No se pone correctamente cuando ha finalizado la incidencia"/>
    <x v="0"/>
    <x v="8"/>
    <s v="INC066811759 "/>
  </r>
  <r>
    <d v="2026-05-11T16:28:00"/>
    <x v="0"/>
    <x v="4"/>
    <x v="5"/>
    <s v="Se manda update indicando que recupera el circuito, pero el circuito no recupero"/>
    <x v="0"/>
    <x v="7"/>
    <s v="INC066853020 "/>
  </r>
  <r>
    <d v="2026-05-12T11:48:00"/>
    <x v="0"/>
    <x v="4"/>
    <x v="6"/>
    <s v="Se manda con la ventana sin ajustar a los horarios que hay y sale cortado el ultimo tramo"/>
    <x v="0"/>
    <x v="7"/>
    <s v="INC066926884"/>
  </r>
  <r>
    <d v="2026-05-12T12:30:00"/>
    <x v="0"/>
    <x v="4"/>
    <x v="6"/>
    <s v="Se manda mal el horario de la incidencia en eventos"/>
    <x v="0"/>
    <x v="8"/>
    <s v="INC066880971"/>
  </r>
  <r>
    <d v="2026-05-15T23:20:00"/>
    <x v="0"/>
    <x v="4"/>
    <x v="5"/>
    <s v="Pone mal el equipo, es el MAIN y porne el BACKUP"/>
    <x v="0"/>
    <x v="8"/>
    <s v="INC067126760"/>
  </r>
  <r>
    <d v="2026-05-18T00:48:00"/>
    <x v="0"/>
    <x v="4"/>
    <x v="3"/>
    <s v="Manda el correo como up pero no pone la hora de finalizacion"/>
    <x v="1"/>
    <x v="8"/>
    <s v="INC067226406"/>
  </r>
  <r>
    <d v="2026-05-18T14:23:00"/>
    <x v="0"/>
    <x v="4"/>
    <x v="2"/>
    <s v="se manda con hora de finalizacion de incidencia y en realidad sigue activa"/>
    <x v="0"/>
    <x v="8"/>
    <s v="INC067238803"/>
  </r>
  <r>
    <d v="2026-05-19T08:43:00"/>
    <x v="0"/>
    <x v="4"/>
    <x v="2"/>
    <s v="en la parte de las horas estaban tb ùestos los segundos pero tocaba hacer update y se podia haber corregido sin hacer revised"/>
    <x v="0"/>
    <x v="8"/>
    <s v="INC067229254"/>
  </r>
  <r>
    <d v="2026-05-20T13:03:00"/>
    <x v="0"/>
    <x v="4"/>
    <x v="1"/>
    <s v="Esta todo correcto pero se hace un revised y se envia a los contactos que no son cuando el original estaba correcto"/>
    <x v="0"/>
    <x v="8"/>
    <s v="INC067269618"/>
  </r>
  <r>
    <d v="2026-05-21T05:25:00"/>
    <x v="0"/>
    <x v="4"/>
    <x v="5"/>
    <s v="No pone la hora de inicio de la incidencia"/>
    <x v="0"/>
    <x v="8"/>
    <s v="INC067335920"/>
  </r>
  <r>
    <d v="2026-05-21T17:07:00"/>
    <x v="0"/>
    <x v="4"/>
    <x v="0"/>
    <s v="Lo envia a unos contactos que no son los de la sede verdadera de la incidencia"/>
    <x v="1"/>
    <x v="8"/>
    <s v="INC067338200"/>
  </r>
  <r>
    <d v="2026-05-26T10:36:00"/>
    <x v="0"/>
    <x v="4"/>
    <x v="9"/>
    <s v="Lo envia a unos contactos que no son los de la sede verdadera de la incidencia"/>
    <x v="1"/>
    <x v="8"/>
    <s v="INC067505012"/>
  </r>
  <r>
    <d v="2026-05-28T11:39:00"/>
    <x v="0"/>
    <x v="4"/>
    <x v="10"/>
    <s v="Se puso la sede mal, Cantabria Norte en vez de Sur"/>
    <x v="1"/>
    <x v="8"/>
    <s v="INC067602012"/>
  </r>
  <r>
    <d v="2026-05-29T03:53:00"/>
    <x v="0"/>
    <x v="4"/>
    <x v="2"/>
    <s v="Se pone mal el numero de incidencia"/>
    <x v="1"/>
    <x v="6"/>
    <s v="INC067629891"/>
  </r>
  <r>
    <d v="2026-05-29T09:00:00"/>
    <x v="0"/>
    <x v="4"/>
    <x v="10"/>
    <s v="No se pone la hora de finalizacion de la incidencia"/>
    <x v="0"/>
    <x v="8"/>
    <s v="INC066706389"/>
  </r>
  <r>
    <d v="2026-06-01T12:26:00"/>
    <x v="0"/>
    <x v="5"/>
    <x v="10"/>
    <s v="Se equivoca en poner la hora de finalizacion en el evento"/>
    <x v="0"/>
    <x v="8"/>
    <s v="INC067645717"/>
  </r>
  <r>
    <d v="2026-06-02T08:25:00"/>
    <x v="0"/>
    <x v="5"/>
    <x v="10"/>
    <s v="No pone los dos circuitos a los que afecta, solo uno"/>
    <x v="1"/>
    <x v="8"/>
    <s v="INC067746257"/>
  </r>
  <r>
    <d v="2026-06-02T09:38:00"/>
    <x v="0"/>
    <x v="5"/>
    <x v="10"/>
    <s v="Se olvida poner cuanta ha aumentado la latencia"/>
    <x v="1"/>
    <x v="8"/>
    <s v="INC067748508"/>
  </r>
  <r>
    <d v="2026-06-02T11:41:00"/>
    <x v="0"/>
    <x v="5"/>
    <x v="10"/>
    <s v="Se equivoca en poner la hora de finalizacion en el evento"/>
    <x v="1"/>
    <x v="8"/>
    <s v="INC067754050"/>
  </r>
  <r>
    <d v="2026-06-09T12:04:00"/>
    <x v="0"/>
    <x v="5"/>
    <x v="11"/>
    <s v="Lo envia como update cuando es un Aperture"/>
    <x v="1"/>
    <x v="8"/>
    <s v="INC067981754"/>
  </r>
  <r>
    <d v="2026-06-09T15:44:00"/>
    <x v="0"/>
    <x v="5"/>
    <x v="0"/>
    <s v="Envia como Update y es un Aperture"/>
    <x v="1"/>
    <x v="8"/>
    <s v="INC067992306"/>
  </r>
  <r>
    <d v="2026-06-10T06:27:00"/>
    <x v="0"/>
    <x v="5"/>
    <x v="3"/>
    <s v="pone dos circuitos y luego lo cambia a uno"/>
    <x v="0"/>
    <x v="9"/>
    <s v="INC068006225"/>
  </r>
  <r>
    <d v="2026-06-10T19:33:00"/>
    <x v="0"/>
    <x v="5"/>
    <x v="0"/>
    <s v="Envia como Update y es un Closure"/>
    <x v="2"/>
    <x v="8"/>
    <s v="INC067993400"/>
  </r>
  <r>
    <s v="13/06/2026 10:31"/>
    <x v="0"/>
    <x v="5"/>
    <x v="2"/>
    <s v="Envia como Closure y es un Update"/>
    <x v="0"/>
    <x v="8"/>
    <s v="INC068121067"/>
  </r>
  <r>
    <s v="13/06/2026 15:03"/>
    <x v="0"/>
    <x v="5"/>
    <x v="0"/>
    <s v="Envia como Update y es un Aperture"/>
    <x v="1"/>
    <x v="6"/>
    <s v="INC068148313"/>
  </r>
  <r>
    <d v="2026-06-17T22:30:00"/>
    <x v="0"/>
    <x v="5"/>
    <x v="5"/>
    <s v="Envia como Update y es un Closure"/>
    <x v="2"/>
    <x v="8"/>
    <s v="INC068248493"/>
  </r>
  <r>
    <d v="2026-06-18T03:03:00"/>
    <x v="0"/>
    <x v="5"/>
    <x v="1"/>
    <s v="Se envia una nueva franja horaria de comienzo que luego eliminan"/>
    <x v="0"/>
    <x v="8"/>
    <s v="INC068262416"/>
  </r>
  <r>
    <d v="2026-06-20T08:56:00"/>
    <x v="0"/>
    <x v="5"/>
    <x v="5"/>
    <s v="Se pone mal la hora de la incidencia en eventos"/>
    <x v="1"/>
    <x v="8"/>
    <s v="INC068340143"/>
  </r>
  <r>
    <d v="2026-06-24T08:12:00"/>
    <x v="0"/>
    <x v="5"/>
    <x v="12"/>
    <s v="Se envía como down cuando ya estaba levantado"/>
    <x v="1"/>
    <x v="9"/>
    <s v="INC068496383 "/>
  </r>
  <r>
    <d v="2026-06-26T05:11:00"/>
    <x v="0"/>
    <x v="5"/>
    <x v="0"/>
    <s v="No cambia el asunto y lo manda como update en vez de closure"/>
    <x v="2"/>
    <x v="8"/>
    <s v="INC068522214 "/>
  </r>
  <r>
    <d v="2026-06-29T04:45:00"/>
    <x v="0"/>
    <x v="5"/>
    <x v="0"/>
    <s v="Lo manda como caído cuando sigue levantado"/>
    <x v="0"/>
    <x v="8"/>
    <s v="INC068648717 "/>
  </r>
  <r>
    <m/>
    <x v="1"/>
    <x v="6"/>
    <x v="13"/>
    <m/>
    <x v="3"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8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2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2">
        <item x="3"/>
        <item x="5"/>
        <item x="1"/>
        <item x="0"/>
        <item x="2"/>
        <item x="4"/>
        <item x="10"/>
        <item x="6"/>
        <item x="7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11">
    <i>
      <x v="4"/>
    </i>
    <i>
      <x v="9"/>
    </i>
    <i>
      <x v="2"/>
    </i>
    <i>
      <x v="3"/>
    </i>
    <i>
      <x v="1"/>
    </i>
    <i>
      <x v="7"/>
    </i>
    <i>
      <x v="5"/>
    </i>
    <i>
      <x v="8"/>
    </i>
    <i>
      <x v="10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8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8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7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 sortType="descending">
      <items count="16">
        <item x="0"/>
        <item x="3"/>
        <item x="6"/>
        <item x="9"/>
        <item x="7"/>
        <item x="2"/>
        <item x="8"/>
        <item x="5"/>
        <item m="1" x="14"/>
        <item x="1"/>
        <item x="4"/>
        <item x="10"/>
        <item x="13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4">
    <i>
      <x/>
    </i>
    <i>
      <x v="1"/>
    </i>
    <i>
      <x v="5"/>
    </i>
    <i>
      <x v="7"/>
    </i>
    <i>
      <x v="9"/>
    </i>
    <i>
      <x v="11"/>
    </i>
    <i>
      <x v="2"/>
    </i>
    <i>
      <x v="3"/>
    </i>
    <i>
      <x v="10"/>
    </i>
    <i>
      <x v="4"/>
    </i>
    <i>
      <x v="6"/>
    </i>
    <i>
      <x v="14"/>
    </i>
    <i>
      <x v="1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7">
        <i x="0" s="1"/>
        <i x="1" s="1"/>
        <i x="2" s="1"/>
        <i x="3" s="1"/>
        <i x="4" s="1"/>
        <i x="5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98" dT="2026-05-11T08:56:45.69" personId="{79E915AF-F093-47AD-BC37-FB459B1332C7}" id="{F0C4BF24-7837-4399-8F42-EA16E1E7CC57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26" sqref="A2:A26"/>
    </sheetView>
  </sheetViews>
  <sheetFormatPr defaultColWidth="11.42578125" defaultRowHeight="14.4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>
      <selection activeCell="A22" sqref="A2:A22"/>
    </sheetView>
  </sheetViews>
  <sheetFormatPr defaultColWidth="9.140625" defaultRowHeight="14.4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5"/>
  <sheetViews>
    <sheetView workbookViewId="0">
      <selection sqref="A1:F25"/>
    </sheetView>
  </sheetViews>
  <sheetFormatPr defaultColWidth="9.140625" defaultRowHeight="14.45"/>
  <cols>
    <col min="1" max="1" width="16.7109375" customWidth="1"/>
    <col min="2" max="2" width="30.85546875" customWidth="1"/>
    <col min="3" max="3" width="83.140625" customWidth="1"/>
    <col min="4" max="4" width="11.85546875" customWidth="1"/>
    <col min="5" max="5" width="10.85546875" customWidth="1"/>
    <col min="6" max="6" width="15.710937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46174.518055555556</v>
      </c>
      <c r="B2" s="6" t="s">
        <v>159</v>
      </c>
      <c r="C2" s="6" t="s">
        <v>274</v>
      </c>
      <c r="D2" s="6" t="s">
        <v>48</v>
      </c>
      <c r="E2" s="21" t="s">
        <v>239</v>
      </c>
      <c r="F2" s="26" t="s">
        <v>275</v>
      </c>
    </row>
    <row r="3" spans="1:6">
      <c r="A3" s="14">
        <v>46175.350694444445</v>
      </c>
      <c r="B3" s="6" t="s">
        <v>159</v>
      </c>
      <c r="C3" s="6" t="s">
        <v>276</v>
      </c>
      <c r="D3" s="6" t="s">
        <v>53</v>
      </c>
      <c r="E3" s="21" t="s">
        <v>239</v>
      </c>
      <c r="F3" s="20" t="s">
        <v>277</v>
      </c>
    </row>
    <row r="4" spans="1:6">
      <c r="A4" s="14">
        <v>46175.401388888888</v>
      </c>
      <c r="B4" s="6" t="s">
        <v>159</v>
      </c>
      <c r="C4" s="6" t="s">
        <v>278</v>
      </c>
      <c r="D4" s="6" t="s">
        <v>53</v>
      </c>
      <c r="E4" s="6" t="s">
        <v>239</v>
      </c>
      <c r="F4" s="22" t="s">
        <v>279</v>
      </c>
    </row>
    <row r="5" spans="1:6">
      <c r="A5" s="14">
        <v>46175.486805555556</v>
      </c>
      <c r="B5" s="22" t="s">
        <v>159</v>
      </c>
      <c r="C5" s="6" t="s">
        <v>274</v>
      </c>
      <c r="D5" s="6" t="s">
        <v>53</v>
      </c>
      <c r="E5" s="6" t="s">
        <v>239</v>
      </c>
      <c r="F5" s="6" t="s">
        <v>280</v>
      </c>
    </row>
    <row r="6" spans="1:6">
      <c r="A6" s="24">
        <v>46182.50277777778</v>
      </c>
      <c r="B6" s="6" t="s">
        <v>281</v>
      </c>
      <c r="C6" s="25" t="s">
        <v>282</v>
      </c>
      <c r="D6" s="6" t="s">
        <v>53</v>
      </c>
      <c r="E6" s="6" t="s">
        <v>239</v>
      </c>
      <c r="F6" s="23" t="s">
        <v>283</v>
      </c>
    </row>
    <row r="7" spans="1:6">
      <c r="A7" s="14">
        <v>46182.655555555553</v>
      </c>
      <c r="B7" t="s">
        <v>46</v>
      </c>
      <c r="C7" s="6" t="s">
        <v>284</v>
      </c>
      <c r="D7" t="s">
        <v>53</v>
      </c>
      <c r="E7" s="6" t="s">
        <v>239</v>
      </c>
      <c r="F7" s="6" t="s">
        <v>285</v>
      </c>
    </row>
    <row r="8" spans="1:6">
      <c r="A8" s="14">
        <v>46183.268750000003</v>
      </c>
      <c r="B8" s="6" t="s">
        <v>61</v>
      </c>
      <c r="C8" s="6" t="s">
        <v>286</v>
      </c>
      <c r="D8" s="6" t="s">
        <v>48</v>
      </c>
      <c r="E8" s="6" t="s">
        <v>287</v>
      </c>
      <c r="F8" s="6" t="s">
        <v>288</v>
      </c>
    </row>
    <row r="9" spans="1:6">
      <c r="A9" s="1">
        <v>46183.814583333333</v>
      </c>
      <c r="B9" s="19" t="s">
        <v>46</v>
      </c>
      <c r="C9" s="6" t="s">
        <v>289</v>
      </c>
      <c r="D9" t="s">
        <v>63</v>
      </c>
      <c r="E9" s="6" t="s">
        <v>239</v>
      </c>
      <c r="F9" s="19" t="s">
        <v>290</v>
      </c>
    </row>
    <row r="10" spans="1:6">
      <c r="A10" s="14" t="s">
        <v>291</v>
      </c>
      <c r="B10" s="23" t="s">
        <v>56</v>
      </c>
      <c r="C10" s="6" t="s">
        <v>292</v>
      </c>
      <c r="D10" s="6" t="s">
        <v>48</v>
      </c>
      <c r="E10" s="6" t="s">
        <v>239</v>
      </c>
      <c r="F10" s="6" t="s">
        <v>293</v>
      </c>
    </row>
    <row r="11" spans="1:6">
      <c r="A11" s="14" t="s">
        <v>294</v>
      </c>
      <c r="B11" s="6" t="s">
        <v>46</v>
      </c>
      <c r="C11" s="6" t="s">
        <v>284</v>
      </c>
      <c r="D11" t="s">
        <v>53</v>
      </c>
      <c r="E11" s="6" t="s">
        <v>231</v>
      </c>
      <c r="F11" s="6" t="s">
        <v>295</v>
      </c>
    </row>
    <row r="12" spans="1:6">
      <c r="A12" s="14">
        <v>46190.9375</v>
      </c>
      <c r="B12" s="6" t="s">
        <v>72</v>
      </c>
      <c r="C12" s="6" t="s">
        <v>289</v>
      </c>
      <c r="D12" t="s">
        <v>63</v>
      </c>
      <c r="E12" s="6" t="s">
        <v>239</v>
      </c>
      <c r="F12" s="6" t="s">
        <v>296</v>
      </c>
    </row>
    <row r="13" spans="1:6">
      <c r="A13" s="14">
        <v>46191.127083333333</v>
      </c>
      <c r="B13" s="6" t="s">
        <v>51</v>
      </c>
      <c r="C13" s="6" t="s">
        <v>297</v>
      </c>
      <c r="D13" s="6" t="s">
        <v>48</v>
      </c>
      <c r="E13" s="6" t="s">
        <v>239</v>
      </c>
      <c r="F13" s="6" t="s">
        <v>298</v>
      </c>
    </row>
    <row r="14" spans="1:6">
      <c r="A14" s="14">
        <v>46193.37222222222</v>
      </c>
      <c r="B14" s="6" t="s">
        <v>72</v>
      </c>
      <c r="C14" s="6" t="s">
        <v>299</v>
      </c>
      <c r="D14" t="s">
        <v>53</v>
      </c>
      <c r="E14" s="6" t="s">
        <v>239</v>
      </c>
      <c r="F14" s="6" t="s">
        <v>300</v>
      </c>
    </row>
    <row r="15" spans="1:6">
      <c r="A15" s="14">
        <v>46197.341666666667</v>
      </c>
      <c r="B15" s="6" t="s">
        <v>301</v>
      </c>
      <c r="C15" s="6" t="s">
        <v>302</v>
      </c>
      <c r="D15" t="s">
        <v>53</v>
      </c>
      <c r="E15" s="6" t="s">
        <v>287</v>
      </c>
      <c r="F15" s="6" t="s">
        <v>303</v>
      </c>
    </row>
    <row r="16" spans="1:6">
      <c r="A16" s="14">
        <v>46199.21597222222</v>
      </c>
      <c r="B16" s="6" t="s">
        <v>46</v>
      </c>
      <c r="C16" s="6" t="s">
        <v>304</v>
      </c>
      <c r="D16" s="6" t="s">
        <v>63</v>
      </c>
      <c r="E16" s="6" t="s">
        <v>239</v>
      </c>
      <c r="F16" s="6" t="s">
        <v>305</v>
      </c>
    </row>
    <row r="17" spans="1:6">
      <c r="A17" s="14">
        <v>46202.197916666664</v>
      </c>
      <c r="B17" s="6" t="s">
        <v>46</v>
      </c>
      <c r="C17" s="6" t="s">
        <v>306</v>
      </c>
      <c r="D17" s="6" t="s">
        <v>48</v>
      </c>
      <c r="E17" s="6" t="s">
        <v>239</v>
      </c>
      <c r="F17" s="6" t="s">
        <v>307</v>
      </c>
    </row>
    <row r="18" spans="1:6">
      <c r="A18" s="14"/>
      <c r="B18" s="6"/>
      <c r="C18" s="6"/>
      <c r="D18" s="6"/>
      <c r="E18" s="6"/>
      <c r="F18" s="6"/>
    </row>
    <row r="19" spans="1:6">
      <c r="A19" s="14"/>
      <c r="B19" s="6"/>
      <c r="C19" s="6"/>
      <c r="D19" s="6"/>
      <c r="E19" s="6"/>
      <c r="F19" s="6"/>
    </row>
    <row r="20" spans="1:6">
      <c r="A20" s="14"/>
      <c r="B20" s="6"/>
      <c r="C20" s="6"/>
      <c r="D20" s="6"/>
      <c r="E20" s="6"/>
      <c r="F20" s="6"/>
    </row>
    <row r="21" spans="1:6">
      <c r="A21" s="6"/>
      <c r="B21" s="6"/>
      <c r="C21" s="6"/>
      <c r="D21" s="6"/>
      <c r="E21" s="6"/>
      <c r="F21" s="6"/>
    </row>
    <row r="22" spans="1:6">
      <c r="A22" s="6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6861-F251-4C51-9702-E14746522F1D}">
  <dimension ref="A1:F25"/>
  <sheetViews>
    <sheetView tabSelected="1" workbookViewId="0">
      <selection activeCell="C31" sqref="C31"/>
    </sheetView>
  </sheetViews>
  <sheetFormatPr defaultRowHeight="15"/>
  <cols>
    <col min="1" max="1" width="17.5703125" customWidth="1"/>
    <col min="2" max="2" width="27.7109375" customWidth="1"/>
    <col min="3" max="3" width="91.7109375" customWidth="1"/>
    <col min="4" max="4" width="14.140625" customWidth="1"/>
    <col min="5" max="5" width="21.140625" customWidth="1"/>
    <col min="6" max="6" width="18.5703125" customWidth="1"/>
    <col min="27" max="27" width="19.140625" customWidth="1"/>
    <col min="28" max="28" width="34.28515625" customWidth="1"/>
    <col min="29" max="29" width="74" customWidth="1"/>
    <col min="30" max="30" width="12.7109375" customWidth="1"/>
    <col min="31" max="31" width="20.140625" customWidth="1"/>
    <col min="32" max="32" width="20.8554687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46204.015277777777</v>
      </c>
      <c r="B2" s="6" t="s">
        <v>72</v>
      </c>
      <c r="C2" s="6" t="s">
        <v>308</v>
      </c>
      <c r="D2" s="6" t="s">
        <v>48</v>
      </c>
      <c r="E2" s="6" t="s">
        <v>64</v>
      </c>
      <c r="F2" s="20" t="s">
        <v>309</v>
      </c>
    </row>
    <row r="3" spans="1:6">
      <c r="A3" s="14">
        <v>46204.30972222222</v>
      </c>
      <c r="B3" s="6" t="s">
        <v>72</v>
      </c>
      <c r="C3" s="6" t="s">
        <v>310</v>
      </c>
      <c r="D3" s="6" t="s">
        <v>48</v>
      </c>
      <c r="E3" s="6" t="s">
        <v>64</v>
      </c>
      <c r="F3" s="20" t="s">
        <v>311</v>
      </c>
    </row>
    <row r="4" spans="1:6">
      <c r="A4" s="14">
        <v>46204.533333333333</v>
      </c>
      <c r="B4" s="6" t="s">
        <v>301</v>
      </c>
      <c r="C4" s="6" t="s">
        <v>312</v>
      </c>
      <c r="D4" s="6" t="s">
        <v>48</v>
      </c>
      <c r="E4" s="6" t="s">
        <v>80</v>
      </c>
      <c r="F4" s="6" t="s">
        <v>313</v>
      </c>
    </row>
    <row r="5" spans="1:6">
      <c r="A5" s="14"/>
      <c r="B5" s="6"/>
      <c r="C5" s="6"/>
      <c r="D5" s="6"/>
      <c r="E5" s="6"/>
      <c r="F5" s="6"/>
    </row>
    <row r="6" spans="1:6">
      <c r="A6" s="14"/>
      <c r="B6" s="6"/>
      <c r="C6" s="6"/>
      <c r="D6" s="6"/>
      <c r="E6" s="6"/>
      <c r="F6" s="6"/>
    </row>
    <row r="7" spans="1:6">
      <c r="A7" s="14"/>
      <c r="B7" s="6"/>
      <c r="C7" s="6"/>
      <c r="D7" s="6"/>
      <c r="E7" s="6"/>
      <c r="F7" s="6"/>
    </row>
    <row r="8" spans="1:6">
      <c r="A8" s="14"/>
      <c r="B8" s="6"/>
      <c r="C8" s="6"/>
      <c r="D8" s="6"/>
      <c r="E8" s="6"/>
      <c r="F8" s="6"/>
    </row>
    <row r="9" spans="1:6">
      <c r="A9" s="14"/>
      <c r="B9" s="19"/>
      <c r="C9" s="6"/>
      <c r="D9" s="6"/>
      <c r="E9" s="6"/>
      <c r="F9" s="19"/>
    </row>
    <row r="10" spans="1:6">
      <c r="A10" s="14"/>
      <c r="B10" s="6"/>
      <c r="C10" s="6"/>
      <c r="D10" s="6"/>
      <c r="E10" s="6"/>
      <c r="F10" s="6"/>
    </row>
    <row r="11" spans="1:6">
      <c r="A11" s="14"/>
      <c r="B11" s="6"/>
      <c r="C11" s="6"/>
      <c r="D11" s="6"/>
      <c r="E11" s="6"/>
      <c r="F11" s="6"/>
    </row>
    <row r="12" spans="1:6">
      <c r="A12" s="14"/>
      <c r="B12" s="6"/>
      <c r="C12" s="6"/>
      <c r="D12" s="6"/>
      <c r="E12" s="6"/>
      <c r="F12" s="6"/>
    </row>
    <row r="13" spans="1:6">
      <c r="A13" s="14"/>
      <c r="B13" s="6"/>
      <c r="C13" s="6"/>
      <c r="D13" s="6"/>
      <c r="E13" s="6"/>
      <c r="F13" s="6"/>
    </row>
    <row r="14" spans="1:6">
      <c r="A14" s="14"/>
      <c r="B14" s="6"/>
      <c r="C14" s="6"/>
      <c r="D14" s="6"/>
      <c r="E14" s="6"/>
      <c r="F14" s="6"/>
    </row>
    <row r="15" spans="1:6">
      <c r="A15" s="14"/>
      <c r="B15" s="6"/>
      <c r="C15" s="6"/>
      <c r="D15" s="6"/>
      <c r="E15" s="6"/>
      <c r="F15" s="6"/>
    </row>
    <row r="16" spans="1:6">
      <c r="A16" s="14"/>
      <c r="B16" s="6"/>
      <c r="C16" s="6"/>
      <c r="D16" s="6"/>
      <c r="E16" s="6"/>
      <c r="F16" s="6"/>
    </row>
    <row r="17" spans="1:6">
      <c r="A17" s="14"/>
      <c r="B17" s="6"/>
      <c r="C17" s="6"/>
      <c r="D17" s="6"/>
      <c r="E17" s="6"/>
      <c r="F17" s="6"/>
    </row>
    <row r="18" spans="1:6">
      <c r="A18" s="14"/>
      <c r="B18" s="6"/>
      <c r="C18" s="6"/>
      <c r="D18" s="6"/>
      <c r="E18" s="6"/>
      <c r="F18" s="6"/>
    </row>
    <row r="19" spans="1:6">
      <c r="A19" s="14"/>
      <c r="B19" s="6"/>
      <c r="C19" s="6"/>
      <c r="D19" s="6"/>
      <c r="E19" s="6"/>
      <c r="F19" s="6"/>
    </row>
    <row r="20" spans="1:6">
      <c r="A20" s="14"/>
      <c r="B20" s="6"/>
      <c r="C20" s="6"/>
      <c r="D20" s="6"/>
      <c r="E20" s="6"/>
      <c r="F20" s="6"/>
    </row>
    <row r="21" spans="1:6">
      <c r="A21" s="6"/>
      <c r="B21" s="6"/>
      <c r="C21" s="6"/>
      <c r="D21" s="6"/>
      <c r="E21" s="6"/>
      <c r="F21" s="6"/>
    </row>
    <row r="22" spans="1:6">
      <c r="A22" s="6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2"/>
  <sheetViews>
    <sheetView topLeftCell="A13" workbookViewId="0">
      <selection activeCell="S12" sqref="S12"/>
    </sheetView>
  </sheetViews>
  <sheetFormatPr defaultColWidth="11.42578125" defaultRowHeight="14.45"/>
  <cols>
    <col min="1" max="1" width="19.42578125" bestFit="1" customWidth="1"/>
    <col min="2" max="2" width="19.140625" bestFit="1" customWidth="1"/>
    <col min="3" max="4" width="3" bestFit="1" customWidth="1"/>
    <col min="5" max="5" width="12.5703125" bestFit="1" customWidth="1"/>
  </cols>
  <sheetData>
    <row r="3" spans="1:2">
      <c r="A3" s="10" t="s">
        <v>314</v>
      </c>
      <c r="B3" t="s">
        <v>315</v>
      </c>
    </row>
    <row r="4" spans="1:2">
      <c r="A4" s="11" t="s">
        <v>46</v>
      </c>
      <c r="B4">
        <v>23</v>
      </c>
    </row>
    <row r="5" spans="1:2">
      <c r="A5" s="11" t="s">
        <v>61</v>
      </c>
      <c r="B5">
        <v>19</v>
      </c>
    </row>
    <row r="6" spans="1:2">
      <c r="A6" s="11" t="s">
        <v>56</v>
      </c>
      <c r="B6">
        <v>17</v>
      </c>
    </row>
    <row r="7" spans="1:2">
      <c r="A7" s="11" t="s">
        <v>72</v>
      </c>
      <c r="B7">
        <v>13</v>
      </c>
    </row>
    <row r="8" spans="1:2">
      <c r="A8" s="11" t="s">
        <v>51</v>
      </c>
      <c r="B8">
        <v>13</v>
      </c>
    </row>
    <row r="9" spans="1:2">
      <c r="A9" s="11" t="s">
        <v>159</v>
      </c>
      <c r="B9">
        <v>11</v>
      </c>
    </row>
    <row r="10" spans="1:2">
      <c r="A10" s="11" t="s">
        <v>78</v>
      </c>
      <c r="B10">
        <v>10</v>
      </c>
    </row>
    <row r="11" spans="1:2">
      <c r="A11" s="11" t="s">
        <v>146</v>
      </c>
      <c r="B11">
        <v>7</v>
      </c>
    </row>
    <row r="12" spans="1:2">
      <c r="A12" s="11" t="s">
        <v>66</v>
      </c>
      <c r="B12">
        <v>4</v>
      </c>
    </row>
    <row r="13" spans="1:2">
      <c r="A13" s="11" t="s">
        <v>84</v>
      </c>
      <c r="B13">
        <v>4</v>
      </c>
    </row>
    <row r="14" spans="1:2">
      <c r="A14" s="11" t="s">
        <v>141</v>
      </c>
      <c r="B14">
        <v>4</v>
      </c>
    </row>
    <row r="15" spans="1:2">
      <c r="A15" s="11" t="s">
        <v>301</v>
      </c>
      <c r="B15">
        <v>1</v>
      </c>
    </row>
    <row r="16" spans="1:2">
      <c r="A16" s="11" t="s">
        <v>281</v>
      </c>
      <c r="B16">
        <v>1</v>
      </c>
    </row>
    <row r="17" spans="1:2">
      <c r="A17" s="11" t="s">
        <v>316</v>
      </c>
      <c r="B17">
        <v>127</v>
      </c>
    </row>
    <row r="32" spans="1:2">
      <c r="A32" s="10" t="s">
        <v>314</v>
      </c>
      <c r="B32" t="s">
        <v>315</v>
      </c>
    </row>
    <row r="33" spans="1:2">
      <c r="A33" s="11" t="s">
        <v>48</v>
      </c>
      <c r="B33">
        <v>75</v>
      </c>
    </row>
    <row r="34" spans="1:2">
      <c r="A34" s="11" t="s">
        <v>53</v>
      </c>
      <c r="B34">
        <v>42</v>
      </c>
    </row>
    <row r="35" spans="1:2">
      <c r="A35" s="11" t="s">
        <v>63</v>
      </c>
      <c r="B35">
        <v>10</v>
      </c>
    </row>
    <row r="36" spans="1:2">
      <c r="A36" s="11" t="s">
        <v>316</v>
      </c>
      <c r="B36">
        <v>127</v>
      </c>
    </row>
    <row r="41" spans="1:2">
      <c r="A41" s="10" t="s">
        <v>314</v>
      </c>
      <c r="B41" t="s">
        <v>315</v>
      </c>
    </row>
    <row r="42" spans="1:2">
      <c r="A42" s="11" t="s">
        <v>64</v>
      </c>
      <c r="B42">
        <v>39</v>
      </c>
    </row>
    <row r="43" spans="1:2">
      <c r="A43" s="11" t="s">
        <v>239</v>
      </c>
      <c r="B43">
        <v>27</v>
      </c>
    </row>
    <row r="44" spans="1:2">
      <c r="A44" s="11" t="s">
        <v>54</v>
      </c>
      <c r="B44">
        <v>20</v>
      </c>
    </row>
    <row r="45" spans="1:2">
      <c r="A45" s="11" t="s">
        <v>49</v>
      </c>
      <c r="B45">
        <v>16</v>
      </c>
    </row>
    <row r="46" spans="1:2">
      <c r="A46" s="11" t="s">
        <v>80</v>
      </c>
      <c r="B46">
        <v>11</v>
      </c>
    </row>
    <row r="47" spans="1:2">
      <c r="A47" s="11" t="s">
        <v>231</v>
      </c>
      <c r="B47">
        <v>4</v>
      </c>
    </row>
    <row r="48" spans="1:2">
      <c r="A48" s="11" t="s">
        <v>74</v>
      </c>
      <c r="B48">
        <v>4</v>
      </c>
    </row>
    <row r="49" spans="1:2">
      <c r="A49" s="11" t="s">
        <v>234</v>
      </c>
      <c r="B49">
        <v>3</v>
      </c>
    </row>
    <row r="50" spans="1:2">
      <c r="A50" s="11" t="s">
        <v>287</v>
      </c>
      <c r="B50">
        <v>2</v>
      </c>
    </row>
    <row r="51" spans="1:2">
      <c r="A51" s="11" t="s">
        <v>68</v>
      </c>
      <c r="B51">
        <v>1</v>
      </c>
    </row>
    <row r="52" spans="1:2">
      <c r="A52" s="11" t="s">
        <v>316</v>
      </c>
      <c r="B52">
        <v>127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128"/>
  <sheetViews>
    <sheetView topLeftCell="A105" workbookViewId="0">
      <selection activeCell="E131" sqref="E131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317</v>
      </c>
      <c r="C1" s="2" t="s">
        <v>318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  <row r="95" spans="1:8">
      <c r="A95" s="14">
        <v>46150.343055555553</v>
      </c>
      <c r="B95" s="4">
        <f t="shared" ref="B95:B112" si="16">YEAR(A95)</f>
        <v>2026</v>
      </c>
      <c r="C95" s="4">
        <f t="shared" ref="C95:C112" si="17">MONTH(A95)</f>
        <v>5</v>
      </c>
      <c r="D95" s="6" t="s">
        <v>146</v>
      </c>
      <c r="E95" s="6" t="s">
        <v>238</v>
      </c>
      <c r="F95" s="6" t="s">
        <v>48</v>
      </c>
      <c r="G95" s="6" t="s">
        <v>239</v>
      </c>
      <c r="H95" s="6" t="s">
        <v>240</v>
      </c>
    </row>
    <row r="96" spans="1:8">
      <c r="A96" s="14">
        <v>46150.532638888886</v>
      </c>
      <c r="B96" s="4">
        <f t="shared" si="16"/>
        <v>2026</v>
      </c>
      <c r="C96" s="4">
        <f t="shared" si="17"/>
        <v>5</v>
      </c>
      <c r="D96" s="6" t="s">
        <v>146</v>
      </c>
      <c r="E96" s="6" t="s">
        <v>241</v>
      </c>
      <c r="F96" s="6" t="s">
        <v>48</v>
      </c>
      <c r="G96" s="6" t="s">
        <v>231</v>
      </c>
      <c r="H96" s="6" t="s">
        <v>242</v>
      </c>
    </row>
    <row r="97" spans="1:8">
      <c r="A97" s="14">
        <v>46151.73333333333</v>
      </c>
      <c r="B97" s="4">
        <f t="shared" si="16"/>
        <v>2026</v>
      </c>
      <c r="C97" s="4">
        <f t="shared" si="17"/>
        <v>5</v>
      </c>
      <c r="D97" s="6" t="s">
        <v>46</v>
      </c>
      <c r="E97" s="6" t="s">
        <v>243</v>
      </c>
      <c r="F97" s="6" t="s">
        <v>48</v>
      </c>
      <c r="G97" s="6" t="s">
        <v>239</v>
      </c>
      <c r="H97" s="6" t="s">
        <v>244</v>
      </c>
    </row>
    <row r="98" spans="1:8">
      <c r="A98" s="16">
        <v>46152.279861111114</v>
      </c>
      <c r="B98" s="4">
        <f t="shared" si="16"/>
        <v>2026</v>
      </c>
      <c r="C98" s="4">
        <f t="shared" si="17"/>
        <v>5</v>
      </c>
      <c r="D98" s="17" t="s">
        <v>146</v>
      </c>
      <c r="E98" s="17" t="s">
        <v>245</v>
      </c>
      <c r="F98" s="17" t="s">
        <v>48</v>
      </c>
      <c r="G98" s="17" t="s">
        <v>239</v>
      </c>
      <c r="H98" s="17" t="s">
        <v>246</v>
      </c>
    </row>
    <row r="99" spans="1:8">
      <c r="A99" s="14">
        <v>46153.686111111114</v>
      </c>
      <c r="B99" s="4">
        <f t="shared" si="16"/>
        <v>2026</v>
      </c>
      <c r="C99" s="4">
        <f t="shared" si="17"/>
        <v>5</v>
      </c>
      <c r="D99" s="6" t="s">
        <v>72</v>
      </c>
      <c r="E99" s="6" t="s">
        <v>247</v>
      </c>
      <c r="F99" s="6" t="s">
        <v>48</v>
      </c>
      <c r="G99" s="6" t="s">
        <v>234</v>
      </c>
      <c r="H99" s="6" t="s">
        <v>248</v>
      </c>
    </row>
    <row r="100" spans="1:8">
      <c r="A100" s="14">
        <v>46154.491666666669</v>
      </c>
      <c r="B100" s="4">
        <f t="shared" si="16"/>
        <v>2026</v>
      </c>
      <c r="C100" s="4">
        <f t="shared" si="17"/>
        <v>5</v>
      </c>
      <c r="D100" s="18" t="s">
        <v>78</v>
      </c>
      <c r="E100" s="6" t="s">
        <v>249</v>
      </c>
      <c r="F100" s="6" t="s">
        <v>48</v>
      </c>
      <c r="G100" s="6" t="s">
        <v>234</v>
      </c>
      <c r="H100" s="6" t="s">
        <v>250</v>
      </c>
    </row>
    <row r="101" spans="1:8">
      <c r="A101" s="14">
        <v>46154.520833333336</v>
      </c>
      <c r="B101" s="4">
        <f t="shared" si="16"/>
        <v>2026</v>
      </c>
      <c r="C101" s="4">
        <f t="shared" si="17"/>
        <v>5</v>
      </c>
      <c r="D101" s="18" t="s">
        <v>78</v>
      </c>
      <c r="E101" s="6" t="s">
        <v>251</v>
      </c>
      <c r="F101" s="6" t="s">
        <v>48</v>
      </c>
      <c r="G101" s="6" t="s">
        <v>239</v>
      </c>
      <c r="H101" s="6" t="s">
        <v>252</v>
      </c>
    </row>
    <row r="102" spans="1:8">
      <c r="A102" s="14">
        <v>46157.972222222219</v>
      </c>
      <c r="B102" s="4">
        <f t="shared" si="16"/>
        <v>2026</v>
      </c>
      <c r="C102" s="4">
        <f t="shared" si="17"/>
        <v>5</v>
      </c>
      <c r="D102" s="6" t="s">
        <v>72</v>
      </c>
      <c r="E102" s="6" t="s">
        <v>253</v>
      </c>
      <c r="F102" s="6" t="s">
        <v>48</v>
      </c>
      <c r="G102" s="6" t="s">
        <v>239</v>
      </c>
      <c r="H102" s="6" t="s">
        <v>254</v>
      </c>
    </row>
    <row r="103" spans="1:8">
      <c r="A103" s="14">
        <v>46160.033333333333</v>
      </c>
      <c r="B103" s="4">
        <f t="shared" si="16"/>
        <v>2026</v>
      </c>
      <c r="C103" s="4">
        <f t="shared" si="17"/>
        <v>5</v>
      </c>
      <c r="D103" s="6" t="s">
        <v>61</v>
      </c>
      <c r="E103" s="6" t="s">
        <v>255</v>
      </c>
      <c r="F103" s="6" t="s">
        <v>53</v>
      </c>
      <c r="G103" s="6" t="s">
        <v>239</v>
      </c>
      <c r="H103" s="6" t="s">
        <v>256</v>
      </c>
    </row>
    <row r="104" spans="1:8">
      <c r="A104" s="14">
        <v>46160.599305555559</v>
      </c>
      <c r="B104" s="4">
        <f t="shared" si="16"/>
        <v>2026</v>
      </c>
      <c r="C104" s="4">
        <f t="shared" si="17"/>
        <v>5</v>
      </c>
      <c r="D104" s="6" t="s">
        <v>56</v>
      </c>
      <c r="E104" s="6" t="s">
        <v>257</v>
      </c>
      <c r="F104" s="6" t="s">
        <v>48</v>
      </c>
      <c r="G104" s="6" t="s">
        <v>239</v>
      </c>
      <c r="H104" s="6" t="s">
        <v>258</v>
      </c>
    </row>
    <row r="105" spans="1:8">
      <c r="A105" s="14">
        <v>46161.363194444442</v>
      </c>
      <c r="B105" s="4">
        <f t="shared" si="16"/>
        <v>2026</v>
      </c>
      <c r="C105" s="4">
        <f t="shared" si="17"/>
        <v>5</v>
      </c>
      <c r="D105" s="6" t="s">
        <v>56</v>
      </c>
      <c r="E105" s="6" t="s">
        <v>259</v>
      </c>
      <c r="F105" s="6" t="s">
        <v>48</v>
      </c>
      <c r="G105" s="6" t="s">
        <v>239</v>
      </c>
      <c r="H105" s="6" t="s">
        <v>260</v>
      </c>
    </row>
    <row r="106" spans="1:8">
      <c r="A106" s="14">
        <v>46162.543749999997</v>
      </c>
      <c r="B106" s="4">
        <f t="shared" si="16"/>
        <v>2026</v>
      </c>
      <c r="C106" s="4">
        <f t="shared" si="17"/>
        <v>5</v>
      </c>
      <c r="D106" s="6" t="s">
        <v>51</v>
      </c>
      <c r="E106" s="6" t="s">
        <v>261</v>
      </c>
      <c r="F106" s="6" t="s">
        <v>48</v>
      </c>
      <c r="G106" s="6" t="s">
        <v>239</v>
      </c>
      <c r="H106" s="6" t="s">
        <v>262</v>
      </c>
    </row>
    <row r="107" spans="1:8">
      <c r="A107" s="14">
        <v>46163.225694444445</v>
      </c>
      <c r="B107" s="4">
        <f t="shared" si="16"/>
        <v>2026</v>
      </c>
      <c r="C107" s="4">
        <f t="shared" si="17"/>
        <v>5</v>
      </c>
      <c r="D107" s="6" t="s">
        <v>72</v>
      </c>
      <c r="E107" s="6" t="s">
        <v>263</v>
      </c>
      <c r="F107" s="6" t="s">
        <v>48</v>
      </c>
      <c r="G107" s="6" t="s">
        <v>239</v>
      </c>
      <c r="H107" s="6" t="s">
        <v>264</v>
      </c>
    </row>
    <row r="108" spans="1:8">
      <c r="A108" s="14">
        <v>46163.713194444441</v>
      </c>
      <c r="B108" s="4">
        <f t="shared" si="16"/>
        <v>2026</v>
      </c>
      <c r="C108" s="4">
        <f t="shared" si="17"/>
        <v>5</v>
      </c>
      <c r="D108" s="6" t="s">
        <v>46</v>
      </c>
      <c r="E108" s="6" t="s">
        <v>265</v>
      </c>
      <c r="F108" s="6" t="s">
        <v>53</v>
      </c>
      <c r="G108" s="6" t="s">
        <v>239</v>
      </c>
      <c r="H108" s="6" t="s">
        <v>266</v>
      </c>
    </row>
    <row r="109" spans="1:8">
      <c r="A109" s="14">
        <v>46168.441666666666</v>
      </c>
      <c r="B109" s="4">
        <f t="shared" si="16"/>
        <v>2026</v>
      </c>
      <c r="C109" s="4">
        <f t="shared" si="17"/>
        <v>5</v>
      </c>
      <c r="D109" s="6" t="s">
        <v>146</v>
      </c>
      <c r="E109" s="6" t="s">
        <v>265</v>
      </c>
      <c r="F109" s="6" t="s">
        <v>53</v>
      </c>
      <c r="G109" s="6" t="s">
        <v>239</v>
      </c>
      <c r="H109" s="6" t="s">
        <v>267</v>
      </c>
    </row>
    <row r="110" spans="1:8">
      <c r="A110" s="14">
        <v>46170.48541666667</v>
      </c>
      <c r="B110" s="4">
        <f t="shared" si="16"/>
        <v>2026</v>
      </c>
      <c r="C110" s="4">
        <f t="shared" si="17"/>
        <v>5</v>
      </c>
      <c r="D110" s="6" t="s">
        <v>159</v>
      </c>
      <c r="E110" s="6" t="s">
        <v>268</v>
      </c>
      <c r="F110" s="6" t="s">
        <v>53</v>
      </c>
      <c r="G110" s="6" t="s">
        <v>239</v>
      </c>
      <c r="H110" s="6" t="s">
        <v>269</v>
      </c>
    </row>
    <row r="111" spans="1:8">
      <c r="A111" s="14">
        <v>46171.161805555559</v>
      </c>
      <c r="B111" s="4">
        <f t="shared" si="16"/>
        <v>2026</v>
      </c>
      <c r="C111" s="4">
        <f t="shared" si="17"/>
        <v>5</v>
      </c>
      <c r="D111" s="6" t="s">
        <v>56</v>
      </c>
      <c r="E111" s="6" t="s">
        <v>270</v>
      </c>
      <c r="F111" s="6" t="s">
        <v>53</v>
      </c>
      <c r="G111" s="6" t="s">
        <v>231</v>
      </c>
      <c r="H111" s="6" t="s">
        <v>271</v>
      </c>
    </row>
    <row r="112" spans="1:8">
      <c r="A112" s="14">
        <v>46171.375</v>
      </c>
      <c r="B112" s="4">
        <f t="shared" si="16"/>
        <v>2026</v>
      </c>
      <c r="C112" s="4">
        <f t="shared" si="17"/>
        <v>5</v>
      </c>
      <c r="D112" s="6" t="s">
        <v>159</v>
      </c>
      <c r="E112" s="6" t="s">
        <v>272</v>
      </c>
      <c r="F112" s="6" t="s">
        <v>48</v>
      </c>
      <c r="G112" s="6" t="s">
        <v>239</v>
      </c>
      <c r="H112" s="6" t="s">
        <v>273</v>
      </c>
    </row>
    <row r="113" spans="1:8">
      <c r="A113" s="14">
        <v>46174.518055555556</v>
      </c>
      <c r="B113" s="4">
        <f t="shared" ref="B113:B127" si="18">YEAR(A113)</f>
        <v>2026</v>
      </c>
      <c r="C113" s="4">
        <f t="shared" ref="C113:C127" si="19">MONTH(A113)</f>
        <v>6</v>
      </c>
      <c r="D113" s="6" t="s">
        <v>159</v>
      </c>
      <c r="E113" s="6" t="s">
        <v>274</v>
      </c>
      <c r="F113" s="6" t="s">
        <v>48</v>
      </c>
      <c r="G113" s="21" t="s">
        <v>239</v>
      </c>
      <c r="H113" s="26" t="s">
        <v>275</v>
      </c>
    </row>
    <row r="114" spans="1:8">
      <c r="A114" s="14">
        <v>46175.350694444445</v>
      </c>
      <c r="B114" s="4">
        <f t="shared" si="18"/>
        <v>2026</v>
      </c>
      <c r="C114" s="4">
        <f t="shared" si="19"/>
        <v>6</v>
      </c>
      <c r="D114" s="6" t="s">
        <v>159</v>
      </c>
      <c r="E114" s="6" t="s">
        <v>276</v>
      </c>
      <c r="F114" s="6" t="s">
        <v>53</v>
      </c>
      <c r="G114" s="21" t="s">
        <v>239</v>
      </c>
      <c r="H114" s="20" t="s">
        <v>277</v>
      </c>
    </row>
    <row r="115" spans="1:8">
      <c r="A115" s="14">
        <v>46175.401388888888</v>
      </c>
      <c r="B115" s="4">
        <f t="shared" si="18"/>
        <v>2026</v>
      </c>
      <c r="C115" s="4">
        <f t="shared" si="19"/>
        <v>6</v>
      </c>
      <c r="D115" s="6" t="s">
        <v>159</v>
      </c>
      <c r="E115" s="6" t="s">
        <v>278</v>
      </c>
      <c r="F115" s="6" t="s">
        <v>53</v>
      </c>
      <c r="G115" s="6" t="s">
        <v>239</v>
      </c>
      <c r="H115" s="22" t="s">
        <v>279</v>
      </c>
    </row>
    <row r="116" spans="1:8">
      <c r="A116" s="14">
        <v>46175.486805555556</v>
      </c>
      <c r="B116" s="4">
        <f t="shared" si="18"/>
        <v>2026</v>
      </c>
      <c r="C116" s="4">
        <f t="shared" si="19"/>
        <v>6</v>
      </c>
      <c r="D116" s="22" t="s">
        <v>159</v>
      </c>
      <c r="E116" s="6" t="s">
        <v>274</v>
      </c>
      <c r="F116" s="6" t="s">
        <v>53</v>
      </c>
      <c r="G116" s="6" t="s">
        <v>239</v>
      </c>
      <c r="H116" s="6" t="s">
        <v>280</v>
      </c>
    </row>
    <row r="117" spans="1:8">
      <c r="A117" s="24">
        <v>46182.50277777778</v>
      </c>
      <c r="B117" s="4">
        <f t="shared" si="18"/>
        <v>2026</v>
      </c>
      <c r="C117" s="4">
        <f t="shared" si="19"/>
        <v>6</v>
      </c>
      <c r="D117" s="6" t="s">
        <v>281</v>
      </c>
      <c r="E117" s="25" t="s">
        <v>282</v>
      </c>
      <c r="F117" s="6" t="s">
        <v>53</v>
      </c>
      <c r="G117" s="6" t="s">
        <v>239</v>
      </c>
      <c r="H117" s="23" t="s">
        <v>283</v>
      </c>
    </row>
    <row r="118" spans="1:8">
      <c r="A118" s="14">
        <v>46182.655555555553</v>
      </c>
      <c r="B118" s="4">
        <f t="shared" si="18"/>
        <v>2026</v>
      </c>
      <c r="C118" s="4">
        <f t="shared" si="19"/>
        <v>6</v>
      </c>
      <c r="D118" t="s">
        <v>46</v>
      </c>
      <c r="E118" s="6" t="s">
        <v>284</v>
      </c>
      <c r="F118" t="s">
        <v>53</v>
      </c>
      <c r="G118" s="6" t="s">
        <v>239</v>
      </c>
      <c r="H118" s="6" t="s">
        <v>285</v>
      </c>
    </row>
    <row r="119" spans="1:8">
      <c r="A119" s="14">
        <v>46183.268750000003</v>
      </c>
      <c r="B119" s="4">
        <f t="shared" si="18"/>
        <v>2026</v>
      </c>
      <c r="C119" s="4">
        <f t="shared" si="19"/>
        <v>6</v>
      </c>
      <c r="D119" s="6" t="s">
        <v>61</v>
      </c>
      <c r="E119" s="6" t="s">
        <v>286</v>
      </c>
      <c r="F119" s="6" t="s">
        <v>48</v>
      </c>
      <c r="G119" s="6" t="s">
        <v>287</v>
      </c>
      <c r="H119" s="6" t="s">
        <v>288</v>
      </c>
    </row>
    <row r="120" spans="1:8">
      <c r="A120" s="1">
        <v>46183.814583333333</v>
      </c>
      <c r="B120" s="4">
        <f t="shared" si="18"/>
        <v>2026</v>
      </c>
      <c r="C120" s="4">
        <f t="shared" si="19"/>
        <v>6</v>
      </c>
      <c r="D120" s="19" t="s">
        <v>46</v>
      </c>
      <c r="E120" s="6" t="s">
        <v>289</v>
      </c>
      <c r="F120" t="s">
        <v>63</v>
      </c>
      <c r="G120" s="6" t="s">
        <v>239</v>
      </c>
      <c r="H120" s="19" t="s">
        <v>290</v>
      </c>
    </row>
    <row r="121" spans="1:8">
      <c r="A121" s="14" t="s">
        <v>291</v>
      </c>
      <c r="B121" s="4">
        <f t="shared" si="18"/>
        <v>2026</v>
      </c>
      <c r="C121" s="4">
        <f t="shared" si="19"/>
        <v>6</v>
      </c>
      <c r="D121" s="23" t="s">
        <v>56</v>
      </c>
      <c r="E121" s="6" t="s">
        <v>292</v>
      </c>
      <c r="F121" s="6" t="s">
        <v>48</v>
      </c>
      <c r="G121" s="6" t="s">
        <v>239</v>
      </c>
      <c r="H121" s="6" t="s">
        <v>293</v>
      </c>
    </row>
    <row r="122" spans="1:8">
      <c r="A122" s="14" t="s">
        <v>294</v>
      </c>
      <c r="B122" s="4">
        <f t="shared" si="18"/>
        <v>2026</v>
      </c>
      <c r="C122" s="4">
        <f t="shared" si="19"/>
        <v>6</v>
      </c>
      <c r="D122" s="6" t="s">
        <v>46</v>
      </c>
      <c r="E122" s="6" t="s">
        <v>284</v>
      </c>
      <c r="F122" t="s">
        <v>53</v>
      </c>
      <c r="G122" s="6" t="s">
        <v>231</v>
      </c>
      <c r="H122" s="6" t="s">
        <v>295</v>
      </c>
    </row>
    <row r="123" spans="1:8">
      <c r="A123" s="14">
        <v>46190.9375</v>
      </c>
      <c r="B123" s="4">
        <f t="shared" si="18"/>
        <v>2026</v>
      </c>
      <c r="C123" s="4">
        <f t="shared" si="19"/>
        <v>6</v>
      </c>
      <c r="D123" s="6" t="s">
        <v>72</v>
      </c>
      <c r="E123" s="6" t="s">
        <v>289</v>
      </c>
      <c r="F123" t="s">
        <v>63</v>
      </c>
      <c r="G123" s="6" t="s">
        <v>239</v>
      </c>
      <c r="H123" s="6" t="s">
        <v>296</v>
      </c>
    </row>
    <row r="124" spans="1:8">
      <c r="A124" s="14">
        <v>46191.127083333333</v>
      </c>
      <c r="B124" s="4">
        <f t="shared" si="18"/>
        <v>2026</v>
      </c>
      <c r="C124" s="4">
        <f t="shared" si="19"/>
        <v>6</v>
      </c>
      <c r="D124" s="6" t="s">
        <v>51</v>
      </c>
      <c r="E124" s="6" t="s">
        <v>297</v>
      </c>
      <c r="F124" s="6" t="s">
        <v>48</v>
      </c>
      <c r="G124" s="6" t="s">
        <v>239</v>
      </c>
      <c r="H124" s="6" t="s">
        <v>298</v>
      </c>
    </row>
    <row r="125" spans="1:8">
      <c r="A125" s="14">
        <v>46193.37222222222</v>
      </c>
      <c r="B125" s="4">
        <f t="shared" si="18"/>
        <v>2026</v>
      </c>
      <c r="C125" s="4">
        <f t="shared" si="19"/>
        <v>6</v>
      </c>
      <c r="D125" s="6" t="s">
        <v>72</v>
      </c>
      <c r="E125" s="6" t="s">
        <v>299</v>
      </c>
      <c r="F125" t="s">
        <v>53</v>
      </c>
      <c r="G125" s="6" t="s">
        <v>239</v>
      </c>
      <c r="H125" s="6" t="s">
        <v>300</v>
      </c>
    </row>
    <row r="126" spans="1:8">
      <c r="A126" s="14">
        <v>46197.341666666667</v>
      </c>
      <c r="B126" s="4">
        <f t="shared" si="18"/>
        <v>2026</v>
      </c>
      <c r="C126" s="4">
        <f t="shared" si="19"/>
        <v>6</v>
      </c>
      <c r="D126" s="6" t="s">
        <v>301</v>
      </c>
      <c r="E126" s="6" t="s">
        <v>302</v>
      </c>
      <c r="F126" t="s">
        <v>53</v>
      </c>
      <c r="G126" s="6" t="s">
        <v>287</v>
      </c>
      <c r="H126" s="6" t="s">
        <v>303</v>
      </c>
    </row>
    <row r="127" spans="1:8">
      <c r="A127" s="14">
        <v>46199.21597222222</v>
      </c>
      <c r="B127" s="4">
        <f t="shared" si="18"/>
        <v>2026</v>
      </c>
      <c r="C127" s="4">
        <f t="shared" si="19"/>
        <v>6</v>
      </c>
      <c r="D127" s="6" t="s">
        <v>46</v>
      </c>
      <c r="E127" s="6" t="s">
        <v>304</v>
      </c>
      <c r="F127" s="6" t="s">
        <v>63</v>
      </c>
      <c r="G127" s="6" t="s">
        <v>239</v>
      </c>
      <c r="H127" s="6" t="s">
        <v>305</v>
      </c>
    </row>
    <row r="128" spans="1:8">
      <c r="A128" s="14">
        <v>46202.197916666664</v>
      </c>
      <c r="B128" s="4">
        <f t="shared" ref="B128" si="20">YEAR(A128)</f>
        <v>2026</v>
      </c>
      <c r="C128" s="4">
        <f t="shared" ref="C128" si="21">MONTH(A128)</f>
        <v>6</v>
      </c>
      <c r="D128" s="6" t="s">
        <v>46</v>
      </c>
      <c r="E128" s="6" t="s">
        <v>306</v>
      </c>
      <c r="F128" s="6" t="s">
        <v>48</v>
      </c>
      <c r="G128" s="6" t="s">
        <v>239</v>
      </c>
      <c r="H128" s="6" t="s">
        <v>307</v>
      </c>
    </row>
  </sheetData>
  <autoFilter ref="A1:H66" xr:uid="{DC420DAD-5C3F-4AC4-8C45-31044FCB8DD3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A8FD8841-DBA1-4C6B-8D4A-01F1393CDCEF}"/>
</file>

<file path=customXml/itemProps2.xml><?xml version="1.0" encoding="utf-8"?>
<ds:datastoreItem xmlns:ds="http://schemas.openxmlformats.org/officeDocument/2006/customXml" ds:itemID="{BB6A9765-6A9A-42B7-B0FA-1DED4C3A31B2}"/>
</file>

<file path=customXml/itemProps3.xml><?xml version="1.0" encoding="utf-8"?>
<ds:datastoreItem xmlns:ds="http://schemas.openxmlformats.org/officeDocument/2006/customXml" ds:itemID="{5AC0D4DF-6071-4046-B7AC-501C9AB0FD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2026-07-02T11:01:39Z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