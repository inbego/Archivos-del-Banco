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131" documentId="120_S{52A51CD7-DAF4-51AA-A050-913CA746B7D8}" xr6:coauthVersionLast="47" xr6:coauthVersionMax="47" xr10:uidLastSave="{82F88655-D927-427A-9303-996E66B4E449}"/>
  <bookViews>
    <workbookView xWindow="28680" yWindow="-120" windowWidth="38640" windowHeight="15720" firstSheet="5" activeTab="4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Abril 2026" sheetId="10" r:id="rId5"/>
    <sheet name="TD" sheetId="9" r:id="rId6"/>
    <sheet name="Datos" sheetId="8" state="hidden" r:id="rId7"/>
  </sheets>
  <definedNames>
    <definedName name="_xlnm._FilterDatabase" localSheetId="6" hidden="1">Datos!$A$1:$H$66</definedName>
    <definedName name="SegmentaciónDeDatos_Año">#N/A</definedName>
    <definedName name="SegmentaciónDeDatos_Mes">#N/A</definedName>
  </definedNames>
  <calcPr calcId="191028"/>
  <pivotCaches>
    <pivotCache cacheId="154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2" i="8" l="1"/>
  <c r="C72" i="8"/>
  <c r="B73" i="8"/>
  <c r="C73" i="8"/>
  <c r="B71" i="8"/>
  <c r="C71" i="8"/>
  <c r="B68" i="8"/>
  <c r="C68" i="8"/>
  <c r="B69" i="8"/>
  <c r="C69" i="8"/>
  <c r="B70" i="8"/>
  <c r="C70" i="8"/>
  <c r="B67" i="8"/>
  <c r="C67" i="8"/>
  <c r="B66" i="8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sharedStrings.xml><?xml version="1.0" encoding="utf-8"?>
<sst xmlns="http://schemas.openxmlformats.org/spreadsheetml/2006/main" count="849" uniqueCount="201">
  <si>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</si>
  <si>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</si>
  <si>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</si>
  <si>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</si>
  <si>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</si>
  <si>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</si>
  <si>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</si>
  <si>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</si>
  <si>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</si>
  <si>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</si>
  <si>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</si>
  <si>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</si>
  <si>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</si>
  <si>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</si>
  <si>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</si>
  <si>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</si>
  <si>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</si>
  <si>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</si>
  <si>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</si>
  <si>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</si>
  <si>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</si>
  <si>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</si>
  <si>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</si>
  <si>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</si>
  <si>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</si>
  <si>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</si>
  <si>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</si>
  <si>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</si>
  <si>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</si>
  <si>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</si>
  <si>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</si>
  <si>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</si>
  <si>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</si>
  <si>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</si>
  <si>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</si>
  <si>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</si>
  <si>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</si>
  <si>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</si>
  <si>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</si>
  <si>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</si>
  <si>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</si>
  <si>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</si>
  <si>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</si>
  <si>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</si>
  <si>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</si>
  <si>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</si>
  <si>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</si>
  <si>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</si>
  <si>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</si>
  <si>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</si>
  <si>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</si>
  <si>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</si>
  <si>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</si>
  <si>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</si>
  <si>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</si>
  <si>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</si>
  <si>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</si>
  <si>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</si>
  <si>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</si>
  <si>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</si>
  <si>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</si>
  <si>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</si>
  <si>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</si>
  <si>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</si>
  <si>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</si>
  <si>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</si>
  <si>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</si>
  <si>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</si>
  <si>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</si>
  <si>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</si>
  <si>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</si>
  <si>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</si>
  <si>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</si>
  <si>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</si>
  <si>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</si>
  <si>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</si>
  <si>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</si>
  <si>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</si>
  <si>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</si>
  <si>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</si>
  <si>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</si>
  <si>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</si>
  <si>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</si>
  <si>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</si>
  <si>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</si>
  <si>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</si>
  <si>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</si>
  <si>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</si>
  <si>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</si>
  <si>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</si>
  <si>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</si>
  <si>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</si>
  <si>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</si>
  <si>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</si>
  <si>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</si>
  <si>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</si>
  <si>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</si>
  <si>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</si>
  <si>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</si>
  <si>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</si>
  <si>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</si>
  <si>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</si>
  <si>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</si>
  <si>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</si>
  <si>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</si>
  <si>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</si>
  <si>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</si>
  <si>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</si>
  <si>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</si>
  <si>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</si>
  <si>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</si>
  <si>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</si>
  <si>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</si>
  <si>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</si>
  <si>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</si>
  <si>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</si>
  <si>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</si>
  <si>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</si>
  <si>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</si>
  <si>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</si>
  <si>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</si>
  <si>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</si>
  <si>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</si>
  <si>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</si>
  <si>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</si>
  <si>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</si>
  <si>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</si>
  <si>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</si>
  <si>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</si>
  <si>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</si>
  <si>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</si>
  <si>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</si>
  <si>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</si>
  <si>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</si>
  <si>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</si>
  <si>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</si>
  <si>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</si>
  <si>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</si>
  <si>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</si>
  <si>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</si>
  <si>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</si>
  <si>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</si>
  <si>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</si>
  <si>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</si>
  <si>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</si>
  <si>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</si>
  <si>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</si>
  <si>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</si>
  <si>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</si>
  <si>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</si>
  <si>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</si>
  <si>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</si>
  <si>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</si>
  <si>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</si>
  <si>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</si>
  <si>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</si>
  <si>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</si>
  <si>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</si>
  <si>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</si>
  <si>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</si>
  <si>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</si>
  <si>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</si>
  <si>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</si>
  <si>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</si>
  <si>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</si>
  <si>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</si>
  <si>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</si>
  <si>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</si>
  <si>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</si>
  <si>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</si>
  <si>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</si>
  <si>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</si>
  <si>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</si>
  <si>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</si>
  <si>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</si>
  <si>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</si>
  <si>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</si>
  <si>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</si>
  <si>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</si>
  <si>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</si>
  <si>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</si>
  <si>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</si>
  <si>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</si>
  <si>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</si>
  <si>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Se equivoca de enlace</t>
  </si>
  <si>
    <t xml:space="preserve">INC065634193 </t>
  </si>
  <si>
    <t>Hora de inicio mal puesta.</t>
  </si>
  <si>
    <t xml:space="preserve">INC065692708 </t>
  </si>
  <si>
    <t>Se pidió poner una información en el evento y no se hizo. Se mandó revised corrigiéndolo.</t>
  </si>
  <si>
    <t>INC056357652</t>
  </si>
  <si>
    <t>Pone el enlace con la interfaz.</t>
  </si>
  <si>
    <t xml:space="preserve">INC065757089 </t>
  </si>
  <si>
    <t>Se olvida poner nuevos tramos de inicio/fin en la notificación.</t>
  </si>
  <si>
    <t>INC065805235</t>
  </si>
  <si>
    <t>INC065811095</t>
  </si>
  <si>
    <t>INC066018378</t>
  </si>
  <si>
    <t>Etiquetas de fila</t>
  </si>
  <si>
    <t>Cuenta de Incidencia</t>
  </si>
  <si>
    <t>Total general</t>
  </si>
  <si>
    <t>Año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</si>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</sst>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TD!$A$4:$A$15</c:f>
              <c:strCache>
                <c:ptCount val="11"/>
                <c:pt idx="0">
                  <c:v>Christian Alfredo Guerrero Banda</c:v>
                </c:pt>
                <c:pt idx="1">
                  <c:v>Gabriel Daniel Chiriac</c:v>
                </c:pt>
                <c:pt idx="2">
                  <c:v>Luis Enrique Zarazua Vargas</c:v>
                </c:pt>
                <c:pt idx="3">
                  <c:v>Cesar Caleb Cuevas Marquez</c:v>
                </c:pt>
                <c:pt idx="4">
                  <c:v>Leobardo Angel Ibarra Rios</c:v>
                </c:pt>
                <c:pt idx="5">
                  <c:v>Cruz Jared Orta Vargas</c:v>
                </c:pt>
                <c:pt idx="6">
                  <c:v>Fernando Martín Pavón</c:v>
                </c:pt>
                <c:pt idx="7">
                  <c:v>Óscar Rodríguez Zárate</c:v>
                </c:pt>
                <c:pt idx="8">
                  <c:v>Jorge González García</c:v>
                </c:pt>
                <c:pt idx="9">
                  <c:v>Erick Josue Castillo Zambrano</c:v>
                </c:pt>
                <c:pt idx="10">
                  <c:v>Sergio Sanz Blázquez</c:v>
                </c:pt>
              </c:strCache>
            </c:strRef>
          </c:cat>
          <c:val>
            <c:numRef>
              <c:f>TD!$B$4:$B$15</c:f>
              <c:numCache>
                <c:formatCode>General</c:formatCode>
                <c:ptCount val="11"/>
                <c:pt idx="0">
                  <c:v>15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42</c:v>
                </c:pt>
                <c:pt idx="1">
                  <c:v>23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TD!$A$42:$A$48</c:f>
              <c:strCache>
                <c:ptCount val="6"/>
                <c:pt idx="0">
                  <c:v>GSNET International</c:v>
                </c:pt>
                <c:pt idx="1">
                  <c:v>GSNET Cloud</c:v>
                </c:pt>
                <c:pt idx="2">
                  <c:v>GSNET Data</c:v>
                </c:pt>
                <c:pt idx="3">
                  <c:v>Campus Conectivity</c:v>
                </c:pt>
                <c:pt idx="4">
                  <c:v>GSNET Internet</c:v>
                </c:pt>
                <c:pt idx="5">
                  <c:v>Branches Connectivity</c:v>
                </c:pt>
              </c:strCache>
            </c:strRef>
          </c:cat>
          <c:val>
            <c:numRef>
              <c:f>TD!$B$42:$B$48</c:f>
              <c:numCache>
                <c:formatCode>General</c:formatCode>
                <c:ptCount val="6"/>
                <c:pt idx="0">
                  <c:v>33</c:v>
                </c:pt>
                <c:pt idx="1">
                  <c:v>17</c:v>
                </c:pt>
                <c:pt idx="2">
                  <c:v>13</c:v>
                </c:pt>
                <c:pt idx="3">
                  <c:v>6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147637</xdr:rowOff>
    </xdr:from>
    <xdr:to>
      <xdr:col>12</xdr:col>
      <xdr:colOff>742949</xdr:colOff>
      <xdr:row>20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342900</xdr:colOff>
      <xdr:row>2</xdr:row>
      <xdr:rowOff>9525</xdr:rowOff>
    </xdr:from>
    <xdr:to>
      <xdr:col>15</xdr:col>
      <xdr:colOff>647700</xdr:colOff>
      <xdr:row>16</xdr:row>
      <xdr:rowOff>6350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49000" y="3905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342900</xdr:colOff>
      <xdr:row>16</xdr:row>
      <xdr:rowOff>76200</xdr:rowOff>
    </xdr:from>
    <xdr:to>
      <xdr:col>15</xdr:col>
      <xdr:colOff>685800</xdr:colOff>
      <xdr:row>24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4200" y="2971800"/>
              <a:ext cx="194310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22.433707060183" createdVersion="8" refreshedVersion="8" minRefreshableVersion="3" recordCount="73" xr:uid="{A8DCFFB8-E28C-40FD-A94B-188402D3C453}">
  <cacheSource type="worksheet">
    <worksheetSource ref="A1:H1048576" sheet="Datos"/>
  </cacheSource>
  <cacheFields count="8">
    <cacheField name="Enviado el" numFmtId="0">
      <sharedItems containsNonDate="0" containsDate="1" containsString="0" containsBlank="1" minDate="2026-01-05T11:46:00" maxDate="2026-04-09T11:42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4" count="5">
        <n v="1"/>
        <n v="2"/>
        <n v="3"/>
        <n v="4"/>
        <m/>
      </sharedItems>
    </cacheField>
    <cacheField name="Operador " numFmtId="0">
      <sharedItems containsBlank="1" count="13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7">
        <s v="GSNET Data"/>
        <s v="GSNET Cloud"/>
        <s v="GSNET International"/>
        <s v="Branches Connectivity"/>
        <s v="GSNET Internet"/>
        <s v="Campus Conectivity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d v="2026-03-28T12:24:00"/>
    <x v="0"/>
    <x v="2"/>
    <x v="4"/>
    <s v="Era un Closure y lo mandaron como Update"/>
    <x v="2"/>
    <x v="2"/>
    <s v="INC065403959"/>
  </r>
  <r>
    <d v="2026-04-05T21:01:00"/>
    <x v="0"/>
    <x v="3"/>
    <x v="3"/>
    <s v="Se equivoca de enlace"/>
    <x v="1"/>
    <x v="0"/>
    <s v="INC065634193 "/>
  </r>
  <r>
    <d v="2026-04-06T16:01:00"/>
    <x v="0"/>
    <x v="3"/>
    <x v="5"/>
    <s v="Hora de inicio mal puesta."/>
    <x v="1"/>
    <x v="2"/>
    <s v="INC065692708 "/>
  </r>
  <r>
    <d v="2026-04-07T12:14:00"/>
    <x v="0"/>
    <x v="3"/>
    <x v="2"/>
    <s v="Se pidió poner una información en el evento y no se hizo. Se mandó revised corrigiéndolo."/>
    <x v="0"/>
    <x v="2"/>
    <s v="INC056357652"/>
  </r>
  <r>
    <d v="2026-04-08T00:49:00"/>
    <x v="0"/>
    <x v="3"/>
    <x v="1"/>
    <s v="Pone el enlace con la interfaz."/>
    <x v="1"/>
    <x v="2"/>
    <s v="INC065757089 "/>
  </r>
  <r>
    <d v="2026-04-09T01:35:00"/>
    <x v="0"/>
    <x v="3"/>
    <x v="1"/>
    <s v="Se olvida poner nuevos tramos de inicio/fin en la notificación."/>
    <x v="0"/>
    <x v="2"/>
    <s v="INC065805235"/>
  </r>
  <r>
    <d v="2026-04-09T11:42:00"/>
    <x v="0"/>
    <x v="3"/>
    <x v="2"/>
    <s v="Se envía como aperture cuando es un update."/>
    <x v="0"/>
    <x v="1"/>
    <s v="INC065811095"/>
  </r>
  <r>
    <m/>
    <x v="1"/>
    <x v="4"/>
    <x v="11"/>
    <m/>
    <x v="3"/>
    <x v="6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1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1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5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6">
        <item x="0"/>
        <item x="1"/>
        <item x="2"/>
        <item x="3"/>
        <item x="4"/>
        <item t="default"/>
      </items>
    </pivotField>
    <pivotField axis="axisRow" showAll="0" sortType="descending">
      <items count="14">
        <item x="0"/>
        <item x="3"/>
        <item x="6"/>
        <item x="9"/>
        <item x="7"/>
        <item x="2"/>
        <item x="8"/>
        <item x="5"/>
        <item m="1" x="12"/>
        <item x="1"/>
        <item x="4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2">
    <i>
      <x v="1"/>
    </i>
    <i>
      <x v="5"/>
    </i>
    <i>
      <x v="9"/>
    </i>
    <i>
      <x/>
    </i>
    <i>
      <x v="7"/>
    </i>
    <i>
      <x v="2"/>
    </i>
    <i>
      <x v="4"/>
    </i>
    <i>
      <x v="10"/>
    </i>
    <i>
      <x v="6"/>
    </i>
    <i>
      <x v="3"/>
    </i>
    <i>
      <x v="11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1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48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8">
        <item x="3"/>
        <item x="5"/>
        <item x="1"/>
        <item x="0"/>
        <item x="2"/>
        <item x="4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7">
    <i>
      <x v="4"/>
    </i>
    <i>
      <x v="2"/>
    </i>
    <i>
      <x v="3"/>
    </i>
    <i>
      <x v="1"/>
    </i>
    <i>
      <x v="5"/>
    </i>
    <i>
      <x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5">
        <i x="0" s="1"/>
        <i x="1" s="1"/>
        <i x="2" s="1"/>
        <i x="3" s="1"/>
        <i x="4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defaultColWidth="11.42578125" defaultRowHeight="14.45"/>
  <cols>
    <col min="1" max="1" width="141.28515625" bestFit="1" customWidth="1"/>
    <col min="2" max="2" width="15.28515625" bestFit="1" customWidth="1"/>
    <col min="4" max="4" width="130" bestFit="1" customWidth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t="s">
        <v>4</v>
      </c>
      <c r="B2" s="1">
        <v>46021.157638888886</v>
      </c>
      <c r="C2" t="s">
        <v>5</v>
      </c>
      <c r="D2" t="s">
        <v>6</v>
      </c>
    </row>
    <row r="3" spans="1:4">
      <c r="A3" t="s">
        <v>7</v>
      </c>
      <c r="B3" s="1">
        <v>46018.138194444444</v>
      </c>
      <c r="C3" t="s">
        <v>8</v>
      </c>
      <c r="D3" t="s">
        <v>9</v>
      </c>
    </row>
    <row r="4" spans="1:4">
      <c r="A4" t="s">
        <v>10</v>
      </c>
      <c r="B4" s="1">
        <v>46017.497916666667</v>
      </c>
      <c r="C4" t="s">
        <v>11</v>
      </c>
      <c r="D4" t="s">
        <v>12</v>
      </c>
    </row>
    <row r="5" spans="1:4">
      <c r="A5" t="s">
        <v>13</v>
      </c>
      <c r="B5" s="1">
        <v>46017.44027777778</v>
      </c>
      <c r="C5" t="s">
        <v>11</v>
      </c>
      <c r="D5" t="s">
        <v>14</v>
      </c>
    </row>
    <row r="6" spans="1:4">
      <c r="A6" t="s">
        <v>15</v>
      </c>
      <c r="B6" s="1">
        <v>46015.011805555558</v>
      </c>
      <c r="C6" t="s">
        <v>8</v>
      </c>
      <c r="D6" t="s">
        <v>16</v>
      </c>
    </row>
    <row r="7" spans="1:4">
      <c r="A7" t="s">
        <v>17</v>
      </c>
      <c r="B7" s="1">
        <v>46014.361111111109</v>
      </c>
      <c r="C7" t="s">
        <v>11</v>
      </c>
      <c r="D7" t="s">
        <v>18</v>
      </c>
    </row>
    <row r="8" spans="1:4">
      <c r="A8" t="s">
        <v>19</v>
      </c>
      <c r="B8" s="1">
        <v>46014.136111111111</v>
      </c>
      <c r="C8" t="s">
        <v>8</v>
      </c>
      <c r="D8" t="s">
        <v>6</v>
      </c>
    </row>
    <row r="9" spans="1:4">
      <c r="A9" t="s">
        <v>20</v>
      </c>
      <c r="B9" s="1">
        <v>46009.675694444442</v>
      </c>
      <c r="C9" t="s">
        <v>11</v>
      </c>
      <c r="D9" t="s">
        <v>21</v>
      </c>
    </row>
    <row r="10" spans="1:4">
      <c r="A10" t="s">
        <v>22</v>
      </c>
      <c r="B10" s="1">
        <v>46009.331944444442</v>
      </c>
      <c r="C10" t="s">
        <v>23</v>
      </c>
      <c r="D10" t="s">
        <v>24</v>
      </c>
    </row>
    <row r="11" spans="1:4">
      <c r="A11" t="s">
        <v>25</v>
      </c>
      <c r="B11" s="1">
        <v>46006.427083333336</v>
      </c>
      <c r="C11" t="s">
        <v>23</v>
      </c>
      <c r="D11" t="s">
        <v>26</v>
      </c>
    </row>
    <row r="12" spans="1:4">
      <c r="A12" t="s">
        <v>22</v>
      </c>
      <c r="B12" s="1">
        <v>46004.250694444447</v>
      </c>
      <c r="C12" t="s">
        <v>27</v>
      </c>
      <c r="D12" t="s">
        <v>28</v>
      </c>
    </row>
    <row r="13" spans="1:4">
      <c r="A13" t="s">
        <v>29</v>
      </c>
      <c r="B13" s="1">
        <v>45998.172222222223</v>
      </c>
      <c r="C13" t="s">
        <v>11</v>
      </c>
      <c r="D13" t="s">
        <v>21</v>
      </c>
    </row>
    <row r="14" spans="1:4">
      <c r="A14" t="s">
        <v>30</v>
      </c>
      <c r="B14" s="1">
        <v>45995.522916666669</v>
      </c>
      <c r="C14" t="s">
        <v>8</v>
      </c>
      <c r="D14" t="s">
        <v>31</v>
      </c>
    </row>
    <row r="15" spans="1:4">
      <c r="A15" t="s">
        <v>32</v>
      </c>
      <c r="B15" s="1">
        <v>45995.020138888889</v>
      </c>
      <c r="C15" t="s">
        <v>11</v>
      </c>
      <c r="D15" t="s">
        <v>33</v>
      </c>
    </row>
    <row r="16" spans="1:4">
      <c r="A16" t="s">
        <v>34</v>
      </c>
      <c r="B16" s="1">
        <v>45994.504861111112</v>
      </c>
      <c r="C16" t="s">
        <v>35</v>
      </c>
      <c r="D16" t="s">
        <v>36</v>
      </c>
    </row>
    <row r="17" spans="1:4">
      <c r="A17" t="s">
        <v>37</v>
      </c>
      <c r="B17" s="1">
        <v>45994.315972222219</v>
      </c>
      <c r="C17" t="s">
        <v>23</v>
      </c>
      <c r="D17" t="s">
        <v>33</v>
      </c>
    </row>
    <row r="18" spans="1:4">
      <c r="A18" t="s">
        <v>38</v>
      </c>
      <c r="B18" s="1">
        <v>45993.574305555558</v>
      </c>
      <c r="C18" t="s">
        <v>8</v>
      </c>
      <c r="D18" t="s">
        <v>6</v>
      </c>
    </row>
    <row r="19" spans="1:4">
      <c r="A19" t="s">
        <v>39</v>
      </c>
      <c r="B19" s="1">
        <v>45993.409722222219</v>
      </c>
      <c r="C19" t="s">
        <v>23</v>
      </c>
      <c r="D19" t="s">
        <v>21</v>
      </c>
    </row>
    <row r="20" spans="1:4">
      <c r="A20" t="s">
        <v>40</v>
      </c>
      <c r="B20" s="1">
        <v>45993.063888888886</v>
      </c>
      <c r="C20" t="s">
        <v>23</v>
      </c>
      <c r="D20" t="s">
        <v>26</v>
      </c>
    </row>
    <row r="21" spans="1:4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>
      <selection sqref="A1:F27"/>
    </sheetView>
  </sheetViews>
  <sheetFormatPr defaultColWidth="11.42578125" defaultRowHeight="14.45"/>
  <cols>
    <col min="1" max="1" width="15.42578125" bestFit="1" customWidth="1"/>
    <col min="2" max="2" width="29" bestFit="1" customWidth="1"/>
    <col min="3" max="3" width="77.28515625" bestFit="1" customWidth="1"/>
    <col min="4" max="4" width="13" customWidth="1"/>
    <col min="5" max="5" width="19.4257812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defaultColWidth="11.42578125" defaultRowHeight="14.45"/>
  <cols>
    <col min="1" max="1" width="15.42578125" bestFit="1" customWidth="1"/>
    <col min="2" max="2" width="29" bestFit="1" customWidth="1"/>
    <col min="3" max="3" width="54.140625" bestFit="1" customWidth="1"/>
    <col min="4" max="4" width="11.42578125" bestFit="1" customWidth="1"/>
    <col min="5" max="5" width="17.8554687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workbookViewId="0">
      <selection activeCell="F25" sqref="F25"/>
    </sheetView>
  </sheetViews>
  <sheetFormatPr defaultColWidth="11.42578125" defaultRowHeight="14.45"/>
  <cols>
    <col min="1" max="1" width="16.5703125" bestFit="1" customWidth="1"/>
    <col min="2" max="2" width="30.5703125" customWidth="1"/>
    <col min="3" max="3" width="44.7109375" customWidth="1"/>
    <col min="4" max="4" width="13.42578125" customWidth="1"/>
    <col min="5" max="5" width="23.5703125" customWidth="1"/>
    <col min="6" max="6" width="17.7109375" customWidth="1"/>
    <col min="7" max="7" width="165.5703125" customWidth="1"/>
  </cols>
  <sheetData>
    <row r="1" spans="1:9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CB65-C11B-416E-838C-0DB2FBC392DC}">
  <dimension ref="A1:F27"/>
  <sheetViews>
    <sheetView tabSelected="1" workbookViewId="0">
      <selection activeCell="C8" sqref="C8"/>
    </sheetView>
  </sheetViews>
  <sheetFormatPr defaultColWidth="11.42578125" defaultRowHeight="14.45"/>
  <cols>
    <col min="1" max="1" width="16.5703125" bestFit="1" customWidth="1"/>
    <col min="2" max="2" width="29" bestFit="1" customWidth="1"/>
    <col min="3" max="3" width="78.140625" customWidth="1"/>
    <col min="5" max="5" width="17.85546875" bestFit="1" customWidth="1"/>
    <col min="6" max="6" width="13.140625" bestFit="1" customWidth="1"/>
  </cols>
  <sheetData>
    <row r="1" spans="1:6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6">
      <c r="A2" s="3">
        <v>46117.875694444447</v>
      </c>
      <c r="B2" s="8" t="s">
        <v>61</v>
      </c>
      <c r="C2" s="4" t="s">
        <v>184</v>
      </c>
      <c r="D2" s="4" t="s">
        <v>53</v>
      </c>
      <c r="E2" s="8" t="s">
        <v>49</v>
      </c>
      <c r="F2" s="4" t="s">
        <v>185</v>
      </c>
    </row>
    <row r="3" spans="1:6">
      <c r="A3" s="3">
        <v>46118.667361111111</v>
      </c>
      <c r="B3" s="8" t="s">
        <v>72</v>
      </c>
      <c r="C3" s="4" t="s">
        <v>186</v>
      </c>
      <c r="D3" s="4" t="s">
        <v>53</v>
      </c>
      <c r="E3" s="8" t="s">
        <v>64</v>
      </c>
      <c r="F3" s="4" t="s">
        <v>187</v>
      </c>
    </row>
    <row r="4" spans="1:6">
      <c r="A4" s="3">
        <v>46119.509722222225</v>
      </c>
      <c r="B4" s="4" t="s">
        <v>56</v>
      </c>
      <c r="C4" s="4" t="s">
        <v>188</v>
      </c>
      <c r="D4" s="4" t="s">
        <v>48</v>
      </c>
      <c r="E4" s="8" t="s">
        <v>64</v>
      </c>
      <c r="F4" s="4" t="s">
        <v>189</v>
      </c>
    </row>
    <row r="5" spans="1:6">
      <c r="A5" s="3">
        <v>46120.03402777778</v>
      </c>
      <c r="B5" s="4" t="s">
        <v>51</v>
      </c>
      <c r="C5" s="4" t="s">
        <v>190</v>
      </c>
      <c r="D5" s="4" t="s">
        <v>53</v>
      </c>
      <c r="E5" s="8" t="s">
        <v>64</v>
      </c>
      <c r="F5" s="4" t="s">
        <v>191</v>
      </c>
    </row>
    <row r="6" spans="1:6">
      <c r="A6" s="3">
        <v>46121.065972222219</v>
      </c>
      <c r="B6" s="4" t="s">
        <v>51</v>
      </c>
      <c r="C6" s="4" t="s">
        <v>192</v>
      </c>
      <c r="D6" s="4" t="s">
        <v>48</v>
      </c>
      <c r="E6" s="8" t="s">
        <v>64</v>
      </c>
      <c r="F6" s="4" t="s">
        <v>193</v>
      </c>
    </row>
    <row r="7" spans="1:6">
      <c r="A7" s="3">
        <v>46121.487500000003</v>
      </c>
      <c r="B7" s="4" t="s">
        <v>56</v>
      </c>
      <c r="C7" s="4" t="s">
        <v>133</v>
      </c>
      <c r="D7" s="4" t="s">
        <v>48</v>
      </c>
      <c r="E7" s="4" t="s">
        <v>54</v>
      </c>
      <c r="F7" s="4" t="s">
        <v>194</v>
      </c>
    </row>
    <row r="8" spans="1:6">
      <c r="A8" s="3">
        <v>46125.671527777777</v>
      </c>
      <c r="B8" s="4" t="s">
        <v>46</v>
      </c>
      <c r="C8" s="4"/>
      <c r="D8" s="4" t="s">
        <v>48</v>
      </c>
      <c r="E8" s="8" t="s">
        <v>64</v>
      </c>
      <c r="F8" s="4" t="s">
        <v>195</v>
      </c>
    </row>
    <row r="9" spans="1:6">
      <c r="A9" s="3"/>
      <c r="B9" s="4"/>
      <c r="C9" s="4"/>
      <c r="D9" s="4"/>
      <c r="E9" s="8"/>
      <c r="F9" s="4"/>
    </row>
    <row r="10" spans="1:6">
      <c r="A10" s="3"/>
      <c r="B10" s="4"/>
      <c r="C10" s="4"/>
      <c r="D10" s="4"/>
      <c r="E10" s="8"/>
      <c r="F10" s="4"/>
    </row>
    <row r="11" spans="1:6">
      <c r="A11" s="3"/>
      <c r="B11" s="4"/>
      <c r="C11" s="4"/>
      <c r="D11" s="4"/>
      <c r="E11" s="8"/>
      <c r="F11" s="4"/>
    </row>
    <row r="12" spans="1:6">
      <c r="A12" s="3"/>
      <c r="B12" s="4"/>
      <c r="C12" s="4"/>
      <c r="D12" s="4"/>
      <c r="E12" s="8"/>
      <c r="F12" s="4"/>
    </row>
    <row r="13" spans="1:6">
      <c r="A13" s="3"/>
      <c r="B13" s="4"/>
      <c r="C13" s="4"/>
      <c r="D13" s="4"/>
      <c r="E13" s="8"/>
      <c r="F13" s="4"/>
    </row>
    <row r="14" spans="1:6">
      <c r="A14" s="3"/>
      <c r="B14" s="8"/>
      <c r="C14" s="4"/>
      <c r="D14" s="4"/>
      <c r="E14" s="8"/>
      <c r="F14" s="4"/>
    </row>
    <row r="15" spans="1:6">
      <c r="A15" s="3"/>
      <c r="B15" s="8"/>
      <c r="C15" s="4"/>
      <c r="D15" s="4"/>
      <c r="E15" s="4"/>
      <c r="F15" s="4"/>
    </row>
    <row r="16" spans="1:6">
      <c r="A16" s="3"/>
      <c r="B16" s="8"/>
      <c r="C16" s="4"/>
      <c r="D16" s="4"/>
      <c r="E16" s="8"/>
      <c r="F16" s="4"/>
    </row>
    <row r="17" spans="1:6">
      <c r="A17" s="3"/>
      <c r="B17" s="8"/>
      <c r="C17" s="4"/>
      <c r="D17" s="4"/>
      <c r="E17" s="8"/>
      <c r="F17" s="4"/>
    </row>
    <row r="18" spans="1:6">
      <c r="A18" s="3"/>
      <c r="B18" s="4"/>
      <c r="C18" s="9"/>
      <c r="D18" s="4"/>
      <c r="E18" s="8"/>
      <c r="F18" s="4"/>
    </row>
    <row r="19" spans="1:6">
      <c r="A19" s="3"/>
      <c r="B19" s="8"/>
      <c r="C19" s="4"/>
      <c r="D19" s="4"/>
      <c r="E19" s="4"/>
      <c r="F19" s="4"/>
    </row>
    <row r="20" spans="1:6">
      <c r="A20" s="3"/>
      <c r="B20" s="4"/>
      <c r="C20" s="4"/>
      <c r="D20" s="4"/>
      <c r="E20" s="8"/>
      <c r="F20" s="4"/>
    </row>
    <row r="21" spans="1:6">
      <c r="A21" s="3"/>
      <c r="B21" s="4"/>
      <c r="C21" s="4"/>
      <c r="D21" s="4"/>
      <c r="E21" s="4"/>
      <c r="F21" s="4"/>
    </row>
    <row r="22" spans="1:6">
      <c r="A22" s="3"/>
      <c r="B22" s="4"/>
      <c r="C22" s="4"/>
      <c r="D22" s="4"/>
      <c r="E22" s="4"/>
      <c r="F22" s="4"/>
    </row>
    <row r="23" spans="1:6">
      <c r="A23" s="3"/>
      <c r="B23" s="4"/>
      <c r="C23" s="4"/>
      <c r="D23" s="4"/>
      <c r="E23" s="4"/>
      <c r="F23" s="4"/>
    </row>
    <row r="24" spans="1:6">
      <c r="A24" s="3"/>
      <c r="B24" s="4"/>
      <c r="C24" s="4"/>
      <c r="D24" s="4"/>
      <c r="E24" s="8"/>
      <c r="F24" s="4"/>
    </row>
    <row r="25" spans="1:6">
      <c r="A25" s="3"/>
      <c r="B25" s="4"/>
      <c r="C25" s="4"/>
      <c r="D25" s="4"/>
      <c r="E25" s="8"/>
      <c r="F25" s="4"/>
    </row>
    <row r="26" spans="1:6">
      <c r="A26" s="3"/>
      <c r="B26" s="4"/>
      <c r="C26" s="4"/>
      <c r="D26" s="4"/>
      <c r="E26" s="8"/>
      <c r="F26" s="4"/>
    </row>
    <row r="27" spans="1:6">
      <c r="A27" s="3"/>
      <c r="B27" s="8"/>
      <c r="C27" s="4"/>
      <c r="D27" s="4"/>
      <c r="E27" s="8"/>
      <c r="F27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48"/>
  <sheetViews>
    <sheetView topLeftCell="A4" workbookViewId="0">
      <selection activeCell="B18" sqref="B18"/>
    </sheetView>
  </sheetViews>
  <sheetFormatPr defaultColWidth="11.42578125" defaultRowHeight="14.45"/>
  <cols>
    <col min="1" max="1" width="29" bestFit="1" customWidth="1"/>
    <col min="2" max="2" width="19.140625" bestFit="1" customWidth="1"/>
    <col min="3" max="4" width="3" bestFit="1" customWidth="1"/>
    <col min="5" max="5" width="12.5703125" bestFit="1" customWidth="1"/>
  </cols>
  <sheetData>
    <row r="3" spans="1:2">
      <c r="A3" s="10" t="s">
        <v>196</v>
      </c>
      <c r="B3" t="s">
        <v>197</v>
      </c>
    </row>
    <row r="4" spans="1:2">
      <c r="A4" s="11" t="s">
        <v>61</v>
      </c>
      <c r="B4">
        <v>15</v>
      </c>
    </row>
    <row r="5" spans="1:2">
      <c r="A5" s="11" t="s">
        <v>56</v>
      </c>
      <c r="B5">
        <v>11</v>
      </c>
    </row>
    <row r="6" spans="1:2">
      <c r="A6" s="11" t="s">
        <v>51</v>
      </c>
      <c r="B6">
        <v>10</v>
      </c>
    </row>
    <row r="7" spans="1:2">
      <c r="A7" s="11" t="s">
        <v>46</v>
      </c>
      <c r="B7">
        <v>9</v>
      </c>
    </row>
    <row r="8" spans="1:2">
      <c r="A8" s="11" t="s">
        <v>72</v>
      </c>
      <c r="B8">
        <v>5</v>
      </c>
    </row>
    <row r="9" spans="1:2">
      <c r="A9" s="11" t="s">
        <v>78</v>
      </c>
      <c r="B9">
        <v>5</v>
      </c>
    </row>
    <row r="10" spans="1:2">
      <c r="A10" s="11" t="s">
        <v>84</v>
      </c>
      <c r="B10">
        <v>4</v>
      </c>
    </row>
    <row r="11" spans="1:2">
      <c r="A11" s="11" t="s">
        <v>66</v>
      </c>
      <c r="B11">
        <v>4</v>
      </c>
    </row>
    <row r="12" spans="1:2">
      <c r="A12" s="11" t="s">
        <v>141</v>
      </c>
      <c r="B12">
        <v>4</v>
      </c>
    </row>
    <row r="13" spans="1:2">
      <c r="A13" s="11" t="s">
        <v>146</v>
      </c>
      <c r="B13">
        <v>3</v>
      </c>
    </row>
    <row r="14" spans="1:2">
      <c r="A14" s="11" t="s">
        <v>159</v>
      </c>
      <c r="B14">
        <v>2</v>
      </c>
    </row>
    <row r="15" spans="1:2">
      <c r="A15" s="11" t="s">
        <v>198</v>
      </c>
      <c r="B15">
        <v>72</v>
      </c>
    </row>
    <row r="32" spans="1:2">
      <c r="A32" s="10" t="s">
        <v>196</v>
      </c>
      <c r="B32" t="s">
        <v>197</v>
      </c>
    </row>
    <row r="33" spans="1:2">
      <c r="A33" s="11" t="s">
        <v>48</v>
      </c>
      <c r="B33">
        <v>42</v>
      </c>
    </row>
    <row r="34" spans="1:2">
      <c r="A34" s="11" t="s">
        <v>53</v>
      </c>
      <c r="B34">
        <v>23</v>
      </c>
    </row>
    <row r="35" spans="1:2">
      <c r="A35" s="11" t="s">
        <v>63</v>
      </c>
      <c r="B35">
        <v>7</v>
      </c>
    </row>
    <row r="36" spans="1:2">
      <c r="A36" s="11" t="s">
        <v>198</v>
      </c>
      <c r="B36">
        <v>72</v>
      </c>
    </row>
    <row r="41" spans="1:2">
      <c r="A41" s="10" t="s">
        <v>196</v>
      </c>
      <c r="B41" t="s">
        <v>197</v>
      </c>
    </row>
    <row r="42" spans="1:2">
      <c r="A42" s="11" t="s">
        <v>64</v>
      </c>
      <c r="B42">
        <v>33</v>
      </c>
    </row>
    <row r="43" spans="1:2">
      <c r="A43" s="11" t="s">
        <v>54</v>
      </c>
      <c r="B43">
        <v>17</v>
      </c>
    </row>
    <row r="44" spans="1:2">
      <c r="A44" s="11" t="s">
        <v>49</v>
      </c>
      <c r="B44">
        <v>13</v>
      </c>
    </row>
    <row r="45" spans="1:2">
      <c r="A45" s="11" t="s">
        <v>80</v>
      </c>
      <c r="B45">
        <v>6</v>
      </c>
    </row>
    <row r="46" spans="1:2">
      <c r="A46" s="11" t="s">
        <v>74</v>
      </c>
      <c r="B46">
        <v>2</v>
      </c>
    </row>
    <row r="47" spans="1:2">
      <c r="A47" s="11" t="s">
        <v>68</v>
      </c>
      <c r="B47">
        <v>1</v>
      </c>
    </row>
    <row r="48" spans="1:2">
      <c r="A48" s="11" t="s">
        <v>198</v>
      </c>
      <c r="B48">
        <v>72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73"/>
  <sheetViews>
    <sheetView topLeftCell="A40" workbookViewId="0">
      <selection activeCell="D76" sqref="D76"/>
    </sheetView>
  </sheetViews>
  <sheetFormatPr defaultColWidth="11.42578125" defaultRowHeight="14.45"/>
  <cols>
    <col min="1" max="1" width="15.42578125" bestFit="1" customWidth="1"/>
    <col min="2" max="2" width="5" bestFit="1" customWidth="1"/>
    <col min="3" max="3" width="4.7109375" bestFit="1" customWidth="1"/>
    <col min="4" max="4" width="30.42578125" bestFit="1" customWidth="1"/>
    <col min="5" max="5" width="140.140625" bestFit="1" customWidth="1"/>
    <col min="8" max="8" width="13.5703125" bestFit="1" customWidth="1"/>
  </cols>
  <sheetData>
    <row r="1" spans="1:8">
      <c r="A1" s="2" t="s">
        <v>1</v>
      </c>
      <c r="B1" s="2" t="s">
        <v>199</v>
      </c>
      <c r="C1" s="2" t="s">
        <v>200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  <row r="67" spans="1:8">
      <c r="A67" s="3">
        <v>46109.51666666667</v>
      </c>
      <c r="B67" s="4">
        <f t="shared" ref="B67" si="4">YEAR(A67)</f>
        <v>2026</v>
      </c>
      <c r="C67" s="4">
        <f t="shared" ref="C67" si="5">MONTH(A67)</f>
        <v>3</v>
      </c>
      <c r="D67" s="4" t="s">
        <v>66</v>
      </c>
      <c r="E67" s="4" t="s">
        <v>182</v>
      </c>
      <c r="F67" s="4" t="s">
        <v>63</v>
      </c>
      <c r="G67" s="8" t="s">
        <v>64</v>
      </c>
      <c r="H67" s="4" t="s">
        <v>183</v>
      </c>
    </row>
    <row r="68" spans="1:8">
      <c r="A68" s="3">
        <v>46117.875694444447</v>
      </c>
      <c r="B68" s="4">
        <f t="shared" ref="B68:B70" si="6">YEAR(A68)</f>
        <v>2026</v>
      </c>
      <c r="C68" s="4">
        <f t="shared" ref="C68:C70" si="7">MONTH(A68)</f>
        <v>4</v>
      </c>
      <c r="D68" s="8" t="s">
        <v>61</v>
      </c>
      <c r="E68" s="4" t="s">
        <v>184</v>
      </c>
      <c r="F68" s="4" t="s">
        <v>53</v>
      </c>
      <c r="G68" s="8" t="s">
        <v>49</v>
      </c>
      <c r="H68" s="4" t="s">
        <v>185</v>
      </c>
    </row>
    <row r="69" spans="1:8">
      <c r="A69" s="3">
        <v>46118.667361111111</v>
      </c>
      <c r="B69" s="4">
        <f t="shared" si="6"/>
        <v>2026</v>
      </c>
      <c r="C69" s="4">
        <f t="shared" si="7"/>
        <v>4</v>
      </c>
      <c r="D69" s="8" t="s">
        <v>72</v>
      </c>
      <c r="E69" s="4" t="s">
        <v>186</v>
      </c>
      <c r="F69" s="4" t="s">
        <v>53</v>
      </c>
      <c r="G69" s="8" t="s">
        <v>64</v>
      </c>
      <c r="H69" s="4" t="s">
        <v>187</v>
      </c>
    </row>
    <row r="70" spans="1:8">
      <c r="A70" s="3">
        <v>46119.509722222225</v>
      </c>
      <c r="B70" s="4">
        <f t="shared" si="6"/>
        <v>2026</v>
      </c>
      <c r="C70" s="4">
        <f t="shared" si="7"/>
        <v>4</v>
      </c>
      <c r="D70" s="4" t="s">
        <v>56</v>
      </c>
      <c r="E70" s="4" t="s">
        <v>188</v>
      </c>
      <c r="F70" s="4" t="s">
        <v>48</v>
      </c>
      <c r="G70" s="8" t="s">
        <v>64</v>
      </c>
      <c r="H70" s="4" t="s">
        <v>189</v>
      </c>
    </row>
    <row r="71" spans="1:8">
      <c r="A71" s="3">
        <v>46120.03402777778</v>
      </c>
      <c r="B71" s="4">
        <f t="shared" ref="B71" si="8">YEAR(A71)</f>
        <v>2026</v>
      </c>
      <c r="C71" s="4">
        <f t="shared" ref="C71" si="9">MONTH(A71)</f>
        <v>4</v>
      </c>
      <c r="D71" s="4" t="s">
        <v>51</v>
      </c>
      <c r="E71" s="4" t="s">
        <v>190</v>
      </c>
      <c r="F71" s="4" t="s">
        <v>53</v>
      </c>
      <c r="G71" s="8" t="s">
        <v>64</v>
      </c>
      <c r="H71" s="4" t="s">
        <v>191</v>
      </c>
    </row>
    <row r="72" spans="1:8">
      <c r="A72" s="3">
        <v>46121.065972222219</v>
      </c>
      <c r="B72" s="4">
        <f t="shared" ref="B72:B73" si="10">YEAR(A72)</f>
        <v>2026</v>
      </c>
      <c r="C72" s="4">
        <f t="shared" ref="C72:C73" si="11">MONTH(A72)</f>
        <v>4</v>
      </c>
      <c r="D72" s="4" t="s">
        <v>51</v>
      </c>
      <c r="E72" s="4" t="s">
        <v>192</v>
      </c>
      <c r="F72" s="4" t="s">
        <v>48</v>
      </c>
      <c r="G72" s="8" t="s">
        <v>64</v>
      </c>
      <c r="H72" s="4" t="s">
        <v>193</v>
      </c>
    </row>
    <row r="73" spans="1:8">
      <c r="A73" s="3">
        <v>46121.487500000003</v>
      </c>
      <c r="B73" s="4">
        <f t="shared" si="10"/>
        <v>2026</v>
      </c>
      <c r="C73" s="4">
        <f t="shared" si="11"/>
        <v>4</v>
      </c>
      <c r="D73" s="4" t="s">
        <v>56</v>
      </c>
      <c r="E73" s="4" t="s">
        <v>133</v>
      </c>
      <c r="F73" s="4" t="s">
        <v>48</v>
      </c>
      <c r="G73" s="4" t="s">
        <v>54</v>
      </c>
      <c r="H73" s="4" t="s">
        <v>194</v>
      </c>
    </row>
  </sheetData>
  <autoFilter ref="A1:H66" xr:uid="{DC420DAD-5C3F-4AC4-8C45-31044FCB8DD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C0D4DF-6071-4046-B7AC-501C9AB0FDE0}"/>
</file>

<file path=customXml/itemProps2.xml><?xml version="1.0" encoding="utf-8"?>
<ds:datastoreItem xmlns:ds="http://schemas.openxmlformats.org/officeDocument/2006/customXml" ds:itemID="{BB6A9765-6A9A-42B7-B0FA-1DED4C3A31B2}"/>
</file>

<file path=customXml/itemProps3.xml><?xml version="1.0" encoding="utf-8"?>
<ds:datastoreItem xmlns:ds="http://schemas.openxmlformats.org/officeDocument/2006/customXml" ds:itemID="{A8FD8841-DBA1-4C6B-8D4A-01F1393CDCE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Martin Pavon Fernando</cp:lastModifiedBy>
  <cp:revision/>
  <dcterms:created xsi:type="dcterms:W3CDTF">2026-01-05T07:23:39Z</dcterms:created>
  <dcterms:modified xsi:type="dcterms:W3CDTF">2026-04-14T09:27:03Z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