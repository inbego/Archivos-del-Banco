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Reportes/7.3 ABBA Dashboard/"/>
    </mc:Choice>
  </mc:AlternateContent>
  <xr:revisionPtr revIDLastSave="570" documentId="120_S{52A51CD7-DAF4-51AA-A050-913CA746B7D8}" xr6:coauthVersionLast="47" xr6:coauthVersionMax="47" xr10:uidLastSave="{3A832321-0ECC-47A5-9A19-6B36CCF270C5}"/>
  <bookViews>
    <workbookView xWindow="38280" yWindow="-120" windowWidth="38640" windowHeight="21120" firstSheet="6" activeTab="6" xr2:uid="{50CF0E39-8707-4403-9977-7465484F5991}"/>
  </bookViews>
  <sheets>
    <sheet name="Diciembre 2025" sheetId="1" r:id="rId1"/>
    <sheet name="Enero 2026" sheetId="5" r:id="rId2"/>
    <sheet name="Febrero 2026" sheetId="6" r:id="rId3"/>
    <sheet name="Marzo 2026" sheetId="7" r:id="rId4"/>
    <sheet name="Abril 2026" sheetId="10" r:id="rId5"/>
    <sheet name="Mayo 2026" sheetId="11" r:id="rId6"/>
    <sheet name="Junio 2026" sheetId="12" r:id="rId7"/>
    <sheet name="TD" sheetId="9" r:id="rId8"/>
    <sheet name="Datos" sheetId="8" state="hidden" r:id="rId9"/>
  </sheets>
  <definedNames>
    <definedName name="_xlnm._FilterDatabase" localSheetId="8" hidden="1">Datos!$A$1:$H$66</definedName>
    <definedName name="SegmentaciónDeDatos_Año">#N/A</definedName>
    <definedName name="SegmentaciónDeDatos_Mes">#N/A</definedName>
  </definedNames>
  <calcPr calcId="191028"/>
  <pivotCaches>
    <pivotCache cacheId="32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8" l="1"/>
  <c r="C93" i="8"/>
  <c r="B94" i="8"/>
  <c r="C94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72" i="8"/>
  <c r="C72" i="8"/>
  <c r="B73" i="8"/>
  <c r="C73" i="8"/>
  <c r="B71" i="8"/>
  <c r="C71" i="8"/>
  <c r="B68" i="8"/>
  <c r="C68" i="8"/>
  <c r="B69" i="8"/>
  <c r="C69" i="8"/>
  <c r="B70" i="8"/>
  <c r="C70" i="8"/>
  <c r="B67" i="8"/>
  <c r="C67" i="8"/>
  <c r="B66" i="8"/>
  <c r="C66" i="8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C2" i="8"/>
  <c r="B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tc={0F41AF2C-3926-4FE9-ACE0-934D9AE84481}</author>
  </authors>
  <commentList>
    <comment ref="F8" authorId="0" shapeId="0" xr:uid="{0F41AF2C-3926-4FE9-ACE0-934D9AE84481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hay algo que falla, Erick a las 6:43 no esta en turno, por los correos se ve que el manda el update y el revised fuera de si horario.
O se ha conectado antes de tiempo o  se ha reusado un correo y no han quitado su firma</t>
      </text>
    </comment>
  </commentList>
</comments>
</file>

<file path=xl/sharedStrings.xml><?xml version="1.0" encoding="utf-8"?>
<sst xmlns="http://schemas.openxmlformats.org/spreadsheetml/2006/main" count="1226" uniqueCount="304">
  <si>
    <t>Asunto</t>
  </si>
  <si>
    <t>Enviado el</t>
  </si>
  <si>
    <t xml:space="preserve">Operador </t>
  </si>
  <si>
    <t>Causa</t>
  </si>
  <si>
    <t>[REVISED]Update Incident // GSNET Cloud // AWS Sao Paulo // SDWGS-BRA-SAO-AWS-EDG-02 - Global Cards - Multiple Tunnels // Up // INC061949223 (P5) - Impact: NO</t>
  </si>
  <si>
    <t>Leobardo</t>
  </si>
  <si>
    <t>Incident duration incompleto</t>
  </si>
  <si>
    <t>[REVISED] Aperture Incident // GSNET International // Corp. DC - Boadilla Este // BSAN-ESP-BOE-MW-B-000015 // Up // INC061382786 (P5) - Impact: YES</t>
  </si>
  <si>
    <t>Luis Enrique</t>
  </si>
  <si>
    <t>Time stamp  de eventos mal fechado</t>
  </si>
  <si>
    <t>[REVISED] Aperture Incident // GSNET Cloud // AWS Dublin // SDWGS-IRL-DUB-AWS-EDG-01 - SAM - Tu100030 // Up // Saturation // INC061842431 (P5) - Impact: NO</t>
  </si>
  <si>
    <t>Gabriel</t>
  </si>
  <si>
    <t>Numero de incidencia incorrecto</t>
  </si>
  <si>
    <t>[REVISED] Update Incident // GSNET Cloud // AWS Dublin // SDWGS-IRL-DUB-AWS-EDG-01 - SCF - Tu100009   // Up // Saturation // INC061711676 (P5) - Impact: NO</t>
  </si>
  <si>
    <t>En Events indica que el circuito está estable por mas de 24h y proceder a cerrar. Incorrecto ya que el circuito apenas habia recuperado de la saturacion 3h antes.</t>
  </si>
  <si>
    <t>[REVISED] Aperture Incident // GSNET Cloud // AWS Dublin // SDWGS-IRL-DUB-AWS-EDG-01 - SCIB - Tu100040 // Up // INC061773272 (P5) - Impact: NO</t>
  </si>
  <si>
    <t>Incident start time mal fechado</t>
  </si>
  <si>
    <t>[REVISED] Update Incident // GSNET International // Office SCF - Milano // BSAN-ITA-MIL-MW-U-000033 // Up // Latency // INC061729499 (P5) - Impact: Pending</t>
  </si>
  <si>
    <t>En Para: del correo incompleto</t>
  </si>
  <si>
    <t>[REVISED] Update Incident // GSNET Cloud // AWS Dublin // SDWGS-IRL-DUB-AWS-EDG-01 - SAM - Tu100029 // Up // Saturation // INC061739449 (P5) - Impact: NO</t>
  </si>
  <si>
    <t>[REVISED] Update Incident // GSNET International // Office SAM - Germany // SDWGS-DEU-FRA-SAM-EDG-02 // Down // INC061601235 (P5) - Impact: Pending</t>
  </si>
  <si>
    <t>Asunto ponen Aperture en vez de Update</t>
  </si>
  <si>
    <t>[REVISED] Update Incident // GSNET Data // DR Chile // ASWREPCLCPQS_DISDRBCEBO2 // Down // INC061303892 (P5) - Impact: NO</t>
  </si>
  <si>
    <t>Christian</t>
  </si>
  <si>
    <t>ETR mal documentado</t>
  </si>
  <si>
    <t>[REVISED] Update Incident // Campus Conectivity // JOSEFA VALCARCEL 34-36 // CEJOSEFA2 to VCIXCN1_NEW // Down // INC061456547 (P5) - Impact: Pending</t>
  </si>
  <si>
    <t>Incident End time y Events mal docuementado</t>
  </si>
  <si>
    <t>Jared</t>
  </si>
  <si>
    <t>ETR sin documentar</t>
  </si>
  <si>
    <t>[REVISED] Update Incident // GSNET Cloud // AWS Dublin // SDWGS-IRL-DUB-AWS-EDG-02 - SCIB - Tu100039 // Up // Flaps // INC061194917 (P5) - Impact: NO</t>
  </si>
  <si>
    <t>[REVISED] Update Incident // GSNET International // Argentina - Antequera // BSAN-ARG-BUE-MW-U-000001 // Up // INC061098005 (P5) - Impact: NO</t>
  </si>
  <si>
    <t>Events mal documentado</t>
  </si>
  <si>
    <t>[REVISED] Update Incident // GSNET Cloud // AWS London // SDWGS-GBR-LON-AWS-EDG-01 - Global Cards - Tu100004   // Up // Saturation // INC061005911 (P5) - Impact: NO</t>
  </si>
  <si>
    <t>Incident End time mal docuementado</t>
  </si>
  <si>
    <t>[REVISED] Closure Incident // GSNET International // Corp. DC – Carlton Park DC2 // BSAN-GBR-LC2-MW-M-000052 // Up // Flaps // INC060970379 (P5) - Impact: NO</t>
  </si>
  <si>
    <t>Daniel</t>
  </si>
  <si>
    <t>Asunto pone Update en vez de Closure</t>
  </si>
  <si>
    <t>[REVISED] Update Incident // GSNET Data // DR Mexico // DSWDRTX2_DSWIXCS01 // Up // INC060875471 (P5) - Impact: YES</t>
  </si>
  <si>
    <t>[REVISED] Update Incident // GSNET Cloud // AWS Virginia // SDWGS-USA-VIR-AWS-EDG-01 - Global Cards - Tu100004 // Up // Saturation // INC061029699 (P5) - Impact: NO</t>
  </si>
  <si>
    <t>[REVISED] Update Incident // GSNET Data // DR Mexico // DSWDRTX1_DSWIXCN01 // Up // Flaps // INC061017476 (P5) - Impact: Pending</t>
  </si>
  <si>
    <t>[REVISED] Aperture Incident // GSNET Data // DR Mexico // DSWDRTX1_DSWIXCN01 // Up // Flaps // INC061017476 (P5) - Impact: Pending</t>
  </si>
  <si>
    <t>[REVISED] Update Incident // GSNET Cloud // AWS Dublin // SDWGS-IRL-DUB-AWS-EDG-01 - SCF - Tu100009 // Up // Saturation // INC060987365 (P5) - Impact: NO</t>
  </si>
  <si>
    <t>Incident End time sin docuementar</t>
  </si>
  <si>
    <t>Notificación</t>
  </si>
  <si>
    <t>Tipo</t>
  </si>
  <si>
    <t>Incidencia</t>
  </si>
  <si>
    <t>Cesar Caleb Cuevas Marquez</t>
  </si>
  <si>
    <t>Se dejó correo anterior en el hilo</t>
  </si>
  <si>
    <t>Update</t>
  </si>
  <si>
    <t>GSNET Data</t>
  </si>
  <si>
    <t xml:space="preserve">INC062149858 </t>
  </si>
  <si>
    <t>Luis Enrique Zarazua Vargas</t>
  </si>
  <si>
    <t>Ponen otro equipo en la incidencia que no tiene nada que ver</t>
  </si>
  <si>
    <t>Aperture</t>
  </si>
  <si>
    <t>GSNET Cloud</t>
  </si>
  <si>
    <t xml:space="preserve">INC062291466 </t>
  </si>
  <si>
    <t>Gabriel Daniel Chiriac</t>
  </si>
  <si>
    <t>Envian la notificación como closure cuando tocaba update</t>
  </si>
  <si>
    <t xml:space="preserve">INC062465186 </t>
  </si>
  <si>
    <t>Ponen un túnel que no es en el aperture</t>
  </si>
  <si>
    <t xml:space="preserve">INC062504973 </t>
  </si>
  <si>
    <t>Christian Alfredo Guerrero Banda</t>
  </si>
  <si>
    <t>No cambian el asunto al closure y lo mandan como update</t>
  </si>
  <si>
    <t>Closure</t>
  </si>
  <si>
    <t>GSNET International</t>
  </si>
  <si>
    <t xml:space="preserve">INC062330243 </t>
  </si>
  <si>
    <t>Óscar Rodríguez Zárate</t>
  </si>
  <si>
    <t>Falta poner la hora de recuperación en el update.</t>
  </si>
  <si>
    <t>Branches Connectivity</t>
  </si>
  <si>
    <t xml:space="preserve">INC062437368 </t>
  </si>
  <si>
    <t>Ponen Impact: 0 en vez de Impact: NO</t>
  </si>
  <si>
    <t xml:space="preserve">INC062539460 </t>
  </si>
  <si>
    <t>Leobardo Angel Ibarra Rios</t>
  </si>
  <si>
    <t>Se especifica en el evento la descripción de la BGP que tiene incidencia</t>
  </si>
  <si>
    <t>GSNET Internet</t>
  </si>
  <si>
    <t xml:space="preserve">INC062673306 </t>
  </si>
  <si>
    <t>No se pone el día y hora del nuevo evento en la incidencia</t>
  </si>
  <si>
    <t xml:space="preserve">INC062582528 </t>
  </si>
  <si>
    <t>Cruz Jared Orta Vargas</t>
  </si>
  <si>
    <t>Falta por poner el nuevo tramo de la incidencia</t>
  </si>
  <si>
    <t>Campus Conectivity</t>
  </si>
  <si>
    <t xml:space="preserve">INC062692010 </t>
  </si>
  <si>
    <t>Se equivocan  en las horas que ponen en el evento</t>
  </si>
  <si>
    <t xml:space="preserve">INC062801426 </t>
  </si>
  <si>
    <t>Fernando Martín Pavón</t>
  </si>
  <si>
    <t>Falta información en la descripción del evento.</t>
  </si>
  <si>
    <t xml:space="preserve">INC062812128 </t>
  </si>
  <si>
    <t>Equipo afectado equivocado.</t>
  </si>
  <si>
    <t xml:space="preserve">INC062796617 </t>
  </si>
  <si>
    <t>Se envía como que el equipo estaba caído cuando ya había recuperado.</t>
  </si>
  <si>
    <t xml:space="preserve">INC062853959 </t>
  </si>
  <si>
    <t>Falta por poner nuevo tramo en la incidencia.</t>
  </si>
  <si>
    <t>INC062864483</t>
  </si>
  <si>
    <t>Se envía como que el equipo es Telefónica CTOS 1 y la incidencia fue en Telefónica CTOS 2</t>
  </si>
  <si>
    <t xml:space="preserve">INC062960520 </t>
  </si>
  <si>
    <t xml:space="preserve">INC063043694 </t>
  </si>
  <si>
    <t>Se envia la notificación con el correo personal en vez de con el buzon general.</t>
  </si>
  <si>
    <t xml:space="preserve">INC063109161 </t>
  </si>
  <si>
    <t>Hora del evento errónea</t>
  </si>
  <si>
    <t xml:space="preserve">INC063132793 </t>
  </si>
  <si>
    <t>RFO mal</t>
  </si>
  <si>
    <t xml:space="preserve">INC063064670 </t>
  </si>
  <si>
    <t>Hora en el tramo final mal</t>
  </si>
  <si>
    <t xml:space="preserve">INC063101798 </t>
  </si>
  <si>
    <t>N/A</t>
  </si>
  <si>
    <t xml:space="preserve">INC063133486 </t>
  </si>
  <si>
    <t>Se envía como levantado cuando está caído.</t>
  </si>
  <si>
    <t xml:space="preserve">INC063192220 </t>
  </si>
  <si>
    <t>Falta por poner el nuevo tramo de inicio de la incidencia.</t>
  </si>
  <si>
    <t>Hora final incidencia mal puesta.</t>
  </si>
  <si>
    <t xml:space="preserve">INC063300693 </t>
  </si>
  <si>
    <t>Asunto mal puesto</t>
  </si>
  <si>
    <t xml:space="preserve">INC063298793 </t>
  </si>
  <si>
    <t>Asunto puesto como que está caido cuando estaba levantado.</t>
  </si>
  <si>
    <t xml:space="preserve">INC063397078 </t>
  </si>
  <si>
    <t>Asunto puesto como que está levantado cuando estaba caído.</t>
  </si>
  <si>
    <t xml:space="preserve">INC063382455 </t>
  </si>
  <si>
    <t>Equipo afectado erróneo</t>
  </si>
  <si>
    <t xml:space="preserve">INC063444725 </t>
  </si>
  <si>
    <t>Falta por poner el tramo final de la incidencia</t>
  </si>
  <si>
    <t xml:space="preserve">INC063414093 </t>
  </si>
  <si>
    <t>Hora mal puesta en el evento.</t>
  </si>
  <si>
    <t xml:space="preserve">INC063500902 </t>
  </si>
  <si>
    <t xml:space="preserve">GSNET Data </t>
  </si>
  <si>
    <t>Se envía como revised por error.</t>
  </si>
  <si>
    <t xml:space="preserve">INC063658583 </t>
  </si>
  <si>
    <t>Falta por poner hora de fin en la incidencia.</t>
  </si>
  <si>
    <t xml:space="preserve">INC063770663 </t>
  </si>
  <si>
    <t xml:space="preserve">INC063784064 </t>
  </si>
  <si>
    <t>Se envía un update cuando tendría que ser closure</t>
  </si>
  <si>
    <t xml:space="preserve">INC063783577 </t>
  </si>
  <si>
    <t>Se envia mal la fecha del uñtimo tramo de incidencia</t>
  </si>
  <si>
    <t xml:space="preserve">INC063813509 </t>
  </si>
  <si>
    <t>Se envía como aperture cuando es un update.</t>
  </si>
  <si>
    <t xml:space="preserve">INC063948606 </t>
  </si>
  <si>
    <t>Se envia DOWN cuando es UP (pero solo se cambia en el Asunto, el ticket sigue estando DOWN)</t>
  </si>
  <si>
    <t xml:space="preserve">INC063962808 </t>
  </si>
  <si>
    <t>Falta poner la hora de recuperacion</t>
  </si>
  <si>
    <t xml:space="preserve">INC063969716 </t>
  </si>
  <si>
    <t xml:space="preserve">INC064327564 </t>
  </si>
  <si>
    <t xml:space="preserve">INC064562557 </t>
  </si>
  <si>
    <t>Jorge González García</t>
  </si>
  <si>
    <t>Falta poner el nuevo tramo de incidencia (hora de inicio y de recuperación)</t>
  </si>
  <si>
    <t xml:space="preserve">INC064542991 </t>
  </si>
  <si>
    <t>Se abrio con el dispositivo afectado mal</t>
  </si>
  <si>
    <t xml:space="preserve">INC064511323 </t>
  </si>
  <si>
    <t>Erick Josue Castillo Zambrano</t>
  </si>
  <si>
    <t>No se puso en el evento que CCS confirmaba que no habia impacto</t>
  </si>
  <si>
    <t xml:space="preserve">INC064489257 </t>
  </si>
  <si>
    <t>Contactos erróneos</t>
  </si>
  <si>
    <t xml:space="preserve">INC064432487 </t>
  </si>
  <si>
    <t>Numero Incidencia erroneo.</t>
  </si>
  <si>
    <t xml:space="preserve">INC064451345 </t>
  </si>
  <si>
    <t>En Site en vez de poner IX Spain ponia IX UK</t>
  </si>
  <si>
    <t xml:space="preserve">INC064432788 </t>
  </si>
  <si>
    <t>Eran latencias y en el comentario puso saturacion</t>
  </si>
  <si>
    <t xml:space="preserve">INC064736051 </t>
  </si>
  <si>
    <t>Se mandó como DOWN cuando estaba UP</t>
  </si>
  <si>
    <t xml:space="preserve">INC064750957 </t>
  </si>
  <si>
    <t>Sergio Sanz Blázquez</t>
  </si>
  <si>
    <t>Esaba mal puesto el numero de la incidencia</t>
  </si>
  <si>
    <t xml:space="preserve">INC064796286 </t>
  </si>
  <si>
    <t>Se hizo un revised cuando no procedía</t>
  </si>
  <si>
    <t>NO procedia revised y se hace mal</t>
  </si>
  <si>
    <t xml:space="preserve">INC064913025 </t>
  </si>
  <si>
    <t>Se puso mal la hora de la incidencia en el evento</t>
  </si>
  <si>
    <t xml:space="preserve">INC064901917 </t>
  </si>
  <si>
    <t>Luis Enrique Zarazua</t>
  </si>
  <si>
    <t xml:space="preserve">INC065081350 </t>
  </si>
  <si>
    <t>Se puso mal la hora del Time Stamp</t>
  </si>
  <si>
    <t xml:space="preserve">INC063713614 </t>
  </si>
  <si>
    <t xml:space="preserve">INC065121394 </t>
  </si>
  <si>
    <t>Se envía como closure cuando es un update</t>
  </si>
  <si>
    <t>INC064990494</t>
  </si>
  <si>
    <t>INC065150206</t>
  </si>
  <si>
    <t>Se envía sin poner el túnel afectado y con una descripción del evento errónea.</t>
  </si>
  <si>
    <t>INC065161540</t>
  </si>
  <si>
    <t>Fuera de KCI. Se envía como levantado sin poner tramo del final de la incidencia y se manda revised de un update que no existe en vez del aperture anterior.</t>
  </si>
  <si>
    <t>INC065165941</t>
  </si>
  <si>
    <t>Se envía como aperture cuando era un update.</t>
  </si>
  <si>
    <t>INC065162365</t>
  </si>
  <si>
    <t xml:space="preserve">INC065253728 </t>
  </si>
  <si>
    <t>Era un Closure y lo mandaron como Update</t>
  </si>
  <si>
    <t>INC065403959</t>
  </si>
  <si>
    <t>Se equivoca de enlace</t>
  </si>
  <si>
    <t xml:space="preserve">INC065634193 </t>
  </si>
  <si>
    <t>Hora de inicio mal puesta.</t>
  </si>
  <si>
    <t xml:space="preserve">INC065692708 </t>
  </si>
  <si>
    <t>Se pidió poner una información en el evento y no se hizo. Se mandó revised corrigiéndolo.</t>
  </si>
  <si>
    <t>INC056357652</t>
  </si>
  <si>
    <t>Pone el enlace con la interfaz.</t>
  </si>
  <si>
    <t xml:space="preserve">INC065757089 </t>
  </si>
  <si>
    <t>Se olvida poner nuevos tramos de inicio/fin en la notificación.</t>
  </si>
  <si>
    <t>INC065805235</t>
  </si>
  <si>
    <t>INC065811095</t>
  </si>
  <si>
    <t>El site está mal puesto</t>
  </si>
  <si>
    <t>INC066018378</t>
  </si>
  <si>
    <t>Hora mal puesta en el evento</t>
  </si>
  <si>
    <t>INC066054335</t>
  </si>
  <si>
    <t>Se manda como down y esta up</t>
  </si>
  <si>
    <t>INC066072251</t>
  </si>
  <si>
    <t>Numero de incidencia mal puesto</t>
  </si>
  <si>
    <t>INC066075678</t>
  </si>
  <si>
    <t>Pone hora de fin de incidencia cuando la incidencia sigue activa</t>
  </si>
  <si>
    <t>Pone que es el IX de Tlf y es la de BT</t>
  </si>
  <si>
    <t>INC066159502</t>
  </si>
  <si>
    <t>Pone que el enlace esta recuperado y sigue caido</t>
  </si>
  <si>
    <t>Mal puesto la fecha de finalizacion de la incidencia</t>
  </si>
  <si>
    <t>INC066256287</t>
  </si>
  <si>
    <t>Horas mal puestas en el evento</t>
  </si>
  <si>
    <t>INC066285637</t>
  </si>
  <si>
    <t>se hace un update de este ticket cuando no procedia por equivocacion con otro equipo</t>
  </si>
  <si>
    <t>INC066259338</t>
  </si>
  <si>
    <t>Se pone mal el circuito afectado</t>
  </si>
  <si>
    <t>INC066310499</t>
  </si>
  <si>
    <t>Asunto y ticket no tienen nada que ver, son de entidades diferentes</t>
  </si>
  <si>
    <t>INC066259194</t>
  </si>
  <si>
    <t>Se manda como DOWN y esta UP</t>
  </si>
  <si>
    <t>Se manda mal la hora de fin de la incidencia</t>
  </si>
  <si>
    <t>INC066345996</t>
  </si>
  <si>
    <t>Ponen que la latencia ha terminado y no ha terminado</t>
  </si>
  <si>
    <t>INC066365882</t>
  </si>
  <si>
    <t>Se manda un ticket de otra incidencia</t>
  </si>
  <si>
    <t>INC066499555</t>
  </si>
  <si>
    <t>Numero de incidencia erroneo</t>
  </si>
  <si>
    <t>INC066492551</t>
  </si>
  <si>
    <t>Ponen hora de principio y fin de incidencia cuando aun sigue activa</t>
  </si>
  <si>
    <t>INC066562722</t>
  </si>
  <si>
    <t>Error en el conteo de los minutos (problema de la plantilla)</t>
  </si>
  <si>
    <t>INC066579419</t>
  </si>
  <si>
    <t>No pone la hora de finalización de la incidencia.</t>
  </si>
  <si>
    <t>Cloud</t>
  </si>
  <si>
    <t xml:space="preserve">INC066753490 </t>
  </si>
  <si>
    <t>Hora de finalización errónea. Se equivoca de incidencia.</t>
  </si>
  <si>
    <t xml:space="preserve">Campus </t>
  </si>
  <si>
    <t xml:space="preserve">INC066778895 </t>
  </si>
  <si>
    <t>Indicado que el tunel ha dejado de saturar, pero no es verdad, Ulises en turno noche lo tiene que rectificar</t>
  </si>
  <si>
    <t>INC066735145</t>
  </si>
  <si>
    <t>Ticket equivocado al realizar update</t>
  </si>
  <si>
    <t>Global</t>
  </si>
  <si>
    <t xml:space="preserve">INC066805981 </t>
  </si>
  <si>
    <t>Realizar un closure cuando no le correspondia</t>
  </si>
  <si>
    <t xml:space="preserve">INC066828442 </t>
  </si>
  <si>
    <t>Fallo al indicar el circuito afectado</t>
  </si>
  <si>
    <t xml:space="preserve">INC066827336 </t>
  </si>
  <si>
    <t>No se pone correctamente cuando ha finalizado la incidencia</t>
  </si>
  <si>
    <t xml:space="preserve">INC066811759 </t>
  </si>
  <si>
    <t>Se manda update indicando que recupera el circuito, pero el circuito no recupero</t>
  </si>
  <si>
    <t xml:space="preserve">INC066853020 </t>
  </si>
  <si>
    <t>Se manda con la ventana sin ajustar a los horarios que hay y sale cortado el ultimo tramo</t>
  </si>
  <si>
    <t>INC066926884</t>
  </si>
  <si>
    <t>Se manda mal el horario de la incidencia en eventos</t>
  </si>
  <si>
    <t>INC066880971</t>
  </si>
  <si>
    <t>Pone mal el equipo, es el MAIN y porne el BACKUP</t>
  </si>
  <si>
    <t>INC067126760</t>
  </si>
  <si>
    <t>Manda el correo como up pero no pone la hora de finalizacion</t>
  </si>
  <si>
    <t>INC067226406</t>
  </si>
  <si>
    <t>se manda con hora de finalizacion de incidencia y en realidad sigue activa</t>
  </si>
  <si>
    <t>INC067238803</t>
  </si>
  <si>
    <t>en la parte de las horas estaban tb ùestos los segundos pero tocaba hacer update y se podia haber corregido sin hacer revised</t>
  </si>
  <si>
    <t>INC067229254</t>
  </si>
  <si>
    <t>Esta todo correcto pero se hace un revised y se envia a los contactos que no son cuando el original estaba correcto</t>
  </si>
  <si>
    <t>INC067269618</t>
  </si>
  <si>
    <t>No pone la hora de inicio de la incidencia</t>
  </si>
  <si>
    <t>INC067335920</t>
  </si>
  <si>
    <t>Lo envia a unos contactos que no son los de la sede verdadera de la incidencia</t>
  </si>
  <si>
    <t>INC067338200</t>
  </si>
  <si>
    <t>INC067505012</t>
  </si>
  <si>
    <t>Se puso la sede mal, Cantabria Norte en vez de Sur</t>
  </si>
  <si>
    <t>INC067602012</t>
  </si>
  <si>
    <t>Se pone mal el numero de incidencia</t>
  </si>
  <si>
    <t>INC067629891</t>
  </si>
  <si>
    <t>No se pone la hora de finalizacion de la incidencia</t>
  </si>
  <si>
    <t>INC066706389</t>
  </si>
  <si>
    <t>Se equivoca en poner la hora de finalizacion en el evento</t>
  </si>
  <si>
    <t>INC067645717</t>
  </si>
  <si>
    <t>No pone los dos circuitos a los que afecta, solo uno</t>
  </si>
  <si>
    <t>INC067746257</t>
  </si>
  <si>
    <t>Se olvida poner cuanta ha aumentado la latencia</t>
  </si>
  <si>
    <t>INC067748508</t>
  </si>
  <si>
    <t>INC067754050</t>
  </si>
  <si>
    <t>Edgar Rendon Soto</t>
  </si>
  <si>
    <t>Lo envia como update cuando es un Aperture</t>
  </si>
  <si>
    <t>INC067981754</t>
  </si>
  <si>
    <t>Envia como Update y es un Aperture</t>
  </si>
  <si>
    <t>INC067992306</t>
  </si>
  <si>
    <t>pone dos circuitos y luego lo cambia a uno</t>
  </si>
  <si>
    <t>Campus</t>
  </si>
  <si>
    <t>INC068006225</t>
  </si>
  <si>
    <t>Envia como Update y es un Closure</t>
  </si>
  <si>
    <t>INC067993400</t>
  </si>
  <si>
    <t>13/06/2026 10:31</t>
  </si>
  <si>
    <t>Envia como Closure y es un Update</t>
  </si>
  <si>
    <t>INC068121067</t>
  </si>
  <si>
    <t>13/06/2026 15:03</t>
  </si>
  <si>
    <t>INC068148313</t>
  </si>
  <si>
    <t>INC068248493</t>
  </si>
  <si>
    <t>Se envia una nueva franja horaria de comienzo que luego eliminan</t>
  </si>
  <si>
    <t>INC068262416</t>
  </si>
  <si>
    <t>Etiquetas de fila</t>
  </si>
  <si>
    <t>Cuenta de Incidencia</t>
  </si>
  <si>
    <t>Total general</t>
  </si>
  <si>
    <t>Año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</si>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</sst>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22" fontId="0" fillId="0" borderId="0" xfId="0" applyNumberFormat="1"/>
    <xf numFmtId="0" fontId="1" fillId="2" borderId="0" xfId="0" applyFont="1" applyFill="1"/>
    <xf numFmtId="22" fontId="0" fillId="0" borderId="1" xfId="0" applyNumberForma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1" fillId="2" borderId="3" xfId="0" applyFont="1" applyFill="1" applyBorder="1"/>
    <xf numFmtId="22" fontId="0" fillId="0" borderId="2" xfId="0" applyNumberFormat="1" applyBorder="1"/>
    <xf numFmtId="0" fontId="6" fillId="0" borderId="0" xfId="0" applyFont="1"/>
    <xf numFmtId="22" fontId="0" fillId="3" borderId="2" xfId="0" applyNumberFormat="1" applyFill="1" applyBorder="1"/>
    <xf numFmtId="0" fontId="0" fillId="3" borderId="2" xfId="0" applyFill="1" applyBorder="1"/>
    <xf numFmtId="0" fontId="7" fillId="0" borderId="0" xfId="0" applyFont="1"/>
    <xf numFmtId="0" fontId="0" fillId="4" borderId="2" xfId="0" applyFill="1" applyBorder="1"/>
    <xf numFmtId="0" fontId="6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2" fontId="0" fillId="0" borderId="4" xfId="0" applyNumberFormat="1" applyBorder="1"/>
    <xf numFmtId="0" fontId="0" fillId="0" borderId="7" xfId="0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[Auditoria Revised.xlsx]TD!TablaDinámica1</c:name>
    <c:fmtId val="4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TD!$A$4:$A$15</c:f>
              <c:strCache>
                <c:ptCount val="11"/>
                <c:pt idx="0">
                  <c:v>Christian Alfredo Guerrero Banda</c:v>
                </c:pt>
                <c:pt idx="1">
                  <c:v>Cesar Caleb Cuevas Marquez</c:v>
                </c:pt>
                <c:pt idx="2">
                  <c:v>Gabriel Daniel Chiriac</c:v>
                </c:pt>
                <c:pt idx="3">
                  <c:v>Luis Enrique Zarazua Vargas</c:v>
                </c:pt>
                <c:pt idx="4">
                  <c:v>Leobardo Angel Ibarra Rios</c:v>
                </c:pt>
                <c:pt idx="5">
                  <c:v>Cruz Jared Orta Vargas</c:v>
                </c:pt>
                <c:pt idx="6">
                  <c:v>Sergio Sanz Blázquez</c:v>
                </c:pt>
                <c:pt idx="7">
                  <c:v>Óscar Rodríguez Zárate</c:v>
                </c:pt>
                <c:pt idx="8">
                  <c:v>Fernando Martín Pavón</c:v>
                </c:pt>
                <c:pt idx="9">
                  <c:v>Jorge González García</c:v>
                </c:pt>
                <c:pt idx="10">
                  <c:v>Erick Josue Castillo Zambrano</c:v>
                </c:pt>
              </c:strCache>
            </c:strRef>
          </c:cat>
          <c:val>
            <c:numRef>
              <c:f>TD!$B$4:$B$15</c:f>
              <c:numCache>
                <c:formatCode>General</c:formatCode>
                <c:ptCount val="11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2-4B9B-9E11-7F4C91DAE4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9741488"/>
        <c:axId val="1299739568"/>
      </c:barChart>
      <c:catAx>
        <c:axId val="12997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9739568"/>
        <c:crosses val="autoZero"/>
        <c:auto val="1"/>
        <c:lblAlgn val="ctr"/>
        <c:lblOffset val="100"/>
        <c:noMultiLvlLbl val="0"/>
      </c:catAx>
      <c:valAx>
        <c:axId val="12997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974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[Auditoria Revised.xlsx]TD!TablaDinámica2</c:name>
    <c:fmtId val="15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TD!$B$32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TD!$A$33:$A$36</c:f>
              <c:strCache>
                <c:ptCount val="3"/>
                <c:pt idx="0">
                  <c:v>Update</c:v>
                </c:pt>
                <c:pt idx="1">
                  <c:v>Aperture</c:v>
                </c:pt>
                <c:pt idx="2">
                  <c:v>Closure</c:v>
                </c:pt>
              </c:strCache>
            </c:strRef>
          </c:cat>
          <c:val>
            <c:numRef>
              <c:f>TD!$B$33:$B$36</c:f>
              <c:numCache>
                <c:formatCode>General</c:formatCode>
                <c:ptCount val="3"/>
                <c:pt idx="0">
                  <c:v>57</c:v>
                </c:pt>
                <c:pt idx="1">
                  <c:v>29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8-47B1-A4E3-CD17A11CAA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95786672"/>
        <c:axId val="1195787152"/>
      </c:barChart>
      <c:catAx>
        <c:axId val="119578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5787152"/>
        <c:crosses val="autoZero"/>
        <c:auto val="1"/>
        <c:lblAlgn val="ctr"/>
        <c:lblOffset val="100"/>
        <c:noMultiLvlLbl val="0"/>
      </c:catAx>
      <c:valAx>
        <c:axId val="11957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578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[Auditoria Revised.xlsx]TD!TablaDinámica3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TD!$A$42:$A$50</c:f>
              <c:strCache>
                <c:ptCount val="8"/>
                <c:pt idx="0">
                  <c:v>GSNET International</c:v>
                </c:pt>
                <c:pt idx="1">
                  <c:v>GSNET Cloud</c:v>
                </c:pt>
                <c:pt idx="2">
                  <c:v>GSNET Data</c:v>
                </c:pt>
                <c:pt idx="3">
                  <c:v>Campus Conectivity</c:v>
                </c:pt>
                <c:pt idx="4">
                  <c:v>GSNET Internet</c:v>
                </c:pt>
                <c:pt idx="5">
                  <c:v>Branches Connectivity</c:v>
                </c:pt>
                <c:pt idx="6">
                  <c:v>Campus </c:v>
                </c:pt>
                <c:pt idx="7">
                  <c:v>Cloud</c:v>
                </c:pt>
              </c:strCache>
            </c:strRef>
          </c:cat>
          <c:val>
            <c:numRef>
              <c:f>TD!$B$42:$B$50</c:f>
              <c:numCache>
                <c:formatCode>General</c:formatCode>
                <c:ptCount val="8"/>
                <c:pt idx="0">
                  <c:v>39</c:v>
                </c:pt>
                <c:pt idx="1">
                  <c:v>20</c:v>
                </c:pt>
                <c:pt idx="2">
                  <c:v>16</c:v>
                </c:pt>
                <c:pt idx="3">
                  <c:v>11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B-4741-88DE-5CF6A8E7B8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0945728"/>
        <c:axId val="1450935648"/>
      </c:barChart>
      <c:catAx>
        <c:axId val="14509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0935648"/>
        <c:crosses val="autoZero"/>
        <c:auto val="1"/>
        <c:lblAlgn val="ctr"/>
        <c:lblOffset val="100"/>
        <c:noMultiLvlLbl val="0"/>
      </c:catAx>
      <c:valAx>
        <c:axId val="14509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09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147637</xdr:rowOff>
    </xdr:from>
    <xdr:to>
      <xdr:col>12</xdr:col>
      <xdr:colOff>742949</xdr:colOff>
      <xdr:row>20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8A0639-5008-EA86-0E8A-15D403EF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666749</xdr:colOff>
      <xdr:row>21</xdr:row>
      <xdr:rowOff>9524</xdr:rowOff>
    </xdr:from>
    <xdr:to>
      <xdr:col>13</xdr:col>
      <xdr:colOff>0</xdr:colOff>
      <xdr:row>35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730D0D-18C0-6194-70A3-C705E5935489}"/>
            </a:ext>
            <a:ext uri="{147F2762-F138-4A5C-976F-8EAC2B608ADB}">
              <a16:predDERef xmlns:a16="http://schemas.microsoft.com/office/drawing/2014/main" pred="{4B8A0639-5008-EA86-0E8A-15D403EF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671512</xdr:colOff>
      <xdr:row>35</xdr:row>
      <xdr:rowOff>157162</xdr:rowOff>
    </xdr:from>
    <xdr:to>
      <xdr:col>13</xdr:col>
      <xdr:colOff>19050</xdr:colOff>
      <xdr:row>50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80EC80-C0B7-6D2B-3551-0CDB07F6CA6F}"/>
            </a:ext>
            <a:ext uri="{147F2762-F138-4A5C-976F-8EAC2B608ADB}">
              <a16:predDERef xmlns:a16="http://schemas.microsoft.com/office/drawing/2014/main" pred="{BF730D0D-18C0-6194-70A3-C705E5935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342900</xdr:colOff>
      <xdr:row>2</xdr:row>
      <xdr:rowOff>9525</xdr:rowOff>
    </xdr:from>
    <xdr:to>
      <xdr:col>15</xdr:col>
      <xdr:colOff>647700</xdr:colOff>
      <xdr:row>16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">
              <a:extLst>
                <a:ext uri="{FF2B5EF4-FFF2-40B4-BE49-F238E27FC236}">
                  <a16:creationId xmlns:a16="http://schemas.microsoft.com/office/drawing/2014/main" id="{B4DC7868-C463-C9A8-29EF-C34E57196D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00" y="3905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342900</xdr:colOff>
      <xdr:row>16</xdr:row>
      <xdr:rowOff>76200</xdr:rowOff>
    </xdr:from>
    <xdr:to>
      <xdr:col>15</xdr:col>
      <xdr:colOff>685800</xdr:colOff>
      <xdr:row>24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">
              <a:extLst>
                <a:ext uri="{FF2B5EF4-FFF2-40B4-BE49-F238E27FC236}">
                  <a16:creationId xmlns:a16="http://schemas.microsoft.com/office/drawing/2014/main" id="{A5D21B81-C1BB-4D2B-38FD-811596A837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2971800"/>
              <a:ext cx="19431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79E915AF-F093-47AD-BC37-FB459B1332C7}" userId="S::x743472@santanderglobaltech.com::793f26f2-85b9-4385-87c8-83ed6a415fe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nojosa Alonso Victor" refreshedDate="46149.42029548611" createdVersion="8" refreshedVersion="8" minRefreshableVersion="3" recordCount="94" xr:uid="{A8DCFFB8-E28C-40FD-A94B-188402D3C453}">
  <cacheSource type="worksheet">
    <worksheetSource ref="A1:H1048576" sheet="Datos"/>
  </cacheSource>
  <cacheFields count="8">
    <cacheField name="Enviado el" numFmtId="0">
      <sharedItems containsNonDate="0" containsDate="1" containsString="0" containsBlank="1" minDate="2026-01-05T11:46:00" maxDate="2026-05-07T08:07:00"/>
    </cacheField>
    <cacheField name="Año" numFmtId="0">
      <sharedItems containsString="0" containsBlank="1" containsNumber="1" containsInteger="1" minValue="2026" maxValue="2026" count="2">
        <n v="2026"/>
        <m/>
      </sharedItems>
    </cacheField>
    <cacheField name="Mes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Operador " numFmtId="0">
      <sharedItems containsBlank="1" count="13">
        <s v="Cesar Caleb Cuevas Marquez"/>
        <s v="Luis Enrique Zarazua Vargas"/>
        <s v="Gabriel Daniel Chiriac"/>
        <s v="Christian Alfredo Guerrero Banda"/>
        <s v="Óscar Rodríguez Zárate"/>
        <s v="Leobardo Angel Ibarra Rios"/>
        <s v="Cruz Jared Orta Vargas"/>
        <s v="Fernando Martín Pavón"/>
        <s v="Jorge González García"/>
        <s v="Erick Josue Castillo Zambrano"/>
        <s v="Sergio Sanz Blázquez"/>
        <m/>
        <s v="Luis Enrique Zarazua" u="1"/>
      </sharedItems>
    </cacheField>
    <cacheField name="Causa" numFmtId="0">
      <sharedItems containsBlank="1"/>
    </cacheField>
    <cacheField name="Notificación" numFmtId="0">
      <sharedItems containsBlank="1" count="4">
        <s v="Update"/>
        <s v="Aperture"/>
        <s v="Closure"/>
        <m/>
      </sharedItems>
    </cacheField>
    <cacheField name="Tipo" numFmtId="0">
      <sharedItems containsBlank="1" count="9">
        <s v="GSNET Data"/>
        <s v="GSNET Cloud"/>
        <s v="GSNET International"/>
        <s v="Branches Connectivity"/>
        <s v="GSNET Internet"/>
        <s v="Campus Conectivity"/>
        <s v="Cloud"/>
        <s v="Campus "/>
        <m/>
      </sharedItems>
    </cacheField>
    <cacheField name="Incidencia" numFmtId="0">
      <sharedItems containsBlank="1"/>
    </cacheField>
  </cacheFields>
  <extLst>
    <ext xmlns:x14="http://schemas.microsoft.com/office/spreadsheetml/2009/9/main" uri="{725AE2AE-9491-48be-B2B4-4EB974FC3084}">
      <x14:pivotCacheDefinition pivotCacheId="17979037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d v="2026-01-05T11:46:00"/>
    <x v="0"/>
    <x v="0"/>
    <x v="0"/>
    <s v="Se dejó correo anterior en el hilo"/>
    <x v="0"/>
    <x v="0"/>
    <s v="INC062149858 "/>
  </r>
  <r>
    <d v="2026-01-07T11:07:00"/>
    <x v="0"/>
    <x v="0"/>
    <x v="1"/>
    <s v="Ponen otro equipo en la incidencia que no tiene nada que ver"/>
    <x v="1"/>
    <x v="1"/>
    <s v="INC062291466 "/>
  </r>
  <r>
    <d v="2026-01-11T05:13:00"/>
    <x v="0"/>
    <x v="0"/>
    <x v="2"/>
    <s v="Envian la notificación como closure cuando tocaba update"/>
    <x v="0"/>
    <x v="0"/>
    <s v="INC062465186 "/>
  </r>
  <r>
    <d v="2026-01-11T10:25:00"/>
    <x v="0"/>
    <x v="0"/>
    <x v="1"/>
    <s v="Ponen un túnel que no es en el aperture"/>
    <x v="1"/>
    <x v="1"/>
    <s v="INC062504973 "/>
  </r>
  <r>
    <d v="2026-01-12T07:26:00"/>
    <x v="0"/>
    <x v="0"/>
    <x v="3"/>
    <s v="No cambian el asunto al closure y lo mandan como update"/>
    <x v="2"/>
    <x v="2"/>
    <s v="INC062330243 "/>
  </r>
  <r>
    <d v="2026-01-12T09:04:00"/>
    <x v="0"/>
    <x v="0"/>
    <x v="4"/>
    <s v="Falta poner la hora de recuperación en el update."/>
    <x v="0"/>
    <x v="3"/>
    <s v="INC062437368 "/>
  </r>
  <r>
    <d v="2026-01-12T08:48:00"/>
    <x v="0"/>
    <x v="0"/>
    <x v="0"/>
    <s v="Ponen Impact: 0 en vez de Impact: NO"/>
    <x v="1"/>
    <x v="2"/>
    <s v="INC062539460 "/>
  </r>
  <r>
    <d v="2026-01-15T07:01:00"/>
    <x v="0"/>
    <x v="0"/>
    <x v="5"/>
    <s v="Se especifica en el evento la descripción de la BGP que tiene incidencia"/>
    <x v="1"/>
    <x v="4"/>
    <s v="INC062673306 "/>
  </r>
  <r>
    <d v="2026-01-16T13:06:00"/>
    <x v="0"/>
    <x v="0"/>
    <x v="0"/>
    <s v="No se pone el día y hora del nuevo evento en la incidencia"/>
    <x v="0"/>
    <x v="1"/>
    <s v="INC062582528 "/>
  </r>
  <r>
    <d v="2026-01-17T03:28:00"/>
    <x v="0"/>
    <x v="0"/>
    <x v="6"/>
    <s v="Falta por poner el nuevo tramo de la incidencia"/>
    <x v="0"/>
    <x v="5"/>
    <s v="INC062692010 "/>
  </r>
  <r>
    <d v="2026-01-17T23:10:00"/>
    <x v="0"/>
    <x v="0"/>
    <x v="5"/>
    <s v="Se equivocan  en las horas que ponen en el evento"/>
    <x v="1"/>
    <x v="2"/>
    <s v="INC062801426 "/>
  </r>
  <r>
    <d v="2026-01-18T09:18:00"/>
    <x v="0"/>
    <x v="0"/>
    <x v="7"/>
    <s v="Falta información en la descripción del evento."/>
    <x v="1"/>
    <x v="0"/>
    <s v="INC062812128 "/>
  </r>
  <r>
    <d v="2026-01-19T03:33:00"/>
    <x v="0"/>
    <x v="0"/>
    <x v="5"/>
    <s v="Equipo afectado equivocado."/>
    <x v="0"/>
    <x v="0"/>
    <s v="INC062796617 "/>
  </r>
  <r>
    <d v="2026-01-20T02:59:00"/>
    <x v="0"/>
    <x v="0"/>
    <x v="3"/>
    <s v="Se envía como que el equipo estaba caído cuando ya había recuperado."/>
    <x v="0"/>
    <x v="0"/>
    <s v="INC062853959 "/>
  </r>
  <r>
    <d v="2026-01-21T16:42:00"/>
    <x v="0"/>
    <x v="0"/>
    <x v="1"/>
    <s v="Falta por poner nuevo tramo en la incidencia."/>
    <x v="0"/>
    <x v="2"/>
    <s v="INC062864483"/>
  </r>
  <r>
    <d v="2026-01-22T08:14:00"/>
    <x v="0"/>
    <x v="0"/>
    <x v="0"/>
    <s v="Se envía como que el equipo es Telefónica CTOS 1 y la incidencia fue en Telefónica CTOS 2"/>
    <x v="0"/>
    <x v="4"/>
    <s v="INC062960520 "/>
  </r>
  <r>
    <d v="2026-01-24T05:11:00"/>
    <x v="0"/>
    <x v="0"/>
    <x v="3"/>
    <s v="Equipo afectado equivocado."/>
    <x v="0"/>
    <x v="2"/>
    <s v="INC063043694 "/>
  </r>
  <r>
    <d v="2026-01-26T13:12:00"/>
    <x v="0"/>
    <x v="0"/>
    <x v="2"/>
    <s v="Se envia la notificación con el correo personal en vez de con el buzon general."/>
    <x v="1"/>
    <x v="2"/>
    <s v="INC063109161 "/>
  </r>
  <r>
    <d v="2026-01-26T22:24:00"/>
    <x v="0"/>
    <x v="0"/>
    <x v="7"/>
    <s v="Hora del evento errónea"/>
    <x v="1"/>
    <x v="1"/>
    <s v="INC063132793 "/>
  </r>
  <r>
    <d v="2026-01-27T05:02:00"/>
    <x v="0"/>
    <x v="0"/>
    <x v="6"/>
    <s v="RFO mal"/>
    <x v="2"/>
    <x v="1"/>
    <s v="INC063064670 "/>
  </r>
  <r>
    <d v="2026-01-30T01:30:00"/>
    <x v="0"/>
    <x v="0"/>
    <x v="6"/>
    <s v="Hora en el tramo final mal"/>
    <x v="0"/>
    <x v="2"/>
    <s v="INC063101798 "/>
  </r>
  <r>
    <d v="2026-01-27T23:10:00"/>
    <x v="0"/>
    <x v="0"/>
    <x v="6"/>
    <s v="N/A"/>
    <x v="2"/>
    <x v="1"/>
    <s v="INC063133486 "/>
  </r>
  <r>
    <d v="2026-01-28T02:39:00"/>
    <x v="0"/>
    <x v="0"/>
    <x v="6"/>
    <s v="Se envía como levantado cuando está caído."/>
    <x v="0"/>
    <x v="2"/>
    <s v="INC063192220 "/>
  </r>
  <r>
    <d v="2026-01-27T08:38:00"/>
    <x v="0"/>
    <x v="0"/>
    <x v="0"/>
    <s v="Falta por poner el nuevo tramo de inicio de la incidencia."/>
    <x v="0"/>
    <x v="2"/>
    <s v="INC063101798 "/>
  </r>
  <r>
    <d v="2026-01-30T18:36:00"/>
    <x v="0"/>
    <x v="0"/>
    <x v="5"/>
    <s v="Hora final incidencia mal puesta."/>
    <x v="0"/>
    <x v="5"/>
    <s v="INC063300693 "/>
  </r>
  <r>
    <d v="2026-01-31T04:30:00"/>
    <x v="0"/>
    <x v="0"/>
    <x v="1"/>
    <s v="Asunto mal puesto"/>
    <x v="0"/>
    <x v="1"/>
    <s v="INC063298793 "/>
  </r>
  <r>
    <d v="2026-02-06T16:24:00"/>
    <x v="0"/>
    <x v="1"/>
    <x v="3"/>
    <s v="Asunto puesto como que está caido cuando estaba levantado."/>
    <x v="0"/>
    <x v="0"/>
    <s v="INC063397078 "/>
  </r>
  <r>
    <d v="2026-02-03T15:49:00"/>
    <x v="0"/>
    <x v="1"/>
    <x v="3"/>
    <s v="Asunto puesto como que está levantado cuando estaba caído."/>
    <x v="1"/>
    <x v="2"/>
    <s v="INC063382455 "/>
  </r>
  <r>
    <d v="2026-02-03T11:16:00"/>
    <x v="0"/>
    <x v="1"/>
    <x v="7"/>
    <s v="Equipo afectado erróneo"/>
    <x v="1"/>
    <x v="5"/>
    <s v="INC063444725 "/>
  </r>
  <r>
    <d v="2026-02-03T15:49:00"/>
    <x v="0"/>
    <x v="1"/>
    <x v="3"/>
    <s v="Asunto puesto como que está levantado cuando estaba caído."/>
    <x v="1"/>
    <x v="2"/>
    <s v="INC063382455 "/>
  </r>
  <r>
    <d v="2026-02-04T13:53:00"/>
    <x v="0"/>
    <x v="1"/>
    <x v="7"/>
    <s v="Falta por poner el tramo final de la incidencia"/>
    <x v="0"/>
    <x v="1"/>
    <s v="INC063414093 "/>
  </r>
  <r>
    <d v="2026-02-04T15:40:00"/>
    <x v="0"/>
    <x v="1"/>
    <x v="3"/>
    <s v="Hora mal puesta en el evento."/>
    <x v="0"/>
    <x v="1"/>
    <s v="INC063500902 "/>
  </r>
  <r>
    <d v="2026-02-06T16:24:00"/>
    <x v="0"/>
    <x v="1"/>
    <x v="3"/>
    <s v="Asunto puesto como que está caido cuando estaba levantado."/>
    <x v="0"/>
    <x v="0"/>
    <s v="INC063397078 "/>
  </r>
  <r>
    <d v="2026-02-09T15:57:00"/>
    <x v="0"/>
    <x v="1"/>
    <x v="0"/>
    <s v="Se envía como revised por error."/>
    <x v="0"/>
    <x v="2"/>
    <s v="INC063658583 "/>
  </r>
  <r>
    <d v="2026-02-10T22:51:00"/>
    <x v="0"/>
    <x v="1"/>
    <x v="4"/>
    <s v="Falta por poner hora de fin en la incidencia."/>
    <x v="0"/>
    <x v="1"/>
    <s v="INC063770663 "/>
  </r>
  <r>
    <d v="2026-02-11T06:22:00"/>
    <x v="0"/>
    <x v="1"/>
    <x v="3"/>
    <s v="Equipo afectado erróneo"/>
    <x v="1"/>
    <x v="0"/>
    <s v="INC063784064 "/>
  </r>
  <r>
    <d v="2026-02-12T06:27:00"/>
    <x v="0"/>
    <x v="1"/>
    <x v="3"/>
    <s v="Se envía un update cuando tendría que ser closure"/>
    <x v="2"/>
    <x v="2"/>
    <s v="INC063783577 "/>
  </r>
  <r>
    <d v="2026-02-12T07:15:00"/>
    <x v="0"/>
    <x v="1"/>
    <x v="3"/>
    <s v="Se envia mal la fecha del uñtimo tramo de incidencia"/>
    <x v="0"/>
    <x v="0"/>
    <s v="INC063813509 "/>
  </r>
  <r>
    <d v="2026-02-15T08:43:00"/>
    <x v="0"/>
    <x v="1"/>
    <x v="2"/>
    <s v="Se envía como aperture cuando es un update."/>
    <x v="0"/>
    <x v="2"/>
    <s v="INC063948606 "/>
  </r>
  <r>
    <d v="2026-02-16T04:40:00"/>
    <x v="0"/>
    <x v="1"/>
    <x v="1"/>
    <s v="Se envia DOWN cuando es UP (pero solo se cambia en el Asunto, el ticket sigue estando DOWN)"/>
    <x v="0"/>
    <x v="1"/>
    <s v="INC063962808 "/>
  </r>
  <r>
    <d v="2026-02-19T08:52:00"/>
    <x v="0"/>
    <x v="1"/>
    <x v="0"/>
    <s v="Falta poner la hora de recuperacion"/>
    <x v="0"/>
    <x v="2"/>
    <s v="INC063969716 "/>
  </r>
  <r>
    <d v="2026-02-26T17:44:00"/>
    <x v="0"/>
    <x v="1"/>
    <x v="2"/>
    <s v="Falta poner la hora de recuperacion"/>
    <x v="0"/>
    <x v="1"/>
    <s v="INC064327564 "/>
  </r>
  <r>
    <d v="2026-03-08T19:00:00"/>
    <x v="0"/>
    <x v="2"/>
    <x v="2"/>
    <s v="Falta poner la hora de recuperacion"/>
    <x v="0"/>
    <x v="2"/>
    <s v="INC064562557 "/>
  </r>
  <r>
    <d v="2026-03-05T14:53:00"/>
    <x v="0"/>
    <x v="2"/>
    <x v="8"/>
    <s v="Falta poner el nuevo tramo de incidencia (hora de inicio y de recuperación)"/>
    <x v="0"/>
    <x v="2"/>
    <s v="INC064542991 "/>
  </r>
  <r>
    <d v="2026-03-04T14:59:00"/>
    <x v="0"/>
    <x v="2"/>
    <x v="8"/>
    <s v="Se abrio con el dispositivo afectado mal"/>
    <x v="1"/>
    <x v="0"/>
    <s v="INC064511323 "/>
  </r>
  <r>
    <d v="2026-03-03T11:16:00"/>
    <x v="0"/>
    <x v="2"/>
    <x v="9"/>
    <s v="No se puso en el evento que CCS confirmaba que no habia impacto"/>
    <x v="1"/>
    <x v="2"/>
    <s v="INC064489257 "/>
  </r>
  <r>
    <d v="2026-03-03T08:15:00"/>
    <x v="0"/>
    <x v="2"/>
    <x v="9"/>
    <s v="Contactos erróneos"/>
    <x v="2"/>
    <x v="0"/>
    <s v="INC064432487 "/>
  </r>
  <r>
    <d v="2026-03-02T14:52:00"/>
    <x v="0"/>
    <x v="2"/>
    <x v="2"/>
    <s v="Numero Incidencia erroneo."/>
    <x v="1"/>
    <x v="1"/>
    <s v="INC064451345 "/>
  </r>
  <r>
    <d v="2026-03-02T09:05:00"/>
    <x v="0"/>
    <x v="2"/>
    <x v="8"/>
    <s v="En Site en vez de poner IX Spain ponia IX UK"/>
    <x v="0"/>
    <x v="2"/>
    <s v="INC064432788 "/>
  </r>
  <r>
    <d v="2026-03-09T07:26:00"/>
    <x v="0"/>
    <x v="2"/>
    <x v="9"/>
    <s v="Falta poner el nuevo tramo de incidencia (hora de inicio y de recuperación)"/>
    <x v="2"/>
    <x v="2"/>
    <s v="INC064542991 "/>
  </r>
  <r>
    <d v="2026-03-11T08:07:00"/>
    <x v="0"/>
    <x v="2"/>
    <x v="8"/>
    <s v="Eran latencias y en el comentario puso saturacion"/>
    <x v="1"/>
    <x v="2"/>
    <s v="INC064736051 "/>
  </r>
  <r>
    <d v="2026-03-10T20:59:00"/>
    <x v="0"/>
    <x v="2"/>
    <x v="0"/>
    <s v="Se mandó como DOWN cuando estaba UP"/>
    <x v="0"/>
    <x v="2"/>
    <s v="INC064750957 "/>
  </r>
  <r>
    <d v="2026-03-10T21:41:00"/>
    <x v="0"/>
    <x v="2"/>
    <x v="10"/>
    <s v="Esaba mal puesto el numero de la incidencia"/>
    <x v="0"/>
    <x v="2"/>
    <s v="INC064796286 "/>
  </r>
  <r>
    <d v="2026-03-11T08:07:00"/>
    <x v="0"/>
    <x v="2"/>
    <x v="3"/>
    <s v="Se hizo un revised cuando no procedía"/>
    <x v="0"/>
    <x v="2"/>
    <s v="INC064736051 "/>
  </r>
  <r>
    <d v="2026-03-14T02:14:00"/>
    <x v="0"/>
    <x v="2"/>
    <x v="3"/>
    <s v="NO procedia revised y se hace mal"/>
    <x v="0"/>
    <x v="5"/>
    <s v="INC064913025 "/>
  </r>
  <r>
    <d v="2026-03-13T07:48:00"/>
    <x v="0"/>
    <x v="2"/>
    <x v="3"/>
    <s v="Se puso mal la hora de la incidencia en el evento"/>
    <x v="1"/>
    <x v="2"/>
    <s v="INC064901917 "/>
  </r>
  <r>
    <d v="2026-03-18T04:50:00"/>
    <x v="0"/>
    <x v="2"/>
    <x v="1"/>
    <s v="Falta poner la hora de recuperacion"/>
    <x v="0"/>
    <x v="1"/>
    <s v="INC065081350 "/>
  </r>
  <r>
    <d v="2026-03-18T15:12:00"/>
    <x v="0"/>
    <x v="2"/>
    <x v="2"/>
    <s v="Se puso mal la hora del Time Stamp"/>
    <x v="0"/>
    <x v="2"/>
    <s v="INC063713614 "/>
  </r>
  <r>
    <d v="2026-03-19T03:41:00"/>
    <x v="0"/>
    <x v="2"/>
    <x v="1"/>
    <s v="Falta poner la hora de recuperacion"/>
    <x v="0"/>
    <x v="1"/>
    <s v="INC065121394 "/>
  </r>
  <r>
    <d v="2026-03-20T11:18:00"/>
    <x v="0"/>
    <x v="2"/>
    <x v="2"/>
    <s v="Se envía como closure cuando es un update"/>
    <x v="0"/>
    <x v="2"/>
    <s v="INC064990494"/>
  </r>
  <r>
    <d v="2026-03-20T10:04:00"/>
    <x v="0"/>
    <x v="2"/>
    <x v="10"/>
    <s v="Se envía como levantado cuando está caído."/>
    <x v="0"/>
    <x v="5"/>
    <s v="INC065150206"/>
  </r>
  <r>
    <d v="2026-03-20T02:33:00"/>
    <x v="0"/>
    <x v="2"/>
    <x v="1"/>
    <s v="Se envía sin poner el túnel afectado y con una descripción del evento errónea."/>
    <x v="1"/>
    <x v="1"/>
    <s v="INC065161540"/>
  </r>
  <r>
    <d v="2026-03-20T06:11:00"/>
    <x v="0"/>
    <x v="2"/>
    <x v="0"/>
    <s v="Fuera de KCI. Se envía como levantado sin poner tramo del final de la incidencia y se manda revised de un update que no existe en vez del aperture anterior."/>
    <x v="1"/>
    <x v="5"/>
    <s v="INC065165941"/>
  </r>
  <r>
    <d v="2026-03-20T07:21:00"/>
    <x v="0"/>
    <x v="2"/>
    <x v="2"/>
    <s v="Se envía como aperture cuando era un update."/>
    <x v="0"/>
    <x v="0"/>
    <s v="INC065162365"/>
  </r>
  <r>
    <d v="2026-03-23T10:29:00"/>
    <x v="0"/>
    <x v="2"/>
    <x v="4"/>
    <s v="Equipo afectado erróneo"/>
    <x v="1"/>
    <x v="2"/>
    <s v="INC065253728 "/>
  </r>
  <r>
    <d v="2026-03-28T12:24:00"/>
    <x v="0"/>
    <x v="2"/>
    <x v="4"/>
    <s v="Era un Closure y lo mandaron como Update"/>
    <x v="2"/>
    <x v="2"/>
    <s v="INC065403959"/>
  </r>
  <r>
    <d v="2026-04-05T21:01:00"/>
    <x v="0"/>
    <x v="3"/>
    <x v="3"/>
    <s v="Se equivoca de enlace"/>
    <x v="1"/>
    <x v="0"/>
    <s v="INC065634193 "/>
  </r>
  <r>
    <d v="2026-04-06T16:01:00"/>
    <x v="0"/>
    <x v="3"/>
    <x v="5"/>
    <s v="Hora de inicio mal puesta."/>
    <x v="1"/>
    <x v="2"/>
    <s v="INC065692708 "/>
  </r>
  <r>
    <d v="2026-04-07T12:14:00"/>
    <x v="0"/>
    <x v="3"/>
    <x v="2"/>
    <s v="Se pidió poner una información en el evento y no se hizo. Se mandó revised corrigiéndolo."/>
    <x v="0"/>
    <x v="2"/>
    <s v="INC056357652"/>
  </r>
  <r>
    <d v="2026-04-08T00:49:00"/>
    <x v="0"/>
    <x v="3"/>
    <x v="1"/>
    <s v="Pone el enlace con la interfaz."/>
    <x v="1"/>
    <x v="2"/>
    <s v="INC065757089 "/>
  </r>
  <r>
    <d v="2026-04-09T01:35:00"/>
    <x v="0"/>
    <x v="3"/>
    <x v="1"/>
    <s v="Se olvida poner nuevos tramos de inicio/fin en la notificación."/>
    <x v="0"/>
    <x v="2"/>
    <s v="INC065805235"/>
  </r>
  <r>
    <d v="2026-04-09T11:42:00"/>
    <x v="0"/>
    <x v="3"/>
    <x v="2"/>
    <s v="Se envía como aperture cuando es un update."/>
    <x v="0"/>
    <x v="1"/>
    <s v="INC065811095"/>
  </r>
  <r>
    <d v="2026-04-13T16:07:00"/>
    <x v="0"/>
    <x v="3"/>
    <x v="0"/>
    <s v="El site está mal puesto"/>
    <x v="0"/>
    <x v="2"/>
    <s v="INC066018378"/>
  </r>
  <r>
    <d v="2026-04-14T12:23:00"/>
    <x v="0"/>
    <x v="3"/>
    <x v="3"/>
    <s v="Hora mal puesta en el evento"/>
    <x v="1"/>
    <x v="5"/>
    <s v="INC066054335"/>
  </r>
  <r>
    <d v="2026-04-14T23:28:00"/>
    <x v="0"/>
    <x v="3"/>
    <x v="5"/>
    <s v="Se manda como down y esta up"/>
    <x v="0"/>
    <x v="1"/>
    <s v="INC066072251"/>
  </r>
  <r>
    <d v="2026-04-16T07:37:00"/>
    <x v="0"/>
    <x v="3"/>
    <x v="10"/>
    <s v="Numero de incidencia mal puesto"/>
    <x v="0"/>
    <x v="0"/>
    <s v="INC066075678"/>
  </r>
  <r>
    <d v="2026-04-16T18:44:00"/>
    <x v="0"/>
    <x v="3"/>
    <x v="0"/>
    <s v="Pone hora de fin de incidencia cuando la incidencia sigue activa"/>
    <x v="0"/>
    <x v="5"/>
    <s v="INC066054335"/>
  </r>
  <r>
    <d v="2026-04-17T01:29:00"/>
    <x v="0"/>
    <x v="3"/>
    <x v="5"/>
    <s v="Pone que es el IX de Tlf y es la de BT"/>
    <x v="1"/>
    <x v="2"/>
    <s v="INC066159502"/>
  </r>
  <r>
    <d v="2026-04-17T05:29:00"/>
    <x v="0"/>
    <x v="3"/>
    <x v="0"/>
    <s v="Pone que el enlace esta recuperado y sigue caido"/>
    <x v="0"/>
    <x v="5"/>
    <s v="INC066054335"/>
  </r>
  <r>
    <d v="2026-04-20T08:16:00"/>
    <x v="0"/>
    <x v="3"/>
    <x v="5"/>
    <s v="Mal puesto la fecha de finalizacion de la incidencia"/>
    <x v="1"/>
    <x v="2"/>
    <s v="INC066256287"/>
  </r>
  <r>
    <d v="2026-04-21T03:29:00"/>
    <x v="0"/>
    <x v="3"/>
    <x v="0"/>
    <s v="Horas mal puestas en el evento"/>
    <x v="0"/>
    <x v="1"/>
    <s v="INC066285637"/>
  </r>
  <r>
    <d v="2026-04-21T09:50:00"/>
    <x v="0"/>
    <x v="3"/>
    <x v="10"/>
    <s v="se hace un update de este ticket cuando no procedia por equivocacion con otro equipo"/>
    <x v="0"/>
    <x v="2"/>
    <s v="INC066259338"/>
  </r>
  <r>
    <d v="2026-04-22T06:03:00"/>
    <x v="0"/>
    <x v="3"/>
    <x v="6"/>
    <s v="Se pone mal el circuito afectado"/>
    <x v="1"/>
    <x v="0"/>
    <s v="INC066310499"/>
  </r>
  <r>
    <d v="2026-04-22T07:24:00"/>
    <x v="0"/>
    <x v="3"/>
    <x v="0"/>
    <s v="Asunto y ticket no tienen nada que ver, son de entidades diferentes"/>
    <x v="0"/>
    <x v="5"/>
    <s v="INC066259194"/>
  </r>
  <r>
    <d v="2026-04-22T21:44:00"/>
    <x v="0"/>
    <x v="3"/>
    <x v="2"/>
    <s v="Se manda como DOWN y esta UP"/>
    <x v="0"/>
    <x v="0"/>
    <s v="INC066310499"/>
  </r>
  <r>
    <d v="2026-04-23T01:46:00"/>
    <x v="0"/>
    <x v="3"/>
    <x v="0"/>
    <s v="Se manda mal la hora de fin de la incidencia"/>
    <x v="1"/>
    <x v="5"/>
    <s v="INC066345996"/>
  </r>
  <r>
    <d v="2026-04-26T00:32:00"/>
    <x v="0"/>
    <x v="3"/>
    <x v="0"/>
    <s v="Ponen que la latencia ha terminado y no ha terminado"/>
    <x v="0"/>
    <x v="2"/>
    <s v="INC066365882"/>
  </r>
  <r>
    <d v="2026-04-28T18:04:00"/>
    <x v="0"/>
    <x v="3"/>
    <x v="3"/>
    <s v="Se manda un ticket de otra incidencia"/>
    <x v="0"/>
    <x v="4"/>
    <s v="INC066499555"/>
  </r>
  <r>
    <d v="2026-04-29T10:34:00"/>
    <x v="0"/>
    <x v="3"/>
    <x v="2"/>
    <s v="Numero de incidencia erroneo"/>
    <x v="1"/>
    <x v="4"/>
    <s v="INC066492551"/>
  </r>
  <r>
    <d v="2026-04-30T00:30:00"/>
    <x v="0"/>
    <x v="3"/>
    <x v="6"/>
    <s v="Ponen hora de principio y fin de incidencia cuando aun sigue activa"/>
    <x v="0"/>
    <x v="2"/>
    <s v="INC066562722"/>
  </r>
  <r>
    <d v="2026-04-30T07:20:00"/>
    <x v="0"/>
    <x v="3"/>
    <x v="6"/>
    <s v="Error en el conteo de los minutos (problema de la plantilla)"/>
    <x v="0"/>
    <x v="1"/>
    <s v="INC066579419"/>
  </r>
  <r>
    <d v="2026-05-06T04:30:00"/>
    <x v="0"/>
    <x v="4"/>
    <x v="1"/>
    <s v="No pone la hora de finalización de la incidencia."/>
    <x v="0"/>
    <x v="6"/>
    <s v="INC066753490 "/>
  </r>
  <r>
    <d v="2026-05-07T08:07:00"/>
    <x v="0"/>
    <x v="4"/>
    <x v="10"/>
    <s v="Hora de finalización errónea. Se equivoca de incidencia."/>
    <x v="0"/>
    <x v="7"/>
    <s v="INC066778895 "/>
  </r>
  <r>
    <m/>
    <x v="1"/>
    <x v="5"/>
    <x v="11"/>
    <m/>
    <x v="3"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4CD27-504B-40B8-9204-052CE00975A5}" name="TablaDinámica2" cacheId="3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32:B36" firstHeaderRow="1" firstDataRow="1" firstDataCol="1"/>
  <pivotFields count="8">
    <pivotField numFmtId="22" showAll="0"/>
    <pivotField showAll="0">
      <items count="3">
        <item x="0"/>
        <item h="1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uenta de Incidencia" fld="7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7F2F8-CF67-40A3-88C7-0C8A5A194AF9}" name="TablaDinámica1" cacheId="3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15" firstHeaderRow="1" firstDataRow="1" firstDataCol="1"/>
  <pivotFields count="8">
    <pivotField numFmtId="22" showAll="0"/>
    <pivotField showAll="0">
      <items count="3">
        <item x="0"/>
        <item h="1" x="1"/>
        <item t="default"/>
      </items>
    </pivotField>
    <pivotField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14">
        <item x="0"/>
        <item x="3"/>
        <item x="6"/>
        <item x="9"/>
        <item x="7"/>
        <item x="2"/>
        <item x="8"/>
        <item x="5"/>
        <item m="1" x="12"/>
        <item x="1"/>
        <item x="4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12">
    <i>
      <x v="1"/>
    </i>
    <i>
      <x/>
    </i>
    <i>
      <x v="5"/>
    </i>
    <i>
      <x v="9"/>
    </i>
    <i>
      <x v="7"/>
    </i>
    <i>
      <x v="2"/>
    </i>
    <i>
      <x v="11"/>
    </i>
    <i>
      <x v="10"/>
    </i>
    <i>
      <x v="4"/>
    </i>
    <i>
      <x v="6"/>
    </i>
    <i>
      <x v="3"/>
    </i>
    <i t="grand">
      <x/>
    </i>
  </rowItems>
  <colItems count="1">
    <i/>
  </colItems>
  <dataFields count="1">
    <dataField name="Cuenta de Incidencia" fld="7" subtotal="count" baseField="0" baseItem="0"/>
  </dataFields>
  <chartFormats count="1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7BA43-0445-4B71-B591-5553519B2D16}" name="TablaDinámica3" cacheId="3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41:B50" firstHeaderRow="1" firstDataRow="1" firstDataCol="1"/>
  <pivotFields count="8">
    <pivotField numFmtId="22" showAll="0"/>
    <pivotField showAll="0">
      <items count="3">
        <item x="0"/>
        <item h="1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0">
        <item x="3"/>
        <item x="5"/>
        <item x="1"/>
        <item x="0"/>
        <item x="2"/>
        <item x="4"/>
        <item x="8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9">
    <i>
      <x v="4"/>
    </i>
    <i>
      <x v="2"/>
    </i>
    <i>
      <x v="3"/>
    </i>
    <i>
      <x v="1"/>
    </i>
    <i>
      <x v="5"/>
    </i>
    <i>
      <x/>
    </i>
    <i>
      <x v="8"/>
    </i>
    <i>
      <x v="7"/>
    </i>
    <i t="grand">
      <x/>
    </i>
  </rowItems>
  <colItems count="1">
    <i/>
  </colItems>
  <dataFields count="1">
    <dataField name="Cuenta de Incidencia" fld="7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2E0B908C-D44C-4A88-A5EC-7F5E15656CAC}" sourceName="Año">
  <pivotTables>
    <pivotTable tabId="9" name="TablaDinámica1"/>
    <pivotTable tabId="9" name="TablaDinámica2"/>
    <pivotTable tabId="9" name="TablaDinámica3"/>
  </pivotTables>
  <data>
    <tabular pivotCacheId="179790376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D28593C7-74DD-4AE5-839A-0D0AEFBF8BD2}" sourceName="Mes">
  <pivotTables>
    <pivotTable tabId="9" name="TablaDinámica1"/>
    <pivotTable tabId="9" name="TablaDinámica2"/>
    <pivotTable tabId="9" name="TablaDinámica3"/>
  </pivotTables>
  <data>
    <tabular pivotCacheId="1797903764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48D2AC09-1382-4745-B01D-520C4BC2D1E0}" cache="SegmentaciónDeDatos_Año" caption="Año" rowHeight="257175"/>
  <slicer name="Mes" xr10:uid="{4B9B6971-B0A7-42FC-86F8-89113337DEFC}" cache="SegmentaciónDeDatos_Mes" caption="Mes" startItem="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6-05-11T08:56:45.69" personId="{79E915AF-F093-47AD-BC37-FB459B1332C7}" id="{0F41AF2C-3926-4FE9-ACE0-934D9AE84481}">
    <text>Aqui hay algo que falla, Erick a las 6:43 no esta en turno, por los correos se ve que el manda el update y el revised fuera de si horario.
O se ha conectado antes de tiempo o  se ha reusado un correo y no han quitado su firma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1212-E135-4EEF-9489-C948969DEC85}">
  <dimension ref="A1:D21"/>
  <sheetViews>
    <sheetView workbookViewId="0">
      <selection activeCell="C28" sqref="C28"/>
    </sheetView>
  </sheetViews>
  <sheetFormatPr defaultColWidth="11.42578125" defaultRowHeight="15"/>
  <cols>
    <col min="1" max="1" width="141.28515625" bestFit="1" customWidth="1"/>
    <col min="2" max="2" width="15.28515625" bestFit="1" customWidth="1"/>
    <col min="4" max="4" width="130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46021.157638888886</v>
      </c>
      <c r="C2" t="s">
        <v>5</v>
      </c>
      <c r="D2" t="s">
        <v>6</v>
      </c>
    </row>
    <row r="3" spans="1:4">
      <c r="A3" t="s">
        <v>7</v>
      </c>
      <c r="B3" s="1">
        <v>46018.138194444444</v>
      </c>
      <c r="C3" t="s">
        <v>8</v>
      </c>
      <c r="D3" t="s">
        <v>9</v>
      </c>
    </row>
    <row r="4" spans="1:4">
      <c r="A4" t="s">
        <v>10</v>
      </c>
      <c r="B4" s="1">
        <v>46017.497916666667</v>
      </c>
      <c r="C4" t="s">
        <v>11</v>
      </c>
      <c r="D4" t="s">
        <v>12</v>
      </c>
    </row>
    <row r="5" spans="1:4">
      <c r="A5" t="s">
        <v>13</v>
      </c>
      <c r="B5" s="1">
        <v>46017.44027777778</v>
      </c>
      <c r="C5" t="s">
        <v>11</v>
      </c>
      <c r="D5" t="s">
        <v>14</v>
      </c>
    </row>
    <row r="6" spans="1:4">
      <c r="A6" t="s">
        <v>15</v>
      </c>
      <c r="B6" s="1">
        <v>46015.011805555558</v>
      </c>
      <c r="C6" t="s">
        <v>8</v>
      </c>
      <c r="D6" t="s">
        <v>16</v>
      </c>
    </row>
    <row r="7" spans="1:4">
      <c r="A7" t="s">
        <v>17</v>
      </c>
      <c r="B7" s="1">
        <v>46014.361111111109</v>
      </c>
      <c r="C7" t="s">
        <v>11</v>
      </c>
      <c r="D7" t="s">
        <v>18</v>
      </c>
    </row>
    <row r="8" spans="1:4">
      <c r="A8" t="s">
        <v>19</v>
      </c>
      <c r="B8" s="1">
        <v>46014.136111111111</v>
      </c>
      <c r="C8" t="s">
        <v>8</v>
      </c>
      <c r="D8" t="s">
        <v>6</v>
      </c>
    </row>
    <row r="9" spans="1:4">
      <c r="A9" t="s">
        <v>20</v>
      </c>
      <c r="B9" s="1">
        <v>46009.675694444442</v>
      </c>
      <c r="C9" t="s">
        <v>11</v>
      </c>
      <c r="D9" t="s">
        <v>21</v>
      </c>
    </row>
    <row r="10" spans="1:4">
      <c r="A10" t="s">
        <v>22</v>
      </c>
      <c r="B10" s="1">
        <v>46009.331944444442</v>
      </c>
      <c r="C10" t="s">
        <v>23</v>
      </c>
      <c r="D10" t="s">
        <v>24</v>
      </c>
    </row>
    <row r="11" spans="1:4">
      <c r="A11" t="s">
        <v>25</v>
      </c>
      <c r="B11" s="1">
        <v>46006.427083333336</v>
      </c>
      <c r="C11" t="s">
        <v>23</v>
      </c>
      <c r="D11" t="s">
        <v>26</v>
      </c>
    </row>
    <row r="12" spans="1:4">
      <c r="A12" t="s">
        <v>22</v>
      </c>
      <c r="B12" s="1">
        <v>46004.250694444447</v>
      </c>
      <c r="C12" t="s">
        <v>27</v>
      </c>
      <c r="D12" t="s">
        <v>28</v>
      </c>
    </row>
    <row r="13" spans="1:4">
      <c r="A13" t="s">
        <v>29</v>
      </c>
      <c r="B13" s="1">
        <v>45998.172222222223</v>
      </c>
      <c r="C13" t="s">
        <v>11</v>
      </c>
      <c r="D13" t="s">
        <v>21</v>
      </c>
    </row>
    <row r="14" spans="1:4">
      <c r="A14" t="s">
        <v>30</v>
      </c>
      <c r="B14" s="1">
        <v>45995.522916666669</v>
      </c>
      <c r="C14" t="s">
        <v>8</v>
      </c>
      <c r="D14" t="s">
        <v>31</v>
      </c>
    </row>
    <row r="15" spans="1:4">
      <c r="A15" t="s">
        <v>32</v>
      </c>
      <c r="B15" s="1">
        <v>45995.020138888889</v>
      </c>
      <c r="C15" t="s">
        <v>11</v>
      </c>
      <c r="D15" t="s">
        <v>33</v>
      </c>
    </row>
    <row r="16" spans="1:4">
      <c r="A16" t="s">
        <v>34</v>
      </c>
      <c r="B16" s="1">
        <v>45994.504861111112</v>
      </c>
      <c r="C16" t="s">
        <v>35</v>
      </c>
      <c r="D16" t="s">
        <v>36</v>
      </c>
    </row>
    <row r="17" spans="1:4">
      <c r="A17" t="s">
        <v>37</v>
      </c>
      <c r="B17" s="1">
        <v>45994.315972222219</v>
      </c>
      <c r="C17" t="s">
        <v>23</v>
      </c>
      <c r="D17" t="s">
        <v>33</v>
      </c>
    </row>
    <row r="18" spans="1:4">
      <c r="A18" t="s">
        <v>38</v>
      </c>
      <c r="B18" s="1">
        <v>45993.574305555558</v>
      </c>
      <c r="C18" t="s">
        <v>8</v>
      </c>
      <c r="D18" t="s">
        <v>6</v>
      </c>
    </row>
    <row r="19" spans="1:4">
      <c r="A19" t="s">
        <v>39</v>
      </c>
      <c r="B19" s="1">
        <v>45993.409722222219</v>
      </c>
      <c r="C19" t="s">
        <v>23</v>
      </c>
      <c r="D19" t="s">
        <v>21</v>
      </c>
    </row>
    <row r="20" spans="1:4">
      <c r="A20" t="s">
        <v>40</v>
      </c>
      <c r="B20" s="1">
        <v>45993.063888888886</v>
      </c>
      <c r="C20" t="s">
        <v>23</v>
      </c>
      <c r="D20" t="s">
        <v>26</v>
      </c>
    </row>
    <row r="21" spans="1:4">
      <c r="A21" t="s">
        <v>41</v>
      </c>
      <c r="B21" s="1">
        <v>45992.342361111114</v>
      </c>
      <c r="C21" t="s">
        <v>23</v>
      </c>
      <c r="D2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A25B-EE55-4158-99CD-EF523D75FA23}">
  <dimension ref="A1:F27"/>
  <sheetViews>
    <sheetView workbookViewId="0"/>
  </sheetViews>
  <sheetFormatPr defaultColWidth="11.42578125" defaultRowHeight="15"/>
  <cols>
    <col min="1" max="1" width="15.42578125" bestFit="1" customWidth="1"/>
    <col min="2" max="2" width="29" bestFit="1" customWidth="1"/>
    <col min="3" max="3" width="77.28515625" bestFit="1" customWidth="1"/>
    <col min="4" max="4" width="13" customWidth="1"/>
    <col min="5" max="5" width="19.42578125" bestFit="1" customWidth="1"/>
    <col min="6" max="6" width="13.5703125" bestFit="1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43</v>
      </c>
      <c r="E1" s="2" t="s">
        <v>44</v>
      </c>
      <c r="F1" s="2" t="s">
        <v>45</v>
      </c>
    </row>
    <row r="2" spans="1:6">
      <c r="A2" s="3">
        <v>46027.490277777775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</row>
    <row r="3" spans="1:6">
      <c r="A3" s="3">
        <v>46029.463194444441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</row>
    <row r="4" spans="1:6">
      <c r="A4" s="3">
        <v>46033.217361111114</v>
      </c>
      <c r="B4" s="4" t="s">
        <v>56</v>
      </c>
      <c r="C4" s="4" t="s">
        <v>57</v>
      </c>
      <c r="D4" s="4" t="s">
        <v>48</v>
      </c>
      <c r="E4" s="4" t="s">
        <v>49</v>
      </c>
      <c r="F4" s="4" t="s">
        <v>58</v>
      </c>
    </row>
    <row r="5" spans="1:6">
      <c r="A5" s="3">
        <v>46033.434027777781</v>
      </c>
      <c r="B5" s="4" t="s">
        <v>51</v>
      </c>
      <c r="C5" s="4" t="s">
        <v>59</v>
      </c>
      <c r="D5" s="4" t="s">
        <v>53</v>
      </c>
      <c r="E5" s="4" t="s">
        <v>54</v>
      </c>
      <c r="F5" s="4" t="s">
        <v>60</v>
      </c>
    </row>
    <row r="6" spans="1:6">
      <c r="A6" s="3">
        <v>46034.30972222222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</row>
    <row r="7" spans="1:6">
      <c r="A7" s="3">
        <v>46034.37777777778</v>
      </c>
      <c r="B7" s="4" t="s">
        <v>66</v>
      </c>
      <c r="C7" s="4" t="s">
        <v>67</v>
      </c>
      <c r="D7" s="4" t="s">
        <v>48</v>
      </c>
      <c r="E7" s="4" t="s">
        <v>68</v>
      </c>
      <c r="F7" s="4" t="s">
        <v>69</v>
      </c>
    </row>
    <row r="8" spans="1:6">
      <c r="A8" s="3">
        <v>46034.366666666669</v>
      </c>
      <c r="B8" s="4" t="s">
        <v>46</v>
      </c>
      <c r="C8" s="4" t="s">
        <v>70</v>
      </c>
      <c r="D8" s="4" t="s">
        <v>53</v>
      </c>
      <c r="E8" s="4" t="s">
        <v>64</v>
      </c>
      <c r="F8" s="4" t="s">
        <v>71</v>
      </c>
    </row>
    <row r="9" spans="1:6">
      <c r="A9" s="3">
        <v>46037.292361111111</v>
      </c>
      <c r="B9" s="4" t="s">
        <v>72</v>
      </c>
      <c r="C9" s="4" t="s">
        <v>73</v>
      </c>
      <c r="D9" s="4" t="s">
        <v>53</v>
      </c>
      <c r="E9" s="4" t="s">
        <v>74</v>
      </c>
      <c r="F9" s="4" t="s">
        <v>75</v>
      </c>
    </row>
    <row r="10" spans="1:6">
      <c r="A10" s="3">
        <v>46038.54583333333</v>
      </c>
      <c r="B10" s="4" t="s">
        <v>46</v>
      </c>
      <c r="C10" s="4" t="s">
        <v>76</v>
      </c>
      <c r="D10" s="4" t="s">
        <v>48</v>
      </c>
      <c r="E10" s="4" t="s">
        <v>54</v>
      </c>
      <c r="F10" s="4" t="s">
        <v>77</v>
      </c>
    </row>
    <row r="11" spans="1:6">
      <c r="A11" s="3">
        <v>46039.144444444442</v>
      </c>
      <c r="B11" s="4" t="s">
        <v>78</v>
      </c>
      <c r="C11" s="4" t="s">
        <v>79</v>
      </c>
      <c r="D11" s="4" t="s">
        <v>48</v>
      </c>
      <c r="E11" s="4" t="s">
        <v>80</v>
      </c>
      <c r="F11" s="4" t="s">
        <v>81</v>
      </c>
    </row>
    <row r="12" spans="1:6">
      <c r="A12" s="3">
        <v>46039.965277777781</v>
      </c>
      <c r="B12" s="4" t="s">
        <v>72</v>
      </c>
      <c r="C12" s="4" t="s">
        <v>82</v>
      </c>
      <c r="D12" s="4" t="s">
        <v>53</v>
      </c>
      <c r="E12" s="4" t="s">
        <v>64</v>
      </c>
      <c r="F12" s="4" t="s">
        <v>83</v>
      </c>
    </row>
    <row r="13" spans="1:6">
      <c r="A13" s="3">
        <v>46040.387499999997</v>
      </c>
      <c r="B13" s="4" t="s">
        <v>84</v>
      </c>
      <c r="C13" s="4" t="s">
        <v>85</v>
      </c>
      <c r="D13" s="4" t="s">
        <v>53</v>
      </c>
      <c r="E13" s="4" t="s">
        <v>49</v>
      </c>
      <c r="F13" s="4" t="s">
        <v>86</v>
      </c>
    </row>
    <row r="14" spans="1:6">
      <c r="A14" s="3">
        <v>46041.147916666669</v>
      </c>
      <c r="B14" s="4" t="s">
        <v>72</v>
      </c>
      <c r="C14" s="4" t="s">
        <v>87</v>
      </c>
      <c r="D14" s="4" t="s">
        <v>48</v>
      </c>
      <c r="E14" s="4" t="s">
        <v>49</v>
      </c>
      <c r="F14" s="4" t="s">
        <v>88</v>
      </c>
    </row>
    <row r="15" spans="1:6">
      <c r="A15" s="3">
        <v>46042.124305555553</v>
      </c>
      <c r="B15" s="4" t="s">
        <v>61</v>
      </c>
      <c r="C15" s="4" t="s">
        <v>89</v>
      </c>
      <c r="D15" s="4" t="s">
        <v>48</v>
      </c>
      <c r="E15" s="4" t="s">
        <v>49</v>
      </c>
      <c r="F15" s="4" t="s">
        <v>90</v>
      </c>
    </row>
    <row r="16" spans="1:6">
      <c r="A16" s="3">
        <v>46043.695833333331</v>
      </c>
      <c r="B16" s="4" t="s">
        <v>51</v>
      </c>
      <c r="C16" s="4" t="s">
        <v>91</v>
      </c>
      <c r="D16" s="4" t="s">
        <v>48</v>
      </c>
      <c r="E16" s="4" t="s">
        <v>64</v>
      </c>
      <c r="F16" s="4" t="s">
        <v>92</v>
      </c>
    </row>
    <row r="17" spans="1:6">
      <c r="A17" s="3">
        <v>46044.343055555553</v>
      </c>
      <c r="B17" s="4" t="s">
        <v>46</v>
      </c>
      <c r="C17" s="4" t="s">
        <v>93</v>
      </c>
      <c r="D17" s="4" t="s">
        <v>48</v>
      </c>
      <c r="E17" s="4" t="s">
        <v>74</v>
      </c>
      <c r="F17" s="4" t="s">
        <v>94</v>
      </c>
    </row>
    <row r="18" spans="1:6">
      <c r="A18" s="3">
        <v>46046.21597222222</v>
      </c>
      <c r="B18" s="4" t="s">
        <v>61</v>
      </c>
      <c r="C18" s="4" t="s">
        <v>87</v>
      </c>
      <c r="D18" s="4" t="s">
        <v>48</v>
      </c>
      <c r="E18" s="4" t="s">
        <v>64</v>
      </c>
      <c r="F18" s="4" t="s">
        <v>95</v>
      </c>
    </row>
    <row r="19" spans="1:6">
      <c r="A19" s="3">
        <v>46048.55</v>
      </c>
      <c r="B19" s="4" t="s">
        <v>56</v>
      </c>
      <c r="C19" s="4" t="s">
        <v>96</v>
      </c>
      <c r="D19" s="4" t="s">
        <v>53</v>
      </c>
      <c r="E19" s="4" t="s">
        <v>64</v>
      </c>
      <c r="F19" s="4" t="s">
        <v>97</v>
      </c>
    </row>
    <row r="20" spans="1:6">
      <c r="A20" s="3">
        <v>46048.933333333334</v>
      </c>
      <c r="B20" s="4" t="s">
        <v>84</v>
      </c>
      <c r="C20" s="4" t="s">
        <v>98</v>
      </c>
      <c r="D20" s="4" t="s">
        <v>53</v>
      </c>
      <c r="E20" s="4" t="s">
        <v>54</v>
      </c>
      <c r="F20" s="4" t="s">
        <v>99</v>
      </c>
    </row>
    <row r="21" spans="1:6">
      <c r="A21" s="3">
        <v>46049.209722222222</v>
      </c>
      <c r="B21" s="4" t="s">
        <v>78</v>
      </c>
      <c r="C21" s="4" t="s">
        <v>100</v>
      </c>
      <c r="D21" s="4" t="s">
        <v>63</v>
      </c>
      <c r="E21" s="4" t="s">
        <v>54</v>
      </c>
      <c r="F21" s="4" t="s">
        <v>101</v>
      </c>
    </row>
    <row r="22" spans="1:6">
      <c r="A22" s="3">
        <v>46052.0625</v>
      </c>
      <c r="B22" s="4" t="s">
        <v>78</v>
      </c>
      <c r="C22" s="4" t="s">
        <v>102</v>
      </c>
      <c r="D22" s="4" t="s">
        <v>48</v>
      </c>
      <c r="E22" s="4" t="s">
        <v>64</v>
      </c>
      <c r="F22" s="4" t="s">
        <v>103</v>
      </c>
    </row>
    <row r="23" spans="1:6">
      <c r="A23" s="3">
        <v>46049.965277777781</v>
      </c>
      <c r="B23" s="4" t="s">
        <v>78</v>
      </c>
      <c r="C23" s="4" t="s">
        <v>104</v>
      </c>
      <c r="D23" s="4" t="s">
        <v>63</v>
      </c>
      <c r="E23" s="4" t="s">
        <v>54</v>
      </c>
      <c r="F23" s="4" t="s">
        <v>105</v>
      </c>
    </row>
    <row r="24" spans="1:6">
      <c r="A24" s="3">
        <v>46050.11041666667</v>
      </c>
      <c r="B24" s="4" t="s">
        <v>78</v>
      </c>
      <c r="C24" s="4" t="s">
        <v>106</v>
      </c>
      <c r="D24" s="4" t="s">
        <v>48</v>
      </c>
      <c r="E24" s="4" t="s">
        <v>64</v>
      </c>
      <c r="F24" s="4" t="s">
        <v>107</v>
      </c>
    </row>
    <row r="25" spans="1:6">
      <c r="A25" s="3">
        <v>46049.359722222223</v>
      </c>
      <c r="B25" s="4" t="s">
        <v>46</v>
      </c>
      <c r="C25" s="4" t="s">
        <v>108</v>
      </c>
      <c r="D25" s="4" t="s">
        <v>48</v>
      </c>
      <c r="E25" s="4" t="s">
        <v>64</v>
      </c>
      <c r="F25" s="4" t="s">
        <v>103</v>
      </c>
    </row>
    <row r="26" spans="1:6">
      <c r="A26" s="3">
        <v>46052.775000000001</v>
      </c>
      <c r="B26" s="4" t="s">
        <v>72</v>
      </c>
      <c r="C26" s="4" t="s">
        <v>109</v>
      </c>
      <c r="D26" s="4" t="s">
        <v>48</v>
      </c>
      <c r="E26" s="4" t="s">
        <v>80</v>
      </c>
      <c r="F26" s="4" t="s">
        <v>110</v>
      </c>
    </row>
    <row r="27" spans="1:6">
      <c r="A27" s="3">
        <v>46053.1875</v>
      </c>
      <c r="B27" s="4" t="s">
        <v>51</v>
      </c>
      <c r="C27" s="4" t="s">
        <v>111</v>
      </c>
      <c r="D27" s="4" t="s">
        <v>48</v>
      </c>
      <c r="E27" s="4" t="s">
        <v>54</v>
      </c>
      <c r="F27" s="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CFE6-178C-4340-9339-33E39BE86053}">
  <dimension ref="A1:F17"/>
  <sheetViews>
    <sheetView workbookViewId="0">
      <selection activeCell="C27" sqref="C27"/>
    </sheetView>
  </sheetViews>
  <sheetFormatPr defaultColWidth="11.42578125" defaultRowHeight="15"/>
  <cols>
    <col min="1" max="1" width="15.42578125" bestFit="1" customWidth="1"/>
    <col min="2" max="2" width="29" bestFit="1" customWidth="1"/>
    <col min="3" max="3" width="54.140625" bestFit="1" customWidth="1"/>
    <col min="4" max="4" width="11.42578125" bestFit="1" customWidth="1"/>
    <col min="5" max="5" width="17.85546875" bestFit="1" customWidth="1"/>
    <col min="6" max="6" width="13.5703125" bestFit="1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43</v>
      </c>
      <c r="E1" s="2" t="s">
        <v>44</v>
      </c>
      <c r="F1" s="2" t="s">
        <v>45</v>
      </c>
    </row>
    <row r="2" spans="1:6">
      <c r="A2" s="3">
        <v>46059.683333333334</v>
      </c>
      <c r="B2" s="4" t="s">
        <v>61</v>
      </c>
      <c r="C2" s="4" t="s">
        <v>113</v>
      </c>
      <c r="D2" s="4" t="s">
        <v>48</v>
      </c>
      <c r="E2" s="4" t="s">
        <v>49</v>
      </c>
      <c r="F2" s="4" t="s">
        <v>114</v>
      </c>
    </row>
    <row r="3" spans="1:6">
      <c r="A3" s="3">
        <v>46056.65902777778</v>
      </c>
      <c r="B3" s="4" t="s">
        <v>61</v>
      </c>
      <c r="C3" s="4" t="s">
        <v>115</v>
      </c>
      <c r="D3" s="4" t="s">
        <v>53</v>
      </c>
      <c r="E3" s="4" t="s">
        <v>64</v>
      </c>
      <c r="F3" s="4" t="s">
        <v>116</v>
      </c>
    </row>
    <row r="4" spans="1:6">
      <c r="A4" s="3">
        <v>46056.469444444447</v>
      </c>
      <c r="B4" s="4" t="s">
        <v>84</v>
      </c>
      <c r="C4" s="4" t="s">
        <v>117</v>
      </c>
      <c r="D4" s="4" t="s">
        <v>53</v>
      </c>
      <c r="E4" s="4" t="s">
        <v>80</v>
      </c>
      <c r="F4" s="4" t="s">
        <v>118</v>
      </c>
    </row>
    <row r="5" spans="1:6">
      <c r="A5" s="3">
        <v>46056.65902777778</v>
      </c>
      <c r="B5" s="4" t="s">
        <v>61</v>
      </c>
      <c r="C5" s="4" t="s">
        <v>115</v>
      </c>
      <c r="D5" s="4" t="s">
        <v>53</v>
      </c>
      <c r="E5" s="4" t="s">
        <v>64</v>
      </c>
      <c r="F5" s="4" t="s">
        <v>116</v>
      </c>
    </row>
    <row r="6" spans="1:6">
      <c r="A6" s="3">
        <v>46057.578472222223</v>
      </c>
      <c r="B6" s="4" t="s">
        <v>84</v>
      </c>
      <c r="C6" s="4" t="s">
        <v>119</v>
      </c>
      <c r="D6" s="4" t="s">
        <v>48</v>
      </c>
      <c r="E6" s="4" t="s">
        <v>54</v>
      </c>
      <c r="F6" s="4" t="s">
        <v>120</v>
      </c>
    </row>
    <row r="7" spans="1:6">
      <c r="A7" s="3">
        <v>46057.652777777781</v>
      </c>
      <c r="B7" s="4" t="s">
        <v>61</v>
      </c>
      <c r="C7" s="4" t="s">
        <v>121</v>
      </c>
      <c r="D7" s="4" t="s">
        <v>48</v>
      </c>
      <c r="E7" s="4" t="s">
        <v>54</v>
      </c>
      <c r="F7" s="4" t="s">
        <v>122</v>
      </c>
    </row>
    <row r="8" spans="1:6">
      <c r="A8" s="3">
        <v>46059.683333333334</v>
      </c>
      <c r="B8" s="4" t="s">
        <v>61</v>
      </c>
      <c r="C8" s="4" t="s">
        <v>113</v>
      </c>
      <c r="D8" s="4" t="s">
        <v>48</v>
      </c>
      <c r="E8" s="4" t="s">
        <v>123</v>
      </c>
      <c r="F8" s="4" t="s">
        <v>114</v>
      </c>
    </row>
    <row r="9" spans="1:6">
      <c r="A9" s="3">
        <v>46062.664583333331</v>
      </c>
      <c r="B9" s="4" t="s">
        <v>46</v>
      </c>
      <c r="C9" s="4" t="s">
        <v>124</v>
      </c>
      <c r="D9" s="4" t="s">
        <v>48</v>
      </c>
      <c r="E9" s="4" t="s">
        <v>64</v>
      </c>
      <c r="F9" s="4" t="s">
        <v>125</v>
      </c>
    </row>
    <row r="10" spans="1:6">
      <c r="A10" s="3">
        <v>46063.95208333333</v>
      </c>
      <c r="B10" s="4" t="s">
        <v>66</v>
      </c>
      <c r="C10" s="4" t="s">
        <v>126</v>
      </c>
      <c r="D10" s="4" t="s">
        <v>48</v>
      </c>
      <c r="E10" s="4" t="s">
        <v>54</v>
      </c>
      <c r="F10" s="4" t="s">
        <v>127</v>
      </c>
    </row>
    <row r="11" spans="1:6">
      <c r="A11" s="3">
        <v>46064.265277777777</v>
      </c>
      <c r="B11" s="4" t="s">
        <v>61</v>
      </c>
      <c r="C11" s="4" t="s">
        <v>117</v>
      </c>
      <c r="D11" s="4" t="s">
        <v>53</v>
      </c>
      <c r="E11" s="4" t="s">
        <v>123</v>
      </c>
      <c r="F11" s="4" t="s">
        <v>128</v>
      </c>
    </row>
    <row r="12" spans="1:6">
      <c r="A12" s="3">
        <v>46065.268750000003</v>
      </c>
      <c r="B12" s="4" t="s">
        <v>61</v>
      </c>
      <c r="C12" s="4" t="s">
        <v>129</v>
      </c>
      <c r="D12" s="4" t="s">
        <v>63</v>
      </c>
      <c r="E12" s="4" t="s">
        <v>64</v>
      </c>
      <c r="F12" s="4" t="s">
        <v>130</v>
      </c>
    </row>
    <row r="13" spans="1:6">
      <c r="A13" s="3">
        <v>46065.302083333336</v>
      </c>
      <c r="B13" s="4" t="s">
        <v>61</v>
      </c>
      <c r="C13" s="4" t="s">
        <v>131</v>
      </c>
      <c r="D13" s="4" t="s">
        <v>48</v>
      </c>
      <c r="E13" s="4" t="s">
        <v>49</v>
      </c>
      <c r="F13" s="4" t="s">
        <v>132</v>
      </c>
    </row>
    <row r="14" spans="1:6">
      <c r="A14" s="3">
        <v>46068.363194444442</v>
      </c>
      <c r="B14" s="4" t="s">
        <v>56</v>
      </c>
      <c r="C14" s="4" t="s">
        <v>133</v>
      </c>
      <c r="D14" s="4" t="s">
        <v>48</v>
      </c>
      <c r="E14" s="4" t="s">
        <v>64</v>
      </c>
      <c r="F14" s="4" t="s">
        <v>134</v>
      </c>
    </row>
    <row r="15" spans="1:6">
      <c r="A15" s="3">
        <v>46069.194444444445</v>
      </c>
      <c r="B15" s="4" t="s">
        <v>51</v>
      </c>
      <c r="C15" s="4" t="s">
        <v>135</v>
      </c>
      <c r="D15" s="4" t="s">
        <v>48</v>
      </c>
      <c r="E15" s="4" t="s">
        <v>54</v>
      </c>
      <c r="F15" s="4" t="s">
        <v>136</v>
      </c>
    </row>
    <row r="16" spans="1:6">
      <c r="A16" s="3">
        <v>46072.369444444441</v>
      </c>
      <c r="B16" s="4" t="s">
        <v>46</v>
      </c>
      <c r="C16" s="6" t="s">
        <v>137</v>
      </c>
      <c r="D16" s="4" t="s">
        <v>48</v>
      </c>
      <c r="E16" s="4" t="s">
        <v>64</v>
      </c>
      <c r="F16" s="4" t="s">
        <v>138</v>
      </c>
    </row>
    <row r="17" spans="1:6">
      <c r="A17" s="3">
        <v>46079.738888888889</v>
      </c>
      <c r="B17" s="4" t="s">
        <v>56</v>
      </c>
      <c r="C17" s="6" t="s">
        <v>137</v>
      </c>
      <c r="D17" s="4" t="s">
        <v>48</v>
      </c>
      <c r="E17" s="4" t="s">
        <v>54</v>
      </c>
      <c r="F17" s="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106A-45BA-43C7-BCDA-C2BB45D2F89D}">
  <dimension ref="A1:I25"/>
  <sheetViews>
    <sheetView workbookViewId="0">
      <selection activeCell="F25" sqref="F25"/>
    </sheetView>
  </sheetViews>
  <sheetFormatPr defaultColWidth="11.42578125" defaultRowHeight="15"/>
  <cols>
    <col min="1" max="1" width="16.5703125" bestFit="1" customWidth="1"/>
    <col min="2" max="2" width="30.5703125" customWidth="1"/>
    <col min="3" max="3" width="44.7109375" customWidth="1"/>
    <col min="4" max="4" width="13.42578125" customWidth="1"/>
    <col min="5" max="5" width="23.5703125" customWidth="1"/>
    <col min="6" max="6" width="17.7109375" customWidth="1"/>
    <col min="7" max="7" width="165.5703125" customWidth="1"/>
  </cols>
  <sheetData>
    <row r="1" spans="1:9">
      <c r="A1" s="7" t="s">
        <v>1</v>
      </c>
      <c r="B1" s="7" t="s">
        <v>2</v>
      </c>
      <c r="C1" s="7" t="s">
        <v>3</v>
      </c>
      <c r="D1" s="7" t="s">
        <v>43</v>
      </c>
      <c r="E1" s="7" t="s">
        <v>44</v>
      </c>
      <c r="F1" s="7" t="s">
        <v>45</v>
      </c>
    </row>
    <row r="2" spans="1:9">
      <c r="A2" s="3">
        <v>46089.791666666664</v>
      </c>
      <c r="B2" s="4" t="s">
        <v>56</v>
      </c>
      <c r="C2" s="4" t="s">
        <v>137</v>
      </c>
      <c r="D2" s="4" t="s">
        <v>48</v>
      </c>
      <c r="E2" s="8" t="s">
        <v>64</v>
      </c>
      <c r="F2" s="4" t="s">
        <v>140</v>
      </c>
    </row>
    <row r="3" spans="1:9">
      <c r="A3" s="3">
        <v>46086.620138888888</v>
      </c>
      <c r="B3" s="4" t="s">
        <v>141</v>
      </c>
      <c r="C3" s="4" t="s">
        <v>142</v>
      </c>
      <c r="D3" s="4" t="s">
        <v>48</v>
      </c>
      <c r="E3" s="8" t="s">
        <v>64</v>
      </c>
      <c r="F3" s="4" t="s">
        <v>143</v>
      </c>
    </row>
    <row r="4" spans="1:9">
      <c r="A4" s="3">
        <v>46085.624305555553</v>
      </c>
      <c r="B4" s="4" t="s">
        <v>141</v>
      </c>
      <c r="C4" s="4" t="s">
        <v>144</v>
      </c>
      <c r="D4" s="4" t="s">
        <v>53</v>
      </c>
      <c r="E4" s="8" t="s">
        <v>49</v>
      </c>
      <c r="F4" s="4" t="s">
        <v>145</v>
      </c>
    </row>
    <row r="5" spans="1:9">
      <c r="A5" s="3">
        <v>46084.469444444447</v>
      </c>
      <c r="B5" s="4" t="s">
        <v>146</v>
      </c>
      <c r="C5" s="4" t="s">
        <v>147</v>
      </c>
      <c r="D5" s="4" t="s">
        <v>53</v>
      </c>
      <c r="E5" s="8" t="s">
        <v>64</v>
      </c>
      <c r="F5" s="4" t="s">
        <v>148</v>
      </c>
    </row>
    <row r="6" spans="1:9">
      <c r="A6" s="3">
        <v>46084.34375</v>
      </c>
      <c r="B6" s="4" t="s">
        <v>146</v>
      </c>
      <c r="C6" s="4" t="s">
        <v>149</v>
      </c>
      <c r="D6" s="4" t="s">
        <v>63</v>
      </c>
      <c r="E6" s="8" t="s">
        <v>49</v>
      </c>
      <c r="F6" s="4" t="s">
        <v>150</v>
      </c>
    </row>
    <row r="7" spans="1:9">
      <c r="A7" s="3">
        <v>46083.619444444441</v>
      </c>
      <c r="B7" s="4" t="s">
        <v>56</v>
      </c>
      <c r="C7" s="4" t="s">
        <v>151</v>
      </c>
      <c r="D7" s="4" t="s">
        <v>53</v>
      </c>
      <c r="E7" s="8" t="s">
        <v>54</v>
      </c>
      <c r="F7" s="4" t="s">
        <v>152</v>
      </c>
    </row>
    <row r="8" spans="1:9">
      <c r="A8" s="3">
        <v>46083.378472222219</v>
      </c>
      <c r="B8" s="4" t="s">
        <v>141</v>
      </c>
      <c r="C8" s="4" t="s">
        <v>153</v>
      </c>
      <c r="D8" s="4" t="s">
        <v>48</v>
      </c>
      <c r="E8" s="8" t="s">
        <v>64</v>
      </c>
      <c r="F8" s="4" t="s">
        <v>154</v>
      </c>
    </row>
    <row r="9" spans="1:9">
      <c r="A9" s="3">
        <v>46090.30972222222</v>
      </c>
      <c r="B9" s="4" t="s">
        <v>146</v>
      </c>
      <c r="C9" s="4" t="s">
        <v>142</v>
      </c>
      <c r="D9" s="4" t="s">
        <v>63</v>
      </c>
      <c r="E9" s="8" t="s">
        <v>64</v>
      </c>
      <c r="F9" s="4" t="s">
        <v>143</v>
      </c>
    </row>
    <row r="10" spans="1:9">
      <c r="A10" s="3">
        <v>46092.338194444441</v>
      </c>
      <c r="B10" s="4" t="s">
        <v>141</v>
      </c>
      <c r="C10" s="4" t="s">
        <v>155</v>
      </c>
      <c r="D10" s="4" t="s">
        <v>53</v>
      </c>
      <c r="E10" s="8" t="s">
        <v>64</v>
      </c>
      <c r="F10" s="4" t="s">
        <v>156</v>
      </c>
    </row>
    <row r="11" spans="1:9">
      <c r="A11" s="3">
        <v>46091.874305555553</v>
      </c>
      <c r="B11" s="4" t="s">
        <v>46</v>
      </c>
      <c r="C11" s="4" t="s">
        <v>157</v>
      </c>
      <c r="D11" s="4" t="s">
        <v>48</v>
      </c>
      <c r="E11" s="8" t="s">
        <v>64</v>
      </c>
      <c r="F11" s="4" t="s">
        <v>158</v>
      </c>
    </row>
    <row r="12" spans="1:9">
      <c r="A12" s="3">
        <v>46091.90347222222</v>
      </c>
      <c r="B12" s="4" t="s">
        <v>159</v>
      </c>
      <c r="C12" s="4" t="s">
        <v>160</v>
      </c>
      <c r="D12" s="4" t="s">
        <v>48</v>
      </c>
      <c r="E12" s="8" t="s">
        <v>64</v>
      </c>
      <c r="F12" s="4" t="s">
        <v>161</v>
      </c>
    </row>
    <row r="13" spans="1:9">
      <c r="A13" s="3">
        <v>46092.338194444441</v>
      </c>
      <c r="B13" s="8" t="s">
        <v>61</v>
      </c>
      <c r="C13" s="4" t="s">
        <v>162</v>
      </c>
      <c r="D13" s="4" t="s">
        <v>48</v>
      </c>
      <c r="E13" s="8" t="s">
        <v>64</v>
      </c>
      <c r="F13" s="4" t="s">
        <v>156</v>
      </c>
    </row>
    <row r="14" spans="1:9">
      <c r="A14" s="3">
        <v>46095.093055555553</v>
      </c>
      <c r="B14" s="8" t="s">
        <v>61</v>
      </c>
      <c r="C14" s="4" t="s">
        <v>163</v>
      </c>
      <c r="D14" s="4" t="s">
        <v>48</v>
      </c>
      <c r="E14" s="4" t="s">
        <v>80</v>
      </c>
      <c r="F14" s="4" t="s">
        <v>164</v>
      </c>
    </row>
    <row r="15" spans="1:9">
      <c r="A15" s="3">
        <v>46094.324999999997</v>
      </c>
      <c r="B15" s="8" t="s">
        <v>61</v>
      </c>
      <c r="C15" s="4" t="s">
        <v>165</v>
      </c>
      <c r="D15" s="4" t="s">
        <v>53</v>
      </c>
      <c r="E15" s="8" t="s">
        <v>64</v>
      </c>
      <c r="F15" s="4" t="s">
        <v>166</v>
      </c>
    </row>
    <row r="16" spans="1:9">
      <c r="A16" s="3">
        <v>46099.201388888891</v>
      </c>
      <c r="B16" s="8" t="s">
        <v>167</v>
      </c>
      <c r="C16" s="4" t="s">
        <v>137</v>
      </c>
      <c r="D16" s="4" t="s">
        <v>48</v>
      </c>
      <c r="E16" s="8" t="s">
        <v>54</v>
      </c>
      <c r="F16" s="4" t="s">
        <v>168</v>
      </c>
      <c r="I16" s="5"/>
    </row>
    <row r="17" spans="1:9">
      <c r="A17" s="3">
        <v>46099.633333333331</v>
      </c>
      <c r="B17" s="4" t="s">
        <v>56</v>
      </c>
      <c r="C17" s="9" t="s">
        <v>169</v>
      </c>
      <c r="D17" s="4" t="s">
        <v>48</v>
      </c>
      <c r="E17" s="8" t="s">
        <v>64</v>
      </c>
      <c r="F17" s="4" t="s">
        <v>170</v>
      </c>
      <c r="I17" s="5"/>
    </row>
    <row r="18" spans="1:9">
      <c r="A18" s="3">
        <v>46100.15347222222</v>
      </c>
      <c r="B18" s="8" t="s">
        <v>167</v>
      </c>
      <c r="C18" s="4" t="s">
        <v>137</v>
      </c>
      <c r="D18" s="4" t="s">
        <v>48</v>
      </c>
      <c r="E18" s="4" t="s">
        <v>54</v>
      </c>
      <c r="F18" s="4" t="s">
        <v>171</v>
      </c>
      <c r="I18" s="5"/>
    </row>
    <row r="19" spans="1:9">
      <c r="A19" s="3">
        <v>46101.470833333333</v>
      </c>
      <c r="B19" s="4" t="s">
        <v>56</v>
      </c>
      <c r="C19" s="4" t="s">
        <v>172</v>
      </c>
      <c r="D19" s="4" t="s">
        <v>48</v>
      </c>
      <c r="E19" s="8" t="s">
        <v>64</v>
      </c>
      <c r="F19" s="4" t="s">
        <v>173</v>
      </c>
    </row>
    <row r="20" spans="1:9">
      <c r="A20" s="3">
        <v>46101.419444444444</v>
      </c>
      <c r="B20" s="4" t="s">
        <v>159</v>
      </c>
      <c r="C20" s="4" t="s">
        <v>106</v>
      </c>
      <c r="D20" s="4" t="s">
        <v>48</v>
      </c>
      <c r="E20" s="4" t="s">
        <v>80</v>
      </c>
      <c r="F20" s="4" t="s">
        <v>174</v>
      </c>
    </row>
    <row r="21" spans="1:9">
      <c r="A21" s="3">
        <v>46101.106249999997</v>
      </c>
      <c r="B21" s="4" t="s">
        <v>51</v>
      </c>
      <c r="C21" s="4" t="s">
        <v>175</v>
      </c>
      <c r="D21" s="4" t="s">
        <v>53</v>
      </c>
      <c r="E21" s="4" t="s">
        <v>54</v>
      </c>
      <c r="F21" s="4" t="s">
        <v>176</v>
      </c>
    </row>
    <row r="22" spans="1:9">
      <c r="A22" s="3">
        <v>46101.257638888892</v>
      </c>
      <c r="B22" s="4" t="s">
        <v>46</v>
      </c>
      <c r="C22" s="4" t="s">
        <v>177</v>
      </c>
      <c r="D22" s="4" t="s">
        <v>53</v>
      </c>
      <c r="E22" s="4" t="s">
        <v>80</v>
      </c>
      <c r="F22" s="4" t="s">
        <v>178</v>
      </c>
    </row>
    <row r="23" spans="1:9">
      <c r="A23" s="3">
        <v>46101.306250000001</v>
      </c>
      <c r="B23" s="4" t="s">
        <v>56</v>
      </c>
      <c r="C23" s="4" t="s">
        <v>179</v>
      </c>
      <c r="D23" s="4" t="s">
        <v>48</v>
      </c>
      <c r="E23" s="8" t="s">
        <v>49</v>
      </c>
      <c r="F23" s="4" t="s">
        <v>180</v>
      </c>
    </row>
    <row r="24" spans="1:9">
      <c r="A24" s="3">
        <v>46104.436805555553</v>
      </c>
      <c r="B24" s="4" t="s">
        <v>66</v>
      </c>
      <c r="C24" s="4" t="s">
        <v>117</v>
      </c>
      <c r="D24" s="4" t="s">
        <v>53</v>
      </c>
      <c r="E24" s="8" t="s">
        <v>64</v>
      </c>
      <c r="F24" s="4" t="s">
        <v>181</v>
      </c>
    </row>
    <row r="25" spans="1:9">
      <c r="A25" s="3">
        <v>46109.51666666667</v>
      </c>
      <c r="B25" s="4" t="s">
        <v>66</v>
      </c>
      <c r="C25" s="4" t="s">
        <v>182</v>
      </c>
      <c r="D25" s="4" t="s">
        <v>63</v>
      </c>
      <c r="E25" s="8" t="s">
        <v>64</v>
      </c>
      <c r="F25" s="4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CB65-C11B-416E-838C-0DB2FBC392DC}">
  <dimension ref="A1:F26"/>
  <sheetViews>
    <sheetView workbookViewId="0">
      <selection activeCell="A8" sqref="A8"/>
    </sheetView>
  </sheetViews>
  <sheetFormatPr defaultColWidth="11.42578125" defaultRowHeight="15"/>
  <cols>
    <col min="1" max="1" width="16.5703125" bestFit="1" customWidth="1"/>
    <col min="2" max="2" width="29" bestFit="1" customWidth="1"/>
    <col min="3" max="3" width="78.140625" customWidth="1"/>
    <col min="5" max="5" width="17.85546875" bestFit="1" customWidth="1"/>
    <col min="6" max="6" width="16.7109375" customWidth="1"/>
  </cols>
  <sheetData>
    <row r="1" spans="1:6">
      <c r="A1" s="7" t="s">
        <v>1</v>
      </c>
      <c r="B1" s="7" t="s">
        <v>2</v>
      </c>
      <c r="C1" s="7" t="s">
        <v>3</v>
      </c>
      <c r="D1" s="7" t="s">
        <v>43</v>
      </c>
      <c r="E1" s="7" t="s">
        <v>44</v>
      </c>
      <c r="F1" s="7" t="s">
        <v>45</v>
      </c>
    </row>
    <row r="2" spans="1:6">
      <c r="A2" s="3">
        <v>46117.875694444447</v>
      </c>
      <c r="B2" s="8" t="s">
        <v>61</v>
      </c>
      <c r="C2" s="4" t="s">
        <v>184</v>
      </c>
      <c r="D2" s="4" t="s">
        <v>53</v>
      </c>
      <c r="E2" s="8" t="s">
        <v>49</v>
      </c>
      <c r="F2" s="4" t="s">
        <v>185</v>
      </c>
    </row>
    <row r="3" spans="1:6">
      <c r="A3" s="3">
        <v>46118.667361111111</v>
      </c>
      <c r="B3" s="8" t="s">
        <v>72</v>
      </c>
      <c r="C3" s="4" t="s">
        <v>186</v>
      </c>
      <c r="D3" s="4" t="s">
        <v>53</v>
      </c>
      <c r="E3" s="8" t="s">
        <v>64</v>
      </c>
      <c r="F3" s="4" t="s">
        <v>187</v>
      </c>
    </row>
    <row r="4" spans="1:6">
      <c r="A4" s="3">
        <v>46119.509722222225</v>
      </c>
      <c r="B4" s="4" t="s">
        <v>56</v>
      </c>
      <c r="C4" s="4" t="s">
        <v>188</v>
      </c>
      <c r="D4" s="4" t="s">
        <v>48</v>
      </c>
      <c r="E4" s="8" t="s">
        <v>64</v>
      </c>
      <c r="F4" s="4" t="s">
        <v>189</v>
      </c>
    </row>
    <row r="5" spans="1:6">
      <c r="A5" s="3">
        <v>46120.03402777778</v>
      </c>
      <c r="B5" s="4" t="s">
        <v>51</v>
      </c>
      <c r="C5" s="4" t="s">
        <v>190</v>
      </c>
      <c r="D5" s="4" t="s">
        <v>53</v>
      </c>
      <c r="E5" s="8" t="s">
        <v>64</v>
      </c>
      <c r="F5" s="4" t="s">
        <v>191</v>
      </c>
    </row>
    <row r="6" spans="1:6">
      <c r="A6" s="3">
        <v>46121.065972222219</v>
      </c>
      <c r="B6" s="4" t="s">
        <v>51</v>
      </c>
      <c r="C6" s="4" t="s">
        <v>192</v>
      </c>
      <c r="D6" s="4" t="s">
        <v>48</v>
      </c>
      <c r="E6" s="8" t="s">
        <v>64</v>
      </c>
      <c r="F6" s="4" t="s">
        <v>193</v>
      </c>
    </row>
    <row r="7" spans="1:6">
      <c r="A7" s="3">
        <v>46121.487500000003</v>
      </c>
      <c r="B7" s="4" t="s">
        <v>56</v>
      </c>
      <c r="C7" s="4" t="s">
        <v>133</v>
      </c>
      <c r="D7" s="4" t="s">
        <v>48</v>
      </c>
      <c r="E7" s="4" t="s">
        <v>54</v>
      </c>
      <c r="F7" s="4" t="s">
        <v>194</v>
      </c>
    </row>
    <row r="8" spans="1:6">
      <c r="A8" s="3">
        <v>46125.671527777777</v>
      </c>
      <c r="B8" s="4" t="s">
        <v>46</v>
      </c>
      <c r="C8" s="4" t="s">
        <v>195</v>
      </c>
      <c r="D8" s="4" t="s">
        <v>48</v>
      </c>
      <c r="E8" s="8" t="s">
        <v>64</v>
      </c>
      <c r="F8" s="4" t="s">
        <v>196</v>
      </c>
    </row>
    <row r="9" spans="1:6">
      <c r="A9" s="3">
        <v>46126.515972222223</v>
      </c>
      <c r="B9" s="4" t="s">
        <v>61</v>
      </c>
      <c r="C9" s="4" t="s">
        <v>197</v>
      </c>
      <c r="D9" s="4" t="s">
        <v>53</v>
      </c>
      <c r="E9" s="8" t="s">
        <v>80</v>
      </c>
      <c r="F9" s="4" t="s">
        <v>198</v>
      </c>
    </row>
    <row r="10" spans="1:6">
      <c r="A10" s="3">
        <v>46126.977777777778</v>
      </c>
      <c r="B10" s="4" t="s">
        <v>72</v>
      </c>
      <c r="C10" s="4" t="s">
        <v>199</v>
      </c>
      <c r="D10" s="4" t="s">
        <v>48</v>
      </c>
      <c r="E10" s="4" t="s">
        <v>54</v>
      </c>
      <c r="F10" s="4" t="s">
        <v>200</v>
      </c>
    </row>
    <row r="11" spans="1:6">
      <c r="A11" s="3">
        <v>46128.317361111112</v>
      </c>
      <c r="B11" s="12" t="s">
        <v>159</v>
      </c>
      <c r="C11" s="4" t="s">
        <v>201</v>
      </c>
      <c r="D11" s="4" t="s">
        <v>48</v>
      </c>
      <c r="E11" s="8" t="s">
        <v>49</v>
      </c>
      <c r="F11" s="4" t="s">
        <v>202</v>
      </c>
    </row>
    <row r="12" spans="1:6">
      <c r="A12" s="3">
        <v>46128.780555555553</v>
      </c>
      <c r="B12" s="4" t="s">
        <v>46</v>
      </c>
      <c r="C12" s="4" t="s">
        <v>203</v>
      </c>
      <c r="D12" s="4" t="s">
        <v>48</v>
      </c>
      <c r="E12" s="8" t="s">
        <v>80</v>
      </c>
      <c r="F12" s="4" t="s">
        <v>198</v>
      </c>
    </row>
    <row r="13" spans="1:6">
      <c r="A13" s="3">
        <v>46129.061805555553</v>
      </c>
      <c r="B13" s="4" t="s">
        <v>72</v>
      </c>
      <c r="C13" s="4" t="s">
        <v>204</v>
      </c>
      <c r="D13" s="4" t="s">
        <v>53</v>
      </c>
      <c r="E13" s="8" t="s">
        <v>64</v>
      </c>
      <c r="F13" s="4" t="s">
        <v>205</v>
      </c>
    </row>
    <row r="14" spans="1:6">
      <c r="A14" s="3">
        <v>46129.228472222225</v>
      </c>
      <c r="B14" s="8" t="s">
        <v>46</v>
      </c>
      <c r="C14" s="4" t="s">
        <v>206</v>
      </c>
      <c r="D14" s="4" t="s">
        <v>48</v>
      </c>
      <c r="E14" s="8" t="s">
        <v>80</v>
      </c>
      <c r="F14" s="4" t="s">
        <v>198</v>
      </c>
    </row>
    <row r="15" spans="1:6">
      <c r="A15" s="3">
        <v>46132.344444444447</v>
      </c>
      <c r="B15" s="8" t="s">
        <v>72</v>
      </c>
      <c r="C15" s="4" t="s">
        <v>207</v>
      </c>
      <c r="D15" s="4" t="s">
        <v>53</v>
      </c>
      <c r="E15" s="4" t="s">
        <v>64</v>
      </c>
      <c r="F15" s="4" t="s">
        <v>208</v>
      </c>
    </row>
    <row r="16" spans="1:6">
      <c r="A16" s="3">
        <v>46133.145138888889</v>
      </c>
      <c r="B16" s="8" t="s">
        <v>46</v>
      </c>
      <c r="C16" s="4" t="s">
        <v>209</v>
      </c>
      <c r="D16" s="4" t="s">
        <v>48</v>
      </c>
      <c r="E16" s="4" t="s">
        <v>54</v>
      </c>
      <c r="F16" s="4" t="s">
        <v>210</v>
      </c>
    </row>
    <row r="17" spans="1:6">
      <c r="A17" s="3">
        <v>46133.409722222219</v>
      </c>
      <c r="B17" s="8" t="s">
        <v>159</v>
      </c>
      <c r="C17" s="4" t="s">
        <v>211</v>
      </c>
      <c r="D17" s="4" t="s">
        <v>48</v>
      </c>
      <c r="E17" s="8" t="s">
        <v>64</v>
      </c>
      <c r="F17" s="4" t="s">
        <v>212</v>
      </c>
    </row>
    <row r="18" spans="1:6">
      <c r="A18" s="3">
        <v>46134.252083333333</v>
      </c>
      <c r="B18" s="4" t="s">
        <v>78</v>
      </c>
      <c r="C18" s="9" t="s">
        <v>213</v>
      </c>
      <c r="D18" s="4" t="s">
        <v>53</v>
      </c>
      <c r="E18" s="8" t="s">
        <v>49</v>
      </c>
      <c r="F18" s="4" t="s">
        <v>214</v>
      </c>
    </row>
    <row r="19" spans="1:6">
      <c r="A19" s="3">
        <v>46134.308333333334</v>
      </c>
      <c r="B19" s="8" t="s">
        <v>46</v>
      </c>
      <c r="C19" s="4" t="s">
        <v>215</v>
      </c>
      <c r="D19" s="4" t="s">
        <v>48</v>
      </c>
      <c r="E19" s="4" t="s">
        <v>80</v>
      </c>
      <c r="F19" s="4" t="s">
        <v>216</v>
      </c>
    </row>
    <row r="20" spans="1:6">
      <c r="A20" s="3">
        <v>46134.905555555553</v>
      </c>
      <c r="B20" s="4" t="s">
        <v>56</v>
      </c>
      <c r="C20" s="4" t="s">
        <v>217</v>
      </c>
      <c r="D20" s="4" t="s">
        <v>48</v>
      </c>
      <c r="E20" s="8" t="s">
        <v>49</v>
      </c>
      <c r="F20" s="4" t="s">
        <v>214</v>
      </c>
    </row>
    <row r="21" spans="1:6">
      <c r="A21" s="3">
        <v>46135.073611111111</v>
      </c>
      <c r="B21" s="4" t="s">
        <v>46</v>
      </c>
      <c r="C21" s="4" t="s">
        <v>218</v>
      </c>
      <c r="D21" s="4" t="s">
        <v>53</v>
      </c>
      <c r="E21" s="4" t="s">
        <v>80</v>
      </c>
      <c r="F21" s="4" t="s">
        <v>219</v>
      </c>
    </row>
    <row r="22" spans="1:6">
      <c r="A22" s="3">
        <v>46138.022222222222</v>
      </c>
      <c r="B22" s="4" t="s">
        <v>46</v>
      </c>
      <c r="C22" s="4" t="s">
        <v>220</v>
      </c>
      <c r="D22" s="4" t="s">
        <v>48</v>
      </c>
      <c r="E22" s="8" t="s">
        <v>64</v>
      </c>
      <c r="F22" s="4" t="s">
        <v>221</v>
      </c>
    </row>
    <row r="23" spans="1:6">
      <c r="A23" s="3">
        <v>46140.75277777778</v>
      </c>
      <c r="B23" s="4" t="s">
        <v>61</v>
      </c>
      <c r="C23" s="4" t="s">
        <v>222</v>
      </c>
      <c r="D23" s="4" t="s">
        <v>48</v>
      </c>
      <c r="E23" s="8" t="s">
        <v>74</v>
      </c>
      <c r="F23" s="4" t="s">
        <v>223</v>
      </c>
    </row>
    <row r="24" spans="1:6">
      <c r="A24" s="3">
        <v>46141.44027777778</v>
      </c>
      <c r="B24" s="4" t="s">
        <v>56</v>
      </c>
      <c r="C24" s="4" t="s">
        <v>224</v>
      </c>
      <c r="D24" s="4" t="s">
        <v>53</v>
      </c>
      <c r="E24" s="8" t="s">
        <v>74</v>
      </c>
      <c r="F24" s="4" t="s">
        <v>225</v>
      </c>
    </row>
    <row r="25" spans="1:6">
      <c r="A25" s="3">
        <v>46142.020833333336</v>
      </c>
      <c r="B25" s="4" t="s">
        <v>78</v>
      </c>
      <c r="C25" s="4" t="s">
        <v>226</v>
      </c>
      <c r="D25" s="4" t="s">
        <v>48</v>
      </c>
      <c r="E25" s="8" t="s">
        <v>64</v>
      </c>
      <c r="F25" s="4" t="s">
        <v>227</v>
      </c>
    </row>
    <row r="26" spans="1:6">
      <c r="A26" s="3">
        <v>46142.305555555555</v>
      </c>
      <c r="B26" s="4" t="s">
        <v>78</v>
      </c>
      <c r="C26" s="4" t="s">
        <v>228</v>
      </c>
      <c r="D26" s="4" t="s">
        <v>48</v>
      </c>
      <c r="E26" s="4" t="s">
        <v>54</v>
      </c>
      <c r="F26" s="4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01C4-9E78-42E2-8739-98472E4C63A0}">
  <dimension ref="A1:F27"/>
  <sheetViews>
    <sheetView workbookViewId="0"/>
  </sheetViews>
  <sheetFormatPr defaultColWidth="9.140625" defaultRowHeight="15"/>
  <cols>
    <col min="1" max="1" width="18.42578125" customWidth="1"/>
    <col min="2" max="2" width="25.85546875" customWidth="1"/>
    <col min="3" max="3" width="98" customWidth="1"/>
    <col min="4" max="4" width="18.85546875" customWidth="1"/>
    <col min="5" max="6" width="18.42578125" customWidth="1"/>
  </cols>
  <sheetData>
    <row r="1" spans="1:6">
      <c r="A1" s="13" t="s">
        <v>1</v>
      </c>
      <c r="B1" s="13" t="s">
        <v>2</v>
      </c>
      <c r="C1" s="13" t="s">
        <v>3</v>
      </c>
      <c r="D1" s="13" t="s">
        <v>43</v>
      </c>
      <c r="E1" s="13" t="s">
        <v>44</v>
      </c>
      <c r="F1" s="13" t="s">
        <v>45</v>
      </c>
    </row>
    <row r="2" spans="1:6">
      <c r="A2" s="14">
        <v>46148.1875</v>
      </c>
      <c r="B2" s="6" t="s">
        <v>51</v>
      </c>
      <c r="C2" s="6" t="s">
        <v>230</v>
      </c>
      <c r="D2" s="6" t="s">
        <v>48</v>
      </c>
      <c r="E2" s="6" t="s">
        <v>231</v>
      </c>
      <c r="F2" s="6" t="s">
        <v>232</v>
      </c>
    </row>
    <row r="3" spans="1:6">
      <c r="A3" s="14">
        <v>46149.338194444441</v>
      </c>
      <c r="B3" s="6" t="s">
        <v>159</v>
      </c>
      <c r="C3" s="6" t="s">
        <v>233</v>
      </c>
      <c r="D3" s="6" t="s">
        <v>48</v>
      </c>
      <c r="E3" s="6" t="s">
        <v>234</v>
      </c>
      <c r="F3" s="6" t="s">
        <v>235</v>
      </c>
    </row>
    <row r="4" spans="1:6">
      <c r="A4" s="14">
        <v>46149.697916666664</v>
      </c>
      <c r="B4" s="6" t="s">
        <v>146</v>
      </c>
      <c r="C4" s="6" t="s">
        <v>236</v>
      </c>
      <c r="D4" s="6" t="s">
        <v>48</v>
      </c>
      <c r="E4" s="6" t="s">
        <v>231</v>
      </c>
      <c r="F4" s="15" t="s">
        <v>237</v>
      </c>
    </row>
    <row r="5" spans="1:6">
      <c r="A5" s="14">
        <v>46150.343055555553</v>
      </c>
      <c r="B5" s="6" t="s">
        <v>146</v>
      </c>
      <c r="C5" s="6" t="s">
        <v>238</v>
      </c>
      <c r="D5" s="6" t="s">
        <v>48</v>
      </c>
      <c r="E5" s="6" t="s">
        <v>239</v>
      </c>
      <c r="F5" s="6" t="s">
        <v>240</v>
      </c>
    </row>
    <row r="6" spans="1:6">
      <c r="A6" s="14">
        <v>46150.532638888886</v>
      </c>
      <c r="B6" s="6" t="s">
        <v>146</v>
      </c>
      <c r="C6" s="6" t="s">
        <v>241</v>
      </c>
      <c r="D6" s="6" t="s">
        <v>48</v>
      </c>
      <c r="E6" s="6" t="s">
        <v>231</v>
      </c>
      <c r="F6" s="6" t="s">
        <v>242</v>
      </c>
    </row>
    <row r="7" spans="1:6">
      <c r="A7" s="14">
        <v>46151.73333333333</v>
      </c>
      <c r="B7" s="6" t="s">
        <v>46</v>
      </c>
      <c r="C7" s="6" t="s">
        <v>243</v>
      </c>
      <c r="D7" s="6" t="s">
        <v>48</v>
      </c>
      <c r="E7" s="6" t="s">
        <v>239</v>
      </c>
      <c r="F7" s="6" t="s">
        <v>244</v>
      </c>
    </row>
    <row r="8" spans="1:6">
      <c r="A8" s="16">
        <v>46152.279861111114</v>
      </c>
      <c r="B8" s="17" t="s">
        <v>146</v>
      </c>
      <c r="C8" s="17" t="s">
        <v>245</v>
      </c>
      <c r="D8" s="17" t="s">
        <v>48</v>
      </c>
      <c r="E8" s="17" t="s">
        <v>239</v>
      </c>
      <c r="F8" s="17" t="s">
        <v>246</v>
      </c>
    </row>
    <row r="9" spans="1:6">
      <c r="A9" s="14">
        <v>46153.686111111114</v>
      </c>
      <c r="B9" s="6" t="s">
        <v>72</v>
      </c>
      <c r="C9" s="6" t="s">
        <v>247</v>
      </c>
      <c r="D9" s="6" t="s">
        <v>48</v>
      </c>
      <c r="E9" s="6" t="s">
        <v>234</v>
      </c>
      <c r="F9" s="6" t="s">
        <v>248</v>
      </c>
    </row>
    <row r="10" spans="1:6">
      <c r="A10" s="14">
        <v>46154.491666666669</v>
      </c>
      <c r="B10" s="18" t="s">
        <v>78</v>
      </c>
      <c r="C10" s="6" t="s">
        <v>249</v>
      </c>
      <c r="D10" s="6" t="s">
        <v>48</v>
      </c>
      <c r="E10" s="6" t="s">
        <v>234</v>
      </c>
      <c r="F10" s="6" t="s">
        <v>250</v>
      </c>
    </row>
    <row r="11" spans="1:6">
      <c r="A11" s="14">
        <v>46154.520833333336</v>
      </c>
      <c r="B11" s="18" t="s">
        <v>78</v>
      </c>
      <c r="C11" s="6" t="s">
        <v>251</v>
      </c>
      <c r="D11" s="6" t="s">
        <v>48</v>
      </c>
      <c r="E11" s="6" t="s">
        <v>239</v>
      </c>
      <c r="F11" s="6" t="s">
        <v>252</v>
      </c>
    </row>
    <row r="12" spans="1:6">
      <c r="A12" s="14">
        <v>46157.972222222219</v>
      </c>
      <c r="B12" s="6" t="s">
        <v>72</v>
      </c>
      <c r="C12" s="6" t="s">
        <v>253</v>
      </c>
      <c r="D12" s="6" t="s">
        <v>48</v>
      </c>
      <c r="E12" s="6" t="s">
        <v>239</v>
      </c>
      <c r="F12" s="6" t="s">
        <v>254</v>
      </c>
    </row>
    <row r="13" spans="1:6">
      <c r="A13" s="14">
        <v>46160.033333333333</v>
      </c>
      <c r="B13" s="6" t="s">
        <v>61</v>
      </c>
      <c r="C13" s="6" t="s">
        <v>255</v>
      </c>
      <c r="D13" s="6" t="s">
        <v>53</v>
      </c>
      <c r="E13" s="6" t="s">
        <v>239</v>
      </c>
      <c r="F13" s="6" t="s">
        <v>256</v>
      </c>
    </row>
    <row r="14" spans="1:6">
      <c r="A14" s="14">
        <v>46160.599305555559</v>
      </c>
      <c r="B14" s="6" t="s">
        <v>56</v>
      </c>
      <c r="C14" s="6" t="s">
        <v>257</v>
      </c>
      <c r="D14" s="6" t="s">
        <v>48</v>
      </c>
      <c r="E14" s="6" t="s">
        <v>239</v>
      </c>
      <c r="F14" s="6" t="s">
        <v>258</v>
      </c>
    </row>
    <row r="15" spans="1:6">
      <c r="A15" s="14">
        <v>46161.363194444442</v>
      </c>
      <c r="B15" s="6" t="s">
        <v>56</v>
      </c>
      <c r="C15" s="6" t="s">
        <v>259</v>
      </c>
      <c r="D15" s="6" t="s">
        <v>48</v>
      </c>
      <c r="E15" s="6" t="s">
        <v>239</v>
      </c>
      <c r="F15" s="6" t="s">
        <v>260</v>
      </c>
    </row>
    <row r="16" spans="1:6">
      <c r="A16" s="14">
        <v>46162.543749999997</v>
      </c>
      <c r="B16" s="6" t="s">
        <v>51</v>
      </c>
      <c r="C16" s="6" t="s">
        <v>261</v>
      </c>
      <c r="D16" s="6" t="s">
        <v>48</v>
      </c>
      <c r="E16" s="6" t="s">
        <v>239</v>
      </c>
      <c r="F16" s="6" t="s">
        <v>262</v>
      </c>
    </row>
    <row r="17" spans="1:6">
      <c r="A17" s="14">
        <v>46163.225694444445</v>
      </c>
      <c r="B17" s="6" t="s">
        <v>72</v>
      </c>
      <c r="C17" s="6" t="s">
        <v>263</v>
      </c>
      <c r="D17" s="6" t="s">
        <v>48</v>
      </c>
      <c r="E17" s="6" t="s">
        <v>239</v>
      </c>
      <c r="F17" s="6" t="s">
        <v>264</v>
      </c>
    </row>
    <row r="18" spans="1:6">
      <c r="A18" s="14">
        <v>46163.713194444441</v>
      </c>
      <c r="B18" s="6" t="s">
        <v>46</v>
      </c>
      <c r="C18" s="6" t="s">
        <v>265</v>
      </c>
      <c r="D18" s="6" t="s">
        <v>53</v>
      </c>
      <c r="E18" s="6" t="s">
        <v>239</v>
      </c>
      <c r="F18" s="6" t="s">
        <v>266</v>
      </c>
    </row>
    <row r="19" spans="1:6">
      <c r="A19" s="14">
        <v>46168.441666666666</v>
      </c>
      <c r="B19" s="6" t="s">
        <v>146</v>
      </c>
      <c r="C19" s="6" t="s">
        <v>265</v>
      </c>
      <c r="D19" s="6" t="s">
        <v>53</v>
      </c>
      <c r="E19" s="6" t="s">
        <v>239</v>
      </c>
      <c r="F19" s="6" t="s">
        <v>267</v>
      </c>
    </row>
    <row r="20" spans="1:6">
      <c r="A20" s="14">
        <v>46170.48541666667</v>
      </c>
      <c r="B20" s="6" t="s">
        <v>159</v>
      </c>
      <c r="C20" s="6" t="s">
        <v>268</v>
      </c>
      <c r="D20" s="6" t="s">
        <v>53</v>
      </c>
      <c r="E20" s="6" t="s">
        <v>239</v>
      </c>
      <c r="F20" s="6" t="s">
        <v>269</v>
      </c>
    </row>
    <row r="21" spans="1:6">
      <c r="A21" s="14">
        <v>46171.161805555559</v>
      </c>
      <c r="B21" s="6" t="s">
        <v>56</v>
      </c>
      <c r="C21" s="6" t="s">
        <v>270</v>
      </c>
      <c r="D21" s="6" t="s">
        <v>53</v>
      </c>
      <c r="E21" s="6" t="s">
        <v>231</v>
      </c>
      <c r="F21" s="6" t="s">
        <v>271</v>
      </c>
    </row>
    <row r="22" spans="1:6">
      <c r="A22" s="14">
        <v>46171.375</v>
      </c>
      <c r="B22" s="6" t="s">
        <v>159</v>
      </c>
      <c r="C22" s="6" t="s">
        <v>272</v>
      </c>
      <c r="D22" s="6" t="s">
        <v>48</v>
      </c>
      <c r="E22" s="6" t="s">
        <v>239</v>
      </c>
      <c r="F22" s="6" t="s">
        <v>273</v>
      </c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F31-92D5-42DD-878F-744010F48D78}">
  <dimension ref="A1:F25"/>
  <sheetViews>
    <sheetView tabSelected="1" workbookViewId="0">
      <selection activeCell="C13" sqref="C13"/>
    </sheetView>
  </sheetViews>
  <sheetFormatPr defaultRowHeight="15"/>
  <cols>
    <col min="1" max="1" width="16.7109375" customWidth="1"/>
    <col min="2" max="2" width="30.85546875" customWidth="1"/>
    <col min="3" max="3" width="83.140625" customWidth="1"/>
    <col min="4" max="4" width="11.85546875" customWidth="1"/>
    <col min="5" max="5" width="10.85546875" customWidth="1"/>
    <col min="6" max="6" width="15.7109375" customWidth="1"/>
  </cols>
  <sheetData>
    <row r="1" spans="1:6">
      <c r="A1" s="13" t="s">
        <v>1</v>
      </c>
      <c r="B1" s="13" t="s">
        <v>2</v>
      </c>
      <c r="C1" s="13" t="s">
        <v>3</v>
      </c>
      <c r="D1" s="13" t="s">
        <v>43</v>
      </c>
      <c r="E1" s="13" t="s">
        <v>44</v>
      </c>
      <c r="F1" s="13" t="s">
        <v>45</v>
      </c>
    </row>
    <row r="2" spans="1:6">
      <c r="A2" s="14">
        <v>46174.518055555556</v>
      </c>
      <c r="B2" s="6" t="s">
        <v>159</v>
      </c>
      <c r="C2" s="6" t="s">
        <v>274</v>
      </c>
      <c r="D2" s="6" t="s">
        <v>48</v>
      </c>
      <c r="E2" s="21" t="s">
        <v>239</v>
      </c>
      <c r="F2" s="26" t="s">
        <v>275</v>
      </c>
    </row>
    <row r="3" spans="1:6">
      <c r="A3" s="14">
        <v>46175.350694444445</v>
      </c>
      <c r="B3" s="6" t="s">
        <v>159</v>
      </c>
      <c r="C3" s="6" t="s">
        <v>276</v>
      </c>
      <c r="D3" s="6" t="s">
        <v>53</v>
      </c>
      <c r="E3" s="21" t="s">
        <v>239</v>
      </c>
      <c r="F3" s="20" t="s">
        <v>277</v>
      </c>
    </row>
    <row r="4" spans="1:6">
      <c r="A4" s="14">
        <v>46175.401388888888</v>
      </c>
      <c r="B4" s="6" t="s">
        <v>159</v>
      </c>
      <c r="C4" s="6" t="s">
        <v>278</v>
      </c>
      <c r="D4" s="6" t="s">
        <v>53</v>
      </c>
      <c r="E4" s="6" t="s">
        <v>239</v>
      </c>
      <c r="F4" s="22" t="s">
        <v>279</v>
      </c>
    </row>
    <row r="5" spans="1:6">
      <c r="A5" s="14">
        <v>46175.486805555556</v>
      </c>
      <c r="B5" s="22" t="s">
        <v>159</v>
      </c>
      <c r="C5" s="6" t="s">
        <v>274</v>
      </c>
      <c r="D5" s="6" t="s">
        <v>53</v>
      </c>
      <c r="E5" s="6" t="s">
        <v>239</v>
      </c>
      <c r="F5" s="6" t="s">
        <v>280</v>
      </c>
    </row>
    <row r="6" spans="1:6">
      <c r="A6" s="24">
        <v>46182.50277777778</v>
      </c>
      <c r="B6" s="6" t="s">
        <v>281</v>
      </c>
      <c r="C6" s="25" t="s">
        <v>282</v>
      </c>
      <c r="D6" s="6" t="s">
        <v>53</v>
      </c>
      <c r="E6" s="6" t="s">
        <v>239</v>
      </c>
      <c r="F6" s="23" t="s">
        <v>283</v>
      </c>
    </row>
    <row r="7" spans="1:6">
      <c r="A7" s="14">
        <v>46182.655555555553</v>
      </c>
      <c r="B7" t="s">
        <v>46</v>
      </c>
      <c r="C7" s="6" t="s">
        <v>284</v>
      </c>
      <c r="D7" t="s">
        <v>53</v>
      </c>
      <c r="E7" s="6" t="s">
        <v>239</v>
      </c>
      <c r="F7" s="6" t="s">
        <v>285</v>
      </c>
    </row>
    <row r="8" spans="1:6">
      <c r="A8" s="14">
        <v>46183.268750000003</v>
      </c>
      <c r="B8" s="6" t="s">
        <v>61</v>
      </c>
      <c r="C8" s="6" t="s">
        <v>286</v>
      </c>
      <c r="D8" s="6" t="s">
        <v>48</v>
      </c>
      <c r="E8" s="6" t="s">
        <v>287</v>
      </c>
      <c r="F8" s="6" t="s">
        <v>288</v>
      </c>
    </row>
    <row r="9" spans="1:6">
      <c r="A9" s="1">
        <v>46183.814583333333</v>
      </c>
      <c r="B9" s="19" t="s">
        <v>46</v>
      </c>
      <c r="C9" s="6" t="s">
        <v>289</v>
      </c>
      <c r="D9" t="s">
        <v>63</v>
      </c>
      <c r="E9" s="6" t="s">
        <v>239</v>
      </c>
      <c r="F9" s="19" t="s">
        <v>290</v>
      </c>
    </row>
    <row r="10" spans="1:6">
      <c r="A10" s="14" t="s">
        <v>291</v>
      </c>
      <c r="B10" s="23" t="s">
        <v>56</v>
      </c>
      <c r="C10" s="6" t="s">
        <v>292</v>
      </c>
      <c r="D10" s="6" t="s">
        <v>48</v>
      </c>
      <c r="E10" s="6" t="s">
        <v>239</v>
      </c>
      <c r="F10" s="6" t="s">
        <v>293</v>
      </c>
    </row>
    <row r="11" spans="1:6">
      <c r="A11" s="14" t="s">
        <v>294</v>
      </c>
      <c r="B11" s="6" t="s">
        <v>46</v>
      </c>
      <c r="C11" s="6" t="s">
        <v>284</v>
      </c>
      <c r="D11" t="s">
        <v>53</v>
      </c>
      <c r="E11" s="6" t="s">
        <v>231</v>
      </c>
      <c r="F11" s="6" t="s">
        <v>295</v>
      </c>
    </row>
    <row r="12" spans="1:6">
      <c r="A12" s="14">
        <v>46190.9375</v>
      </c>
      <c r="B12" s="6" t="s">
        <v>72</v>
      </c>
      <c r="C12" s="6" t="s">
        <v>289</v>
      </c>
      <c r="D12" t="s">
        <v>63</v>
      </c>
      <c r="E12" s="6" t="s">
        <v>239</v>
      </c>
      <c r="F12" s="6" t="s">
        <v>296</v>
      </c>
    </row>
    <row r="13" spans="1:6">
      <c r="A13" s="14">
        <v>46191.127083333333</v>
      </c>
      <c r="B13" s="6" t="s">
        <v>51</v>
      </c>
      <c r="C13" s="6" t="s">
        <v>297</v>
      </c>
      <c r="D13" s="6" t="s">
        <v>48</v>
      </c>
      <c r="E13" s="6" t="s">
        <v>239</v>
      </c>
      <c r="F13" s="6" t="s">
        <v>298</v>
      </c>
    </row>
    <row r="14" spans="1:6">
      <c r="A14" s="14"/>
      <c r="B14" s="6"/>
      <c r="C14" s="6"/>
      <c r="D14" s="6"/>
      <c r="E14" s="6"/>
      <c r="F14" s="6"/>
    </row>
    <row r="15" spans="1:6">
      <c r="A15" s="14"/>
      <c r="B15" s="6"/>
      <c r="C15" s="6"/>
      <c r="D15" s="6"/>
      <c r="E15" s="6"/>
      <c r="F15" s="6"/>
    </row>
    <row r="16" spans="1:6">
      <c r="A16" s="14"/>
      <c r="B16" s="6"/>
      <c r="C16" s="6"/>
      <c r="D16" s="6"/>
      <c r="E16" s="6"/>
      <c r="F16" s="6"/>
    </row>
    <row r="17" spans="1:6">
      <c r="A17" s="14"/>
      <c r="B17" s="6"/>
      <c r="C17" s="6"/>
      <c r="D17" s="6"/>
      <c r="E17" s="6"/>
      <c r="F17" s="6"/>
    </row>
    <row r="18" spans="1:6">
      <c r="A18" s="14"/>
      <c r="B18" s="6"/>
      <c r="C18" s="6"/>
      <c r="D18" s="6"/>
      <c r="E18" s="6"/>
      <c r="F18" s="6"/>
    </row>
    <row r="19" spans="1:6">
      <c r="A19" s="14"/>
      <c r="B19" s="6"/>
      <c r="C19" s="6"/>
      <c r="D19" s="6"/>
      <c r="E19" s="6"/>
      <c r="F19" s="6"/>
    </row>
    <row r="20" spans="1:6">
      <c r="A20" s="14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6CD0-222E-4FE1-8E8A-48DBB5FD1407}">
  <sheetPr>
    <tabColor rgb="FFFF0000"/>
  </sheetPr>
  <dimension ref="A3:B50"/>
  <sheetViews>
    <sheetView workbookViewId="0">
      <selection activeCell="P39" sqref="P39"/>
    </sheetView>
  </sheetViews>
  <sheetFormatPr defaultColWidth="11.42578125" defaultRowHeight="15"/>
  <cols>
    <col min="1" max="1" width="20.42578125" bestFit="1" customWidth="1"/>
    <col min="2" max="2" width="20.140625" bestFit="1" customWidth="1"/>
    <col min="3" max="4" width="3" bestFit="1" customWidth="1"/>
    <col min="5" max="5" width="12.5703125" bestFit="1" customWidth="1"/>
  </cols>
  <sheetData>
    <row r="3" spans="1:2">
      <c r="A3" s="10" t="s">
        <v>299</v>
      </c>
      <c r="B3" t="s">
        <v>300</v>
      </c>
    </row>
    <row r="4" spans="1:2">
      <c r="A4" s="11" t="s">
        <v>61</v>
      </c>
      <c r="B4">
        <v>17</v>
      </c>
    </row>
    <row r="5" spans="1:2">
      <c r="A5" s="11" t="s">
        <v>46</v>
      </c>
      <c r="B5">
        <v>16</v>
      </c>
    </row>
    <row r="6" spans="1:2">
      <c r="A6" s="11" t="s">
        <v>56</v>
      </c>
      <c r="B6">
        <v>13</v>
      </c>
    </row>
    <row r="7" spans="1:2">
      <c r="A7" s="11" t="s">
        <v>51</v>
      </c>
      <c r="B7">
        <v>11</v>
      </c>
    </row>
    <row r="8" spans="1:2">
      <c r="A8" s="11" t="s">
        <v>72</v>
      </c>
      <c r="B8">
        <v>8</v>
      </c>
    </row>
    <row r="9" spans="1:2">
      <c r="A9" s="11" t="s">
        <v>78</v>
      </c>
      <c r="B9">
        <v>8</v>
      </c>
    </row>
    <row r="10" spans="1:2">
      <c r="A10" s="11" t="s">
        <v>159</v>
      </c>
      <c r="B10">
        <v>5</v>
      </c>
    </row>
    <row r="11" spans="1:2">
      <c r="A11" s="11" t="s">
        <v>66</v>
      </c>
      <c r="B11">
        <v>4</v>
      </c>
    </row>
    <row r="12" spans="1:2">
      <c r="A12" s="11" t="s">
        <v>84</v>
      </c>
      <c r="B12">
        <v>4</v>
      </c>
    </row>
    <row r="13" spans="1:2">
      <c r="A13" s="11" t="s">
        <v>141</v>
      </c>
      <c r="B13">
        <v>4</v>
      </c>
    </row>
    <row r="14" spans="1:2">
      <c r="A14" s="11" t="s">
        <v>146</v>
      </c>
      <c r="B14">
        <v>3</v>
      </c>
    </row>
    <row r="15" spans="1:2">
      <c r="A15" s="11" t="s">
        <v>301</v>
      </c>
      <c r="B15">
        <v>93</v>
      </c>
    </row>
    <row r="32" spans="1:2">
      <c r="A32" s="10" t="s">
        <v>299</v>
      </c>
      <c r="B32" t="s">
        <v>300</v>
      </c>
    </row>
    <row r="33" spans="1:2">
      <c r="A33" s="11" t="s">
        <v>48</v>
      </c>
      <c r="B33">
        <v>57</v>
      </c>
    </row>
    <row r="34" spans="1:2">
      <c r="A34" s="11" t="s">
        <v>53</v>
      </c>
      <c r="B34">
        <v>29</v>
      </c>
    </row>
    <row r="35" spans="1:2">
      <c r="A35" s="11" t="s">
        <v>63</v>
      </c>
      <c r="B35">
        <v>7</v>
      </c>
    </row>
    <row r="36" spans="1:2">
      <c r="A36" s="11" t="s">
        <v>301</v>
      </c>
      <c r="B36">
        <v>93</v>
      </c>
    </row>
    <row r="41" spans="1:2">
      <c r="A41" s="10" t="s">
        <v>299</v>
      </c>
      <c r="B41" t="s">
        <v>300</v>
      </c>
    </row>
    <row r="42" spans="1:2">
      <c r="A42" s="11" t="s">
        <v>64</v>
      </c>
      <c r="B42">
        <v>39</v>
      </c>
    </row>
    <row r="43" spans="1:2">
      <c r="A43" s="11" t="s">
        <v>54</v>
      </c>
      <c r="B43">
        <v>20</v>
      </c>
    </row>
    <row r="44" spans="1:2">
      <c r="A44" s="11" t="s">
        <v>49</v>
      </c>
      <c r="B44">
        <v>16</v>
      </c>
    </row>
    <row r="45" spans="1:2">
      <c r="A45" s="11" t="s">
        <v>80</v>
      </c>
      <c r="B45">
        <v>11</v>
      </c>
    </row>
    <row r="46" spans="1:2">
      <c r="A46" s="11" t="s">
        <v>74</v>
      </c>
      <c r="B46">
        <v>4</v>
      </c>
    </row>
    <row r="47" spans="1:2">
      <c r="A47" s="11" t="s">
        <v>68</v>
      </c>
      <c r="B47">
        <v>1</v>
      </c>
    </row>
    <row r="48" spans="1:2">
      <c r="A48" s="11" t="s">
        <v>234</v>
      </c>
      <c r="B48">
        <v>1</v>
      </c>
    </row>
    <row r="49" spans="1:2">
      <c r="A49" s="11" t="s">
        <v>231</v>
      </c>
      <c r="B49">
        <v>1</v>
      </c>
    </row>
    <row r="50" spans="1:2">
      <c r="A50" s="11" t="s">
        <v>301</v>
      </c>
      <c r="B50">
        <v>93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0DAD-5C3F-4AC4-8C45-31044FCB8DD3}">
  <dimension ref="A1:H94"/>
  <sheetViews>
    <sheetView topLeftCell="A52" workbookViewId="0">
      <selection activeCell="D100" sqref="D100"/>
    </sheetView>
  </sheetViews>
  <sheetFormatPr defaultColWidth="11.42578125" defaultRowHeight="15"/>
  <cols>
    <col min="1" max="1" width="15.42578125" bestFit="1" customWidth="1"/>
    <col min="2" max="2" width="5" bestFit="1" customWidth="1"/>
    <col min="3" max="3" width="4.7109375" bestFit="1" customWidth="1"/>
    <col min="4" max="4" width="30.42578125" bestFit="1" customWidth="1"/>
    <col min="5" max="5" width="140.140625" bestFit="1" customWidth="1"/>
    <col min="8" max="8" width="13.5703125" bestFit="1" customWidth="1"/>
  </cols>
  <sheetData>
    <row r="1" spans="1:8">
      <c r="A1" s="2" t="s">
        <v>1</v>
      </c>
      <c r="B1" s="2" t="s">
        <v>302</v>
      </c>
      <c r="C1" s="2" t="s">
        <v>303</v>
      </c>
      <c r="D1" s="2" t="s">
        <v>2</v>
      </c>
      <c r="E1" s="2" t="s">
        <v>3</v>
      </c>
      <c r="F1" s="2" t="s">
        <v>43</v>
      </c>
      <c r="G1" s="2" t="s">
        <v>44</v>
      </c>
      <c r="H1" s="2" t="s">
        <v>45</v>
      </c>
    </row>
    <row r="2" spans="1:8">
      <c r="A2" s="3">
        <v>46027.490277777775</v>
      </c>
      <c r="B2" s="4">
        <f>YEAR(A2)</f>
        <v>2026</v>
      </c>
      <c r="C2" s="4">
        <f>MONTH(A2)</f>
        <v>1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</row>
    <row r="3" spans="1:8">
      <c r="A3" s="3">
        <v>46029.463194444441</v>
      </c>
      <c r="B3" s="4">
        <f t="shared" ref="B3:B65" si="0">YEAR(A3)</f>
        <v>2026</v>
      </c>
      <c r="C3" s="4">
        <f t="shared" ref="C3:C65" si="1">MONTH(A3)</f>
        <v>1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spans="1:8">
      <c r="A4" s="3">
        <v>46033.217361111114</v>
      </c>
      <c r="B4" s="4">
        <f t="shared" si="0"/>
        <v>2026</v>
      </c>
      <c r="C4" s="4">
        <f t="shared" si="1"/>
        <v>1</v>
      </c>
      <c r="D4" s="4" t="s">
        <v>56</v>
      </c>
      <c r="E4" s="4" t="s">
        <v>57</v>
      </c>
      <c r="F4" s="4" t="s">
        <v>48</v>
      </c>
      <c r="G4" s="4" t="s">
        <v>49</v>
      </c>
      <c r="H4" s="4" t="s">
        <v>58</v>
      </c>
    </row>
    <row r="5" spans="1:8">
      <c r="A5" s="3">
        <v>46033.434027777781</v>
      </c>
      <c r="B5" s="4">
        <f t="shared" si="0"/>
        <v>2026</v>
      </c>
      <c r="C5" s="4">
        <f t="shared" si="1"/>
        <v>1</v>
      </c>
      <c r="D5" s="4" t="s">
        <v>51</v>
      </c>
      <c r="E5" s="4" t="s">
        <v>59</v>
      </c>
      <c r="F5" s="4" t="s">
        <v>53</v>
      </c>
      <c r="G5" s="4" t="s">
        <v>54</v>
      </c>
      <c r="H5" s="4" t="s">
        <v>60</v>
      </c>
    </row>
    <row r="6" spans="1:8">
      <c r="A6" s="3">
        <v>46034.30972222222</v>
      </c>
      <c r="B6" s="4">
        <f t="shared" si="0"/>
        <v>2026</v>
      </c>
      <c r="C6" s="4">
        <f t="shared" si="1"/>
        <v>1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</row>
    <row r="7" spans="1:8">
      <c r="A7" s="3">
        <v>46034.37777777778</v>
      </c>
      <c r="B7" s="4">
        <f t="shared" si="0"/>
        <v>2026</v>
      </c>
      <c r="C7" s="4">
        <f t="shared" si="1"/>
        <v>1</v>
      </c>
      <c r="D7" s="4" t="s">
        <v>66</v>
      </c>
      <c r="E7" s="4" t="s">
        <v>67</v>
      </c>
      <c r="F7" s="4" t="s">
        <v>48</v>
      </c>
      <c r="G7" s="4" t="s">
        <v>68</v>
      </c>
      <c r="H7" s="4" t="s">
        <v>69</v>
      </c>
    </row>
    <row r="8" spans="1:8">
      <c r="A8" s="3">
        <v>46034.366666666669</v>
      </c>
      <c r="B8" s="4">
        <f t="shared" si="0"/>
        <v>2026</v>
      </c>
      <c r="C8" s="4">
        <f t="shared" si="1"/>
        <v>1</v>
      </c>
      <c r="D8" s="4" t="s">
        <v>46</v>
      </c>
      <c r="E8" s="4" t="s">
        <v>70</v>
      </c>
      <c r="F8" s="4" t="s">
        <v>53</v>
      </c>
      <c r="G8" s="4" t="s">
        <v>64</v>
      </c>
      <c r="H8" s="4" t="s">
        <v>71</v>
      </c>
    </row>
    <row r="9" spans="1:8">
      <c r="A9" s="3">
        <v>46037.292361111111</v>
      </c>
      <c r="B9" s="4">
        <f t="shared" si="0"/>
        <v>2026</v>
      </c>
      <c r="C9" s="4">
        <f t="shared" si="1"/>
        <v>1</v>
      </c>
      <c r="D9" s="4" t="s">
        <v>72</v>
      </c>
      <c r="E9" s="4" t="s">
        <v>73</v>
      </c>
      <c r="F9" s="4" t="s">
        <v>53</v>
      </c>
      <c r="G9" s="4" t="s">
        <v>74</v>
      </c>
      <c r="H9" s="4" t="s">
        <v>75</v>
      </c>
    </row>
    <row r="10" spans="1:8">
      <c r="A10" s="3">
        <v>46038.54583333333</v>
      </c>
      <c r="B10" s="4">
        <f t="shared" si="0"/>
        <v>2026</v>
      </c>
      <c r="C10" s="4">
        <f t="shared" si="1"/>
        <v>1</v>
      </c>
      <c r="D10" s="4" t="s">
        <v>46</v>
      </c>
      <c r="E10" s="4" t="s">
        <v>76</v>
      </c>
      <c r="F10" s="4" t="s">
        <v>48</v>
      </c>
      <c r="G10" s="4" t="s">
        <v>54</v>
      </c>
      <c r="H10" s="4" t="s">
        <v>77</v>
      </c>
    </row>
    <row r="11" spans="1:8">
      <c r="A11" s="3">
        <v>46039.144444444442</v>
      </c>
      <c r="B11" s="4">
        <f t="shared" si="0"/>
        <v>2026</v>
      </c>
      <c r="C11" s="4">
        <f t="shared" si="1"/>
        <v>1</v>
      </c>
      <c r="D11" s="4" t="s">
        <v>78</v>
      </c>
      <c r="E11" s="4" t="s">
        <v>79</v>
      </c>
      <c r="F11" s="4" t="s">
        <v>48</v>
      </c>
      <c r="G11" s="4" t="s">
        <v>80</v>
      </c>
      <c r="H11" s="4" t="s">
        <v>81</v>
      </c>
    </row>
    <row r="12" spans="1:8">
      <c r="A12" s="3">
        <v>46039.965277777781</v>
      </c>
      <c r="B12" s="4">
        <f t="shared" si="0"/>
        <v>2026</v>
      </c>
      <c r="C12" s="4">
        <f t="shared" si="1"/>
        <v>1</v>
      </c>
      <c r="D12" s="4" t="s">
        <v>72</v>
      </c>
      <c r="E12" s="4" t="s">
        <v>82</v>
      </c>
      <c r="F12" s="4" t="s">
        <v>53</v>
      </c>
      <c r="G12" s="4" t="s">
        <v>64</v>
      </c>
      <c r="H12" s="4" t="s">
        <v>83</v>
      </c>
    </row>
    <row r="13" spans="1:8">
      <c r="A13" s="3">
        <v>46040.387499999997</v>
      </c>
      <c r="B13" s="4">
        <f t="shared" si="0"/>
        <v>2026</v>
      </c>
      <c r="C13" s="4">
        <f t="shared" si="1"/>
        <v>1</v>
      </c>
      <c r="D13" s="4" t="s">
        <v>84</v>
      </c>
      <c r="E13" s="4" t="s">
        <v>85</v>
      </c>
      <c r="F13" s="4" t="s">
        <v>53</v>
      </c>
      <c r="G13" s="4" t="s">
        <v>49</v>
      </c>
      <c r="H13" s="4" t="s">
        <v>86</v>
      </c>
    </row>
    <row r="14" spans="1:8">
      <c r="A14" s="3">
        <v>46041.147916666669</v>
      </c>
      <c r="B14" s="4">
        <f t="shared" si="0"/>
        <v>2026</v>
      </c>
      <c r="C14" s="4">
        <f t="shared" si="1"/>
        <v>1</v>
      </c>
      <c r="D14" s="4" t="s">
        <v>72</v>
      </c>
      <c r="E14" s="4" t="s">
        <v>87</v>
      </c>
      <c r="F14" s="4" t="s">
        <v>48</v>
      </c>
      <c r="G14" s="4" t="s">
        <v>49</v>
      </c>
      <c r="H14" s="4" t="s">
        <v>88</v>
      </c>
    </row>
    <row r="15" spans="1:8">
      <c r="A15" s="3">
        <v>46042.124305555553</v>
      </c>
      <c r="B15" s="4">
        <f t="shared" si="0"/>
        <v>2026</v>
      </c>
      <c r="C15" s="4">
        <f t="shared" si="1"/>
        <v>1</v>
      </c>
      <c r="D15" s="4" t="s">
        <v>61</v>
      </c>
      <c r="E15" s="4" t="s">
        <v>89</v>
      </c>
      <c r="F15" s="4" t="s">
        <v>48</v>
      </c>
      <c r="G15" s="4" t="s">
        <v>49</v>
      </c>
      <c r="H15" s="4" t="s">
        <v>90</v>
      </c>
    </row>
    <row r="16" spans="1:8">
      <c r="A16" s="3">
        <v>46043.695833333331</v>
      </c>
      <c r="B16" s="4">
        <f t="shared" si="0"/>
        <v>2026</v>
      </c>
      <c r="C16" s="4">
        <f t="shared" si="1"/>
        <v>1</v>
      </c>
      <c r="D16" s="4" t="s">
        <v>51</v>
      </c>
      <c r="E16" s="4" t="s">
        <v>91</v>
      </c>
      <c r="F16" s="4" t="s">
        <v>48</v>
      </c>
      <c r="G16" s="4" t="s">
        <v>64</v>
      </c>
      <c r="H16" s="4" t="s">
        <v>92</v>
      </c>
    </row>
    <row r="17" spans="1:8">
      <c r="A17" s="3">
        <v>46044.343055555553</v>
      </c>
      <c r="B17" s="4">
        <f t="shared" si="0"/>
        <v>2026</v>
      </c>
      <c r="C17" s="4">
        <f t="shared" si="1"/>
        <v>1</v>
      </c>
      <c r="D17" s="4" t="s">
        <v>46</v>
      </c>
      <c r="E17" s="4" t="s">
        <v>93</v>
      </c>
      <c r="F17" s="4" t="s">
        <v>48</v>
      </c>
      <c r="G17" s="4" t="s">
        <v>74</v>
      </c>
      <c r="H17" s="4" t="s">
        <v>94</v>
      </c>
    </row>
    <row r="18" spans="1:8">
      <c r="A18" s="3">
        <v>46046.21597222222</v>
      </c>
      <c r="B18" s="4">
        <f t="shared" si="0"/>
        <v>2026</v>
      </c>
      <c r="C18" s="4">
        <f t="shared" si="1"/>
        <v>1</v>
      </c>
      <c r="D18" s="4" t="s">
        <v>61</v>
      </c>
      <c r="E18" s="4" t="s">
        <v>87</v>
      </c>
      <c r="F18" s="4" t="s">
        <v>48</v>
      </c>
      <c r="G18" s="4" t="s">
        <v>64</v>
      </c>
      <c r="H18" s="4" t="s">
        <v>95</v>
      </c>
    </row>
    <row r="19" spans="1:8">
      <c r="A19" s="3">
        <v>46048.55</v>
      </c>
      <c r="B19" s="4">
        <f t="shared" si="0"/>
        <v>2026</v>
      </c>
      <c r="C19" s="4">
        <f t="shared" si="1"/>
        <v>1</v>
      </c>
      <c r="D19" s="4" t="s">
        <v>56</v>
      </c>
      <c r="E19" s="4" t="s">
        <v>96</v>
      </c>
      <c r="F19" s="4" t="s">
        <v>53</v>
      </c>
      <c r="G19" s="4" t="s">
        <v>64</v>
      </c>
      <c r="H19" s="4" t="s">
        <v>97</v>
      </c>
    </row>
    <row r="20" spans="1:8">
      <c r="A20" s="3">
        <v>46048.933333333334</v>
      </c>
      <c r="B20" s="4">
        <f t="shared" si="0"/>
        <v>2026</v>
      </c>
      <c r="C20" s="4">
        <f t="shared" si="1"/>
        <v>1</v>
      </c>
      <c r="D20" s="4" t="s">
        <v>84</v>
      </c>
      <c r="E20" s="4" t="s">
        <v>98</v>
      </c>
      <c r="F20" s="4" t="s">
        <v>53</v>
      </c>
      <c r="G20" s="4" t="s">
        <v>54</v>
      </c>
      <c r="H20" s="4" t="s">
        <v>99</v>
      </c>
    </row>
    <row r="21" spans="1:8">
      <c r="A21" s="3">
        <v>46049.209722222222</v>
      </c>
      <c r="B21" s="4">
        <f t="shared" si="0"/>
        <v>2026</v>
      </c>
      <c r="C21" s="4">
        <f t="shared" si="1"/>
        <v>1</v>
      </c>
      <c r="D21" s="4" t="s">
        <v>78</v>
      </c>
      <c r="E21" s="4" t="s">
        <v>100</v>
      </c>
      <c r="F21" s="4" t="s">
        <v>63</v>
      </c>
      <c r="G21" s="4" t="s">
        <v>54</v>
      </c>
      <c r="H21" s="4" t="s">
        <v>101</v>
      </c>
    </row>
    <row r="22" spans="1:8">
      <c r="A22" s="3">
        <v>46052.0625</v>
      </c>
      <c r="B22" s="4">
        <f t="shared" si="0"/>
        <v>2026</v>
      </c>
      <c r="C22" s="4">
        <f t="shared" si="1"/>
        <v>1</v>
      </c>
      <c r="D22" s="4" t="s">
        <v>78</v>
      </c>
      <c r="E22" s="4" t="s">
        <v>102</v>
      </c>
      <c r="F22" s="4" t="s">
        <v>48</v>
      </c>
      <c r="G22" s="4" t="s">
        <v>64</v>
      </c>
      <c r="H22" s="4" t="s">
        <v>103</v>
      </c>
    </row>
    <row r="23" spans="1:8">
      <c r="A23" s="3">
        <v>46049.965277777781</v>
      </c>
      <c r="B23" s="4">
        <f t="shared" si="0"/>
        <v>2026</v>
      </c>
      <c r="C23" s="4">
        <f t="shared" si="1"/>
        <v>1</v>
      </c>
      <c r="D23" s="4" t="s">
        <v>78</v>
      </c>
      <c r="E23" s="4" t="s">
        <v>104</v>
      </c>
      <c r="F23" s="4" t="s">
        <v>63</v>
      </c>
      <c r="G23" s="4" t="s">
        <v>54</v>
      </c>
      <c r="H23" s="4" t="s">
        <v>105</v>
      </c>
    </row>
    <row r="24" spans="1:8">
      <c r="A24" s="3">
        <v>46050.11041666667</v>
      </c>
      <c r="B24" s="4">
        <f t="shared" si="0"/>
        <v>2026</v>
      </c>
      <c r="C24" s="4">
        <f t="shared" si="1"/>
        <v>1</v>
      </c>
      <c r="D24" s="4" t="s">
        <v>78</v>
      </c>
      <c r="E24" s="4" t="s">
        <v>106</v>
      </c>
      <c r="F24" s="4" t="s">
        <v>48</v>
      </c>
      <c r="G24" s="4" t="s">
        <v>64</v>
      </c>
      <c r="H24" s="4" t="s">
        <v>107</v>
      </c>
    </row>
    <row r="25" spans="1:8">
      <c r="A25" s="3">
        <v>46049.359722222223</v>
      </c>
      <c r="B25" s="4">
        <f t="shared" si="0"/>
        <v>2026</v>
      </c>
      <c r="C25" s="4">
        <f t="shared" si="1"/>
        <v>1</v>
      </c>
      <c r="D25" s="4" t="s">
        <v>46</v>
      </c>
      <c r="E25" s="4" t="s">
        <v>108</v>
      </c>
      <c r="F25" s="4" t="s">
        <v>48</v>
      </c>
      <c r="G25" s="4" t="s">
        <v>64</v>
      </c>
      <c r="H25" s="4" t="s">
        <v>103</v>
      </c>
    </row>
    <row r="26" spans="1:8">
      <c r="A26" s="3">
        <v>46052.775000000001</v>
      </c>
      <c r="B26" s="4">
        <f t="shared" si="0"/>
        <v>2026</v>
      </c>
      <c r="C26" s="4">
        <f t="shared" si="1"/>
        <v>1</v>
      </c>
      <c r="D26" s="4" t="s">
        <v>72</v>
      </c>
      <c r="E26" s="4" t="s">
        <v>109</v>
      </c>
      <c r="F26" s="4" t="s">
        <v>48</v>
      </c>
      <c r="G26" s="4" t="s">
        <v>80</v>
      </c>
      <c r="H26" s="4" t="s">
        <v>110</v>
      </c>
    </row>
    <row r="27" spans="1:8">
      <c r="A27" s="3">
        <v>46053.1875</v>
      </c>
      <c r="B27" s="4">
        <f t="shared" si="0"/>
        <v>2026</v>
      </c>
      <c r="C27" s="4">
        <f t="shared" si="1"/>
        <v>1</v>
      </c>
      <c r="D27" s="4" t="s">
        <v>51</v>
      </c>
      <c r="E27" s="4" t="s">
        <v>111</v>
      </c>
      <c r="F27" s="4" t="s">
        <v>48</v>
      </c>
      <c r="G27" s="4" t="s">
        <v>54</v>
      </c>
      <c r="H27" s="4" t="s">
        <v>112</v>
      </c>
    </row>
    <row r="28" spans="1:8">
      <c r="A28" s="3">
        <v>46059.683333333334</v>
      </c>
      <c r="B28" s="4">
        <f t="shared" si="0"/>
        <v>2026</v>
      </c>
      <c r="C28" s="4">
        <f t="shared" si="1"/>
        <v>2</v>
      </c>
      <c r="D28" s="4" t="s">
        <v>61</v>
      </c>
      <c r="E28" s="4" t="s">
        <v>113</v>
      </c>
      <c r="F28" s="4" t="s">
        <v>48</v>
      </c>
      <c r="G28" s="4" t="s">
        <v>49</v>
      </c>
      <c r="H28" s="4" t="s">
        <v>114</v>
      </c>
    </row>
    <row r="29" spans="1:8">
      <c r="A29" s="3">
        <v>46056.65902777778</v>
      </c>
      <c r="B29" s="4">
        <f t="shared" si="0"/>
        <v>2026</v>
      </c>
      <c r="C29" s="4">
        <f t="shared" si="1"/>
        <v>2</v>
      </c>
      <c r="D29" s="4" t="s">
        <v>61</v>
      </c>
      <c r="E29" s="4" t="s">
        <v>115</v>
      </c>
      <c r="F29" s="4" t="s">
        <v>53</v>
      </c>
      <c r="G29" s="4" t="s">
        <v>64</v>
      </c>
      <c r="H29" s="4" t="s">
        <v>116</v>
      </c>
    </row>
    <row r="30" spans="1:8">
      <c r="A30" s="3">
        <v>46056.469444444447</v>
      </c>
      <c r="B30" s="4">
        <f t="shared" si="0"/>
        <v>2026</v>
      </c>
      <c r="C30" s="4">
        <f t="shared" si="1"/>
        <v>2</v>
      </c>
      <c r="D30" s="4" t="s">
        <v>84</v>
      </c>
      <c r="E30" s="4" t="s">
        <v>117</v>
      </c>
      <c r="F30" s="4" t="s">
        <v>53</v>
      </c>
      <c r="G30" s="4" t="s">
        <v>80</v>
      </c>
      <c r="H30" s="4" t="s">
        <v>118</v>
      </c>
    </row>
    <row r="31" spans="1:8">
      <c r="A31" s="3">
        <v>46056.65902777778</v>
      </c>
      <c r="B31" s="4">
        <f t="shared" si="0"/>
        <v>2026</v>
      </c>
      <c r="C31" s="4">
        <f t="shared" si="1"/>
        <v>2</v>
      </c>
      <c r="D31" s="4" t="s">
        <v>61</v>
      </c>
      <c r="E31" s="4" t="s">
        <v>115</v>
      </c>
      <c r="F31" s="4" t="s">
        <v>53</v>
      </c>
      <c r="G31" s="4" t="s">
        <v>64</v>
      </c>
      <c r="H31" s="4" t="s">
        <v>116</v>
      </c>
    </row>
    <row r="32" spans="1:8">
      <c r="A32" s="3">
        <v>46057.578472222223</v>
      </c>
      <c r="B32" s="4">
        <f t="shared" si="0"/>
        <v>2026</v>
      </c>
      <c r="C32" s="4">
        <f t="shared" si="1"/>
        <v>2</v>
      </c>
      <c r="D32" s="4" t="s">
        <v>84</v>
      </c>
      <c r="E32" s="4" t="s">
        <v>119</v>
      </c>
      <c r="F32" s="4" t="s">
        <v>48</v>
      </c>
      <c r="G32" s="4" t="s">
        <v>54</v>
      </c>
      <c r="H32" s="4" t="s">
        <v>120</v>
      </c>
    </row>
    <row r="33" spans="1:8">
      <c r="A33" s="3">
        <v>46057.652777777781</v>
      </c>
      <c r="B33" s="4">
        <f t="shared" si="0"/>
        <v>2026</v>
      </c>
      <c r="C33" s="4">
        <f t="shared" si="1"/>
        <v>2</v>
      </c>
      <c r="D33" s="4" t="s">
        <v>61</v>
      </c>
      <c r="E33" s="4" t="s">
        <v>121</v>
      </c>
      <c r="F33" s="4" t="s">
        <v>48</v>
      </c>
      <c r="G33" s="4" t="s">
        <v>54</v>
      </c>
      <c r="H33" s="4" t="s">
        <v>122</v>
      </c>
    </row>
    <row r="34" spans="1:8">
      <c r="A34" s="3">
        <v>46059.683333333334</v>
      </c>
      <c r="B34" s="4">
        <f t="shared" si="0"/>
        <v>2026</v>
      </c>
      <c r="C34" s="4">
        <f t="shared" si="1"/>
        <v>2</v>
      </c>
      <c r="D34" s="4" t="s">
        <v>61</v>
      </c>
      <c r="E34" s="4" t="s">
        <v>113</v>
      </c>
      <c r="F34" s="4" t="s">
        <v>48</v>
      </c>
      <c r="G34" s="4" t="s">
        <v>49</v>
      </c>
      <c r="H34" s="4" t="s">
        <v>114</v>
      </c>
    </row>
    <row r="35" spans="1:8">
      <c r="A35" s="3">
        <v>46062.664583333331</v>
      </c>
      <c r="B35" s="4">
        <f t="shared" si="0"/>
        <v>2026</v>
      </c>
      <c r="C35" s="4">
        <f t="shared" si="1"/>
        <v>2</v>
      </c>
      <c r="D35" s="4" t="s">
        <v>46</v>
      </c>
      <c r="E35" s="4" t="s">
        <v>124</v>
      </c>
      <c r="F35" s="4" t="s">
        <v>48</v>
      </c>
      <c r="G35" s="4" t="s">
        <v>64</v>
      </c>
      <c r="H35" s="4" t="s">
        <v>125</v>
      </c>
    </row>
    <row r="36" spans="1:8">
      <c r="A36" s="3">
        <v>46063.95208333333</v>
      </c>
      <c r="B36" s="4">
        <f t="shared" si="0"/>
        <v>2026</v>
      </c>
      <c r="C36" s="4">
        <f t="shared" si="1"/>
        <v>2</v>
      </c>
      <c r="D36" s="4" t="s">
        <v>66</v>
      </c>
      <c r="E36" s="4" t="s">
        <v>126</v>
      </c>
      <c r="F36" s="4" t="s">
        <v>48</v>
      </c>
      <c r="G36" s="4" t="s">
        <v>54</v>
      </c>
      <c r="H36" s="4" t="s">
        <v>127</v>
      </c>
    </row>
    <row r="37" spans="1:8">
      <c r="A37" s="3">
        <v>46064.265277777777</v>
      </c>
      <c r="B37" s="4">
        <f t="shared" si="0"/>
        <v>2026</v>
      </c>
      <c r="C37" s="4">
        <f t="shared" si="1"/>
        <v>2</v>
      </c>
      <c r="D37" s="4" t="s">
        <v>61</v>
      </c>
      <c r="E37" s="4" t="s">
        <v>117</v>
      </c>
      <c r="F37" s="4" t="s">
        <v>53</v>
      </c>
      <c r="G37" s="4" t="s">
        <v>49</v>
      </c>
      <c r="H37" s="4" t="s">
        <v>128</v>
      </c>
    </row>
    <row r="38" spans="1:8">
      <c r="A38" s="3">
        <v>46065.268750000003</v>
      </c>
      <c r="B38" s="4">
        <f t="shared" si="0"/>
        <v>2026</v>
      </c>
      <c r="C38" s="4">
        <f t="shared" si="1"/>
        <v>2</v>
      </c>
      <c r="D38" s="4" t="s">
        <v>61</v>
      </c>
      <c r="E38" s="4" t="s">
        <v>129</v>
      </c>
      <c r="F38" s="4" t="s">
        <v>63</v>
      </c>
      <c r="G38" s="4" t="s">
        <v>64</v>
      </c>
      <c r="H38" s="4" t="s">
        <v>130</v>
      </c>
    </row>
    <row r="39" spans="1:8">
      <c r="A39" s="3">
        <v>46065.302083333336</v>
      </c>
      <c r="B39" s="4">
        <f t="shared" si="0"/>
        <v>2026</v>
      </c>
      <c r="C39" s="4">
        <f t="shared" si="1"/>
        <v>2</v>
      </c>
      <c r="D39" s="4" t="s">
        <v>61</v>
      </c>
      <c r="E39" s="4" t="s">
        <v>131</v>
      </c>
      <c r="F39" s="4" t="s">
        <v>48</v>
      </c>
      <c r="G39" s="4" t="s">
        <v>49</v>
      </c>
      <c r="H39" s="4" t="s">
        <v>132</v>
      </c>
    </row>
    <row r="40" spans="1:8">
      <c r="A40" s="3">
        <v>46068.363194444442</v>
      </c>
      <c r="B40" s="4">
        <f t="shared" si="0"/>
        <v>2026</v>
      </c>
      <c r="C40" s="4">
        <f t="shared" si="1"/>
        <v>2</v>
      </c>
      <c r="D40" s="4" t="s">
        <v>56</v>
      </c>
      <c r="E40" s="4" t="s">
        <v>133</v>
      </c>
      <c r="F40" s="4" t="s">
        <v>48</v>
      </c>
      <c r="G40" s="4" t="s">
        <v>64</v>
      </c>
      <c r="H40" s="4" t="s">
        <v>134</v>
      </c>
    </row>
    <row r="41" spans="1:8">
      <c r="A41" s="3">
        <v>46069.194444444445</v>
      </c>
      <c r="B41" s="4">
        <f t="shared" si="0"/>
        <v>2026</v>
      </c>
      <c r="C41" s="4">
        <f t="shared" si="1"/>
        <v>2</v>
      </c>
      <c r="D41" s="4" t="s">
        <v>51</v>
      </c>
      <c r="E41" s="4" t="s">
        <v>135</v>
      </c>
      <c r="F41" s="4" t="s">
        <v>48</v>
      </c>
      <c r="G41" s="4" t="s">
        <v>54</v>
      </c>
      <c r="H41" s="4" t="s">
        <v>136</v>
      </c>
    </row>
    <row r="42" spans="1:8">
      <c r="A42" s="3">
        <v>46072.369444444441</v>
      </c>
      <c r="B42" s="4">
        <f t="shared" si="0"/>
        <v>2026</v>
      </c>
      <c r="C42" s="4">
        <f t="shared" si="1"/>
        <v>2</v>
      </c>
      <c r="D42" s="4" t="s">
        <v>46</v>
      </c>
      <c r="E42" s="6" t="s">
        <v>137</v>
      </c>
      <c r="F42" s="4" t="s">
        <v>48</v>
      </c>
      <c r="G42" s="4" t="s">
        <v>64</v>
      </c>
      <c r="H42" s="4" t="s">
        <v>138</v>
      </c>
    </row>
    <row r="43" spans="1:8">
      <c r="A43" s="3">
        <v>46079.738888888889</v>
      </c>
      <c r="B43" s="4">
        <f t="shared" si="0"/>
        <v>2026</v>
      </c>
      <c r="C43" s="4">
        <f t="shared" si="1"/>
        <v>2</v>
      </c>
      <c r="D43" s="4" t="s">
        <v>56</v>
      </c>
      <c r="E43" s="6" t="s">
        <v>137</v>
      </c>
      <c r="F43" s="4" t="s">
        <v>48</v>
      </c>
      <c r="G43" s="4" t="s">
        <v>54</v>
      </c>
      <c r="H43" s="4" t="s">
        <v>139</v>
      </c>
    </row>
    <row r="44" spans="1:8">
      <c r="A44" s="3">
        <v>46089.791666666664</v>
      </c>
      <c r="B44" s="4">
        <f t="shared" si="0"/>
        <v>2026</v>
      </c>
      <c r="C44" s="4">
        <f t="shared" si="1"/>
        <v>3</v>
      </c>
      <c r="D44" s="4" t="s">
        <v>56</v>
      </c>
      <c r="E44" s="4" t="s">
        <v>137</v>
      </c>
      <c r="F44" s="4" t="s">
        <v>48</v>
      </c>
      <c r="G44" s="4" t="s">
        <v>64</v>
      </c>
      <c r="H44" s="4" t="s">
        <v>140</v>
      </c>
    </row>
    <row r="45" spans="1:8">
      <c r="A45" s="3">
        <v>46086.620138888888</v>
      </c>
      <c r="B45" s="4">
        <f t="shared" si="0"/>
        <v>2026</v>
      </c>
      <c r="C45" s="4">
        <f t="shared" si="1"/>
        <v>3</v>
      </c>
      <c r="D45" s="4" t="s">
        <v>141</v>
      </c>
      <c r="E45" s="4" t="s">
        <v>142</v>
      </c>
      <c r="F45" s="4" t="s">
        <v>48</v>
      </c>
      <c r="G45" s="8" t="s">
        <v>64</v>
      </c>
      <c r="H45" s="4" t="s">
        <v>143</v>
      </c>
    </row>
    <row r="46" spans="1:8">
      <c r="A46" s="3">
        <v>46085.624305555553</v>
      </c>
      <c r="B46" s="4">
        <f t="shared" si="0"/>
        <v>2026</v>
      </c>
      <c r="C46" s="4">
        <f t="shared" si="1"/>
        <v>3</v>
      </c>
      <c r="D46" s="4" t="s">
        <v>141</v>
      </c>
      <c r="E46" s="4" t="s">
        <v>144</v>
      </c>
      <c r="F46" s="4" t="s">
        <v>53</v>
      </c>
      <c r="G46" s="8" t="s">
        <v>49</v>
      </c>
      <c r="H46" s="4" t="s">
        <v>145</v>
      </c>
    </row>
    <row r="47" spans="1:8">
      <c r="A47" s="3">
        <v>46084.469444444447</v>
      </c>
      <c r="B47" s="4">
        <f t="shared" si="0"/>
        <v>2026</v>
      </c>
      <c r="C47" s="4">
        <f t="shared" si="1"/>
        <v>3</v>
      </c>
      <c r="D47" s="4" t="s">
        <v>146</v>
      </c>
      <c r="E47" s="4" t="s">
        <v>147</v>
      </c>
      <c r="F47" s="4" t="s">
        <v>53</v>
      </c>
      <c r="G47" s="8" t="s">
        <v>64</v>
      </c>
      <c r="H47" s="4" t="s">
        <v>148</v>
      </c>
    </row>
    <row r="48" spans="1:8">
      <c r="A48" s="3">
        <v>46084.34375</v>
      </c>
      <c r="B48" s="4">
        <f t="shared" si="0"/>
        <v>2026</v>
      </c>
      <c r="C48" s="4">
        <f t="shared" si="1"/>
        <v>3</v>
      </c>
      <c r="D48" s="4" t="s">
        <v>146</v>
      </c>
      <c r="E48" s="4" t="s">
        <v>149</v>
      </c>
      <c r="F48" s="4" t="s">
        <v>63</v>
      </c>
      <c r="G48" s="8" t="s">
        <v>49</v>
      </c>
      <c r="H48" s="4" t="s">
        <v>150</v>
      </c>
    </row>
    <row r="49" spans="1:8">
      <c r="A49" s="3">
        <v>46083.619444444441</v>
      </c>
      <c r="B49" s="4">
        <f t="shared" si="0"/>
        <v>2026</v>
      </c>
      <c r="C49" s="4">
        <f t="shared" si="1"/>
        <v>3</v>
      </c>
      <c r="D49" s="4" t="s">
        <v>56</v>
      </c>
      <c r="E49" s="4" t="s">
        <v>151</v>
      </c>
      <c r="F49" s="4" t="s">
        <v>53</v>
      </c>
      <c r="G49" s="8" t="s">
        <v>54</v>
      </c>
      <c r="H49" s="4" t="s">
        <v>152</v>
      </c>
    </row>
    <row r="50" spans="1:8">
      <c r="A50" s="3">
        <v>46083.378472222219</v>
      </c>
      <c r="B50" s="4">
        <f t="shared" si="0"/>
        <v>2026</v>
      </c>
      <c r="C50" s="4">
        <f t="shared" si="1"/>
        <v>3</v>
      </c>
      <c r="D50" s="4" t="s">
        <v>141</v>
      </c>
      <c r="E50" s="4" t="s">
        <v>153</v>
      </c>
      <c r="F50" s="4" t="s">
        <v>48</v>
      </c>
      <c r="G50" s="8" t="s">
        <v>64</v>
      </c>
      <c r="H50" s="4" t="s">
        <v>154</v>
      </c>
    </row>
    <row r="51" spans="1:8">
      <c r="A51" s="3">
        <v>46090.30972222222</v>
      </c>
      <c r="B51" s="4">
        <f t="shared" si="0"/>
        <v>2026</v>
      </c>
      <c r="C51" s="4">
        <f t="shared" si="1"/>
        <v>3</v>
      </c>
      <c r="D51" s="4" t="s">
        <v>146</v>
      </c>
      <c r="E51" s="4" t="s">
        <v>142</v>
      </c>
      <c r="F51" s="4" t="s">
        <v>63</v>
      </c>
      <c r="G51" s="8" t="s">
        <v>64</v>
      </c>
      <c r="H51" s="4" t="s">
        <v>143</v>
      </c>
    </row>
    <row r="52" spans="1:8">
      <c r="A52" s="3">
        <v>46092.338194444441</v>
      </c>
      <c r="B52" s="4">
        <f t="shared" si="0"/>
        <v>2026</v>
      </c>
      <c r="C52" s="4">
        <f t="shared" si="1"/>
        <v>3</v>
      </c>
      <c r="D52" s="4" t="s">
        <v>141</v>
      </c>
      <c r="E52" s="4" t="s">
        <v>155</v>
      </c>
      <c r="F52" s="4" t="s">
        <v>53</v>
      </c>
      <c r="G52" s="8" t="s">
        <v>64</v>
      </c>
      <c r="H52" s="4" t="s">
        <v>156</v>
      </c>
    </row>
    <row r="53" spans="1:8">
      <c r="A53" s="3">
        <v>46091.874305555553</v>
      </c>
      <c r="B53" s="4">
        <f t="shared" si="0"/>
        <v>2026</v>
      </c>
      <c r="C53" s="4">
        <f t="shared" si="1"/>
        <v>3</v>
      </c>
      <c r="D53" s="4" t="s">
        <v>46</v>
      </c>
      <c r="E53" s="4" t="s">
        <v>157</v>
      </c>
      <c r="F53" s="4" t="s">
        <v>48</v>
      </c>
      <c r="G53" s="8" t="s">
        <v>64</v>
      </c>
      <c r="H53" s="4" t="s">
        <v>158</v>
      </c>
    </row>
    <row r="54" spans="1:8">
      <c r="A54" s="3">
        <v>46091.90347222222</v>
      </c>
      <c r="B54" s="4">
        <f t="shared" si="0"/>
        <v>2026</v>
      </c>
      <c r="C54" s="4">
        <f t="shared" si="1"/>
        <v>3</v>
      </c>
      <c r="D54" s="4" t="s">
        <v>159</v>
      </c>
      <c r="E54" s="4" t="s">
        <v>160</v>
      </c>
      <c r="F54" s="4" t="s">
        <v>48</v>
      </c>
      <c r="G54" s="8" t="s">
        <v>64</v>
      </c>
      <c r="H54" s="4" t="s">
        <v>161</v>
      </c>
    </row>
    <row r="55" spans="1:8">
      <c r="A55" s="3">
        <v>46092.338194444441</v>
      </c>
      <c r="B55" s="4">
        <f t="shared" si="0"/>
        <v>2026</v>
      </c>
      <c r="C55" s="4">
        <f t="shared" si="1"/>
        <v>3</v>
      </c>
      <c r="D55" s="8" t="s">
        <v>61</v>
      </c>
      <c r="E55" s="4" t="s">
        <v>162</v>
      </c>
      <c r="F55" s="4" t="s">
        <v>48</v>
      </c>
      <c r="G55" s="8" t="s">
        <v>64</v>
      </c>
      <c r="H55" s="4" t="s">
        <v>156</v>
      </c>
    </row>
    <row r="56" spans="1:8">
      <c r="A56" s="3">
        <v>46095.093055555553</v>
      </c>
      <c r="B56" s="4">
        <f t="shared" si="0"/>
        <v>2026</v>
      </c>
      <c r="C56" s="4">
        <f t="shared" si="1"/>
        <v>3</v>
      </c>
      <c r="D56" s="8" t="s">
        <v>61</v>
      </c>
      <c r="E56" s="4" t="s">
        <v>163</v>
      </c>
      <c r="F56" s="4" t="s">
        <v>48</v>
      </c>
      <c r="G56" s="4" t="s">
        <v>80</v>
      </c>
      <c r="H56" s="4" t="s">
        <v>164</v>
      </c>
    </row>
    <row r="57" spans="1:8">
      <c r="A57" s="3">
        <v>46094.324999999997</v>
      </c>
      <c r="B57" s="4">
        <f t="shared" si="0"/>
        <v>2026</v>
      </c>
      <c r="C57" s="4">
        <f t="shared" si="1"/>
        <v>3</v>
      </c>
      <c r="D57" s="8" t="s">
        <v>61</v>
      </c>
      <c r="E57" s="4" t="s">
        <v>165</v>
      </c>
      <c r="F57" s="4" t="s">
        <v>53</v>
      </c>
      <c r="G57" s="8" t="s">
        <v>64</v>
      </c>
      <c r="H57" s="4" t="s">
        <v>166</v>
      </c>
    </row>
    <row r="58" spans="1:8">
      <c r="A58" s="3">
        <v>46099.201388888891</v>
      </c>
      <c r="B58" s="4">
        <f t="shared" si="0"/>
        <v>2026</v>
      </c>
      <c r="C58" s="4">
        <f t="shared" si="1"/>
        <v>3</v>
      </c>
      <c r="D58" s="4" t="s">
        <v>51</v>
      </c>
      <c r="E58" s="4" t="s">
        <v>137</v>
      </c>
      <c r="F58" s="4" t="s">
        <v>48</v>
      </c>
      <c r="G58" s="8" t="s">
        <v>54</v>
      </c>
      <c r="H58" s="4" t="s">
        <v>168</v>
      </c>
    </row>
    <row r="59" spans="1:8">
      <c r="A59" s="3">
        <v>46099.633333333331</v>
      </c>
      <c r="B59" s="4">
        <f t="shared" si="0"/>
        <v>2026</v>
      </c>
      <c r="C59" s="4">
        <f t="shared" si="1"/>
        <v>3</v>
      </c>
      <c r="D59" s="4" t="s">
        <v>56</v>
      </c>
      <c r="E59" s="9" t="s">
        <v>169</v>
      </c>
      <c r="F59" s="4" t="s">
        <v>48</v>
      </c>
      <c r="G59" s="8" t="s">
        <v>64</v>
      </c>
      <c r="H59" s="4" t="s">
        <v>170</v>
      </c>
    </row>
    <row r="60" spans="1:8">
      <c r="A60" s="3">
        <v>46100.15347222222</v>
      </c>
      <c r="B60" s="4">
        <f t="shared" si="0"/>
        <v>2026</v>
      </c>
      <c r="C60" s="4">
        <f t="shared" si="1"/>
        <v>3</v>
      </c>
      <c r="D60" s="4" t="s">
        <v>51</v>
      </c>
      <c r="E60" s="4" t="s">
        <v>137</v>
      </c>
      <c r="F60" s="4" t="s">
        <v>48</v>
      </c>
      <c r="G60" s="4" t="s">
        <v>54</v>
      </c>
      <c r="H60" s="4" t="s">
        <v>171</v>
      </c>
    </row>
    <row r="61" spans="1:8">
      <c r="A61" s="3">
        <v>46101.470833333333</v>
      </c>
      <c r="B61" s="4">
        <f t="shared" si="0"/>
        <v>2026</v>
      </c>
      <c r="C61" s="4">
        <f t="shared" si="1"/>
        <v>3</v>
      </c>
      <c r="D61" s="4" t="s">
        <v>56</v>
      </c>
      <c r="E61" s="4" t="s">
        <v>172</v>
      </c>
      <c r="F61" s="4" t="s">
        <v>48</v>
      </c>
      <c r="G61" s="8" t="s">
        <v>64</v>
      </c>
      <c r="H61" s="4" t="s">
        <v>173</v>
      </c>
    </row>
    <row r="62" spans="1:8">
      <c r="A62" s="3">
        <v>46101.419444444444</v>
      </c>
      <c r="B62" s="4">
        <f t="shared" si="0"/>
        <v>2026</v>
      </c>
      <c r="C62" s="4">
        <f t="shared" si="1"/>
        <v>3</v>
      </c>
      <c r="D62" s="4" t="s">
        <v>159</v>
      </c>
      <c r="E62" s="4" t="s">
        <v>106</v>
      </c>
      <c r="F62" s="4" t="s">
        <v>48</v>
      </c>
      <c r="G62" s="4" t="s">
        <v>80</v>
      </c>
      <c r="H62" s="4" t="s">
        <v>174</v>
      </c>
    </row>
    <row r="63" spans="1:8">
      <c r="A63" s="3">
        <v>46101.106249999997</v>
      </c>
      <c r="B63" s="4">
        <f t="shared" si="0"/>
        <v>2026</v>
      </c>
      <c r="C63" s="4">
        <f t="shared" si="1"/>
        <v>3</v>
      </c>
      <c r="D63" s="4" t="s">
        <v>51</v>
      </c>
      <c r="E63" s="4" t="s">
        <v>175</v>
      </c>
      <c r="F63" s="4" t="s">
        <v>53</v>
      </c>
      <c r="G63" s="4" t="s">
        <v>54</v>
      </c>
      <c r="H63" s="4" t="s">
        <v>176</v>
      </c>
    </row>
    <row r="64" spans="1:8">
      <c r="A64" s="3">
        <v>46101.257638888892</v>
      </c>
      <c r="B64" s="4">
        <f t="shared" si="0"/>
        <v>2026</v>
      </c>
      <c r="C64" s="4">
        <f t="shared" si="1"/>
        <v>3</v>
      </c>
      <c r="D64" s="4" t="s">
        <v>46</v>
      </c>
      <c r="E64" s="4" t="s">
        <v>177</v>
      </c>
      <c r="F64" s="4" t="s">
        <v>53</v>
      </c>
      <c r="G64" s="4" t="s">
        <v>80</v>
      </c>
      <c r="H64" s="4" t="s">
        <v>178</v>
      </c>
    </row>
    <row r="65" spans="1:8">
      <c r="A65" s="3">
        <v>46101.306250000001</v>
      </c>
      <c r="B65" s="4">
        <f t="shared" si="0"/>
        <v>2026</v>
      </c>
      <c r="C65" s="4">
        <f t="shared" si="1"/>
        <v>3</v>
      </c>
      <c r="D65" s="4" t="s">
        <v>56</v>
      </c>
      <c r="E65" s="4" t="s">
        <v>179</v>
      </c>
      <c r="F65" s="4" t="s">
        <v>48</v>
      </c>
      <c r="G65" s="8" t="s">
        <v>49</v>
      </c>
      <c r="H65" s="4" t="s">
        <v>180</v>
      </c>
    </row>
    <row r="66" spans="1:8">
      <c r="A66" s="3">
        <v>46104.436805555553</v>
      </c>
      <c r="B66" s="4">
        <f t="shared" ref="B66" si="2">YEAR(A66)</f>
        <v>2026</v>
      </c>
      <c r="C66" s="4">
        <f t="shared" ref="C66" si="3">MONTH(A66)</f>
        <v>3</v>
      </c>
      <c r="D66" s="4" t="s">
        <v>66</v>
      </c>
      <c r="E66" s="4" t="s">
        <v>117</v>
      </c>
      <c r="F66" s="4" t="s">
        <v>53</v>
      </c>
      <c r="G66" s="8" t="s">
        <v>64</v>
      </c>
      <c r="H66" s="4" t="s">
        <v>181</v>
      </c>
    </row>
    <row r="67" spans="1:8">
      <c r="A67" s="3">
        <v>46109.51666666667</v>
      </c>
      <c r="B67" s="4">
        <f t="shared" ref="B67" si="4">YEAR(A67)</f>
        <v>2026</v>
      </c>
      <c r="C67" s="4">
        <f t="shared" ref="C67" si="5">MONTH(A67)</f>
        <v>3</v>
      </c>
      <c r="D67" s="4" t="s">
        <v>66</v>
      </c>
      <c r="E67" s="4" t="s">
        <v>182</v>
      </c>
      <c r="F67" s="4" t="s">
        <v>63</v>
      </c>
      <c r="G67" s="8" t="s">
        <v>64</v>
      </c>
      <c r="H67" s="4" t="s">
        <v>183</v>
      </c>
    </row>
    <row r="68" spans="1:8">
      <c r="A68" s="3">
        <v>46117.875694444447</v>
      </c>
      <c r="B68" s="4">
        <f t="shared" ref="B68:B70" si="6">YEAR(A68)</f>
        <v>2026</v>
      </c>
      <c r="C68" s="4">
        <f t="shared" ref="C68:C70" si="7">MONTH(A68)</f>
        <v>4</v>
      </c>
      <c r="D68" s="8" t="s">
        <v>61</v>
      </c>
      <c r="E68" s="4" t="s">
        <v>184</v>
      </c>
      <c r="F68" s="4" t="s">
        <v>53</v>
      </c>
      <c r="G68" s="8" t="s">
        <v>49</v>
      </c>
      <c r="H68" s="4" t="s">
        <v>185</v>
      </c>
    </row>
    <row r="69" spans="1:8">
      <c r="A69" s="3">
        <v>46118.667361111111</v>
      </c>
      <c r="B69" s="4">
        <f t="shared" si="6"/>
        <v>2026</v>
      </c>
      <c r="C69" s="4">
        <f t="shared" si="7"/>
        <v>4</v>
      </c>
      <c r="D69" s="8" t="s">
        <v>72</v>
      </c>
      <c r="E69" s="4" t="s">
        <v>186</v>
      </c>
      <c r="F69" s="4" t="s">
        <v>53</v>
      </c>
      <c r="G69" s="8" t="s">
        <v>64</v>
      </c>
      <c r="H69" s="4" t="s">
        <v>187</v>
      </c>
    </row>
    <row r="70" spans="1:8">
      <c r="A70" s="3">
        <v>46119.509722222225</v>
      </c>
      <c r="B70" s="4">
        <f t="shared" si="6"/>
        <v>2026</v>
      </c>
      <c r="C70" s="4">
        <f t="shared" si="7"/>
        <v>4</v>
      </c>
      <c r="D70" s="4" t="s">
        <v>56</v>
      </c>
      <c r="E70" s="4" t="s">
        <v>188</v>
      </c>
      <c r="F70" s="4" t="s">
        <v>48</v>
      </c>
      <c r="G70" s="8" t="s">
        <v>64</v>
      </c>
      <c r="H70" s="4" t="s">
        <v>189</v>
      </c>
    </row>
    <row r="71" spans="1:8">
      <c r="A71" s="3">
        <v>46120.03402777778</v>
      </c>
      <c r="B71" s="4">
        <f t="shared" ref="B71" si="8">YEAR(A71)</f>
        <v>2026</v>
      </c>
      <c r="C71" s="4">
        <f t="shared" ref="C71" si="9">MONTH(A71)</f>
        <v>4</v>
      </c>
      <c r="D71" s="4" t="s">
        <v>51</v>
      </c>
      <c r="E71" s="4" t="s">
        <v>190</v>
      </c>
      <c r="F71" s="4" t="s">
        <v>53</v>
      </c>
      <c r="G71" s="8" t="s">
        <v>64</v>
      </c>
      <c r="H71" s="4" t="s">
        <v>191</v>
      </c>
    </row>
    <row r="72" spans="1:8">
      <c r="A72" s="3">
        <v>46121.065972222219</v>
      </c>
      <c r="B72" s="4">
        <f t="shared" ref="B72:B73" si="10">YEAR(A72)</f>
        <v>2026</v>
      </c>
      <c r="C72" s="4">
        <f t="shared" ref="C72:C73" si="11">MONTH(A72)</f>
        <v>4</v>
      </c>
      <c r="D72" s="4" t="s">
        <v>51</v>
      </c>
      <c r="E72" s="4" t="s">
        <v>192</v>
      </c>
      <c r="F72" s="4" t="s">
        <v>48</v>
      </c>
      <c r="G72" s="8" t="s">
        <v>64</v>
      </c>
      <c r="H72" s="4" t="s">
        <v>193</v>
      </c>
    </row>
    <row r="73" spans="1:8">
      <c r="A73" s="3">
        <v>46121.487500000003</v>
      </c>
      <c r="B73" s="4">
        <f t="shared" si="10"/>
        <v>2026</v>
      </c>
      <c r="C73" s="4">
        <f t="shared" si="11"/>
        <v>4</v>
      </c>
      <c r="D73" s="4" t="s">
        <v>56</v>
      </c>
      <c r="E73" s="4" t="s">
        <v>133</v>
      </c>
      <c r="F73" s="4" t="s">
        <v>48</v>
      </c>
      <c r="G73" s="4" t="s">
        <v>54</v>
      </c>
      <c r="H73" s="4" t="s">
        <v>194</v>
      </c>
    </row>
    <row r="74" spans="1:8">
      <c r="A74" s="3">
        <v>46125.671527777777</v>
      </c>
      <c r="B74" s="4">
        <f t="shared" ref="B74:B92" si="12">YEAR(A74)</f>
        <v>2026</v>
      </c>
      <c r="C74" s="4">
        <f t="shared" ref="C74:C92" si="13">MONTH(A74)</f>
        <v>4</v>
      </c>
      <c r="D74" s="4" t="s">
        <v>46</v>
      </c>
      <c r="E74" s="4" t="s">
        <v>195</v>
      </c>
      <c r="F74" s="4" t="s">
        <v>48</v>
      </c>
      <c r="G74" s="8" t="s">
        <v>64</v>
      </c>
      <c r="H74" s="4" t="s">
        <v>196</v>
      </c>
    </row>
    <row r="75" spans="1:8">
      <c r="A75" s="3">
        <v>46126.515972222223</v>
      </c>
      <c r="B75" s="4">
        <f t="shared" si="12"/>
        <v>2026</v>
      </c>
      <c r="C75" s="4">
        <f t="shared" si="13"/>
        <v>4</v>
      </c>
      <c r="D75" s="4" t="s">
        <v>61</v>
      </c>
      <c r="E75" s="4" t="s">
        <v>197</v>
      </c>
      <c r="F75" s="4" t="s">
        <v>53</v>
      </c>
      <c r="G75" s="8" t="s">
        <v>80</v>
      </c>
      <c r="H75" s="4" t="s">
        <v>198</v>
      </c>
    </row>
    <row r="76" spans="1:8">
      <c r="A76" s="3">
        <v>46126.977777777778</v>
      </c>
      <c r="B76" s="4">
        <f t="shared" si="12"/>
        <v>2026</v>
      </c>
      <c r="C76" s="4">
        <f t="shared" si="13"/>
        <v>4</v>
      </c>
      <c r="D76" s="4" t="s">
        <v>72</v>
      </c>
      <c r="E76" s="4" t="s">
        <v>199</v>
      </c>
      <c r="F76" s="4" t="s">
        <v>48</v>
      </c>
      <c r="G76" s="4" t="s">
        <v>54</v>
      </c>
      <c r="H76" s="4" t="s">
        <v>200</v>
      </c>
    </row>
    <row r="77" spans="1:8">
      <c r="A77" s="3">
        <v>46128.317361111112</v>
      </c>
      <c r="B77" s="4">
        <f t="shared" si="12"/>
        <v>2026</v>
      </c>
      <c r="C77" s="4">
        <f t="shared" si="13"/>
        <v>4</v>
      </c>
      <c r="D77" s="12" t="s">
        <v>159</v>
      </c>
      <c r="E77" s="4" t="s">
        <v>201</v>
      </c>
      <c r="F77" s="4" t="s">
        <v>48</v>
      </c>
      <c r="G77" s="8" t="s">
        <v>49</v>
      </c>
      <c r="H77" s="4" t="s">
        <v>202</v>
      </c>
    </row>
    <row r="78" spans="1:8">
      <c r="A78" s="3">
        <v>46128.780555555553</v>
      </c>
      <c r="B78" s="4">
        <f t="shared" si="12"/>
        <v>2026</v>
      </c>
      <c r="C78" s="4">
        <f t="shared" si="13"/>
        <v>4</v>
      </c>
      <c r="D78" s="4" t="s">
        <v>46</v>
      </c>
      <c r="E78" s="4" t="s">
        <v>203</v>
      </c>
      <c r="F78" s="4" t="s">
        <v>48</v>
      </c>
      <c r="G78" s="8" t="s">
        <v>80</v>
      </c>
      <c r="H78" s="4" t="s">
        <v>198</v>
      </c>
    </row>
    <row r="79" spans="1:8">
      <c r="A79" s="3">
        <v>46129.061805555553</v>
      </c>
      <c r="B79" s="4">
        <f t="shared" si="12"/>
        <v>2026</v>
      </c>
      <c r="C79" s="4">
        <f t="shared" si="13"/>
        <v>4</v>
      </c>
      <c r="D79" s="4" t="s">
        <v>72</v>
      </c>
      <c r="E79" s="4" t="s">
        <v>204</v>
      </c>
      <c r="F79" s="4" t="s">
        <v>53</v>
      </c>
      <c r="G79" s="8" t="s">
        <v>64</v>
      </c>
      <c r="H79" s="4" t="s">
        <v>205</v>
      </c>
    </row>
    <row r="80" spans="1:8">
      <c r="A80" s="3">
        <v>46129.228472222225</v>
      </c>
      <c r="B80" s="4">
        <f t="shared" si="12"/>
        <v>2026</v>
      </c>
      <c r="C80" s="4">
        <f t="shared" si="13"/>
        <v>4</v>
      </c>
      <c r="D80" s="8" t="s">
        <v>46</v>
      </c>
      <c r="E80" s="4" t="s">
        <v>206</v>
      </c>
      <c r="F80" s="4" t="s">
        <v>48</v>
      </c>
      <c r="G80" s="8" t="s">
        <v>80</v>
      </c>
      <c r="H80" s="4" t="s">
        <v>198</v>
      </c>
    </row>
    <row r="81" spans="1:8">
      <c r="A81" s="3">
        <v>46132.344444444447</v>
      </c>
      <c r="B81" s="4">
        <f t="shared" si="12"/>
        <v>2026</v>
      </c>
      <c r="C81" s="4">
        <f t="shared" si="13"/>
        <v>4</v>
      </c>
      <c r="D81" s="8" t="s">
        <v>72</v>
      </c>
      <c r="E81" s="4" t="s">
        <v>207</v>
      </c>
      <c r="F81" s="4" t="s">
        <v>53</v>
      </c>
      <c r="G81" s="4" t="s">
        <v>64</v>
      </c>
      <c r="H81" s="4" t="s">
        <v>208</v>
      </c>
    </row>
    <row r="82" spans="1:8">
      <c r="A82" s="3">
        <v>46133.145138888889</v>
      </c>
      <c r="B82" s="4">
        <f t="shared" si="12"/>
        <v>2026</v>
      </c>
      <c r="C82" s="4">
        <f t="shared" si="13"/>
        <v>4</v>
      </c>
      <c r="D82" s="8" t="s">
        <v>46</v>
      </c>
      <c r="E82" s="4" t="s">
        <v>209</v>
      </c>
      <c r="F82" s="4" t="s">
        <v>48</v>
      </c>
      <c r="G82" s="4" t="s">
        <v>54</v>
      </c>
      <c r="H82" s="4" t="s">
        <v>210</v>
      </c>
    </row>
    <row r="83" spans="1:8">
      <c r="A83" s="3">
        <v>46133.409722222219</v>
      </c>
      <c r="B83" s="4">
        <f t="shared" si="12"/>
        <v>2026</v>
      </c>
      <c r="C83" s="4">
        <f t="shared" si="13"/>
        <v>4</v>
      </c>
      <c r="D83" s="8" t="s">
        <v>159</v>
      </c>
      <c r="E83" s="4" t="s">
        <v>211</v>
      </c>
      <c r="F83" s="4" t="s">
        <v>48</v>
      </c>
      <c r="G83" s="8" t="s">
        <v>64</v>
      </c>
      <c r="H83" s="4" t="s">
        <v>212</v>
      </c>
    </row>
    <row r="84" spans="1:8">
      <c r="A84" s="3">
        <v>46134.252083333333</v>
      </c>
      <c r="B84" s="4">
        <f t="shared" si="12"/>
        <v>2026</v>
      </c>
      <c r="C84" s="4">
        <f t="shared" si="13"/>
        <v>4</v>
      </c>
      <c r="D84" s="4" t="s">
        <v>78</v>
      </c>
      <c r="E84" s="9" t="s">
        <v>213</v>
      </c>
      <c r="F84" s="4" t="s">
        <v>53</v>
      </c>
      <c r="G84" s="8" t="s">
        <v>49</v>
      </c>
      <c r="H84" s="4" t="s">
        <v>214</v>
      </c>
    </row>
    <row r="85" spans="1:8">
      <c r="A85" s="3">
        <v>46134.308333333334</v>
      </c>
      <c r="B85" s="4">
        <f t="shared" si="12"/>
        <v>2026</v>
      </c>
      <c r="C85" s="4">
        <f t="shared" si="13"/>
        <v>4</v>
      </c>
      <c r="D85" s="8" t="s">
        <v>46</v>
      </c>
      <c r="E85" s="4" t="s">
        <v>215</v>
      </c>
      <c r="F85" s="4" t="s">
        <v>48</v>
      </c>
      <c r="G85" s="4" t="s">
        <v>80</v>
      </c>
      <c r="H85" s="4" t="s">
        <v>216</v>
      </c>
    </row>
    <row r="86" spans="1:8">
      <c r="A86" s="3">
        <v>46134.905555555553</v>
      </c>
      <c r="B86" s="4">
        <f t="shared" si="12"/>
        <v>2026</v>
      </c>
      <c r="C86" s="4">
        <f t="shared" si="13"/>
        <v>4</v>
      </c>
      <c r="D86" s="4" t="s">
        <v>56</v>
      </c>
      <c r="E86" s="4" t="s">
        <v>217</v>
      </c>
      <c r="F86" s="4" t="s">
        <v>48</v>
      </c>
      <c r="G86" s="8" t="s">
        <v>49</v>
      </c>
      <c r="H86" s="4" t="s">
        <v>214</v>
      </c>
    </row>
    <row r="87" spans="1:8">
      <c r="A87" s="3">
        <v>46135.073611111111</v>
      </c>
      <c r="B87" s="4">
        <f t="shared" si="12"/>
        <v>2026</v>
      </c>
      <c r="C87" s="4">
        <f t="shared" si="13"/>
        <v>4</v>
      </c>
      <c r="D87" s="4" t="s">
        <v>46</v>
      </c>
      <c r="E87" s="4" t="s">
        <v>218</v>
      </c>
      <c r="F87" s="4" t="s">
        <v>53</v>
      </c>
      <c r="G87" s="4" t="s">
        <v>80</v>
      </c>
      <c r="H87" s="4" t="s">
        <v>219</v>
      </c>
    </row>
    <row r="88" spans="1:8">
      <c r="A88" s="3">
        <v>46138.022222222222</v>
      </c>
      <c r="B88" s="4">
        <f t="shared" si="12"/>
        <v>2026</v>
      </c>
      <c r="C88" s="4">
        <f t="shared" si="13"/>
        <v>4</v>
      </c>
      <c r="D88" s="4" t="s">
        <v>46</v>
      </c>
      <c r="E88" s="4" t="s">
        <v>220</v>
      </c>
      <c r="F88" s="4" t="s">
        <v>48</v>
      </c>
      <c r="G88" s="8" t="s">
        <v>64</v>
      </c>
      <c r="H88" s="4" t="s">
        <v>221</v>
      </c>
    </row>
    <row r="89" spans="1:8">
      <c r="A89" s="3">
        <v>46140.75277777778</v>
      </c>
      <c r="B89" s="4">
        <f t="shared" si="12"/>
        <v>2026</v>
      </c>
      <c r="C89" s="4">
        <f t="shared" si="13"/>
        <v>4</v>
      </c>
      <c r="D89" s="4" t="s">
        <v>61</v>
      </c>
      <c r="E89" s="4" t="s">
        <v>222</v>
      </c>
      <c r="F89" s="4" t="s">
        <v>48</v>
      </c>
      <c r="G89" s="8" t="s">
        <v>74</v>
      </c>
      <c r="H89" s="4" t="s">
        <v>223</v>
      </c>
    </row>
    <row r="90" spans="1:8">
      <c r="A90" s="3">
        <v>46141.44027777778</v>
      </c>
      <c r="B90" s="4">
        <f t="shared" si="12"/>
        <v>2026</v>
      </c>
      <c r="C90" s="4">
        <f t="shared" si="13"/>
        <v>4</v>
      </c>
      <c r="D90" s="4" t="s">
        <v>56</v>
      </c>
      <c r="E90" s="4" t="s">
        <v>224</v>
      </c>
      <c r="F90" s="4" t="s">
        <v>53</v>
      </c>
      <c r="G90" s="8" t="s">
        <v>74</v>
      </c>
      <c r="H90" s="4" t="s">
        <v>225</v>
      </c>
    </row>
    <row r="91" spans="1:8">
      <c r="A91" s="3">
        <v>46142.020833333336</v>
      </c>
      <c r="B91" s="4">
        <f t="shared" si="12"/>
        <v>2026</v>
      </c>
      <c r="C91" s="4">
        <f t="shared" si="13"/>
        <v>4</v>
      </c>
      <c r="D91" s="4" t="s">
        <v>78</v>
      </c>
      <c r="E91" s="4" t="s">
        <v>226</v>
      </c>
      <c r="F91" s="4" t="s">
        <v>48</v>
      </c>
      <c r="G91" s="8" t="s">
        <v>64</v>
      </c>
      <c r="H91" s="4" t="s">
        <v>227</v>
      </c>
    </row>
    <row r="92" spans="1:8">
      <c r="A92" s="3">
        <v>46142.305555555555</v>
      </c>
      <c r="B92" s="4">
        <f t="shared" si="12"/>
        <v>2026</v>
      </c>
      <c r="C92" s="4">
        <f t="shared" si="13"/>
        <v>4</v>
      </c>
      <c r="D92" s="4" t="s">
        <v>78</v>
      </c>
      <c r="E92" s="4" t="s">
        <v>228</v>
      </c>
      <c r="F92" s="4" t="s">
        <v>48</v>
      </c>
      <c r="G92" s="4" t="s">
        <v>54</v>
      </c>
      <c r="H92" s="4" t="s">
        <v>229</v>
      </c>
    </row>
    <row r="93" spans="1:8">
      <c r="A93" s="14">
        <v>46148.1875</v>
      </c>
      <c r="B93" s="4">
        <f t="shared" ref="B93:B94" si="14">YEAR(A93)</f>
        <v>2026</v>
      </c>
      <c r="C93" s="4">
        <f t="shared" ref="C93:C94" si="15">MONTH(A93)</f>
        <v>5</v>
      </c>
      <c r="D93" s="6" t="s">
        <v>51</v>
      </c>
      <c r="E93" s="6" t="s">
        <v>230</v>
      </c>
      <c r="F93" s="6" t="s">
        <v>48</v>
      </c>
      <c r="G93" s="6" t="s">
        <v>231</v>
      </c>
      <c r="H93" s="6" t="s">
        <v>232</v>
      </c>
    </row>
    <row r="94" spans="1:8">
      <c r="A94" s="14">
        <v>46149.338194444441</v>
      </c>
      <c r="B94" s="4">
        <f t="shared" si="14"/>
        <v>2026</v>
      </c>
      <c r="C94" s="4">
        <f t="shared" si="15"/>
        <v>5</v>
      </c>
      <c r="D94" s="6" t="s">
        <v>159</v>
      </c>
      <c r="E94" s="6" t="s">
        <v>233</v>
      </c>
      <c r="F94" s="6" t="s">
        <v>48</v>
      </c>
      <c r="G94" s="6" t="s">
        <v>234</v>
      </c>
      <c r="H94" s="6" t="s">
        <v>235</v>
      </c>
    </row>
  </sheetData>
  <autoFilter ref="A1:H66" xr:uid="{DC420DAD-5C3F-4AC4-8C45-31044FCB8DD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FD8841-DBA1-4C6B-8D4A-01F1393CDCEF}"/>
</file>

<file path=customXml/itemProps2.xml><?xml version="1.0" encoding="utf-8"?>
<ds:datastoreItem xmlns:ds="http://schemas.openxmlformats.org/officeDocument/2006/customXml" ds:itemID="{5AC0D4DF-6071-4046-B7AC-501C9AB0FDE0}"/>
</file>

<file path=customXml/itemProps3.xml><?xml version="1.0" encoding="utf-8"?>
<ds:datastoreItem xmlns:ds="http://schemas.openxmlformats.org/officeDocument/2006/customXml" ds:itemID="{BB6A9765-6A9A-42B7-B0FA-1DED4C3A3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Sape Dolor Kristina</dc:creator>
  <cp:keywords/>
  <dc:description/>
  <cp:lastModifiedBy>Martin Pavon Fernando</cp:lastModifiedBy>
  <cp:revision/>
  <dcterms:created xsi:type="dcterms:W3CDTF">2026-01-05T07:23:39Z</dcterms:created>
  <dcterms:modified xsi:type="dcterms:W3CDTF">2026-06-18T11:00:00Z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2026-01-05T09:27:08Z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535ed32a-90e4-43aa-a784-d9b32ffd68c8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