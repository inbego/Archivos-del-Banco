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27" documentId="120_S{52A51CD7-DAF4-51AA-A050-913CA746B7D8}" xr6:coauthVersionLast="47" xr6:coauthVersionMax="47" xr10:uidLastSave="{56340CE2-E0AE-46A4-A48A-0229D9822D67}"/>
  <bookViews>
    <workbookView xWindow="-120" yWindow="-120" windowWidth="38640" windowHeight="21120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TD" sheetId="9" r:id="rId5"/>
    <sheet name="Datos" sheetId="8" state="hidden" r:id="rId6"/>
  </sheets>
  <definedNames>
    <definedName name="_xlnm._FilterDatabase" localSheetId="5" hidden="1">Datos!$A$1:$H$66</definedName>
    <definedName name="SegmentaciónDeDatos_Año">#N/A</definedName>
    <definedName name="SegmentaciónDeDatos_Mes">#N/A</definedName>
  </definedNames>
  <calcPr calcId="191028"/>
  <pivotCaches>
    <pivotCache cacheId="72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8" l="1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<sst xmlns="http://schemas.openxmlformats.org/spreadsheetml/2006/main" count="769" uniqueCount="187">
  <si>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</si>
  <si>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</si>
  <si>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</si>
  <si>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</si>
  <si>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</si>
  <si>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</si>
  <si>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</si>
  <si>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</si>
  <si>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</si>
  <si>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</si>
  <si>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</si>
  <si>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</si>
  <si>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</si>
  <si>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</si>
  <si>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</si>
  <si>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</si>
  <si>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</si>
  <si>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</si>
  <si>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</si>
  <si>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</si>
  <si>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</si>
  <si>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</si>
  <si>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</si>
  <si>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</si>
  <si>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</si>
  <si>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</si>
  <si>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</si>
  <si>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</si>
  <si>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</si>
  <si>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</si>
  <si>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</si>
  <si>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</si>
  <si>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</si>
  <si>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</si>
  <si>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</si>
  <si>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</si>
  <si>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</si>
  <si>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</si>
  <si>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</si>
  <si>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</si>
  <si>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</si>
  <si>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</si>
  <si>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</si>
  <si>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Tipo</t>
  </si>
  <si>
    <t>Incidencia</t>
  </si>
  <si>
    <t>Cesar Caleb Cuevas Marquez</t>
  </si>
  <si>
    <t>Se dejó correo anterior en el hilo</t>
  </si>
  <si>
    <t>GSNET Data</t>
  </si>
  <si>
    <t xml:space="preserve">INC062149858 </t>
  </si>
  <si>
    <t xml:space="preserve">INC062291466 </t>
  </si>
  <si>
    <t xml:space="preserve">INC062465186 </t>
  </si>
  <si>
    <t xml:space="preserve">INC062504973 </t>
  </si>
  <si>
    <t xml:space="preserve">INC062330243 </t>
  </si>
  <si>
    <t xml:space="preserve">INC062437368 </t>
  </si>
  <si>
    <t xml:space="preserve">INC062539460 </t>
  </si>
  <si>
    <t xml:space="preserve">INC062673306 </t>
  </si>
  <si>
    <t xml:space="preserve">INC062582528 </t>
  </si>
  <si>
    <t xml:space="preserve">INC062692010 </t>
  </si>
  <si>
    <t xml:space="preserve">INC062801426 </t>
  </si>
  <si>
    <t xml:space="preserve">INC062812128 </t>
  </si>
  <si>
    <t xml:space="preserve">INC062796617 </t>
  </si>
  <si>
    <t xml:space="preserve">INC062853959 </t>
  </si>
  <si>
    <t>INC062864483</t>
  </si>
  <si>
    <t xml:space="preserve">INC062960520 </t>
  </si>
  <si>
    <t xml:space="preserve">INC063043694 </t>
  </si>
  <si>
    <t xml:space="preserve">INC063109161 </t>
  </si>
  <si>
    <t xml:space="preserve">INC063132793 </t>
  </si>
  <si>
    <t xml:space="preserve">INC063064670 </t>
  </si>
  <si>
    <t xml:space="preserve">INC063101798 </t>
  </si>
  <si>
    <t xml:space="preserve">INC063133486 </t>
  </si>
  <si>
    <t xml:space="preserve">INC063192220 </t>
  </si>
  <si>
    <t xml:space="preserve">INC063300693 </t>
  </si>
  <si>
    <t xml:space="preserve">INC063298793 </t>
  </si>
  <si>
    <t xml:space="preserve">INC063397078 </t>
  </si>
  <si>
    <t xml:space="preserve">INC063382455 </t>
  </si>
  <si>
    <t xml:space="preserve">INC063444725 </t>
  </si>
  <si>
    <t xml:space="preserve">INC063414093 </t>
  </si>
  <si>
    <t xml:space="preserve">INC063500902 </t>
  </si>
  <si>
    <t xml:space="preserve">INC063658583 </t>
  </si>
  <si>
    <t xml:space="preserve">INC063770663 </t>
  </si>
  <si>
    <t xml:space="preserve">INC063784064 </t>
  </si>
  <si>
    <t xml:space="preserve">INC063783577 </t>
  </si>
  <si>
    <t xml:space="preserve">INC063813509 </t>
  </si>
  <si>
    <t xml:space="preserve">INC063948606 </t>
  </si>
  <si>
    <t xml:space="preserve">INC063962808 </t>
  </si>
  <si>
    <t xml:space="preserve">INC063969716 </t>
  </si>
  <si>
    <t xml:space="preserve">INC064327564 </t>
  </si>
  <si>
    <t xml:space="preserve">INC064562557 </t>
  </si>
  <si>
    <t xml:space="preserve">INC064542991 </t>
  </si>
  <si>
    <t xml:space="preserve">INC064511323 </t>
  </si>
  <si>
    <t xml:space="preserve">INC064489257 </t>
  </si>
  <si>
    <t xml:space="preserve">INC064432487 </t>
  </si>
  <si>
    <t xml:space="preserve">INC064451345 </t>
  </si>
  <si>
    <t xml:space="preserve">INC064432788 </t>
  </si>
  <si>
    <t>Luis Enrique Zarazua Vargas</t>
  </si>
  <si>
    <t xml:space="preserve">INC064736051 </t>
  </si>
  <si>
    <t xml:space="preserve">INC064750957 </t>
  </si>
  <si>
    <t>Ponen otro equipo en la incidencia que no tiene nada que ver</t>
  </si>
  <si>
    <t xml:space="preserve">INC064796286 </t>
  </si>
  <si>
    <t xml:space="preserve">INC064913025 </t>
  </si>
  <si>
    <t xml:space="preserve">INC064901917 </t>
  </si>
  <si>
    <t xml:space="preserve">INC065081350 </t>
  </si>
  <si>
    <t>Notificación</t>
  </si>
  <si>
    <t xml:space="preserve">INC063713614 </t>
  </si>
  <si>
    <t xml:space="preserve">INC065121394 </t>
  </si>
  <si>
    <t>Aperture</t>
  </si>
  <si>
    <t>Update</t>
  </si>
  <si>
    <t>Closure</t>
  </si>
  <si>
    <t>Gabriel Daniel Chiriac</t>
  </si>
  <si>
    <t>GSNET International</t>
  </si>
  <si>
    <t>Envian la notificación como closure cuando tocaba update</t>
  </si>
  <si>
    <t>GSNET Cloud</t>
  </si>
  <si>
    <t>Campus Conectivity</t>
  </si>
  <si>
    <t>Ponen un túnel que no es en el aperture</t>
  </si>
  <si>
    <t>Christian Alfredo Guerrero Banda</t>
  </si>
  <si>
    <t>Luis Enrique Zarazua</t>
  </si>
  <si>
    <t>Falta poner la hora de recuperación en el update.</t>
  </si>
  <si>
    <t>Óscar Rodríguez Zárate</t>
  </si>
  <si>
    <t>Branches Connectivity</t>
  </si>
  <si>
    <t>Ponen Impact: 0 en vez de Impact: NO</t>
  </si>
  <si>
    <t>GSNET Internet</t>
  </si>
  <si>
    <t>Leobardo Angel Ibarra Rios</t>
  </si>
  <si>
    <t>Falta poner la hora de recuperacion</t>
  </si>
  <si>
    <t>Jorge González García</t>
  </si>
  <si>
    <t>Falta por poner el nuevo tramo de la incidencia</t>
  </si>
  <si>
    <t>No se pone el día y hora del nuevo evento en la incidencia</t>
  </si>
  <si>
    <t>Se especifica en el evento la descripción de la BGP que tiene incidencia</t>
  </si>
  <si>
    <t>No cambian el asunto al closure y lo mandan como update</t>
  </si>
  <si>
    <t>Cruz Jared Orta Vargas</t>
  </si>
  <si>
    <t>Falta poner el nuevo tramo de incidencia (hora de inicio y de recuperación)</t>
  </si>
  <si>
    <t>Se abrio con el dispositivo afectado mal</t>
  </si>
  <si>
    <t>Se equivocan  en las horas que ponen en el evento</t>
  </si>
  <si>
    <t>Fernando Martín Pavón</t>
  </si>
  <si>
    <t>Falta información en la descripción del evento.</t>
  </si>
  <si>
    <t>Erick Josue Castillo Zambrano</t>
  </si>
  <si>
    <t>No se puso en el evento que CCS confirmaba que no habia impacto</t>
  </si>
  <si>
    <t>Equipo afectado equivocado.</t>
  </si>
  <si>
    <t>Se envía como que el equipo estaba caído cuando ya había recuperado.</t>
  </si>
  <si>
    <t>Falta por poner nuevo tramo en la incidencia.</t>
  </si>
  <si>
    <t>Se envía como que el equipo es Telefónica CTOS 1 y la incidencia fue en Telefónica CTOS 2</t>
  </si>
  <si>
    <t>En Site en vez de poner IX Spain ponia IX UK</t>
  </si>
  <si>
    <t>Eran latencias y en el comentario puso saturacion</t>
  </si>
  <si>
    <t>Se mandó como DOWN cuando estaba UP</t>
  </si>
  <si>
    <t>Hora del evento errónea</t>
  </si>
  <si>
    <t>RFO mal</t>
  </si>
  <si>
    <t>Esaba mal puesto el numero de la incidencia</t>
  </si>
  <si>
    <t>Hora en el tramo final mal</t>
  </si>
  <si>
    <t>Se envia la notificación con el correo personal en vez de con el buzon general.</t>
  </si>
  <si>
    <t>N/A</t>
  </si>
  <si>
    <t>Se envía como levantado cuando está caído.</t>
  </si>
  <si>
    <t>Falta por poner el nuevo tramo de inicio de la incidencia.</t>
  </si>
  <si>
    <t>Hora final incidencia mal puesta.</t>
  </si>
  <si>
    <t>Asunto mal puesto</t>
  </si>
  <si>
    <t>Se hizo un revised cuando no procedía</t>
  </si>
  <si>
    <t>NO procedia revised y se hace mal</t>
  </si>
  <si>
    <t>Asunto puesto como que está caido cuando estaba levantado.</t>
  </si>
  <si>
    <t>Se puso mal la hora de la incidencia en el evento</t>
  </si>
  <si>
    <t>Asunto puesto como que está levantado cuando estaba caído.</t>
  </si>
  <si>
    <t>Se puso mal la hora del Time Stamp</t>
  </si>
  <si>
    <t>Equipo afectado erróneo</t>
  </si>
  <si>
    <t>Falta por poner el tramo final de la incidencia</t>
  </si>
  <si>
    <t>Hora mal puesta en el evento.</t>
  </si>
  <si>
    <t xml:space="preserve">GSNET Data </t>
  </si>
  <si>
    <t>Se envía como revised por error.</t>
  </si>
  <si>
    <t>Falta por poner hora de fin en la incidencia.</t>
  </si>
  <si>
    <t>Se envia DOWN cuando es UP (pero solo se cambia en el Asunto, el ticket sigue estando DOWN)</t>
  </si>
  <si>
    <t>Se envía un update cuando tendría que ser closure</t>
  </si>
  <si>
    <t>Se envía como aperture cuando es un update.</t>
  </si>
  <si>
    <t>Se envia mal la fecha del uñtimo tramo de incidencia</t>
  </si>
  <si>
    <t>Contactos erróneos</t>
  </si>
  <si>
    <t>Numero Incidencia erroneo.</t>
  </si>
  <si>
    <t>INC064990494</t>
  </si>
  <si>
    <t>INC065150206</t>
  </si>
  <si>
    <t>INC065161540</t>
  </si>
  <si>
    <t>INC065165941</t>
  </si>
  <si>
    <t>INC065162365</t>
  </si>
  <si>
    <t>Se envía como closure cuando es un update</t>
  </si>
  <si>
    <t>Sergio Sanz Blázquez</t>
  </si>
  <si>
    <t>Se envía sin poner el túnel afectado y con una descripción del evento errónea.</t>
  </si>
  <si>
    <t>Fuera de KCI. Se envía como levantado sin poner tramo del final de la incidencia y se manda revised de un update que no existe en vez del aperture anterior.</t>
  </si>
  <si>
    <t>Se envía como aperture cuando era un update.</t>
  </si>
  <si>
    <t>Etiquetas de fila</t>
  </si>
  <si>
    <t>Total general</t>
  </si>
  <si>
    <t>Cuenta de Incidencia</t>
  </si>
  <si>
    <t>Año</t>
  </si>
  <si>
    <t>Mes</t>
  </si>
  <si>
    <t xml:space="preserve">INC065253728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</si>
</sst>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Cruz Jared Orta Vargas</c:v>
                </c:pt>
                <c:pt idx="5">
                  <c:v>Leobardo Angel Ibarra Rios</c:v>
                </c:pt>
                <c:pt idx="6">
                  <c:v>Fernando Martín Pavón</c:v>
                </c:pt>
                <c:pt idx="7">
                  <c:v>Jorge González García</c:v>
                </c:pt>
                <c:pt idx="8">
                  <c:v>Erick Josue Castillo Zambrano</c:v>
                </c:pt>
                <c:pt idx="9">
                  <c:v>Óscar Rodríguez Zárate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14</c:v>
                </c:pt>
                <c:pt idx="1">
                  <c:v>9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39</c:v>
                </c:pt>
                <c:pt idx="1">
                  <c:v>20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28</c:v>
                </c:pt>
                <c:pt idx="1">
                  <c:v>16</c:v>
                </c:pt>
                <c:pt idx="2">
                  <c:v>12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495300</xdr:colOff>
      <xdr:row>17</xdr:row>
      <xdr:rowOff>0</xdr:rowOff>
    </xdr:from>
    <xdr:to>
      <xdr:col>16</xdr:col>
      <xdr:colOff>38100</xdr:colOff>
      <xdr:row>24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01400" y="3238500"/>
              <a:ext cx="1828800" cy="1514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05.534489467595" createdVersion="8" refreshedVersion="8" minRefreshableVersion="3" recordCount="66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3-23T10:29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3" count="4">
        <n v="1"/>
        <n v="2"/>
        <n v="3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m/>
    <x v="1"/>
    <x v="3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5">
        <item x="0"/>
        <item x="1"/>
        <item x="2"/>
        <item h="1" x="3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2"/>
    </i>
    <i>
      <x v="7"/>
    </i>
    <i>
      <x v="4"/>
    </i>
    <i>
      <x v="6"/>
    </i>
    <i>
      <x v="3"/>
    </i>
    <i>
      <x v="10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4">
        <i x="0" s="1"/>
        <i x="1" s="1"/>
        <i x="2" s="1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2578125" defaultRowHeight="15" x14ac:dyDescent="0.2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2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2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2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2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2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2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2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2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2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2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2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2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2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2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2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2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2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2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2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102</v>
      </c>
      <c r="E1" s="2" t="s">
        <v>43</v>
      </c>
      <c r="F1" s="2" t="s">
        <v>44</v>
      </c>
    </row>
    <row r="2" spans="1:6" x14ac:dyDescent="0.25">
      <c r="A2" s="3">
        <v>46027.490277777775</v>
      </c>
      <c r="B2" s="4" t="s">
        <v>45</v>
      </c>
      <c r="C2" s="4" t="s">
        <v>46</v>
      </c>
      <c r="D2" s="4" t="s">
        <v>106</v>
      </c>
      <c r="E2" s="4" t="s">
        <v>47</v>
      </c>
      <c r="F2" s="4" t="s">
        <v>48</v>
      </c>
    </row>
    <row r="3" spans="1:6" x14ac:dyDescent="0.25">
      <c r="A3" s="3">
        <v>46029.463194444441</v>
      </c>
      <c r="B3" s="4" t="s">
        <v>94</v>
      </c>
      <c r="C3" s="4" t="s">
        <v>97</v>
      </c>
      <c r="D3" s="4" t="s">
        <v>105</v>
      </c>
      <c r="E3" s="4" t="s">
        <v>111</v>
      </c>
      <c r="F3" s="4" t="s">
        <v>49</v>
      </c>
    </row>
    <row r="4" spans="1:6" x14ac:dyDescent="0.25">
      <c r="A4" s="3">
        <v>46033.217361111114</v>
      </c>
      <c r="B4" s="4" t="s">
        <v>108</v>
      </c>
      <c r="C4" s="4" t="s">
        <v>110</v>
      </c>
      <c r="D4" s="4" t="s">
        <v>106</v>
      </c>
      <c r="E4" s="4" t="s">
        <v>47</v>
      </c>
      <c r="F4" s="4" t="s">
        <v>50</v>
      </c>
    </row>
    <row r="5" spans="1:6" x14ac:dyDescent="0.25">
      <c r="A5" s="3">
        <v>46033.434027777781</v>
      </c>
      <c r="B5" s="4" t="s">
        <v>94</v>
      </c>
      <c r="C5" s="4" t="s">
        <v>113</v>
      </c>
      <c r="D5" s="4" t="s">
        <v>105</v>
      </c>
      <c r="E5" s="4" t="s">
        <v>111</v>
      </c>
      <c r="F5" s="4" t="s">
        <v>51</v>
      </c>
    </row>
    <row r="6" spans="1:6" x14ac:dyDescent="0.25">
      <c r="A6" s="3">
        <v>46034.30972222222</v>
      </c>
      <c r="B6" s="4" t="s">
        <v>114</v>
      </c>
      <c r="C6" s="4" t="s">
        <v>127</v>
      </c>
      <c r="D6" s="4" t="s">
        <v>107</v>
      </c>
      <c r="E6" s="4" t="s">
        <v>109</v>
      </c>
      <c r="F6" s="4" t="s">
        <v>52</v>
      </c>
    </row>
    <row r="7" spans="1:6" x14ac:dyDescent="0.25">
      <c r="A7" s="3">
        <v>46034.37777777778</v>
      </c>
      <c r="B7" s="4" t="s">
        <v>117</v>
      </c>
      <c r="C7" s="4" t="s">
        <v>116</v>
      </c>
      <c r="D7" s="4" t="s">
        <v>106</v>
      </c>
      <c r="E7" s="4" t="s">
        <v>118</v>
      </c>
      <c r="F7" s="4" t="s">
        <v>53</v>
      </c>
    </row>
    <row r="8" spans="1:6" x14ac:dyDescent="0.25">
      <c r="A8" s="3">
        <v>46034.366666666669</v>
      </c>
      <c r="B8" s="4" t="s">
        <v>45</v>
      </c>
      <c r="C8" s="4" t="s">
        <v>119</v>
      </c>
      <c r="D8" s="4" t="s">
        <v>105</v>
      </c>
      <c r="E8" s="4" t="s">
        <v>109</v>
      </c>
      <c r="F8" s="4" t="s">
        <v>54</v>
      </c>
    </row>
    <row r="9" spans="1:6" x14ac:dyDescent="0.25">
      <c r="A9" s="3">
        <v>46037.292361111111</v>
      </c>
      <c r="B9" s="4" t="s">
        <v>121</v>
      </c>
      <c r="C9" s="4" t="s">
        <v>126</v>
      </c>
      <c r="D9" s="4" t="s">
        <v>105</v>
      </c>
      <c r="E9" s="4" t="s">
        <v>120</v>
      </c>
      <c r="F9" s="4" t="s">
        <v>55</v>
      </c>
    </row>
    <row r="10" spans="1:6" x14ac:dyDescent="0.25">
      <c r="A10" s="3">
        <v>46038.54583333333</v>
      </c>
      <c r="B10" s="4" t="s">
        <v>45</v>
      </c>
      <c r="C10" s="4" t="s">
        <v>125</v>
      </c>
      <c r="D10" s="4" t="s">
        <v>106</v>
      </c>
      <c r="E10" s="4" t="s">
        <v>111</v>
      </c>
      <c r="F10" s="4" t="s">
        <v>56</v>
      </c>
    </row>
    <row r="11" spans="1:6" x14ac:dyDescent="0.25">
      <c r="A11" s="3">
        <v>46039.144444444442</v>
      </c>
      <c r="B11" s="4" t="s">
        <v>128</v>
      </c>
      <c r="C11" s="4" t="s">
        <v>124</v>
      </c>
      <c r="D11" s="4" t="s">
        <v>106</v>
      </c>
      <c r="E11" s="4" t="s">
        <v>112</v>
      </c>
      <c r="F11" s="4" t="s">
        <v>57</v>
      </c>
    </row>
    <row r="12" spans="1:6" x14ac:dyDescent="0.25">
      <c r="A12" s="3">
        <v>46039.965277777781</v>
      </c>
      <c r="B12" s="4" t="s">
        <v>121</v>
      </c>
      <c r="C12" s="4" t="s">
        <v>131</v>
      </c>
      <c r="D12" s="4" t="s">
        <v>105</v>
      </c>
      <c r="E12" s="4" t="s">
        <v>109</v>
      </c>
      <c r="F12" s="4" t="s">
        <v>58</v>
      </c>
    </row>
    <row r="13" spans="1:6" x14ac:dyDescent="0.25">
      <c r="A13" s="3">
        <v>46040.387499999997</v>
      </c>
      <c r="B13" s="4" t="s">
        <v>132</v>
      </c>
      <c r="C13" s="4" t="s">
        <v>133</v>
      </c>
      <c r="D13" s="4" t="s">
        <v>105</v>
      </c>
      <c r="E13" s="4" t="s">
        <v>47</v>
      </c>
      <c r="F13" s="4" t="s">
        <v>59</v>
      </c>
    </row>
    <row r="14" spans="1:6" x14ac:dyDescent="0.25">
      <c r="A14" s="3">
        <v>46041.147916666669</v>
      </c>
      <c r="B14" s="4" t="s">
        <v>121</v>
      </c>
      <c r="C14" s="4" t="s">
        <v>136</v>
      </c>
      <c r="D14" s="4" t="s">
        <v>106</v>
      </c>
      <c r="E14" s="4" t="s">
        <v>47</v>
      </c>
      <c r="F14" s="4" t="s">
        <v>60</v>
      </c>
    </row>
    <row r="15" spans="1:6" x14ac:dyDescent="0.25">
      <c r="A15" s="3">
        <v>46042.124305555553</v>
      </c>
      <c r="B15" s="4" t="s">
        <v>114</v>
      </c>
      <c r="C15" s="4" t="s">
        <v>137</v>
      </c>
      <c r="D15" s="4" t="s">
        <v>106</v>
      </c>
      <c r="E15" s="4" t="s">
        <v>47</v>
      </c>
      <c r="F15" s="4" t="s">
        <v>61</v>
      </c>
    </row>
    <row r="16" spans="1:6" x14ac:dyDescent="0.25">
      <c r="A16" s="3">
        <v>46043.695833333331</v>
      </c>
      <c r="B16" s="4" t="s">
        <v>94</v>
      </c>
      <c r="C16" s="4" t="s">
        <v>138</v>
      </c>
      <c r="D16" s="4" t="s">
        <v>106</v>
      </c>
      <c r="E16" s="4" t="s">
        <v>109</v>
      </c>
      <c r="F16" s="4" t="s">
        <v>62</v>
      </c>
    </row>
    <row r="17" spans="1:6" x14ac:dyDescent="0.25">
      <c r="A17" s="3">
        <v>46044.343055555553</v>
      </c>
      <c r="B17" s="4" t="s">
        <v>45</v>
      </c>
      <c r="C17" s="4" t="s">
        <v>139</v>
      </c>
      <c r="D17" s="4" t="s">
        <v>106</v>
      </c>
      <c r="E17" s="4" t="s">
        <v>120</v>
      </c>
      <c r="F17" s="4" t="s">
        <v>63</v>
      </c>
    </row>
    <row r="18" spans="1:6" x14ac:dyDescent="0.25">
      <c r="A18" s="3">
        <v>46046.21597222222</v>
      </c>
      <c r="B18" s="4" t="s">
        <v>114</v>
      </c>
      <c r="C18" s="4" t="s">
        <v>136</v>
      </c>
      <c r="D18" s="4" t="s">
        <v>106</v>
      </c>
      <c r="E18" s="4" t="s">
        <v>109</v>
      </c>
      <c r="F18" s="4" t="s">
        <v>64</v>
      </c>
    </row>
    <row r="19" spans="1:6" x14ac:dyDescent="0.25">
      <c r="A19" s="3">
        <v>46048.55</v>
      </c>
      <c r="B19" s="4" t="s">
        <v>108</v>
      </c>
      <c r="C19" s="4" t="s">
        <v>147</v>
      </c>
      <c r="D19" s="4" t="s">
        <v>105</v>
      </c>
      <c r="E19" s="4" t="s">
        <v>109</v>
      </c>
      <c r="F19" s="4" t="s">
        <v>65</v>
      </c>
    </row>
    <row r="20" spans="1:6" x14ac:dyDescent="0.25">
      <c r="A20" s="3">
        <v>46048.933333333334</v>
      </c>
      <c r="B20" s="4" t="s">
        <v>132</v>
      </c>
      <c r="C20" s="4" t="s">
        <v>143</v>
      </c>
      <c r="D20" s="4" t="s">
        <v>105</v>
      </c>
      <c r="E20" s="4" t="s">
        <v>111</v>
      </c>
      <c r="F20" s="4" t="s">
        <v>66</v>
      </c>
    </row>
    <row r="21" spans="1:6" x14ac:dyDescent="0.25">
      <c r="A21" s="3">
        <v>46049.209722222222</v>
      </c>
      <c r="B21" s="4" t="s">
        <v>128</v>
      </c>
      <c r="C21" s="4" t="s">
        <v>144</v>
      </c>
      <c r="D21" s="4" t="s">
        <v>107</v>
      </c>
      <c r="E21" s="4" t="s">
        <v>111</v>
      </c>
      <c r="F21" s="4" t="s">
        <v>67</v>
      </c>
    </row>
    <row r="22" spans="1:6" x14ac:dyDescent="0.25">
      <c r="A22" s="3">
        <v>46052.0625</v>
      </c>
      <c r="B22" s="4" t="s">
        <v>128</v>
      </c>
      <c r="C22" s="4" t="s">
        <v>146</v>
      </c>
      <c r="D22" s="4" t="s">
        <v>106</v>
      </c>
      <c r="E22" s="4" t="s">
        <v>109</v>
      </c>
      <c r="F22" s="4" t="s">
        <v>68</v>
      </c>
    </row>
    <row r="23" spans="1:6" x14ac:dyDescent="0.25">
      <c r="A23" s="3">
        <v>46049.965277777781</v>
      </c>
      <c r="B23" s="4" t="s">
        <v>128</v>
      </c>
      <c r="C23" s="4" t="s">
        <v>148</v>
      </c>
      <c r="D23" s="4" t="s">
        <v>107</v>
      </c>
      <c r="E23" s="4" t="s">
        <v>111</v>
      </c>
      <c r="F23" s="4" t="s">
        <v>69</v>
      </c>
    </row>
    <row r="24" spans="1:6" x14ac:dyDescent="0.25">
      <c r="A24" s="3">
        <v>46050.11041666667</v>
      </c>
      <c r="B24" s="4" t="s">
        <v>128</v>
      </c>
      <c r="C24" s="4" t="s">
        <v>149</v>
      </c>
      <c r="D24" s="4" t="s">
        <v>106</v>
      </c>
      <c r="E24" s="4" t="s">
        <v>109</v>
      </c>
      <c r="F24" s="4" t="s">
        <v>70</v>
      </c>
    </row>
    <row r="25" spans="1:6" x14ac:dyDescent="0.25">
      <c r="A25" s="3">
        <v>46049.359722222223</v>
      </c>
      <c r="B25" s="4" t="s">
        <v>45</v>
      </c>
      <c r="C25" s="4" t="s">
        <v>150</v>
      </c>
      <c r="D25" s="4" t="s">
        <v>106</v>
      </c>
      <c r="E25" s="4" t="s">
        <v>109</v>
      </c>
      <c r="F25" s="4" t="s">
        <v>68</v>
      </c>
    </row>
    <row r="26" spans="1:6" x14ac:dyDescent="0.25">
      <c r="A26" s="3">
        <v>46052.775000000001</v>
      </c>
      <c r="B26" s="4" t="s">
        <v>121</v>
      </c>
      <c r="C26" s="4" t="s">
        <v>151</v>
      </c>
      <c r="D26" s="4" t="s">
        <v>106</v>
      </c>
      <c r="E26" s="4" t="s">
        <v>112</v>
      </c>
      <c r="F26" s="4" t="s">
        <v>71</v>
      </c>
    </row>
    <row r="27" spans="1:6" x14ac:dyDescent="0.25">
      <c r="A27" s="3">
        <v>46053.1875</v>
      </c>
      <c r="B27" s="4" t="s">
        <v>94</v>
      </c>
      <c r="C27" s="4" t="s">
        <v>152</v>
      </c>
      <c r="D27" s="4" t="s">
        <v>106</v>
      </c>
      <c r="E27" s="4" t="s">
        <v>111</v>
      </c>
      <c r="F27" s="4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102</v>
      </c>
      <c r="E1" s="2" t="s">
        <v>43</v>
      </c>
      <c r="F1" s="2" t="s">
        <v>44</v>
      </c>
    </row>
    <row r="2" spans="1:6" x14ac:dyDescent="0.25">
      <c r="A2" s="3">
        <v>46059.683333333334</v>
      </c>
      <c r="B2" s="4" t="s">
        <v>114</v>
      </c>
      <c r="C2" s="4" t="s">
        <v>155</v>
      </c>
      <c r="D2" s="4" t="s">
        <v>106</v>
      </c>
      <c r="E2" s="4" t="s">
        <v>47</v>
      </c>
      <c r="F2" s="4" t="s">
        <v>73</v>
      </c>
    </row>
    <row r="3" spans="1:6" x14ac:dyDescent="0.25">
      <c r="A3" s="3">
        <v>46056.65902777778</v>
      </c>
      <c r="B3" s="4" t="s">
        <v>114</v>
      </c>
      <c r="C3" s="4" t="s">
        <v>157</v>
      </c>
      <c r="D3" s="4" t="s">
        <v>105</v>
      </c>
      <c r="E3" s="4" t="s">
        <v>109</v>
      </c>
      <c r="F3" s="4" t="s">
        <v>74</v>
      </c>
    </row>
    <row r="4" spans="1:6" x14ac:dyDescent="0.25">
      <c r="A4" s="3">
        <v>46056.469444444447</v>
      </c>
      <c r="B4" s="4" t="s">
        <v>132</v>
      </c>
      <c r="C4" s="4" t="s">
        <v>159</v>
      </c>
      <c r="D4" s="4" t="s">
        <v>105</v>
      </c>
      <c r="E4" s="4" t="s">
        <v>112</v>
      </c>
      <c r="F4" s="4" t="s">
        <v>75</v>
      </c>
    </row>
    <row r="5" spans="1:6" x14ac:dyDescent="0.25">
      <c r="A5" s="3">
        <v>46056.65902777778</v>
      </c>
      <c r="B5" s="4" t="s">
        <v>114</v>
      </c>
      <c r="C5" s="4" t="s">
        <v>157</v>
      </c>
      <c r="D5" s="4" t="s">
        <v>105</v>
      </c>
      <c r="E5" s="4" t="s">
        <v>109</v>
      </c>
      <c r="F5" s="4" t="s">
        <v>74</v>
      </c>
    </row>
    <row r="6" spans="1:6" x14ac:dyDescent="0.25">
      <c r="A6" s="3">
        <v>46057.578472222223</v>
      </c>
      <c r="B6" s="4" t="s">
        <v>132</v>
      </c>
      <c r="C6" s="4" t="s">
        <v>160</v>
      </c>
      <c r="D6" s="4" t="s">
        <v>106</v>
      </c>
      <c r="E6" s="4" t="s">
        <v>111</v>
      </c>
      <c r="F6" s="4" t="s">
        <v>76</v>
      </c>
    </row>
    <row r="7" spans="1:6" x14ac:dyDescent="0.25">
      <c r="A7" s="3">
        <v>46057.652777777781</v>
      </c>
      <c r="B7" s="4" t="s">
        <v>114</v>
      </c>
      <c r="C7" s="4" t="s">
        <v>161</v>
      </c>
      <c r="D7" s="4" t="s">
        <v>106</v>
      </c>
      <c r="E7" s="4" t="s">
        <v>111</v>
      </c>
      <c r="F7" s="4" t="s">
        <v>77</v>
      </c>
    </row>
    <row r="8" spans="1:6" x14ac:dyDescent="0.25">
      <c r="A8" s="3">
        <v>46059.683333333334</v>
      </c>
      <c r="B8" s="4" t="s">
        <v>114</v>
      </c>
      <c r="C8" s="4" t="s">
        <v>155</v>
      </c>
      <c r="D8" s="4" t="s">
        <v>106</v>
      </c>
      <c r="E8" s="4" t="s">
        <v>162</v>
      </c>
      <c r="F8" s="4" t="s">
        <v>73</v>
      </c>
    </row>
    <row r="9" spans="1:6" x14ac:dyDescent="0.25">
      <c r="A9" s="3">
        <v>46062.664583333331</v>
      </c>
      <c r="B9" s="4" t="s">
        <v>45</v>
      </c>
      <c r="C9" s="4" t="s">
        <v>163</v>
      </c>
      <c r="D9" s="4" t="s">
        <v>106</v>
      </c>
      <c r="E9" s="4" t="s">
        <v>109</v>
      </c>
      <c r="F9" s="4" t="s">
        <v>78</v>
      </c>
    </row>
    <row r="10" spans="1:6" x14ac:dyDescent="0.25">
      <c r="A10" s="3">
        <v>46063.95208333333</v>
      </c>
      <c r="B10" s="4" t="s">
        <v>117</v>
      </c>
      <c r="C10" s="4" t="s">
        <v>164</v>
      </c>
      <c r="D10" s="4" t="s">
        <v>106</v>
      </c>
      <c r="E10" s="4" t="s">
        <v>111</v>
      </c>
      <c r="F10" s="4" t="s">
        <v>79</v>
      </c>
    </row>
    <row r="11" spans="1:6" x14ac:dyDescent="0.25">
      <c r="A11" s="3">
        <v>46064.265277777777</v>
      </c>
      <c r="B11" s="4" t="s">
        <v>114</v>
      </c>
      <c r="C11" s="4" t="s">
        <v>159</v>
      </c>
      <c r="D11" s="4" t="s">
        <v>105</v>
      </c>
      <c r="E11" s="4" t="s">
        <v>162</v>
      </c>
      <c r="F11" s="4" t="s">
        <v>80</v>
      </c>
    </row>
    <row r="12" spans="1:6" x14ac:dyDescent="0.25">
      <c r="A12" s="3">
        <v>46065.268750000003</v>
      </c>
      <c r="B12" s="4" t="s">
        <v>114</v>
      </c>
      <c r="C12" s="4" t="s">
        <v>166</v>
      </c>
      <c r="D12" s="4" t="s">
        <v>107</v>
      </c>
      <c r="E12" s="4" t="s">
        <v>109</v>
      </c>
      <c r="F12" s="4" t="s">
        <v>81</v>
      </c>
    </row>
    <row r="13" spans="1:6" x14ac:dyDescent="0.25">
      <c r="A13" s="3">
        <v>46065.302083333336</v>
      </c>
      <c r="B13" s="4" t="s">
        <v>114</v>
      </c>
      <c r="C13" s="4" t="s">
        <v>168</v>
      </c>
      <c r="D13" s="4" t="s">
        <v>106</v>
      </c>
      <c r="E13" s="4" t="s">
        <v>47</v>
      </c>
      <c r="F13" s="4" t="s">
        <v>82</v>
      </c>
    </row>
    <row r="14" spans="1:6" x14ac:dyDescent="0.25">
      <c r="A14" s="3">
        <v>46068.363194444442</v>
      </c>
      <c r="B14" s="4" t="s">
        <v>108</v>
      </c>
      <c r="C14" s="4" t="s">
        <v>167</v>
      </c>
      <c r="D14" s="4" t="s">
        <v>106</v>
      </c>
      <c r="E14" s="4" t="s">
        <v>109</v>
      </c>
      <c r="F14" s="4" t="s">
        <v>83</v>
      </c>
    </row>
    <row r="15" spans="1:6" x14ac:dyDescent="0.25">
      <c r="A15" s="3">
        <v>46069.194444444445</v>
      </c>
      <c r="B15" s="4" t="s">
        <v>94</v>
      </c>
      <c r="C15" s="4" t="s">
        <v>165</v>
      </c>
      <c r="D15" s="4" t="s">
        <v>106</v>
      </c>
      <c r="E15" s="4" t="s">
        <v>111</v>
      </c>
      <c r="F15" s="4" t="s">
        <v>84</v>
      </c>
    </row>
    <row r="16" spans="1:6" x14ac:dyDescent="0.25">
      <c r="A16" s="3">
        <v>46072.369444444441</v>
      </c>
      <c r="B16" s="4" t="s">
        <v>45</v>
      </c>
      <c r="C16" s="6" t="s">
        <v>122</v>
      </c>
      <c r="D16" s="4" t="s">
        <v>106</v>
      </c>
      <c r="E16" s="4" t="s">
        <v>109</v>
      </c>
      <c r="F16" s="4" t="s">
        <v>85</v>
      </c>
    </row>
    <row r="17" spans="1:6" x14ac:dyDescent="0.25">
      <c r="A17" s="3">
        <v>46079.738888888889</v>
      </c>
      <c r="B17" s="4" t="s">
        <v>108</v>
      </c>
      <c r="C17" s="6" t="s">
        <v>122</v>
      </c>
      <c r="D17" s="4" t="s">
        <v>106</v>
      </c>
      <c r="E17" s="4" t="s">
        <v>111</v>
      </c>
      <c r="F17" s="4" t="s">
        <v>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4"/>
  <sheetViews>
    <sheetView workbookViewId="0">
      <selection activeCell="A24" sqref="A24:F24"/>
    </sheetView>
  </sheetViews>
  <sheetFormatPr baseColWidth="10" defaultColWidth="11.42578125" defaultRowHeight="15" x14ac:dyDescent="0.25"/>
  <cols>
    <col min="1" max="1" width="15.42578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 x14ac:dyDescent="0.25">
      <c r="A1" s="7" t="s">
        <v>1</v>
      </c>
      <c r="B1" s="7" t="s">
        <v>2</v>
      </c>
      <c r="C1" s="7" t="s">
        <v>3</v>
      </c>
      <c r="D1" s="7" t="s">
        <v>102</v>
      </c>
      <c r="E1" s="7" t="s">
        <v>43</v>
      </c>
      <c r="F1" s="7" t="s">
        <v>44</v>
      </c>
    </row>
    <row r="2" spans="1:9" x14ac:dyDescent="0.25">
      <c r="A2" s="3">
        <v>46089.791666666664</v>
      </c>
      <c r="B2" s="4" t="s">
        <v>108</v>
      </c>
      <c r="C2" s="4" t="s">
        <v>122</v>
      </c>
      <c r="D2" s="4" t="s">
        <v>106</v>
      </c>
      <c r="E2" s="8" t="s">
        <v>109</v>
      </c>
      <c r="F2" s="4" t="s">
        <v>87</v>
      </c>
    </row>
    <row r="3" spans="1:9" x14ac:dyDescent="0.25">
      <c r="A3" s="3">
        <v>46086.620138888888</v>
      </c>
      <c r="B3" s="4" t="s">
        <v>123</v>
      </c>
      <c r="C3" s="4" t="s">
        <v>129</v>
      </c>
      <c r="D3" s="4" t="s">
        <v>106</v>
      </c>
      <c r="E3" s="8" t="s">
        <v>109</v>
      </c>
      <c r="F3" s="4" t="s">
        <v>88</v>
      </c>
    </row>
    <row r="4" spans="1:9" x14ac:dyDescent="0.25">
      <c r="A4" s="3">
        <v>46085.624305555553</v>
      </c>
      <c r="B4" s="4" t="s">
        <v>123</v>
      </c>
      <c r="C4" s="4" t="s">
        <v>130</v>
      </c>
      <c r="D4" s="4" t="s">
        <v>105</v>
      </c>
      <c r="E4" s="8" t="s">
        <v>47</v>
      </c>
      <c r="F4" s="4" t="s">
        <v>89</v>
      </c>
    </row>
    <row r="5" spans="1:9" x14ac:dyDescent="0.25">
      <c r="A5" s="3">
        <v>46084.469444444447</v>
      </c>
      <c r="B5" s="4" t="s">
        <v>134</v>
      </c>
      <c r="C5" s="4" t="s">
        <v>135</v>
      </c>
      <c r="D5" s="4" t="s">
        <v>105</v>
      </c>
      <c r="E5" s="8" t="s">
        <v>109</v>
      </c>
      <c r="F5" s="4" t="s">
        <v>90</v>
      </c>
    </row>
    <row r="6" spans="1:9" x14ac:dyDescent="0.25">
      <c r="A6" s="3">
        <v>46084.34375</v>
      </c>
      <c r="B6" s="4" t="s">
        <v>134</v>
      </c>
      <c r="C6" s="4" t="s">
        <v>169</v>
      </c>
      <c r="D6" s="4" t="s">
        <v>107</v>
      </c>
      <c r="E6" s="8" t="s">
        <v>47</v>
      </c>
      <c r="F6" s="4" t="s">
        <v>91</v>
      </c>
    </row>
    <row r="7" spans="1:9" x14ac:dyDescent="0.25">
      <c r="A7" s="3">
        <v>46083.619444444441</v>
      </c>
      <c r="B7" s="4" t="s">
        <v>108</v>
      </c>
      <c r="C7" s="4" t="s">
        <v>170</v>
      </c>
      <c r="D7" s="4" t="s">
        <v>105</v>
      </c>
      <c r="E7" s="8" t="s">
        <v>111</v>
      </c>
      <c r="F7" s="4" t="s">
        <v>92</v>
      </c>
    </row>
    <row r="8" spans="1:9" x14ac:dyDescent="0.25">
      <c r="A8" s="3">
        <v>46083.378472222219</v>
      </c>
      <c r="B8" s="4" t="s">
        <v>123</v>
      </c>
      <c r="C8" s="4" t="s">
        <v>140</v>
      </c>
      <c r="D8" s="4" t="s">
        <v>106</v>
      </c>
      <c r="E8" s="8" t="s">
        <v>109</v>
      </c>
      <c r="F8" s="4" t="s">
        <v>93</v>
      </c>
    </row>
    <row r="9" spans="1:9" x14ac:dyDescent="0.25">
      <c r="A9" s="3">
        <v>46090.30972222222</v>
      </c>
      <c r="B9" s="4" t="s">
        <v>134</v>
      </c>
      <c r="C9" s="4" t="s">
        <v>129</v>
      </c>
      <c r="D9" s="4" t="s">
        <v>107</v>
      </c>
      <c r="E9" s="8" t="s">
        <v>109</v>
      </c>
      <c r="F9" s="4" t="s">
        <v>88</v>
      </c>
    </row>
    <row r="10" spans="1:9" x14ac:dyDescent="0.25">
      <c r="A10" s="3">
        <v>46092.338194444441</v>
      </c>
      <c r="B10" s="4" t="s">
        <v>123</v>
      </c>
      <c r="C10" s="4" t="s">
        <v>141</v>
      </c>
      <c r="D10" s="4" t="s">
        <v>105</v>
      </c>
      <c r="E10" s="8" t="s">
        <v>109</v>
      </c>
      <c r="F10" s="4" t="s">
        <v>95</v>
      </c>
    </row>
    <row r="11" spans="1:9" x14ac:dyDescent="0.25">
      <c r="A11" s="3">
        <v>46091.874305555553</v>
      </c>
      <c r="B11" s="4" t="s">
        <v>45</v>
      </c>
      <c r="C11" s="4" t="s">
        <v>142</v>
      </c>
      <c r="D11" s="4" t="s">
        <v>106</v>
      </c>
      <c r="E11" s="8" t="s">
        <v>109</v>
      </c>
      <c r="F11" s="4" t="s">
        <v>96</v>
      </c>
    </row>
    <row r="12" spans="1:9" x14ac:dyDescent="0.25">
      <c r="A12" s="3">
        <v>46091.90347222222</v>
      </c>
      <c r="B12" s="4" t="s">
        <v>177</v>
      </c>
      <c r="C12" s="4" t="s">
        <v>145</v>
      </c>
      <c r="D12" s="4" t="s">
        <v>106</v>
      </c>
      <c r="E12" s="8" t="s">
        <v>109</v>
      </c>
      <c r="F12" s="4" t="s">
        <v>98</v>
      </c>
    </row>
    <row r="13" spans="1:9" x14ac:dyDescent="0.25">
      <c r="A13" s="3">
        <v>46092.338194444441</v>
      </c>
      <c r="B13" s="8" t="s">
        <v>114</v>
      </c>
      <c r="C13" s="4" t="s">
        <v>153</v>
      </c>
      <c r="D13" s="4" t="s">
        <v>106</v>
      </c>
      <c r="E13" s="8" t="s">
        <v>109</v>
      </c>
      <c r="F13" s="4" t="s">
        <v>95</v>
      </c>
    </row>
    <row r="14" spans="1:9" x14ac:dyDescent="0.25">
      <c r="A14" s="3">
        <v>46095.093055555553</v>
      </c>
      <c r="B14" s="8" t="s">
        <v>114</v>
      </c>
      <c r="C14" s="4" t="s">
        <v>154</v>
      </c>
      <c r="D14" s="4" t="s">
        <v>106</v>
      </c>
      <c r="E14" s="4" t="s">
        <v>112</v>
      </c>
      <c r="F14" s="4" t="s">
        <v>99</v>
      </c>
    </row>
    <row r="15" spans="1:9" x14ac:dyDescent="0.25">
      <c r="A15" s="3">
        <v>46094.324999999997</v>
      </c>
      <c r="B15" s="8" t="s">
        <v>114</v>
      </c>
      <c r="C15" s="4" t="s">
        <v>156</v>
      </c>
      <c r="D15" s="4" t="s">
        <v>105</v>
      </c>
      <c r="E15" s="8" t="s">
        <v>109</v>
      </c>
      <c r="F15" s="4" t="s">
        <v>100</v>
      </c>
    </row>
    <row r="16" spans="1:9" x14ac:dyDescent="0.25">
      <c r="A16" s="3">
        <v>46099.201388888891</v>
      </c>
      <c r="B16" s="8" t="s">
        <v>115</v>
      </c>
      <c r="C16" s="4" t="s">
        <v>122</v>
      </c>
      <c r="D16" s="4" t="s">
        <v>106</v>
      </c>
      <c r="E16" s="8" t="s">
        <v>111</v>
      </c>
      <c r="F16" s="4" t="s">
        <v>101</v>
      </c>
      <c r="I16" s="5"/>
    </row>
    <row r="17" spans="1:9" x14ac:dyDescent="0.25">
      <c r="A17" s="3">
        <v>46099.633333333331</v>
      </c>
      <c r="B17" s="4" t="s">
        <v>108</v>
      </c>
      <c r="C17" s="9" t="s">
        <v>158</v>
      </c>
      <c r="D17" s="4" t="s">
        <v>106</v>
      </c>
      <c r="E17" s="8" t="s">
        <v>109</v>
      </c>
      <c r="F17" s="4" t="s">
        <v>103</v>
      </c>
      <c r="I17" s="5"/>
    </row>
    <row r="18" spans="1:9" x14ac:dyDescent="0.25">
      <c r="A18" s="3">
        <v>46100.15347222222</v>
      </c>
      <c r="B18" s="8" t="s">
        <v>115</v>
      </c>
      <c r="C18" s="4" t="s">
        <v>122</v>
      </c>
      <c r="D18" s="4" t="s">
        <v>106</v>
      </c>
      <c r="E18" s="4" t="s">
        <v>111</v>
      </c>
      <c r="F18" s="4" t="s">
        <v>104</v>
      </c>
      <c r="I18" s="5"/>
    </row>
    <row r="19" spans="1:9" x14ac:dyDescent="0.25">
      <c r="A19" s="3">
        <v>46101.470833333333</v>
      </c>
      <c r="B19" s="4" t="s">
        <v>108</v>
      </c>
      <c r="C19" s="4" t="s">
        <v>176</v>
      </c>
      <c r="D19" s="4" t="s">
        <v>106</v>
      </c>
      <c r="E19" s="8" t="s">
        <v>109</v>
      </c>
      <c r="F19" s="4" t="s">
        <v>171</v>
      </c>
    </row>
    <row r="20" spans="1:9" x14ac:dyDescent="0.25">
      <c r="A20" s="3">
        <v>46101.419444444444</v>
      </c>
      <c r="B20" s="4" t="s">
        <v>177</v>
      </c>
      <c r="C20" s="4" t="s">
        <v>149</v>
      </c>
      <c r="D20" s="4" t="s">
        <v>106</v>
      </c>
      <c r="E20" s="4" t="s">
        <v>112</v>
      </c>
      <c r="F20" s="4" t="s">
        <v>172</v>
      </c>
    </row>
    <row r="21" spans="1:9" x14ac:dyDescent="0.25">
      <c r="A21" s="3">
        <v>46101.106249999997</v>
      </c>
      <c r="B21" s="4" t="s">
        <v>94</v>
      </c>
      <c r="C21" s="4" t="s">
        <v>178</v>
      </c>
      <c r="D21" s="4" t="s">
        <v>105</v>
      </c>
      <c r="E21" s="4" t="s">
        <v>111</v>
      </c>
      <c r="F21" s="4" t="s">
        <v>173</v>
      </c>
    </row>
    <row r="22" spans="1:9" x14ac:dyDescent="0.25">
      <c r="A22" s="3">
        <v>46101.257638888892</v>
      </c>
      <c r="B22" s="4" t="s">
        <v>45</v>
      </c>
      <c r="C22" s="4" t="s">
        <v>179</v>
      </c>
      <c r="D22" s="4" t="s">
        <v>105</v>
      </c>
      <c r="E22" s="4" t="s">
        <v>112</v>
      </c>
      <c r="F22" s="4" t="s">
        <v>174</v>
      </c>
    </row>
    <row r="23" spans="1:9" x14ac:dyDescent="0.25">
      <c r="A23" s="3">
        <v>46101.306250000001</v>
      </c>
      <c r="B23" s="4" t="s">
        <v>108</v>
      </c>
      <c r="C23" s="4" t="s">
        <v>180</v>
      </c>
      <c r="D23" s="4" t="s">
        <v>106</v>
      </c>
      <c r="E23" s="8" t="s">
        <v>47</v>
      </c>
      <c r="F23" s="4" t="s">
        <v>175</v>
      </c>
    </row>
    <row r="24" spans="1:9" x14ac:dyDescent="0.25">
      <c r="A24" s="3">
        <v>46104.436805555553</v>
      </c>
      <c r="B24" s="4" t="s">
        <v>117</v>
      </c>
      <c r="C24" s="4" t="s">
        <v>159</v>
      </c>
      <c r="D24" s="4" t="s">
        <v>105</v>
      </c>
      <c r="E24" s="8" t="s">
        <v>109</v>
      </c>
      <c r="F24" s="4" t="s">
        <v>186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abSelected="1" workbookViewId="0">
      <selection activeCell="A11" sqref="A11"/>
    </sheetView>
  </sheetViews>
  <sheetFormatPr baseColWidth="10" defaultRowHeight="15" x14ac:dyDescent="0.25"/>
  <cols>
    <col min="1" max="1" width="3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 x14ac:dyDescent="0.25">
      <c r="A3" s="10" t="s">
        <v>181</v>
      </c>
      <c r="B3" t="s">
        <v>183</v>
      </c>
    </row>
    <row r="4" spans="1:2" x14ac:dyDescent="0.25">
      <c r="A4" s="11" t="s">
        <v>114</v>
      </c>
      <c r="B4" s="12">
        <v>14</v>
      </c>
    </row>
    <row r="5" spans="1:2" x14ac:dyDescent="0.25">
      <c r="A5" s="11" t="s">
        <v>45</v>
      </c>
      <c r="B5" s="12">
        <v>9</v>
      </c>
    </row>
    <row r="6" spans="1:2" x14ac:dyDescent="0.25">
      <c r="A6" s="11" t="s">
        <v>108</v>
      </c>
      <c r="B6" s="12">
        <v>9</v>
      </c>
    </row>
    <row r="7" spans="1:2" x14ac:dyDescent="0.25">
      <c r="A7" s="11" t="s">
        <v>94</v>
      </c>
      <c r="B7" s="12">
        <v>8</v>
      </c>
    </row>
    <row r="8" spans="1:2" x14ac:dyDescent="0.25">
      <c r="A8" s="11" t="s">
        <v>128</v>
      </c>
      <c r="B8" s="12">
        <v>5</v>
      </c>
    </row>
    <row r="9" spans="1:2" x14ac:dyDescent="0.25">
      <c r="A9" s="11" t="s">
        <v>121</v>
      </c>
      <c r="B9" s="12">
        <v>4</v>
      </c>
    </row>
    <row r="10" spans="1:2" x14ac:dyDescent="0.25">
      <c r="A10" s="11" t="s">
        <v>132</v>
      </c>
      <c r="B10" s="12">
        <v>4</v>
      </c>
    </row>
    <row r="11" spans="1:2" x14ac:dyDescent="0.25">
      <c r="A11" s="11" t="s">
        <v>123</v>
      </c>
      <c r="B11" s="12">
        <v>4</v>
      </c>
    </row>
    <row r="12" spans="1:2" x14ac:dyDescent="0.25">
      <c r="A12" s="11" t="s">
        <v>134</v>
      </c>
      <c r="B12" s="12">
        <v>3</v>
      </c>
    </row>
    <row r="13" spans="1:2" x14ac:dyDescent="0.25">
      <c r="A13" s="11" t="s">
        <v>117</v>
      </c>
      <c r="B13" s="12">
        <v>3</v>
      </c>
    </row>
    <row r="14" spans="1:2" x14ac:dyDescent="0.25">
      <c r="A14" s="11" t="s">
        <v>177</v>
      </c>
      <c r="B14" s="12">
        <v>2</v>
      </c>
    </row>
    <row r="15" spans="1:2" x14ac:dyDescent="0.25">
      <c r="A15" s="11" t="s">
        <v>182</v>
      </c>
      <c r="B15" s="12">
        <v>65</v>
      </c>
    </row>
    <row r="32" spans="1:2" x14ac:dyDescent="0.25">
      <c r="A32" s="10" t="s">
        <v>181</v>
      </c>
      <c r="B32" t="s">
        <v>183</v>
      </c>
    </row>
    <row r="33" spans="1:2" x14ac:dyDescent="0.25">
      <c r="A33" s="11" t="s">
        <v>106</v>
      </c>
      <c r="B33" s="12">
        <v>39</v>
      </c>
    </row>
    <row r="34" spans="1:2" x14ac:dyDescent="0.25">
      <c r="A34" s="11" t="s">
        <v>105</v>
      </c>
      <c r="B34" s="12">
        <v>20</v>
      </c>
    </row>
    <row r="35" spans="1:2" x14ac:dyDescent="0.25">
      <c r="A35" s="11" t="s">
        <v>107</v>
      </c>
      <c r="B35" s="12">
        <v>6</v>
      </c>
    </row>
    <row r="36" spans="1:2" x14ac:dyDescent="0.25">
      <c r="A36" s="11" t="s">
        <v>182</v>
      </c>
      <c r="B36" s="12">
        <v>65</v>
      </c>
    </row>
    <row r="41" spans="1:2" x14ac:dyDescent="0.25">
      <c r="A41" s="10" t="s">
        <v>181</v>
      </c>
      <c r="B41" t="s">
        <v>183</v>
      </c>
    </row>
    <row r="42" spans="1:2" x14ac:dyDescent="0.25">
      <c r="A42" s="11" t="s">
        <v>109</v>
      </c>
      <c r="B42" s="12">
        <v>28</v>
      </c>
    </row>
    <row r="43" spans="1:2" x14ac:dyDescent="0.25">
      <c r="A43" s="11" t="s">
        <v>111</v>
      </c>
      <c r="B43" s="12">
        <v>16</v>
      </c>
    </row>
    <row r="44" spans="1:2" x14ac:dyDescent="0.25">
      <c r="A44" s="11" t="s">
        <v>47</v>
      </c>
      <c r="B44" s="12">
        <v>12</v>
      </c>
    </row>
    <row r="45" spans="1:2" x14ac:dyDescent="0.25">
      <c r="A45" s="11" t="s">
        <v>112</v>
      </c>
      <c r="B45" s="12">
        <v>6</v>
      </c>
    </row>
    <row r="46" spans="1:2" x14ac:dyDescent="0.25">
      <c r="A46" s="11" t="s">
        <v>120</v>
      </c>
      <c r="B46" s="12">
        <v>2</v>
      </c>
    </row>
    <row r="47" spans="1:2" x14ac:dyDescent="0.25">
      <c r="A47" s="11" t="s">
        <v>118</v>
      </c>
      <c r="B47" s="12">
        <v>1</v>
      </c>
    </row>
    <row r="48" spans="1:2" x14ac:dyDescent="0.25">
      <c r="A48" s="11" t="s">
        <v>182</v>
      </c>
      <c r="B48" s="12">
        <v>65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66"/>
  <sheetViews>
    <sheetView workbookViewId="0">
      <selection activeCell="D69" sqref="D69"/>
    </sheetView>
  </sheetViews>
  <sheetFormatPr baseColWidth="10" defaultRowHeight="15" x14ac:dyDescent="0.2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 x14ac:dyDescent="0.25">
      <c r="A1" s="2" t="s">
        <v>1</v>
      </c>
      <c r="B1" s="2" t="s">
        <v>184</v>
      </c>
      <c r="C1" s="2" t="s">
        <v>185</v>
      </c>
      <c r="D1" s="2" t="s">
        <v>2</v>
      </c>
      <c r="E1" s="2" t="s">
        <v>3</v>
      </c>
      <c r="F1" s="2" t="s">
        <v>102</v>
      </c>
      <c r="G1" s="2" t="s">
        <v>43</v>
      </c>
      <c r="H1" s="2" t="s">
        <v>44</v>
      </c>
    </row>
    <row r="2" spans="1:8" x14ac:dyDescent="0.25">
      <c r="A2" s="3">
        <v>46027.490277777775</v>
      </c>
      <c r="B2" s="4">
        <f>YEAR(A2)</f>
        <v>2026</v>
      </c>
      <c r="C2" s="4">
        <f>MONTH(A2)</f>
        <v>1</v>
      </c>
      <c r="D2" s="4" t="s">
        <v>45</v>
      </c>
      <c r="E2" s="4" t="s">
        <v>46</v>
      </c>
      <c r="F2" s="4" t="s">
        <v>106</v>
      </c>
      <c r="G2" s="4" t="s">
        <v>47</v>
      </c>
      <c r="H2" s="4" t="s">
        <v>48</v>
      </c>
    </row>
    <row r="3" spans="1:8" x14ac:dyDescent="0.2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94</v>
      </c>
      <c r="E3" s="4" t="s">
        <v>97</v>
      </c>
      <c r="F3" s="4" t="s">
        <v>105</v>
      </c>
      <c r="G3" s="4" t="s">
        <v>111</v>
      </c>
      <c r="H3" s="4" t="s">
        <v>49</v>
      </c>
    </row>
    <row r="4" spans="1:8" x14ac:dyDescent="0.25">
      <c r="A4" s="3">
        <v>46033.217361111114</v>
      </c>
      <c r="B4" s="4">
        <f t="shared" si="0"/>
        <v>2026</v>
      </c>
      <c r="C4" s="4">
        <f t="shared" si="1"/>
        <v>1</v>
      </c>
      <c r="D4" s="4" t="s">
        <v>108</v>
      </c>
      <c r="E4" s="4" t="s">
        <v>110</v>
      </c>
      <c r="F4" s="4" t="s">
        <v>106</v>
      </c>
      <c r="G4" s="4" t="s">
        <v>47</v>
      </c>
      <c r="H4" s="4" t="s">
        <v>50</v>
      </c>
    </row>
    <row r="5" spans="1:8" x14ac:dyDescent="0.25">
      <c r="A5" s="3">
        <v>46033.434027777781</v>
      </c>
      <c r="B5" s="4">
        <f t="shared" si="0"/>
        <v>2026</v>
      </c>
      <c r="C5" s="4">
        <f t="shared" si="1"/>
        <v>1</v>
      </c>
      <c r="D5" s="4" t="s">
        <v>94</v>
      </c>
      <c r="E5" s="4" t="s">
        <v>113</v>
      </c>
      <c r="F5" s="4" t="s">
        <v>105</v>
      </c>
      <c r="G5" s="4" t="s">
        <v>111</v>
      </c>
      <c r="H5" s="4" t="s">
        <v>51</v>
      </c>
    </row>
    <row r="6" spans="1:8" x14ac:dyDescent="0.25">
      <c r="A6" s="3">
        <v>46034.30972222222</v>
      </c>
      <c r="B6" s="4">
        <f t="shared" si="0"/>
        <v>2026</v>
      </c>
      <c r="C6" s="4">
        <f t="shared" si="1"/>
        <v>1</v>
      </c>
      <c r="D6" s="4" t="s">
        <v>114</v>
      </c>
      <c r="E6" s="4" t="s">
        <v>127</v>
      </c>
      <c r="F6" s="4" t="s">
        <v>107</v>
      </c>
      <c r="G6" s="4" t="s">
        <v>109</v>
      </c>
      <c r="H6" s="4" t="s">
        <v>52</v>
      </c>
    </row>
    <row r="7" spans="1:8" x14ac:dyDescent="0.25">
      <c r="A7" s="3">
        <v>46034.37777777778</v>
      </c>
      <c r="B7" s="4">
        <f t="shared" si="0"/>
        <v>2026</v>
      </c>
      <c r="C7" s="4">
        <f t="shared" si="1"/>
        <v>1</v>
      </c>
      <c r="D7" s="4" t="s">
        <v>117</v>
      </c>
      <c r="E7" s="4" t="s">
        <v>116</v>
      </c>
      <c r="F7" s="4" t="s">
        <v>106</v>
      </c>
      <c r="G7" s="4" t="s">
        <v>118</v>
      </c>
      <c r="H7" s="4" t="s">
        <v>53</v>
      </c>
    </row>
    <row r="8" spans="1:8" x14ac:dyDescent="0.2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45</v>
      </c>
      <c r="E8" s="4" t="s">
        <v>119</v>
      </c>
      <c r="F8" s="4" t="s">
        <v>105</v>
      </c>
      <c r="G8" s="4" t="s">
        <v>109</v>
      </c>
      <c r="H8" s="4" t="s">
        <v>54</v>
      </c>
    </row>
    <row r="9" spans="1:8" x14ac:dyDescent="0.25">
      <c r="A9" s="3">
        <v>46037.292361111111</v>
      </c>
      <c r="B9" s="4">
        <f t="shared" si="0"/>
        <v>2026</v>
      </c>
      <c r="C9" s="4">
        <f t="shared" si="1"/>
        <v>1</v>
      </c>
      <c r="D9" s="4" t="s">
        <v>121</v>
      </c>
      <c r="E9" s="4" t="s">
        <v>126</v>
      </c>
      <c r="F9" s="4" t="s">
        <v>105</v>
      </c>
      <c r="G9" s="4" t="s">
        <v>120</v>
      </c>
      <c r="H9" s="4" t="s">
        <v>55</v>
      </c>
    </row>
    <row r="10" spans="1:8" x14ac:dyDescent="0.2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45</v>
      </c>
      <c r="E10" s="4" t="s">
        <v>125</v>
      </c>
      <c r="F10" s="4" t="s">
        <v>106</v>
      </c>
      <c r="G10" s="4" t="s">
        <v>111</v>
      </c>
      <c r="H10" s="4" t="s">
        <v>56</v>
      </c>
    </row>
    <row r="11" spans="1:8" x14ac:dyDescent="0.2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128</v>
      </c>
      <c r="E11" s="4" t="s">
        <v>124</v>
      </c>
      <c r="F11" s="4" t="s">
        <v>106</v>
      </c>
      <c r="G11" s="4" t="s">
        <v>112</v>
      </c>
      <c r="H11" s="4" t="s">
        <v>57</v>
      </c>
    </row>
    <row r="12" spans="1:8" x14ac:dyDescent="0.2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121</v>
      </c>
      <c r="E12" s="4" t="s">
        <v>131</v>
      </c>
      <c r="F12" s="4" t="s">
        <v>105</v>
      </c>
      <c r="G12" s="4" t="s">
        <v>109</v>
      </c>
      <c r="H12" s="4" t="s">
        <v>58</v>
      </c>
    </row>
    <row r="13" spans="1:8" x14ac:dyDescent="0.2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132</v>
      </c>
      <c r="E13" s="4" t="s">
        <v>133</v>
      </c>
      <c r="F13" s="4" t="s">
        <v>105</v>
      </c>
      <c r="G13" s="4" t="s">
        <v>47</v>
      </c>
      <c r="H13" s="4" t="s">
        <v>59</v>
      </c>
    </row>
    <row r="14" spans="1:8" x14ac:dyDescent="0.2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121</v>
      </c>
      <c r="E14" s="4" t="s">
        <v>136</v>
      </c>
      <c r="F14" s="4" t="s">
        <v>106</v>
      </c>
      <c r="G14" s="4" t="s">
        <v>47</v>
      </c>
      <c r="H14" s="4" t="s">
        <v>60</v>
      </c>
    </row>
    <row r="15" spans="1:8" x14ac:dyDescent="0.2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114</v>
      </c>
      <c r="E15" s="4" t="s">
        <v>137</v>
      </c>
      <c r="F15" s="4" t="s">
        <v>106</v>
      </c>
      <c r="G15" s="4" t="s">
        <v>47</v>
      </c>
      <c r="H15" s="4" t="s">
        <v>61</v>
      </c>
    </row>
    <row r="16" spans="1:8" x14ac:dyDescent="0.2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94</v>
      </c>
      <c r="E16" s="4" t="s">
        <v>138</v>
      </c>
      <c r="F16" s="4" t="s">
        <v>106</v>
      </c>
      <c r="G16" s="4" t="s">
        <v>109</v>
      </c>
      <c r="H16" s="4" t="s">
        <v>62</v>
      </c>
    </row>
    <row r="17" spans="1:8" x14ac:dyDescent="0.2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45</v>
      </c>
      <c r="E17" s="4" t="s">
        <v>139</v>
      </c>
      <c r="F17" s="4" t="s">
        <v>106</v>
      </c>
      <c r="G17" s="4" t="s">
        <v>120</v>
      </c>
      <c r="H17" s="4" t="s">
        <v>63</v>
      </c>
    </row>
    <row r="18" spans="1:8" x14ac:dyDescent="0.2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114</v>
      </c>
      <c r="E18" s="4" t="s">
        <v>136</v>
      </c>
      <c r="F18" s="4" t="s">
        <v>106</v>
      </c>
      <c r="G18" s="4" t="s">
        <v>109</v>
      </c>
      <c r="H18" s="4" t="s">
        <v>64</v>
      </c>
    </row>
    <row r="19" spans="1:8" x14ac:dyDescent="0.25">
      <c r="A19" s="3">
        <v>46048.55</v>
      </c>
      <c r="B19" s="4">
        <f t="shared" si="0"/>
        <v>2026</v>
      </c>
      <c r="C19" s="4">
        <f t="shared" si="1"/>
        <v>1</v>
      </c>
      <c r="D19" s="4" t="s">
        <v>108</v>
      </c>
      <c r="E19" s="4" t="s">
        <v>147</v>
      </c>
      <c r="F19" s="4" t="s">
        <v>105</v>
      </c>
      <c r="G19" s="4" t="s">
        <v>109</v>
      </c>
      <c r="H19" s="4" t="s">
        <v>65</v>
      </c>
    </row>
    <row r="20" spans="1:8" x14ac:dyDescent="0.2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132</v>
      </c>
      <c r="E20" s="4" t="s">
        <v>143</v>
      </c>
      <c r="F20" s="4" t="s">
        <v>105</v>
      </c>
      <c r="G20" s="4" t="s">
        <v>111</v>
      </c>
      <c r="H20" s="4" t="s">
        <v>66</v>
      </c>
    </row>
    <row r="21" spans="1:8" x14ac:dyDescent="0.2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128</v>
      </c>
      <c r="E21" s="4" t="s">
        <v>144</v>
      </c>
      <c r="F21" s="4" t="s">
        <v>107</v>
      </c>
      <c r="G21" s="4" t="s">
        <v>111</v>
      </c>
      <c r="H21" s="4" t="s">
        <v>67</v>
      </c>
    </row>
    <row r="22" spans="1:8" x14ac:dyDescent="0.25">
      <c r="A22" s="3">
        <v>46052.0625</v>
      </c>
      <c r="B22" s="4">
        <f t="shared" si="0"/>
        <v>2026</v>
      </c>
      <c r="C22" s="4">
        <f t="shared" si="1"/>
        <v>1</v>
      </c>
      <c r="D22" s="4" t="s">
        <v>128</v>
      </c>
      <c r="E22" s="4" t="s">
        <v>146</v>
      </c>
      <c r="F22" s="4" t="s">
        <v>106</v>
      </c>
      <c r="G22" s="4" t="s">
        <v>109</v>
      </c>
      <c r="H22" s="4" t="s">
        <v>68</v>
      </c>
    </row>
    <row r="23" spans="1:8" x14ac:dyDescent="0.2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128</v>
      </c>
      <c r="E23" s="4" t="s">
        <v>148</v>
      </c>
      <c r="F23" s="4" t="s">
        <v>107</v>
      </c>
      <c r="G23" s="4" t="s">
        <v>111</v>
      </c>
      <c r="H23" s="4" t="s">
        <v>69</v>
      </c>
    </row>
    <row r="24" spans="1:8" x14ac:dyDescent="0.2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128</v>
      </c>
      <c r="E24" s="4" t="s">
        <v>149</v>
      </c>
      <c r="F24" s="4" t="s">
        <v>106</v>
      </c>
      <c r="G24" s="4" t="s">
        <v>109</v>
      </c>
      <c r="H24" s="4" t="s">
        <v>70</v>
      </c>
    </row>
    <row r="25" spans="1:8" x14ac:dyDescent="0.2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45</v>
      </c>
      <c r="E25" s="4" t="s">
        <v>150</v>
      </c>
      <c r="F25" s="4" t="s">
        <v>106</v>
      </c>
      <c r="G25" s="4" t="s">
        <v>109</v>
      </c>
      <c r="H25" s="4" t="s">
        <v>68</v>
      </c>
    </row>
    <row r="26" spans="1:8" x14ac:dyDescent="0.2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121</v>
      </c>
      <c r="E26" s="4" t="s">
        <v>151</v>
      </c>
      <c r="F26" s="4" t="s">
        <v>106</v>
      </c>
      <c r="G26" s="4" t="s">
        <v>112</v>
      </c>
      <c r="H26" s="4" t="s">
        <v>71</v>
      </c>
    </row>
    <row r="27" spans="1:8" x14ac:dyDescent="0.25">
      <c r="A27" s="3">
        <v>46053.1875</v>
      </c>
      <c r="B27" s="4">
        <f t="shared" si="0"/>
        <v>2026</v>
      </c>
      <c r="C27" s="4">
        <f t="shared" si="1"/>
        <v>1</v>
      </c>
      <c r="D27" s="4" t="s">
        <v>94</v>
      </c>
      <c r="E27" s="4" t="s">
        <v>152</v>
      </c>
      <c r="F27" s="4" t="s">
        <v>106</v>
      </c>
      <c r="G27" s="4" t="s">
        <v>111</v>
      </c>
      <c r="H27" s="4" t="s">
        <v>72</v>
      </c>
    </row>
    <row r="28" spans="1:8" x14ac:dyDescent="0.2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114</v>
      </c>
      <c r="E28" s="4" t="s">
        <v>155</v>
      </c>
      <c r="F28" s="4" t="s">
        <v>106</v>
      </c>
      <c r="G28" s="4" t="s">
        <v>47</v>
      </c>
      <c r="H28" s="4" t="s">
        <v>73</v>
      </c>
    </row>
    <row r="29" spans="1:8" x14ac:dyDescent="0.2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114</v>
      </c>
      <c r="E29" s="4" t="s">
        <v>157</v>
      </c>
      <c r="F29" s="4" t="s">
        <v>105</v>
      </c>
      <c r="G29" s="4" t="s">
        <v>109</v>
      </c>
      <c r="H29" s="4" t="s">
        <v>74</v>
      </c>
    </row>
    <row r="30" spans="1:8" x14ac:dyDescent="0.2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132</v>
      </c>
      <c r="E30" s="4" t="s">
        <v>159</v>
      </c>
      <c r="F30" s="4" t="s">
        <v>105</v>
      </c>
      <c r="G30" s="4" t="s">
        <v>112</v>
      </c>
      <c r="H30" s="4" t="s">
        <v>75</v>
      </c>
    </row>
    <row r="31" spans="1:8" x14ac:dyDescent="0.2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114</v>
      </c>
      <c r="E31" s="4" t="s">
        <v>157</v>
      </c>
      <c r="F31" s="4" t="s">
        <v>105</v>
      </c>
      <c r="G31" s="4" t="s">
        <v>109</v>
      </c>
      <c r="H31" s="4" t="s">
        <v>74</v>
      </c>
    </row>
    <row r="32" spans="1:8" x14ac:dyDescent="0.2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132</v>
      </c>
      <c r="E32" s="4" t="s">
        <v>160</v>
      </c>
      <c r="F32" s="4" t="s">
        <v>106</v>
      </c>
      <c r="G32" s="4" t="s">
        <v>111</v>
      </c>
      <c r="H32" s="4" t="s">
        <v>76</v>
      </c>
    </row>
    <row r="33" spans="1:8" x14ac:dyDescent="0.2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114</v>
      </c>
      <c r="E33" s="4" t="s">
        <v>161</v>
      </c>
      <c r="F33" s="4" t="s">
        <v>106</v>
      </c>
      <c r="G33" s="4" t="s">
        <v>111</v>
      </c>
      <c r="H33" s="4" t="s">
        <v>77</v>
      </c>
    </row>
    <row r="34" spans="1:8" x14ac:dyDescent="0.2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114</v>
      </c>
      <c r="E34" s="4" t="s">
        <v>155</v>
      </c>
      <c r="F34" s="4" t="s">
        <v>106</v>
      </c>
      <c r="G34" s="4" t="s">
        <v>47</v>
      </c>
      <c r="H34" s="4" t="s">
        <v>73</v>
      </c>
    </row>
    <row r="35" spans="1:8" x14ac:dyDescent="0.2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45</v>
      </c>
      <c r="E35" s="4" t="s">
        <v>163</v>
      </c>
      <c r="F35" s="4" t="s">
        <v>106</v>
      </c>
      <c r="G35" s="4" t="s">
        <v>109</v>
      </c>
      <c r="H35" s="4" t="s">
        <v>78</v>
      </c>
    </row>
    <row r="36" spans="1:8" x14ac:dyDescent="0.2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117</v>
      </c>
      <c r="E36" s="4" t="s">
        <v>164</v>
      </c>
      <c r="F36" s="4" t="s">
        <v>106</v>
      </c>
      <c r="G36" s="4" t="s">
        <v>111</v>
      </c>
      <c r="H36" s="4" t="s">
        <v>79</v>
      </c>
    </row>
    <row r="37" spans="1:8" x14ac:dyDescent="0.2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114</v>
      </c>
      <c r="E37" s="4" t="s">
        <v>159</v>
      </c>
      <c r="F37" s="4" t="s">
        <v>105</v>
      </c>
      <c r="G37" s="4" t="s">
        <v>47</v>
      </c>
      <c r="H37" s="4" t="s">
        <v>80</v>
      </c>
    </row>
    <row r="38" spans="1:8" x14ac:dyDescent="0.2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114</v>
      </c>
      <c r="E38" s="4" t="s">
        <v>166</v>
      </c>
      <c r="F38" s="4" t="s">
        <v>107</v>
      </c>
      <c r="G38" s="4" t="s">
        <v>109</v>
      </c>
      <c r="H38" s="4" t="s">
        <v>81</v>
      </c>
    </row>
    <row r="39" spans="1:8" x14ac:dyDescent="0.2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114</v>
      </c>
      <c r="E39" s="4" t="s">
        <v>168</v>
      </c>
      <c r="F39" s="4" t="s">
        <v>106</v>
      </c>
      <c r="G39" s="4" t="s">
        <v>47</v>
      </c>
      <c r="H39" s="4" t="s">
        <v>82</v>
      </c>
    </row>
    <row r="40" spans="1:8" x14ac:dyDescent="0.2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108</v>
      </c>
      <c r="E40" s="4" t="s">
        <v>167</v>
      </c>
      <c r="F40" s="4" t="s">
        <v>106</v>
      </c>
      <c r="G40" s="4" t="s">
        <v>109</v>
      </c>
      <c r="H40" s="4" t="s">
        <v>83</v>
      </c>
    </row>
    <row r="41" spans="1:8" x14ac:dyDescent="0.2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94</v>
      </c>
      <c r="E41" s="4" t="s">
        <v>165</v>
      </c>
      <c r="F41" s="4" t="s">
        <v>106</v>
      </c>
      <c r="G41" s="4" t="s">
        <v>111</v>
      </c>
      <c r="H41" s="4" t="s">
        <v>84</v>
      </c>
    </row>
    <row r="42" spans="1:8" x14ac:dyDescent="0.2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45</v>
      </c>
      <c r="E42" s="6" t="s">
        <v>122</v>
      </c>
      <c r="F42" s="4" t="s">
        <v>106</v>
      </c>
      <c r="G42" s="4" t="s">
        <v>109</v>
      </c>
      <c r="H42" s="4" t="s">
        <v>85</v>
      </c>
    </row>
    <row r="43" spans="1:8" x14ac:dyDescent="0.2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108</v>
      </c>
      <c r="E43" s="6" t="s">
        <v>122</v>
      </c>
      <c r="F43" s="4" t="s">
        <v>106</v>
      </c>
      <c r="G43" s="4" t="s">
        <v>111</v>
      </c>
      <c r="H43" s="4" t="s">
        <v>86</v>
      </c>
    </row>
    <row r="44" spans="1:8" x14ac:dyDescent="0.2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108</v>
      </c>
      <c r="E44" s="4" t="s">
        <v>122</v>
      </c>
      <c r="F44" s="4" t="s">
        <v>106</v>
      </c>
      <c r="G44" s="4" t="s">
        <v>109</v>
      </c>
      <c r="H44" s="4" t="s">
        <v>87</v>
      </c>
    </row>
    <row r="45" spans="1:8" x14ac:dyDescent="0.2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123</v>
      </c>
      <c r="E45" s="4" t="s">
        <v>129</v>
      </c>
      <c r="F45" s="4" t="s">
        <v>106</v>
      </c>
      <c r="G45" s="8" t="s">
        <v>109</v>
      </c>
      <c r="H45" s="4" t="s">
        <v>88</v>
      </c>
    </row>
    <row r="46" spans="1:8" x14ac:dyDescent="0.2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123</v>
      </c>
      <c r="E46" s="4" t="s">
        <v>130</v>
      </c>
      <c r="F46" s="4" t="s">
        <v>105</v>
      </c>
      <c r="G46" s="8" t="s">
        <v>47</v>
      </c>
      <c r="H46" s="4" t="s">
        <v>89</v>
      </c>
    </row>
    <row r="47" spans="1:8" x14ac:dyDescent="0.2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134</v>
      </c>
      <c r="E47" s="4" t="s">
        <v>135</v>
      </c>
      <c r="F47" s="4" t="s">
        <v>105</v>
      </c>
      <c r="G47" s="8" t="s">
        <v>109</v>
      </c>
      <c r="H47" s="4" t="s">
        <v>90</v>
      </c>
    </row>
    <row r="48" spans="1:8" x14ac:dyDescent="0.25">
      <c r="A48" s="3">
        <v>46084.34375</v>
      </c>
      <c r="B48" s="4">
        <f t="shared" si="0"/>
        <v>2026</v>
      </c>
      <c r="C48" s="4">
        <f t="shared" si="1"/>
        <v>3</v>
      </c>
      <c r="D48" s="4" t="s">
        <v>134</v>
      </c>
      <c r="E48" s="4" t="s">
        <v>169</v>
      </c>
      <c r="F48" s="4" t="s">
        <v>107</v>
      </c>
      <c r="G48" s="8" t="s">
        <v>47</v>
      </c>
      <c r="H48" s="4" t="s">
        <v>91</v>
      </c>
    </row>
    <row r="49" spans="1:8" x14ac:dyDescent="0.2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108</v>
      </c>
      <c r="E49" s="4" t="s">
        <v>170</v>
      </c>
      <c r="F49" s="4" t="s">
        <v>105</v>
      </c>
      <c r="G49" s="8" t="s">
        <v>111</v>
      </c>
      <c r="H49" s="4" t="s">
        <v>92</v>
      </c>
    </row>
    <row r="50" spans="1:8" x14ac:dyDescent="0.2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123</v>
      </c>
      <c r="E50" s="4" t="s">
        <v>140</v>
      </c>
      <c r="F50" s="4" t="s">
        <v>106</v>
      </c>
      <c r="G50" s="8" t="s">
        <v>109</v>
      </c>
      <c r="H50" s="4" t="s">
        <v>93</v>
      </c>
    </row>
    <row r="51" spans="1:8" x14ac:dyDescent="0.2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134</v>
      </c>
      <c r="E51" s="4" t="s">
        <v>129</v>
      </c>
      <c r="F51" s="4" t="s">
        <v>107</v>
      </c>
      <c r="G51" s="8" t="s">
        <v>109</v>
      </c>
      <c r="H51" s="4" t="s">
        <v>88</v>
      </c>
    </row>
    <row r="52" spans="1:8" x14ac:dyDescent="0.2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123</v>
      </c>
      <c r="E52" s="4" t="s">
        <v>141</v>
      </c>
      <c r="F52" s="4" t="s">
        <v>105</v>
      </c>
      <c r="G52" s="8" t="s">
        <v>109</v>
      </c>
      <c r="H52" s="4" t="s">
        <v>95</v>
      </c>
    </row>
    <row r="53" spans="1:8" x14ac:dyDescent="0.2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45</v>
      </c>
      <c r="E53" s="4" t="s">
        <v>142</v>
      </c>
      <c r="F53" s="4" t="s">
        <v>106</v>
      </c>
      <c r="G53" s="8" t="s">
        <v>109</v>
      </c>
      <c r="H53" s="4" t="s">
        <v>96</v>
      </c>
    </row>
    <row r="54" spans="1:8" x14ac:dyDescent="0.2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177</v>
      </c>
      <c r="E54" s="4" t="s">
        <v>145</v>
      </c>
      <c r="F54" s="4" t="s">
        <v>106</v>
      </c>
      <c r="G54" s="8" t="s">
        <v>109</v>
      </c>
      <c r="H54" s="4" t="s">
        <v>98</v>
      </c>
    </row>
    <row r="55" spans="1:8" x14ac:dyDescent="0.2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114</v>
      </c>
      <c r="E55" s="4" t="s">
        <v>153</v>
      </c>
      <c r="F55" s="4" t="s">
        <v>106</v>
      </c>
      <c r="G55" s="8" t="s">
        <v>109</v>
      </c>
      <c r="H55" s="4" t="s">
        <v>95</v>
      </c>
    </row>
    <row r="56" spans="1:8" x14ac:dyDescent="0.2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114</v>
      </c>
      <c r="E56" s="4" t="s">
        <v>154</v>
      </c>
      <c r="F56" s="4" t="s">
        <v>106</v>
      </c>
      <c r="G56" s="4" t="s">
        <v>112</v>
      </c>
      <c r="H56" s="4" t="s">
        <v>99</v>
      </c>
    </row>
    <row r="57" spans="1:8" x14ac:dyDescent="0.2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114</v>
      </c>
      <c r="E57" s="4" t="s">
        <v>156</v>
      </c>
      <c r="F57" s="4" t="s">
        <v>105</v>
      </c>
      <c r="G57" s="8" t="s">
        <v>109</v>
      </c>
      <c r="H57" s="4" t="s">
        <v>100</v>
      </c>
    </row>
    <row r="58" spans="1:8" x14ac:dyDescent="0.2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94</v>
      </c>
      <c r="E58" s="4" t="s">
        <v>122</v>
      </c>
      <c r="F58" s="4" t="s">
        <v>106</v>
      </c>
      <c r="G58" s="8" t="s">
        <v>111</v>
      </c>
      <c r="H58" s="4" t="s">
        <v>101</v>
      </c>
    </row>
    <row r="59" spans="1:8" x14ac:dyDescent="0.2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108</v>
      </c>
      <c r="E59" s="9" t="s">
        <v>158</v>
      </c>
      <c r="F59" s="4" t="s">
        <v>106</v>
      </c>
      <c r="G59" s="8" t="s">
        <v>109</v>
      </c>
      <c r="H59" s="4" t="s">
        <v>103</v>
      </c>
    </row>
    <row r="60" spans="1:8" x14ac:dyDescent="0.2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94</v>
      </c>
      <c r="E60" s="4" t="s">
        <v>122</v>
      </c>
      <c r="F60" s="4" t="s">
        <v>106</v>
      </c>
      <c r="G60" s="4" t="s">
        <v>111</v>
      </c>
      <c r="H60" s="4" t="s">
        <v>104</v>
      </c>
    </row>
    <row r="61" spans="1:8" x14ac:dyDescent="0.2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108</v>
      </c>
      <c r="E61" s="4" t="s">
        <v>176</v>
      </c>
      <c r="F61" s="4" t="s">
        <v>106</v>
      </c>
      <c r="G61" s="8" t="s">
        <v>109</v>
      </c>
      <c r="H61" s="4" t="s">
        <v>171</v>
      </c>
    </row>
    <row r="62" spans="1:8" x14ac:dyDescent="0.2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177</v>
      </c>
      <c r="E62" s="4" t="s">
        <v>149</v>
      </c>
      <c r="F62" s="4" t="s">
        <v>106</v>
      </c>
      <c r="G62" s="4" t="s">
        <v>112</v>
      </c>
      <c r="H62" s="4" t="s">
        <v>172</v>
      </c>
    </row>
    <row r="63" spans="1:8" x14ac:dyDescent="0.2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94</v>
      </c>
      <c r="E63" s="4" t="s">
        <v>178</v>
      </c>
      <c r="F63" s="4" t="s">
        <v>105</v>
      </c>
      <c r="G63" s="4" t="s">
        <v>111</v>
      </c>
      <c r="H63" s="4" t="s">
        <v>173</v>
      </c>
    </row>
    <row r="64" spans="1:8" x14ac:dyDescent="0.2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45</v>
      </c>
      <c r="E64" s="4" t="s">
        <v>179</v>
      </c>
      <c r="F64" s="4" t="s">
        <v>105</v>
      </c>
      <c r="G64" s="4" t="s">
        <v>112</v>
      </c>
      <c r="H64" s="4" t="s">
        <v>174</v>
      </c>
    </row>
    <row r="65" spans="1:8" x14ac:dyDescent="0.2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108</v>
      </c>
      <c r="E65" s="4" t="s">
        <v>180</v>
      </c>
      <c r="F65" s="4" t="s">
        <v>106</v>
      </c>
      <c r="G65" s="8" t="s">
        <v>47</v>
      </c>
      <c r="H65" s="4" t="s">
        <v>175</v>
      </c>
    </row>
    <row r="66" spans="1:8" x14ac:dyDescent="0.2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117</v>
      </c>
      <c r="E66" s="4" t="s">
        <v>159</v>
      </c>
      <c r="F66" s="4" t="s">
        <v>105</v>
      </c>
      <c r="G66" s="8" t="s">
        <v>109</v>
      </c>
      <c r="H66" s="4" t="s">
        <v>186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Diciembre 2025</vt:lpstr>
      <vt:lpstr>Enero 2026</vt:lpstr>
      <vt:lpstr>Febrero 2026</vt:lpstr>
      <vt:lpstr>Marzo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2026-03-24T11:49:44Z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