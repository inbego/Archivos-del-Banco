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383" documentId="120_S{52A51CD7-DAF4-51AA-A050-913CA746B7D8}" xr6:coauthVersionLast="47" xr6:coauthVersionMax="47" xr10:uidLastSave="{14920CF2-5644-4865-A982-043CAF74428F}"/>
  <bookViews>
    <workbookView xWindow="38280" yWindow="-120" windowWidth="38640" windowHeight="21120" firstSheet="5" activeTab="5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Mayo 2026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126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3" i="8" l="1"/>
  <c r="C93" i="8"/>
  <c r="B94" i="8"/>
  <c r="C94" i="8"/>
  <c r="B74" i="8"/>
  <c r="C74" i="8"/>
  <c r="B75" i="8"/>
  <c r="C75" i="8"/>
  <c r="B76" i="8"/>
  <c r="C76" i="8"/>
  <c r="B77" i="8"/>
  <c r="C77" i="8"/>
  <c r="B78" i="8"/>
  <c r="C78" i="8"/>
  <c r="B79" i="8"/>
  <c r="C79" i="8"/>
  <c r="B80" i="8"/>
  <c r="C80" i="8"/>
  <c r="B81" i="8"/>
  <c r="C81" i="8"/>
  <c r="B82" i="8"/>
  <c r="C82" i="8"/>
  <c r="B83" i="8"/>
  <c r="C83" i="8"/>
  <c r="B84" i="8"/>
  <c r="C84" i="8"/>
  <c r="B85" i="8"/>
  <c r="C85" i="8"/>
  <c r="B86" i="8"/>
  <c r="C86" i="8"/>
  <c r="B87" i="8"/>
  <c r="C87" i="8"/>
  <c r="B88" i="8"/>
  <c r="C88" i="8"/>
  <c r="B89" i="8"/>
  <c r="C89" i="8"/>
  <c r="B90" i="8"/>
  <c r="C90" i="8"/>
  <c r="B91" i="8"/>
  <c r="C91" i="8"/>
  <c r="B92" i="8"/>
  <c r="C92" i="8"/>
  <c r="B72" i="8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tc={0F41AF2C-3926-4FE9-ACE0-934D9AE84481}</author>
  </authors>
  <commentList>
    <comment ref="F8" authorId="0" shapeId="0" xr:uid="{0F41AF2C-3926-4FE9-ACE0-934D9AE84481}">
      <text>
        <t>[Threaded comment]
Your version of Excel allows you to read this threaded comment; however, any edits to it will get removed if the file is opened in a newer version of Excel. Learn more: https://go.microsoft.com/fwlink/?linkid=870924
Comment:
    Aqui hay algo que falla, Erick a las 6:43 no esta en turno, por los correos se ve que el manda el update y el revised fuera de si horario.
O se ha conectado antes de tiempo o  se ha reusado un correo y no han quitado su firma</t>
      </text>
    </comment>
  </commentList>
</comments>
</file>

<file path=xl/sharedStrings.xml><?xml version="1.0" encoding="utf-8"?>
<sst xmlns="http://schemas.openxmlformats.org/spreadsheetml/2006/main" count="1113" uniqueCount="262">
  <si>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</si>
  <si>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</si>
  <si>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</si>
  <si>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</si>
  <si>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</si>
  <si>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</si>
  <si>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</si>
  <si>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</si>
  <si>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</si>
  <si>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</si>
  <si>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</si>
  <si>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</si>
  <si>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</si>
  <si>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</si>
  <si>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</si>
  <si>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</si>
  <si>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</si>
  <si>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</si>
  <si>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</si>
  <si>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</si>
  <si>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</si>
  <si>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</si>
  <si>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</si>
  <si>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</si>
  <si>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</si>
  <si>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</si>
  <si>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</si>
  <si>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</si>
  <si>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</si>
  <si>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</si>
  <si>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</si>
  <si>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</si>
  <si>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</si>
  <si>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</si>
  <si>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</si>
  <si>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</si>
  <si>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</si>
  <si>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</si>
  <si>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</si>
  <si>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</si>
  <si>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</si>
  <si>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</si>
  <si>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</si>
  <si>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</si>
  <si>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</si>
  <si>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</si>
  <si>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</si>
  <si>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</si>
  <si>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</si>
  <si>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</si>
  <si>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</si>
  <si>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</si>
  <si>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</si>
  <si>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</si>
  <si>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</si>
  <si>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</si>
  <si>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</si>
  <si>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</si>
  <si>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</si>
  <si>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</si>
  <si>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</si>
  <si>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</si>
  <si>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</si>
  <si>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</si>
  <si>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</si>
  <si>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</si>
  <si>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</si>
  <si>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</si>
  <si>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</si>
  <si>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</si>
  <si>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</si>
  <si>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</si>
  <si>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</si>
  <si>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</si>
  <si>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</si>
  <si>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</si>
  <si>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</si>
  <si>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</si>
  <si>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</si>
  <si>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</si>
  <si>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</si>
  <si>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</si>
  <si>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</si>
  <si>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</si>
  <si>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</si>
  <si>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</si>
  <si>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</si>
  <si>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</si>
  <si>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</si>
  <si>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</si>
  <si>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</si>
  <si>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</si>
  <si>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</si>
  <si>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</si>
  <si>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</si>
  <si>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</si>
  <si>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</si>
  <si>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</si>
  <si>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</si>
  <si>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</si>
  <si>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</si>
  <si>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</si>
  <si>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</si>
  <si>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</si>
  <si>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</si>
  <si>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</si>
  <si>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</si>
  <si>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</si>
  <si>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</si>
  <si>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</si>
  <si>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</si>
  <si>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</si>
  <si>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</si>
  <si>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</si>
  <si>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</si>
  <si>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</si>
  <si>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</si>
  <si>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</si>
  <si>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</si>
  <si>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</si>
  <si>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</si>
  <si>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</si>
  <si>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</si>
  <si>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</si>
  <si>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</si>
  <si>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</si>
  <si>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</si>
  <si>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</si>
  <si>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</si>
  <si>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</si>
  <si>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</si>
  <si>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</si>
  <si>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</si>
  <si>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</si>
  <si>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</si>
  <si>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</si>
  <si>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</si>
  <si>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</si>
  <si>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</si>
  <si>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</si>
  <si>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</si>
  <si>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</si>
  <si>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</si>
  <si>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</si>
  <si>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</si>
  <si>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</si>
  <si>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</si>
  <si>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</si>
  <si>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</si>
  <si>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</si>
  <si>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</si>
  <si>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</si>
  <si>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</si>
  <si>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</si>
  <si>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</si>
  <si>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</si>
  <si>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</si>
  <si>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</si>
  <si>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</si>
  <si>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</si>
  <si>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</si>
  <si>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</si>
  <si>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</si>
  <si>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</si>
  <si>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</si>
  <si>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</si>
  <si>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</si>
  <si>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</si>
  <si>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</si>
  <si>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</si>
  <si>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</si>
  <si>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</si>
  <si>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</si>
  <si>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</si>
  <si>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</si>
  <si>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</si>
  <si>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</si>
  <si>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</si>
  <si>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</si>
  <si>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</si>
  <si>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</si>
  <si>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</si>
  <si>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</si>
  <si>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</si>
  <si>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</si>
  <si>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</si>
  <si>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</si>
  <si>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</si>
  <si>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</si>
  <si>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</si>
  <si>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</si>
  <si>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</si>
  <si>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</si>
  <si>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</si>
  <si>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</si>
  <si>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</si>
  <si>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</si>
  <si>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</si>
  <si>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</si>
  <si>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</si>
  <si>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</si>
  <si>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</si>
  <si>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</si>
  <si>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</si>
  <si>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</si>
  <si>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</si>
  <si>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</si>
  <si>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</si>
  <si>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</si>
  <si>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</si>
  <si>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</si>
  <si>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</si>
  <si>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</si>
  <si>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</si>
  <si>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</si>
  <si>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</si>
  <si>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</si>
  <si>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</si>
  <si>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</si>
  <si>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</si>
  <si>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</si>
  <si>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</si>
  <si>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</si>
  <si>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</si>
  <si>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</si>
  <si>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</si>
  <si>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</si>
  <si>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</si>
  <si>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</si>
  <si>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</si>
  <si>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No pone la hora de finalización de la incidencia.</t>
  </si>
  <si>
    <t>Cloud</t>
  </si>
  <si>
    <t xml:space="preserve">INC066753490 </t>
  </si>
  <si>
    <t>Hora de finalización errónea. Se equivoca de incidencia.</t>
  </si>
  <si>
    <t xml:space="preserve">Campus </t>
  </si>
  <si>
    <t xml:space="preserve">INC066778895 </t>
  </si>
  <si>
    <t>Indicado que el tunel ha dejado de saturar, pero no es verdad, Ulises en turno noche lo tiene que rectificar</t>
  </si>
  <si>
    <t>INC066735145</t>
  </si>
  <si>
    <t>Ticket equivocado al realizar update</t>
  </si>
  <si>
    <t>Global</t>
  </si>
  <si>
    <t xml:space="preserve">INC066805981 </t>
  </si>
  <si>
    <t>Realizar un closure cuando no le correspondia</t>
  </si>
  <si>
    <t xml:space="preserve">INC066828442 </t>
  </si>
  <si>
    <t>Fallo al indicar el circuito afectado</t>
  </si>
  <si>
    <t xml:space="preserve">INC066827336 </t>
  </si>
  <si>
    <t>No se pone correctamente cuando ha finalizado la incidencia</t>
  </si>
  <si>
    <t xml:space="preserve">INC066811759 </t>
  </si>
  <si>
    <t>Se manda update indicando que recupera el circuito, pero el circuito no recupero</t>
  </si>
  <si>
    <t xml:space="preserve">INC066853020 </t>
  </si>
  <si>
    <t>Se manda con la ventana sin ajustar a los horarios que hay y sale cortado el ultimo tramo</t>
  </si>
  <si>
    <t>INC066926884</t>
  </si>
  <si>
    <t>Se manda mal el horario de la incidencia en eventos</t>
  </si>
  <si>
    <t>INC066880971</t>
  </si>
  <si>
    <t>Pone mal el equipo, es el MAIN y porne el BACKUP</t>
  </si>
  <si>
    <t>INC067126760</t>
  </si>
  <si>
    <t>Manda el correo como up pero no pone la hora de finalizacion</t>
  </si>
  <si>
    <t>INC067226406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</si>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</sst>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  <xf numFmtId="0" fontId="1" fillId="2" borderId="3" xfId="0" applyFont="1" applyFill="1" applyBorder="1"/>
    <xf numFmtId="22" fontId="0" fillId="0" borderId="2" xfId="0" applyNumberFormat="1" applyBorder="1"/>
    <xf numFmtId="0" fontId="6" fillId="0" borderId="0" xfId="0" applyFont="1"/>
    <xf numFmtId="22" fontId="0" fillId="3" borderId="2" xfId="0" applyNumberFormat="1" applyFill="1" applyBorder="1"/>
    <xf numFmtId="0" fontId="0" fillId="3" borderId="2" xfId="0" applyFill="1" applyBorder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microsoft.com/office/2007/relationships/slicerCache" Target="slicerCaches/slicerCache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Cesar Caleb Cuevas Marquez</c:v>
                </c:pt>
                <c:pt idx="2">
                  <c:v>Gabriel Daniel Chiriac</c:v>
                </c:pt>
                <c:pt idx="3">
                  <c:v>Luis Enrique Zarazua Vargas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Sergio Sanz Blázquez</c:v>
                </c:pt>
                <c:pt idx="7">
                  <c:v>Óscar Rodríguez Zárate</c:v>
                </c:pt>
                <c:pt idx="8">
                  <c:v>Fernando Martín Pavón</c:v>
                </c:pt>
                <c:pt idx="9">
                  <c:v>Jorge González García</c:v>
                </c:pt>
                <c:pt idx="10">
                  <c:v>Erick Josue Castillo Zambrano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57</c:v>
                </c:pt>
                <c:pt idx="1">
                  <c:v>29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TD!$A$42:$A$50</c:f>
              <c:strCache>
                <c:ptCount val="8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  <c:pt idx="6">
                  <c:v>Campus </c:v>
                </c:pt>
                <c:pt idx="7">
                  <c:v>Cloud</c:v>
                </c:pt>
              </c:strCache>
            </c:strRef>
          </c:cat>
          <c:val>
            <c:numRef>
              <c:f>TD!$B$42:$B$50</c:f>
              <c:numCache>
                <c:formatCode>General</c:formatCode>
                <c:ptCount val="8"/>
                <c:pt idx="0">
                  <c:v>39</c:v>
                </c:pt>
                <c:pt idx="1">
                  <c:v>20</c:v>
                </c:pt>
                <c:pt idx="2">
                  <c:v>16</c:v>
                </c:pt>
                <c:pt idx="3">
                  <c:v>11</c:v>
                </c:pt>
                <c:pt idx="4">
                  <c:v>4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  <a:ext uri="{147F2762-F138-4A5C-976F-8EAC2B608ADB}">
              <a16:predDERef xmlns:a16="http://schemas.microsoft.com/office/drawing/2014/main" pre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  <a:ext uri="{147F2762-F138-4A5C-976F-8EAC2B608ADB}">
              <a16:predDERef xmlns:a16="http://schemas.microsoft.com/office/drawing/2014/main" pre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79E915AF-F093-47AD-BC37-FB459B1332C7}" userId="S::x743472@santanderglobaltech.com::793f26f2-85b9-4385-87c8-83ed6a415fe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49.42029548611" createdVersion="8" refreshedVersion="8" minRefreshableVersion="3" recordCount="94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5-07T08:07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9">
        <s v="GSNET Data"/>
        <s v="GSNET Cloud"/>
        <s v="GSNET International"/>
        <s v="Branches Connectivity"/>
        <s v="GSNET Internet"/>
        <s v="Campus Conectivity"/>
        <s v="Cloud"/>
        <s v="Campus 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d v="2026-04-13T16:07:00"/>
    <x v="0"/>
    <x v="3"/>
    <x v="0"/>
    <s v="El site está mal puesto"/>
    <x v="0"/>
    <x v="2"/>
    <s v="INC066018378"/>
  </r>
  <r>
    <d v="2026-04-14T12:23:00"/>
    <x v="0"/>
    <x v="3"/>
    <x v="3"/>
    <s v="Hora mal puesta en el evento"/>
    <x v="1"/>
    <x v="5"/>
    <s v="INC066054335"/>
  </r>
  <r>
    <d v="2026-04-14T23:28:00"/>
    <x v="0"/>
    <x v="3"/>
    <x v="5"/>
    <s v="Se manda como down y esta up"/>
    <x v="0"/>
    <x v="1"/>
    <s v="INC066072251"/>
  </r>
  <r>
    <d v="2026-04-16T07:37:00"/>
    <x v="0"/>
    <x v="3"/>
    <x v="10"/>
    <s v="Numero de incidencia mal puesto"/>
    <x v="0"/>
    <x v="0"/>
    <s v="INC066075678"/>
  </r>
  <r>
    <d v="2026-04-16T18:44:00"/>
    <x v="0"/>
    <x v="3"/>
    <x v="0"/>
    <s v="Pone hora de fin de incidencia cuando la incidencia sigue activa"/>
    <x v="0"/>
    <x v="5"/>
    <s v="INC066054335"/>
  </r>
  <r>
    <d v="2026-04-17T01:29:00"/>
    <x v="0"/>
    <x v="3"/>
    <x v="5"/>
    <s v="Pone que es el IX de Tlf y es la de BT"/>
    <x v="1"/>
    <x v="2"/>
    <s v="INC066159502"/>
  </r>
  <r>
    <d v="2026-04-17T05:29:00"/>
    <x v="0"/>
    <x v="3"/>
    <x v="0"/>
    <s v="Pone que el enlace esta recuperado y sigue caido"/>
    <x v="0"/>
    <x v="5"/>
    <s v="INC066054335"/>
  </r>
  <r>
    <d v="2026-04-20T08:16:00"/>
    <x v="0"/>
    <x v="3"/>
    <x v="5"/>
    <s v="Mal puesto la fecha de finalizacion de la incidencia"/>
    <x v="1"/>
    <x v="2"/>
    <s v="INC066256287"/>
  </r>
  <r>
    <d v="2026-04-21T03:29:00"/>
    <x v="0"/>
    <x v="3"/>
    <x v="0"/>
    <s v="Horas mal puestas en el evento"/>
    <x v="0"/>
    <x v="1"/>
    <s v="INC066285637"/>
  </r>
  <r>
    <d v="2026-04-21T09:50:00"/>
    <x v="0"/>
    <x v="3"/>
    <x v="10"/>
    <s v="se hace un update de este ticket cuando no procedia por equivocacion con otro equipo"/>
    <x v="0"/>
    <x v="2"/>
    <s v="INC066259338"/>
  </r>
  <r>
    <d v="2026-04-22T06:03:00"/>
    <x v="0"/>
    <x v="3"/>
    <x v="6"/>
    <s v="Se pone mal el circuito afectado"/>
    <x v="1"/>
    <x v="0"/>
    <s v="INC066310499"/>
  </r>
  <r>
    <d v="2026-04-22T07:24:00"/>
    <x v="0"/>
    <x v="3"/>
    <x v="0"/>
    <s v="Asunto y ticket no tienen nada que ver, son de entidades diferentes"/>
    <x v="0"/>
    <x v="5"/>
    <s v="INC066259194"/>
  </r>
  <r>
    <d v="2026-04-22T21:44:00"/>
    <x v="0"/>
    <x v="3"/>
    <x v="2"/>
    <s v="Se manda como DOWN y esta UP"/>
    <x v="0"/>
    <x v="0"/>
    <s v="INC066310499"/>
  </r>
  <r>
    <d v="2026-04-23T01:46:00"/>
    <x v="0"/>
    <x v="3"/>
    <x v="0"/>
    <s v="Se manda mal la hora de fin de la incidencia"/>
    <x v="1"/>
    <x v="5"/>
    <s v="INC066345996"/>
  </r>
  <r>
    <d v="2026-04-26T00:32:00"/>
    <x v="0"/>
    <x v="3"/>
    <x v="0"/>
    <s v="Ponen que la latencia ha terminado y no ha terminado"/>
    <x v="0"/>
    <x v="2"/>
    <s v="INC066365882"/>
  </r>
  <r>
    <d v="2026-04-28T18:04:00"/>
    <x v="0"/>
    <x v="3"/>
    <x v="3"/>
    <s v="Se manda un ticket de otra incidencia"/>
    <x v="0"/>
    <x v="4"/>
    <s v="INC066499555"/>
  </r>
  <r>
    <d v="2026-04-29T10:34:00"/>
    <x v="0"/>
    <x v="3"/>
    <x v="2"/>
    <s v="Numero de incidencia erroneo"/>
    <x v="1"/>
    <x v="4"/>
    <s v="INC066492551"/>
  </r>
  <r>
    <d v="2026-04-30T00:30:00"/>
    <x v="0"/>
    <x v="3"/>
    <x v="6"/>
    <s v="Ponen hora de principio y fin de incidencia cuando aun sigue activa"/>
    <x v="0"/>
    <x v="2"/>
    <s v="INC066562722"/>
  </r>
  <r>
    <d v="2026-04-30T07:20:00"/>
    <x v="0"/>
    <x v="3"/>
    <x v="6"/>
    <s v="Error en el conteo de los minutos (problema de la plantilla)"/>
    <x v="0"/>
    <x v="1"/>
    <s v="INC066579419"/>
  </r>
  <r>
    <d v="2026-05-06T04:30:00"/>
    <x v="0"/>
    <x v="4"/>
    <x v="1"/>
    <s v="No pone la hora de finalización de la incidencia."/>
    <x v="0"/>
    <x v="6"/>
    <s v="INC066753490 "/>
  </r>
  <r>
    <d v="2026-05-07T08:07:00"/>
    <x v="0"/>
    <x v="4"/>
    <x v="10"/>
    <s v="Hora de finalización errónea. Se equivoca de incidencia."/>
    <x v="0"/>
    <x v="7"/>
    <s v="INC066778895 "/>
  </r>
  <r>
    <m/>
    <x v="1"/>
    <x v="5"/>
    <x v="11"/>
    <m/>
    <x v="3"/>
    <x v="8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50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10">
        <item x="3"/>
        <item x="5"/>
        <item x="1"/>
        <item x="0"/>
        <item x="2"/>
        <item x="4"/>
        <item x="8"/>
        <item x="6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9">
    <i>
      <x v="4"/>
    </i>
    <i>
      <x v="2"/>
    </i>
    <i>
      <x v="3"/>
    </i>
    <i>
      <x v="1"/>
    </i>
    <i>
      <x v="5"/>
    </i>
    <i>
      <x/>
    </i>
    <i>
      <x v="8"/>
    </i>
    <i>
      <x v="7"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12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7">
        <item x="0"/>
        <item x="1"/>
        <item x="2"/>
        <item x="3"/>
        <item x="4"/>
        <item x="5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/>
    </i>
    <i>
      <x v="5"/>
    </i>
    <i>
      <x v="9"/>
    </i>
    <i>
      <x v="7"/>
    </i>
    <i>
      <x v="2"/>
    </i>
    <i>
      <x v="11"/>
    </i>
    <i>
      <x v="10"/>
    </i>
    <i>
      <x v="4"/>
    </i>
    <i>
      <x v="6"/>
    </i>
    <i>
      <x v="3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6">
        <i x="0" s="1"/>
        <i x="1" s="1"/>
        <i x="2" s="1"/>
        <i x="3" s="1"/>
        <i x="4" s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startItem="1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" dT="2026-05-11T08:56:45.69" personId="{79E915AF-F093-47AD-BC37-FB459B1332C7}" id="{0F41AF2C-3926-4FE9-ACE0-934D9AE84481}">
    <text>Aqui hay algo que falla, Erick a las 6:43 no esta en turno, por los correos se ve que el manda el update y el revised fuera de si horario.
O se ha conectado antes de tiempo o  se ha reusado un correo y no han quitado su firma</text>
  </threadedComment>
</ThreadedComment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/>
  </sheetViews>
  <sheetFormatPr defaultColWidth="11.42578125" defaultRowHeight="1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6"/>
  <sheetViews>
    <sheetView workbookViewId="0">
      <selection activeCell="A8" sqref="A8:F26"/>
    </sheetView>
  </sheetViews>
  <sheetFormatPr defaultColWidth="11.42578125" defaultRowHeight="1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:F25"/>
  <sheetViews>
    <sheetView tabSelected="1" workbookViewId="0">
      <selection activeCell="F13" sqref="F13"/>
    </sheetView>
  </sheetViews>
  <sheetFormatPr defaultColWidth="9.140625" defaultRowHeight="15"/>
  <cols>
    <col min="1" max="1" width="18.42578125" customWidth="1"/>
    <col min="2" max="2" width="25.85546875" customWidth="1"/>
    <col min="3" max="3" width="98" customWidth="1"/>
    <col min="4" max="4" width="18.85546875" customWidth="1"/>
    <col min="5" max="6" width="18.42578125" customWidth="1"/>
  </cols>
  <sheetData>
    <row r="1" spans="1:6">
      <c r="A1" s="13" t="s">
        <v>1</v>
      </c>
      <c r="B1" s="13" t="s">
        <v>2</v>
      </c>
      <c r="C1" s="13" t="s">
        <v>3</v>
      </c>
      <c r="D1" s="13" t="s">
        <v>43</v>
      </c>
      <c r="E1" s="13" t="s">
        <v>44</v>
      </c>
      <c r="F1" s="13" t="s">
        <v>45</v>
      </c>
    </row>
    <row r="2" spans="1:6">
      <c r="A2" s="14">
        <v>46148.1875</v>
      </c>
      <c r="B2" s="6" t="s">
        <v>51</v>
      </c>
      <c r="C2" s="6" t="s">
        <v>230</v>
      </c>
      <c r="D2" s="6" t="s">
        <v>48</v>
      </c>
      <c r="E2" s="6" t="s">
        <v>231</v>
      </c>
      <c r="F2" s="6" t="s">
        <v>232</v>
      </c>
    </row>
    <row r="3" spans="1:6">
      <c r="A3" s="14">
        <v>46149.338194444441</v>
      </c>
      <c r="B3" s="6" t="s">
        <v>159</v>
      </c>
      <c r="C3" s="6" t="s">
        <v>233</v>
      </c>
      <c r="D3" s="6" t="s">
        <v>48</v>
      </c>
      <c r="E3" s="6" t="s">
        <v>234</v>
      </c>
      <c r="F3" s="6" t="s">
        <v>235</v>
      </c>
    </row>
    <row r="4" spans="1:6">
      <c r="A4" s="14">
        <v>46149.697916666664</v>
      </c>
      <c r="B4" s="6" t="s">
        <v>146</v>
      </c>
      <c r="C4" s="6" t="s">
        <v>236</v>
      </c>
      <c r="D4" s="6" t="s">
        <v>48</v>
      </c>
      <c r="E4" s="6" t="s">
        <v>231</v>
      </c>
      <c r="F4" s="15" t="s">
        <v>237</v>
      </c>
    </row>
    <row r="5" spans="1:6">
      <c r="A5" s="14">
        <v>46150.343055555553</v>
      </c>
      <c r="B5" s="6" t="s">
        <v>146</v>
      </c>
      <c r="C5" s="6" t="s">
        <v>238</v>
      </c>
      <c r="D5" s="6" t="s">
        <v>48</v>
      </c>
      <c r="E5" s="6" t="s">
        <v>239</v>
      </c>
      <c r="F5" s="6" t="s">
        <v>240</v>
      </c>
    </row>
    <row r="6" spans="1:6">
      <c r="A6" s="14">
        <v>46150.532638888886</v>
      </c>
      <c r="B6" s="6" t="s">
        <v>146</v>
      </c>
      <c r="C6" s="6" t="s">
        <v>241</v>
      </c>
      <c r="D6" s="6" t="s">
        <v>48</v>
      </c>
      <c r="E6" s="6" t="s">
        <v>231</v>
      </c>
      <c r="F6" s="6" t="s">
        <v>242</v>
      </c>
    </row>
    <row r="7" spans="1:6">
      <c r="A7" s="14">
        <v>46151.73333333333</v>
      </c>
      <c r="B7" s="6" t="s">
        <v>46</v>
      </c>
      <c r="C7" s="6" t="s">
        <v>243</v>
      </c>
      <c r="D7" s="6" t="s">
        <v>48</v>
      </c>
      <c r="E7" s="6" t="s">
        <v>239</v>
      </c>
      <c r="F7" s="6" t="s">
        <v>244</v>
      </c>
    </row>
    <row r="8" spans="1:6">
      <c r="A8" s="16">
        <v>46152.279861111114</v>
      </c>
      <c r="B8" s="17" t="s">
        <v>146</v>
      </c>
      <c r="C8" s="17" t="s">
        <v>245</v>
      </c>
      <c r="D8" s="17" t="s">
        <v>48</v>
      </c>
      <c r="E8" s="17" t="s">
        <v>239</v>
      </c>
      <c r="F8" s="17" t="s">
        <v>246</v>
      </c>
    </row>
    <row r="9" spans="1:6">
      <c r="A9" s="14">
        <v>46153.686111111114</v>
      </c>
      <c r="B9" s="6" t="s">
        <v>72</v>
      </c>
      <c r="C9" s="6" t="s">
        <v>247</v>
      </c>
      <c r="D9" s="6" t="s">
        <v>48</v>
      </c>
      <c r="E9" s="6" t="s">
        <v>234</v>
      </c>
      <c r="F9" s="6" t="s">
        <v>248</v>
      </c>
    </row>
    <row r="10" spans="1:6">
      <c r="A10" s="14">
        <v>46154.491666666669</v>
      </c>
      <c r="B10" s="18" t="s">
        <v>78</v>
      </c>
      <c r="C10" s="6" t="s">
        <v>249</v>
      </c>
      <c r="D10" s="6" t="s">
        <v>48</v>
      </c>
      <c r="E10" s="6" t="s">
        <v>234</v>
      </c>
      <c r="F10" s="6" t="s">
        <v>250</v>
      </c>
    </row>
    <row r="11" spans="1:6">
      <c r="A11" s="14">
        <v>46154.520833333336</v>
      </c>
      <c r="B11" s="18" t="s">
        <v>78</v>
      </c>
      <c r="C11" s="6" t="s">
        <v>251</v>
      </c>
      <c r="D11" s="6" t="s">
        <v>48</v>
      </c>
      <c r="E11" s="6" t="s">
        <v>239</v>
      </c>
      <c r="F11" s="6" t="s">
        <v>252</v>
      </c>
    </row>
    <row r="12" spans="1:6">
      <c r="A12" s="14">
        <v>46157.972222222219</v>
      </c>
      <c r="B12" s="6" t="s">
        <v>72</v>
      </c>
      <c r="C12" s="6" t="s">
        <v>253</v>
      </c>
      <c r="D12" s="6" t="s">
        <v>48</v>
      </c>
      <c r="E12" s="6" t="s">
        <v>239</v>
      </c>
      <c r="F12" s="6" t="s">
        <v>254</v>
      </c>
    </row>
    <row r="13" spans="1:6">
      <c r="A13" s="14">
        <v>46160.033333333333</v>
      </c>
      <c r="B13" s="6" t="s">
        <v>61</v>
      </c>
      <c r="C13" s="6" t="s">
        <v>255</v>
      </c>
      <c r="D13" s="6" t="s">
        <v>53</v>
      </c>
      <c r="E13" s="6" t="s">
        <v>239</v>
      </c>
      <c r="F13" s="6" t="s">
        <v>256</v>
      </c>
    </row>
    <row r="14" spans="1:6">
      <c r="A14" s="6"/>
      <c r="B14" s="6"/>
      <c r="C14" s="6"/>
      <c r="D14" s="6"/>
      <c r="E14" s="6"/>
      <c r="F14" s="6"/>
    </row>
    <row r="15" spans="1:6">
      <c r="A15" s="6"/>
      <c r="B15" s="6"/>
      <c r="C15" s="6"/>
      <c r="D15" s="6"/>
      <c r="E15" s="6"/>
      <c r="F15" s="6"/>
    </row>
    <row r="16" spans="1:6">
      <c r="A16" s="6"/>
      <c r="B16" s="6"/>
      <c r="C16" s="6"/>
      <c r="D16" s="6"/>
      <c r="E16" s="6"/>
      <c r="F16" s="6"/>
    </row>
    <row r="17" spans="1:6">
      <c r="A17" s="6"/>
      <c r="B17" s="6"/>
      <c r="C17" s="6"/>
      <c r="D17" s="6"/>
      <c r="E17" s="6"/>
      <c r="F17" s="6"/>
    </row>
    <row r="18" spans="1:6">
      <c r="A18" s="6"/>
      <c r="B18" s="6"/>
      <c r="C18" s="6"/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6"/>
      <c r="B20" s="6"/>
      <c r="C20" s="6"/>
      <c r="D20" s="6"/>
      <c r="E20" s="6"/>
      <c r="F20" s="6"/>
    </row>
    <row r="21" spans="1:6">
      <c r="A21" s="6"/>
      <c r="B21" s="6"/>
      <c r="C21" s="6"/>
      <c r="D21" s="6"/>
      <c r="E21" s="6"/>
      <c r="F21" s="6"/>
    </row>
    <row r="22" spans="1:6">
      <c r="A22" s="6"/>
      <c r="B22" s="6"/>
      <c r="C22" s="6"/>
      <c r="D22" s="6"/>
      <c r="E22" s="6"/>
      <c r="F22" s="6"/>
    </row>
    <row r="23" spans="1:6">
      <c r="A23" s="6"/>
      <c r="B23" s="6"/>
      <c r="C23" s="6"/>
      <c r="D23" s="6"/>
      <c r="E23" s="6"/>
      <c r="F23" s="6"/>
    </row>
    <row r="24" spans="1:6">
      <c r="A24" s="6"/>
      <c r="B24" s="6"/>
      <c r="C24" s="6"/>
      <c r="D24" s="6"/>
      <c r="E24" s="6"/>
      <c r="F24" s="6"/>
    </row>
    <row r="25" spans="1:6">
      <c r="A25" s="6"/>
      <c r="B25" s="6"/>
      <c r="C25" s="6"/>
      <c r="D25" s="6"/>
      <c r="E25" s="6"/>
      <c r="F25" s="6"/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50"/>
  <sheetViews>
    <sheetView workbookViewId="0">
      <selection activeCell="B43" sqref="B43"/>
    </sheetView>
  </sheetViews>
  <sheetFormatPr defaultColWidth="11.42578125" defaultRowHeight="15"/>
  <cols>
    <col min="1" max="1" width="20.42578125" bestFit="1" customWidth="1"/>
    <col min="2" max="2" width="20.140625" bestFit="1" customWidth="1"/>
    <col min="3" max="4" width="3" bestFit="1" customWidth="1"/>
    <col min="5" max="5" width="12.5703125" bestFit="1" customWidth="1"/>
  </cols>
  <sheetData>
    <row r="3" spans="1:2">
      <c r="A3" s="10" t="s">
        <v>257</v>
      </c>
      <c r="B3" t="s">
        <v>258</v>
      </c>
    </row>
    <row r="4" spans="1:2">
      <c r="A4" s="11" t="s">
        <v>61</v>
      </c>
      <c r="B4">
        <v>17</v>
      </c>
    </row>
    <row r="5" spans="1:2">
      <c r="A5" s="11" t="s">
        <v>46</v>
      </c>
      <c r="B5">
        <v>16</v>
      </c>
    </row>
    <row r="6" spans="1:2">
      <c r="A6" s="11" t="s">
        <v>56</v>
      </c>
      <c r="B6">
        <v>13</v>
      </c>
    </row>
    <row r="7" spans="1:2">
      <c r="A7" s="11" t="s">
        <v>51</v>
      </c>
      <c r="B7">
        <v>11</v>
      </c>
    </row>
    <row r="8" spans="1:2">
      <c r="A8" s="11" t="s">
        <v>72</v>
      </c>
      <c r="B8">
        <v>8</v>
      </c>
    </row>
    <row r="9" spans="1:2">
      <c r="A9" s="11" t="s">
        <v>78</v>
      </c>
      <c r="B9">
        <v>8</v>
      </c>
    </row>
    <row r="10" spans="1:2">
      <c r="A10" s="11" t="s">
        <v>159</v>
      </c>
      <c r="B10">
        <v>5</v>
      </c>
    </row>
    <row r="11" spans="1:2">
      <c r="A11" s="11" t="s">
        <v>66</v>
      </c>
      <c r="B11">
        <v>4</v>
      </c>
    </row>
    <row r="12" spans="1:2">
      <c r="A12" s="11" t="s">
        <v>84</v>
      </c>
      <c r="B12">
        <v>4</v>
      </c>
    </row>
    <row r="13" spans="1:2">
      <c r="A13" s="11" t="s">
        <v>141</v>
      </c>
      <c r="B13">
        <v>4</v>
      </c>
    </row>
    <row r="14" spans="1:2">
      <c r="A14" s="11" t="s">
        <v>146</v>
      </c>
      <c r="B14">
        <v>3</v>
      </c>
    </row>
    <row r="15" spans="1:2">
      <c r="A15" s="11" t="s">
        <v>259</v>
      </c>
      <c r="B15">
        <v>93</v>
      </c>
    </row>
    <row r="32" spans="1:2">
      <c r="A32" s="10" t="s">
        <v>257</v>
      </c>
      <c r="B32" t="s">
        <v>258</v>
      </c>
    </row>
    <row r="33" spans="1:2">
      <c r="A33" s="11" t="s">
        <v>48</v>
      </c>
      <c r="B33">
        <v>57</v>
      </c>
    </row>
    <row r="34" spans="1:2">
      <c r="A34" s="11" t="s">
        <v>53</v>
      </c>
      <c r="B34">
        <v>29</v>
      </c>
    </row>
    <row r="35" spans="1:2">
      <c r="A35" s="11" t="s">
        <v>63</v>
      </c>
      <c r="B35">
        <v>7</v>
      </c>
    </row>
    <row r="36" spans="1:2">
      <c r="A36" s="11" t="s">
        <v>259</v>
      </c>
      <c r="B36">
        <v>93</v>
      </c>
    </row>
    <row r="41" spans="1:2">
      <c r="A41" s="10" t="s">
        <v>257</v>
      </c>
      <c r="B41" t="s">
        <v>258</v>
      </c>
    </row>
    <row r="42" spans="1:2">
      <c r="A42" s="11" t="s">
        <v>64</v>
      </c>
      <c r="B42">
        <v>39</v>
      </c>
    </row>
    <row r="43" spans="1:2">
      <c r="A43" s="11" t="s">
        <v>54</v>
      </c>
      <c r="B43">
        <v>20</v>
      </c>
    </row>
    <row r="44" spans="1:2">
      <c r="A44" s="11" t="s">
        <v>49</v>
      </c>
      <c r="B44">
        <v>16</v>
      </c>
    </row>
    <row r="45" spans="1:2">
      <c r="A45" s="11" t="s">
        <v>80</v>
      </c>
      <c r="B45">
        <v>11</v>
      </c>
    </row>
    <row r="46" spans="1:2">
      <c r="A46" s="11" t="s">
        <v>74</v>
      </c>
      <c r="B46">
        <v>4</v>
      </c>
    </row>
    <row r="47" spans="1:2">
      <c r="A47" s="11" t="s">
        <v>68</v>
      </c>
      <c r="B47">
        <v>1</v>
      </c>
    </row>
    <row r="48" spans="1:2">
      <c r="A48" s="11" t="s">
        <v>234</v>
      </c>
      <c r="B48">
        <v>1</v>
      </c>
    </row>
    <row r="49" spans="1:2">
      <c r="A49" s="11" t="s">
        <v>231</v>
      </c>
      <c r="B49">
        <v>1</v>
      </c>
    </row>
    <row r="50" spans="1:2">
      <c r="A50" s="11" t="s">
        <v>259</v>
      </c>
      <c r="B50">
        <v>93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94"/>
  <sheetViews>
    <sheetView topLeftCell="A52" workbookViewId="0">
      <selection activeCell="D100" sqref="D100"/>
    </sheetView>
  </sheetViews>
  <sheetFormatPr defaultColWidth="11.42578125" defaultRowHeight="1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260</v>
      </c>
      <c r="C1" s="2" t="s">
        <v>261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  <row r="74" spans="1:8">
      <c r="A74" s="3">
        <v>46125.671527777777</v>
      </c>
      <c r="B74" s="4">
        <f t="shared" ref="B74:B92" si="12">YEAR(A74)</f>
        <v>2026</v>
      </c>
      <c r="C74" s="4">
        <f t="shared" ref="C74:C92" si="13">MONTH(A74)</f>
        <v>4</v>
      </c>
      <c r="D74" s="4" t="s">
        <v>46</v>
      </c>
      <c r="E74" s="4" t="s">
        <v>195</v>
      </c>
      <c r="F74" s="4" t="s">
        <v>48</v>
      </c>
      <c r="G74" s="8" t="s">
        <v>64</v>
      </c>
      <c r="H74" s="4" t="s">
        <v>196</v>
      </c>
    </row>
    <row r="75" spans="1:8">
      <c r="A75" s="3">
        <v>46126.515972222223</v>
      </c>
      <c r="B75" s="4">
        <f t="shared" si="12"/>
        <v>2026</v>
      </c>
      <c r="C75" s="4">
        <f t="shared" si="13"/>
        <v>4</v>
      </c>
      <c r="D75" s="4" t="s">
        <v>61</v>
      </c>
      <c r="E75" s="4" t="s">
        <v>197</v>
      </c>
      <c r="F75" s="4" t="s">
        <v>53</v>
      </c>
      <c r="G75" s="8" t="s">
        <v>80</v>
      </c>
      <c r="H75" s="4" t="s">
        <v>198</v>
      </c>
    </row>
    <row r="76" spans="1:8">
      <c r="A76" s="3">
        <v>46126.977777777778</v>
      </c>
      <c r="B76" s="4">
        <f t="shared" si="12"/>
        <v>2026</v>
      </c>
      <c r="C76" s="4">
        <f t="shared" si="13"/>
        <v>4</v>
      </c>
      <c r="D76" s="4" t="s">
        <v>72</v>
      </c>
      <c r="E76" s="4" t="s">
        <v>199</v>
      </c>
      <c r="F76" s="4" t="s">
        <v>48</v>
      </c>
      <c r="G76" s="4" t="s">
        <v>54</v>
      </c>
      <c r="H76" s="4" t="s">
        <v>200</v>
      </c>
    </row>
    <row r="77" spans="1:8">
      <c r="A77" s="3">
        <v>46128.317361111112</v>
      </c>
      <c r="B77" s="4">
        <f t="shared" si="12"/>
        <v>2026</v>
      </c>
      <c r="C77" s="4">
        <f t="shared" si="13"/>
        <v>4</v>
      </c>
      <c r="D77" s="12" t="s">
        <v>159</v>
      </c>
      <c r="E77" s="4" t="s">
        <v>201</v>
      </c>
      <c r="F77" s="4" t="s">
        <v>48</v>
      </c>
      <c r="G77" s="8" t="s">
        <v>49</v>
      </c>
      <c r="H77" s="4" t="s">
        <v>202</v>
      </c>
    </row>
    <row r="78" spans="1:8">
      <c r="A78" s="3">
        <v>46128.780555555553</v>
      </c>
      <c r="B78" s="4">
        <f t="shared" si="12"/>
        <v>2026</v>
      </c>
      <c r="C78" s="4">
        <f t="shared" si="13"/>
        <v>4</v>
      </c>
      <c r="D78" s="4" t="s">
        <v>46</v>
      </c>
      <c r="E78" s="4" t="s">
        <v>203</v>
      </c>
      <c r="F78" s="4" t="s">
        <v>48</v>
      </c>
      <c r="G78" s="8" t="s">
        <v>80</v>
      </c>
      <c r="H78" s="4" t="s">
        <v>198</v>
      </c>
    </row>
    <row r="79" spans="1:8">
      <c r="A79" s="3">
        <v>46129.061805555553</v>
      </c>
      <c r="B79" s="4">
        <f t="shared" si="12"/>
        <v>2026</v>
      </c>
      <c r="C79" s="4">
        <f t="shared" si="13"/>
        <v>4</v>
      </c>
      <c r="D79" s="4" t="s">
        <v>72</v>
      </c>
      <c r="E79" s="4" t="s">
        <v>204</v>
      </c>
      <c r="F79" s="4" t="s">
        <v>53</v>
      </c>
      <c r="G79" s="8" t="s">
        <v>64</v>
      </c>
      <c r="H79" s="4" t="s">
        <v>205</v>
      </c>
    </row>
    <row r="80" spans="1:8">
      <c r="A80" s="3">
        <v>46129.228472222225</v>
      </c>
      <c r="B80" s="4">
        <f t="shared" si="12"/>
        <v>2026</v>
      </c>
      <c r="C80" s="4">
        <f t="shared" si="13"/>
        <v>4</v>
      </c>
      <c r="D80" s="8" t="s">
        <v>46</v>
      </c>
      <c r="E80" s="4" t="s">
        <v>206</v>
      </c>
      <c r="F80" s="4" t="s">
        <v>48</v>
      </c>
      <c r="G80" s="8" t="s">
        <v>80</v>
      </c>
      <c r="H80" s="4" t="s">
        <v>198</v>
      </c>
    </row>
    <row r="81" spans="1:8">
      <c r="A81" s="3">
        <v>46132.344444444447</v>
      </c>
      <c r="B81" s="4">
        <f t="shared" si="12"/>
        <v>2026</v>
      </c>
      <c r="C81" s="4">
        <f t="shared" si="13"/>
        <v>4</v>
      </c>
      <c r="D81" s="8" t="s">
        <v>72</v>
      </c>
      <c r="E81" s="4" t="s">
        <v>207</v>
      </c>
      <c r="F81" s="4" t="s">
        <v>53</v>
      </c>
      <c r="G81" s="4" t="s">
        <v>64</v>
      </c>
      <c r="H81" s="4" t="s">
        <v>208</v>
      </c>
    </row>
    <row r="82" spans="1:8">
      <c r="A82" s="3">
        <v>46133.145138888889</v>
      </c>
      <c r="B82" s="4">
        <f t="shared" si="12"/>
        <v>2026</v>
      </c>
      <c r="C82" s="4">
        <f t="shared" si="13"/>
        <v>4</v>
      </c>
      <c r="D82" s="8" t="s">
        <v>46</v>
      </c>
      <c r="E82" s="4" t="s">
        <v>209</v>
      </c>
      <c r="F82" s="4" t="s">
        <v>48</v>
      </c>
      <c r="G82" s="4" t="s">
        <v>54</v>
      </c>
      <c r="H82" s="4" t="s">
        <v>210</v>
      </c>
    </row>
    <row r="83" spans="1:8">
      <c r="A83" s="3">
        <v>46133.409722222219</v>
      </c>
      <c r="B83" s="4">
        <f t="shared" si="12"/>
        <v>2026</v>
      </c>
      <c r="C83" s="4">
        <f t="shared" si="13"/>
        <v>4</v>
      </c>
      <c r="D83" s="8" t="s">
        <v>159</v>
      </c>
      <c r="E83" s="4" t="s">
        <v>211</v>
      </c>
      <c r="F83" s="4" t="s">
        <v>48</v>
      </c>
      <c r="G83" s="8" t="s">
        <v>64</v>
      </c>
      <c r="H83" s="4" t="s">
        <v>212</v>
      </c>
    </row>
    <row r="84" spans="1:8">
      <c r="A84" s="3">
        <v>46134.252083333333</v>
      </c>
      <c r="B84" s="4">
        <f t="shared" si="12"/>
        <v>2026</v>
      </c>
      <c r="C84" s="4">
        <f t="shared" si="13"/>
        <v>4</v>
      </c>
      <c r="D84" s="4" t="s">
        <v>78</v>
      </c>
      <c r="E84" s="9" t="s">
        <v>213</v>
      </c>
      <c r="F84" s="4" t="s">
        <v>53</v>
      </c>
      <c r="G84" s="8" t="s">
        <v>49</v>
      </c>
      <c r="H84" s="4" t="s">
        <v>214</v>
      </c>
    </row>
    <row r="85" spans="1:8">
      <c r="A85" s="3">
        <v>46134.308333333334</v>
      </c>
      <c r="B85" s="4">
        <f t="shared" si="12"/>
        <v>2026</v>
      </c>
      <c r="C85" s="4">
        <f t="shared" si="13"/>
        <v>4</v>
      </c>
      <c r="D85" s="8" t="s">
        <v>46</v>
      </c>
      <c r="E85" s="4" t="s">
        <v>215</v>
      </c>
      <c r="F85" s="4" t="s">
        <v>48</v>
      </c>
      <c r="G85" s="4" t="s">
        <v>80</v>
      </c>
      <c r="H85" s="4" t="s">
        <v>216</v>
      </c>
    </row>
    <row r="86" spans="1:8">
      <c r="A86" s="3">
        <v>46134.905555555553</v>
      </c>
      <c r="B86" s="4">
        <f t="shared" si="12"/>
        <v>2026</v>
      </c>
      <c r="C86" s="4">
        <f t="shared" si="13"/>
        <v>4</v>
      </c>
      <c r="D86" s="4" t="s">
        <v>56</v>
      </c>
      <c r="E86" s="4" t="s">
        <v>217</v>
      </c>
      <c r="F86" s="4" t="s">
        <v>48</v>
      </c>
      <c r="G86" s="8" t="s">
        <v>49</v>
      </c>
      <c r="H86" s="4" t="s">
        <v>214</v>
      </c>
    </row>
    <row r="87" spans="1:8">
      <c r="A87" s="3">
        <v>46135.073611111111</v>
      </c>
      <c r="B87" s="4">
        <f t="shared" si="12"/>
        <v>2026</v>
      </c>
      <c r="C87" s="4">
        <f t="shared" si="13"/>
        <v>4</v>
      </c>
      <c r="D87" s="4" t="s">
        <v>46</v>
      </c>
      <c r="E87" s="4" t="s">
        <v>218</v>
      </c>
      <c r="F87" s="4" t="s">
        <v>53</v>
      </c>
      <c r="G87" s="4" t="s">
        <v>80</v>
      </c>
      <c r="H87" s="4" t="s">
        <v>219</v>
      </c>
    </row>
    <row r="88" spans="1:8">
      <c r="A88" s="3">
        <v>46138.022222222222</v>
      </c>
      <c r="B88" s="4">
        <f t="shared" si="12"/>
        <v>2026</v>
      </c>
      <c r="C88" s="4">
        <f t="shared" si="13"/>
        <v>4</v>
      </c>
      <c r="D88" s="4" t="s">
        <v>46</v>
      </c>
      <c r="E88" s="4" t="s">
        <v>220</v>
      </c>
      <c r="F88" s="4" t="s">
        <v>48</v>
      </c>
      <c r="G88" s="8" t="s">
        <v>64</v>
      </c>
      <c r="H88" s="4" t="s">
        <v>221</v>
      </c>
    </row>
    <row r="89" spans="1:8">
      <c r="A89" s="3">
        <v>46140.75277777778</v>
      </c>
      <c r="B89" s="4">
        <f t="shared" si="12"/>
        <v>2026</v>
      </c>
      <c r="C89" s="4">
        <f t="shared" si="13"/>
        <v>4</v>
      </c>
      <c r="D89" s="4" t="s">
        <v>61</v>
      </c>
      <c r="E89" s="4" t="s">
        <v>222</v>
      </c>
      <c r="F89" s="4" t="s">
        <v>48</v>
      </c>
      <c r="G89" s="8" t="s">
        <v>74</v>
      </c>
      <c r="H89" s="4" t="s">
        <v>223</v>
      </c>
    </row>
    <row r="90" spans="1:8">
      <c r="A90" s="3">
        <v>46141.44027777778</v>
      </c>
      <c r="B90" s="4">
        <f t="shared" si="12"/>
        <v>2026</v>
      </c>
      <c r="C90" s="4">
        <f t="shared" si="13"/>
        <v>4</v>
      </c>
      <c r="D90" s="4" t="s">
        <v>56</v>
      </c>
      <c r="E90" s="4" t="s">
        <v>224</v>
      </c>
      <c r="F90" s="4" t="s">
        <v>53</v>
      </c>
      <c r="G90" s="8" t="s">
        <v>74</v>
      </c>
      <c r="H90" s="4" t="s">
        <v>225</v>
      </c>
    </row>
    <row r="91" spans="1:8">
      <c r="A91" s="3">
        <v>46142.020833333336</v>
      </c>
      <c r="B91" s="4">
        <f t="shared" si="12"/>
        <v>2026</v>
      </c>
      <c r="C91" s="4">
        <f t="shared" si="13"/>
        <v>4</v>
      </c>
      <c r="D91" s="4" t="s">
        <v>78</v>
      </c>
      <c r="E91" s="4" t="s">
        <v>226</v>
      </c>
      <c r="F91" s="4" t="s">
        <v>48</v>
      </c>
      <c r="G91" s="8" t="s">
        <v>64</v>
      </c>
      <c r="H91" s="4" t="s">
        <v>227</v>
      </c>
    </row>
    <row r="92" spans="1:8">
      <c r="A92" s="3">
        <v>46142.305555555555</v>
      </c>
      <c r="B92" s="4">
        <f t="shared" si="12"/>
        <v>2026</v>
      </c>
      <c r="C92" s="4">
        <f t="shared" si="13"/>
        <v>4</v>
      </c>
      <c r="D92" s="4" t="s">
        <v>78</v>
      </c>
      <c r="E92" s="4" t="s">
        <v>228</v>
      </c>
      <c r="F92" s="4" t="s">
        <v>48</v>
      </c>
      <c r="G92" s="4" t="s">
        <v>54</v>
      </c>
      <c r="H92" s="4" t="s">
        <v>229</v>
      </c>
    </row>
    <row r="93" spans="1:8">
      <c r="A93" s="14">
        <v>46148.1875</v>
      </c>
      <c r="B93" s="4">
        <f t="shared" ref="B93:B94" si="14">YEAR(A93)</f>
        <v>2026</v>
      </c>
      <c r="C93" s="4">
        <f t="shared" ref="C93:C94" si="15">MONTH(A93)</f>
        <v>5</v>
      </c>
      <c r="D93" s="6" t="s">
        <v>51</v>
      </c>
      <c r="E93" s="6" t="s">
        <v>230</v>
      </c>
      <c r="F93" s="6" t="s">
        <v>48</v>
      </c>
      <c r="G93" s="6" t="s">
        <v>231</v>
      </c>
      <c r="H93" s="6" t="s">
        <v>232</v>
      </c>
    </row>
    <row r="94" spans="1:8">
      <c r="A94" s="14">
        <v>46149.338194444441</v>
      </c>
      <c r="B94" s="4">
        <f t="shared" si="14"/>
        <v>2026</v>
      </c>
      <c r="C94" s="4">
        <f t="shared" si="15"/>
        <v>5</v>
      </c>
      <c r="D94" s="6" t="s">
        <v>159</v>
      </c>
      <c r="E94" s="6" t="s">
        <v>233</v>
      </c>
      <c r="F94" s="6" t="s">
        <v>48</v>
      </c>
      <c r="G94" s="6" t="s">
        <v>234</v>
      </c>
      <c r="H94" s="6" t="s">
        <v>235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5AC0D4DF-6071-4046-B7AC-501C9AB0FDE0}"/>
</file>

<file path=customXml/itemProps3.xml><?xml version="1.0" encoding="utf-8"?>
<ds:datastoreItem xmlns:ds="http://schemas.openxmlformats.org/officeDocument/2006/customXml" ds:itemID="{BB6A9765-6A9A-42B7-B0FA-1DED4C3A31B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2026-05-18T08:25:19Z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