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549" documentId="8_{BF395F17-8A36-4A5B-A61D-48748E8233D4}" xr6:coauthVersionLast="47" xr6:coauthVersionMax="47" xr10:uidLastSave="{9A041B8B-E5A8-47E5-AF84-EA43BABE6170}"/>
  <bookViews>
    <workbookView xWindow="-110" yWindow="-110" windowWidth="19200" windowHeight="9020" firstSheet="9" activeTab="10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E23" i="31" s="1"/>
  <c r="AD24" i="31"/>
  <c r="AD23" i="31" s="1"/>
  <c r="AC24" i="31"/>
  <c r="AB24" i="31"/>
  <c r="AA24" i="31"/>
  <c r="Z24" i="31"/>
  <c r="Y24" i="31"/>
  <c r="X24" i="31"/>
  <c r="X23" i="31" s="1"/>
  <c r="W24" i="31"/>
  <c r="W23" i="31" s="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I23" i="31" s="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F23" i="31" l="1"/>
  <c r="P23" i="32"/>
  <c r="AE23" i="32"/>
  <c r="AA23" i="32"/>
  <c r="AB23" i="32"/>
  <c r="Q23" i="32"/>
  <c r="S23" i="32"/>
  <c r="C23" i="32"/>
  <c r="D23" i="32"/>
  <c r="E23" i="32"/>
  <c r="F23" i="32"/>
  <c r="G23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tc={3F6CDFEE-E51E-446A-83EC-4DF1A16F9A0B}</author>
    <author>tc={529ADF6A-E41D-4D20-A878-FBCD42DD1808}</author>
    <author>tc={C16B8188-35DF-407B-B1EC-479EF0637985}</author>
    <author>tc={8C3D54E1-838F-4164-A2E0-F8649CF1202F}</author>
    <author>tc={14A985D2-D14A-43FC-B5D9-67944DDBB76B}</author>
  </authors>
  <commentList>
    <comment ref="O18" authorId="0" shapeId="0" xr:uid="{3F6CDFEE-E51E-446A-83EC-4DF1A16F9A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P18" authorId="1" shapeId="0" xr:uid="{529ADF6A-E41D-4D20-A878-FBCD42DD1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Q18" authorId="2" shapeId="0" xr:uid="{C16B8188-35DF-407B-B1EC-479EF0637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R18" authorId="3" shapeId="0" xr:uid="{8C3D54E1-838F-4164-A2E0-F8649CF120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S18" authorId="4" shapeId="0" xr:uid="{14A985D2-D14A-43FC-B5D9-67944DDBB7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</commentList>
</comments>
</file>

<file path=xl/sharedStrings.xml><?xml version="1.0" encoding="utf-8"?>
<sst xmlns="http://schemas.openxmlformats.org/spreadsheetml/2006/main" count="11468" uniqueCount="196">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</sst>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18" dT="2026-03-10T11:21:01.36" personId="{678BB04D-11B0-457D-BCA0-D5F409BCB035}" id="{3F6CDFEE-E51E-446A-83EC-4DF1A16F9A0B}">
    <text>Pendiente de pedir por parte de Fernando</text>
  </threadedComment>
  <threadedComment ref="P18" dT="2026-03-10T11:21:01.36" personId="{678BB04D-11B0-457D-BCA0-D5F409BCB035}" id="{529ADF6A-E41D-4D20-A878-FBCD42DD1808}">
    <text>Pendiente de pedir por parte de Fernando</text>
  </threadedComment>
  <threadedComment ref="Q18" dT="2026-03-10T11:21:01.36" personId="{678BB04D-11B0-457D-BCA0-D5F409BCB035}" id="{C16B8188-35DF-407B-B1EC-479EF0637985}">
    <text>Pendiente de pedir por parte de Fernando</text>
  </threadedComment>
  <threadedComment ref="R18" dT="2026-03-10T11:21:01.36" personId="{678BB04D-11B0-457D-BCA0-D5F409BCB035}" id="{8C3D54E1-838F-4164-A2E0-F8649CF1202F}">
    <text>Pendiente de pedir por parte de Fernando</text>
  </threadedComment>
  <threadedComment ref="S18" dT="2026-03-10T11:21:01.36" personId="{678BB04D-11B0-457D-BCA0-D5F409BCB035}" id="{14A985D2-D14A-43FC-B5D9-67944DDBB76B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5429687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4"/>
      <c r="E2" s="171" t="s">
        <v>0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ht="18" customHeight="1" x14ac:dyDescent="0.35">
      <c r="B3" s="32"/>
      <c r="D3" s="174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5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6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6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6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6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6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6"/>
      <c r="C11" s="34"/>
      <c r="D11" s="36"/>
      <c r="E11" s="181"/>
      <c r="F11" s="182"/>
      <c r="G11" s="182"/>
      <c r="H11" s="182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3"/>
      <c r="AJ11" s="91"/>
    </row>
    <row r="12" spans="1:36" ht="18" customHeight="1" x14ac:dyDescent="0.35">
      <c r="A12" s="176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6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6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6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6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6"/>
      <c r="C17" s="34"/>
      <c r="D17" s="33"/>
      <c r="E17" s="181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3"/>
    </row>
    <row r="18" spans="1:36" ht="18" customHeight="1" x14ac:dyDescent="0.35">
      <c r="A18" s="176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6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6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6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6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6"/>
      <c r="C23" s="34"/>
      <c r="D23" s="35"/>
      <c r="E23" s="178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80"/>
    </row>
    <row r="24" spans="1:36" ht="18" customHeight="1" x14ac:dyDescent="0.35">
      <c r="A24" s="177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8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9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9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9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9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0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5429687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4"/>
      <c r="E2" s="171" t="s">
        <v>49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x14ac:dyDescent="0.35">
      <c r="A3" s="6"/>
      <c r="B3" s="32"/>
      <c r="C3" s="6"/>
      <c r="D3" s="174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6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6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6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6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6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6"/>
      <c r="B10" s="6"/>
      <c r="C10" s="34"/>
      <c r="D10" s="36"/>
      <c r="E10" s="181"/>
      <c r="F10" s="182"/>
      <c r="G10" s="182"/>
      <c r="H10" s="182"/>
      <c r="I10" s="182"/>
      <c r="J10" s="182"/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3"/>
    </row>
    <row r="11" spans="1:36" x14ac:dyDescent="0.35">
      <c r="A11" s="176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6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6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6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6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6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6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6"/>
      <c r="B18" s="6"/>
      <c r="C18" s="34"/>
      <c r="D18" s="33"/>
      <c r="E18" s="181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3"/>
    </row>
    <row r="19" spans="1:35" x14ac:dyDescent="0.35">
      <c r="A19" s="176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6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6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6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6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6"/>
      <c r="B24" s="6"/>
      <c r="C24" s="34"/>
      <c r="E24" s="178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80"/>
    </row>
    <row r="25" spans="1:35" ht="15" thickBot="1" x14ac:dyDescent="0.4">
      <c r="A25" s="177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8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9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9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9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9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0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15" customHeight="1" x14ac:dyDescent="0.35">
      <c r="A1" s="6"/>
      <c r="B1" s="174"/>
      <c r="C1" s="171" t="s">
        <v>57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 x14ac:dyDescent="0.35">
      <c r="A2" s="6"/>
      <c r="B2" s="174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15" customHeight="1" x14ac:dyDescent="0.35">
      <c r="A1" s="6"/>
      <c r="B1" s="174"/>
      <c r="C1" s="184" t="s">
        <v>78</v>
      </c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6"/>
    </row>
    <row r="2" spans="1:34" x14ac:dyDescent="0.35">
      <c r="A2" s="6"/>
      <c r="B2" s="174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54296875" customWidth="1"/>
    <col min="33" max="33" width="4" style="91" bestFit="1" customWidth="1"/>
  </cols>
  <sheetData>
    <row r="1" spans="1:34" x14ac:dyDescent="0.35">
      <c r="A1" s="6"/>
      <c r="B1" s="174"/>
      <c r="C1" s="187" t="s">
        <v>81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</row>
    <row r="2" spans="1:34" x14ac:dyDescent="0.35">
      <c r="A2" s="6"/>
      <c r="B2" s="174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R19" sqref="R19"/>
    </sheetView>
  </sheetViews>
  <sheetFormatPr baseColWidth="10" defaultColWidth="8.81640625" defaultRowHeight="14.5" x14ac:dyDescent="0.35"/>
  <cols>
    <col min="2" max="2" width="31.1796875" customWidth="1"/>
    <col min="3" max="33" width="4.54296875" customWidth="1"/>
    <col min="34" max="34" width="8.81640625" style="91" customWidth="1"/>
  </cols>
  <sheetData>
    <row r="1" spans="1:37" ht="15" customHeight="1" x14ac:dyDescent="0.35">
      <c r="A1" s="6"/>
      <c r="B1" s="174"/>
      <c r="C1" s="187" t="s">
        <v>95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7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x14ac:dyDescent="0.35">
      <c r="A1" s="6"/>
      <c r="B1" s="174"/>
      <c r="C1" s="187" t="s">
        <v>97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4" x14ac:dyDescent="0.35">
      <c r="A2" s="6"/>
      <c r="B2" s="174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8" t="s">
        <v>98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</row>
    <row r="2" spans="1:34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 x14ac:dyDescent="0.35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 x14ac:dyDescent="0.35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 x14ac:dyDescent="0.35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 x14ac:dyDescent="0.35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 x14ac:dyDescent="0.35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104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 x14ac:dyDescent="0.35">
      <c r="A3" s="6"/>
      <c r="B3" s="174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 x14ac:dyDescent="0.35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 x14ac:dyDescent="0.35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 x14ac:dyDescent="0.35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 x14ac:dyDescent="0.35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 x14ac:dyDescent="0.35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 x14ac:dyDescent="0.35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 x14ac:dyDescent="0.35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 x14ac:dyDescent="0.35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 x14ac:dyDescent="0.35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 x14ac:dyDescent="0.35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 x14ac:dyDescent="0.35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AC8" sqref="AC8:AF8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108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G7"/>
    </row>
    <row r="8" spans="1:33" x14ac:dyDescent="0.35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 x14ac:dyDescent="0.35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 x14ac:dyDescent="0.3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 x14ac:dyDescent="0.35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 x14ac:dyDescent="0.35">
      <c r="AG18"/>
    </row>
    <row r="19" spans="1:33" x14ac:dyDescent="0.35">
      <c r="AG19"/>
    </row>
    <row r="20" spans="1:33" x14ac:dyDescent="0.35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 x14ac:dyDescent="0.35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 x14ac:dyDescent="0.35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 x14ac:dyDescent="0.35">
      <c r="AG23"/>
    </row>
    <row r="24" spans="1:33" x14ac:dyDescent="0.35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 x14ac:dyDescent="0.35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 x14ac:dyDescent="0.35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 x14ac:dyDescent="0.35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 x14ac:dyDescent="0.35">
      <c r="B29" t="s">
        <v>65</v>
      </c>
    </row>
    <row r="30" spans="1:33" x14ac:dyDescent="0.35">
      <c r="B30" s="5" t="s">
        <v>66</v>
      </c>
    </row>
    <row r="31" spans="1:33" x14ac:dyDescent="0.35">
      <c r="B31" s="5" t="s">
        <v>67</v>
      </c>
    </row>
    <row r="32" spans="1:33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tabSelected="1" topLeftCell="B1" workbookViewId="0">
      <selection activeCell="I13" sqref="I13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1" t="s">
        <v>14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7" t="s">
        <v>20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H7"/>
    </row>
    <row r="8" spans="1:34" x14ac:dyDescent="0.35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 x14ac:dyDescent="0.35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x14ac:dyDescent="0.3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5" t="s">
        <v>14</v>
      </c>
      <c r="U11" s="5" t="s">
        <v>14</v>
      </c>
      <c r="V11" s="5" t="s">
        <v>14</v>
      </c>
      <c r="W11" s="5" t="s">
        <v>14</v>
      </c>
      <c r="X11" s="5" t="s">
        <v>14</v>
      </c>
      <c r="Y11" s="5" t="s">
        <v>15</v>
      </c>
      <c r="Z11" s="5" t="s">
        <v>15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28" t="s">
        <v>7</v>
      </c>
      <c r="L12" s="28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5" t="s">
        <v>14</v>
      </c>
      <c r="AB12" s="5" t="s">
        <v>14</v>
      </c>
      <c r="AC12" s="5" t="s">
        <v>14</v>
      </c>
      <c r="AD12" s="5" t="s">
        <v>14</v>
      </c>
      <c r="AE12" s="5" t="s">
        <v>14</v>
      </c>
      <c r="AF12" s="5" t="s">
        <v>15</v>
      </c>
      <c r="AG12" s="5" t="s">
        <v>15</v>
      </c>
      <c r="AH12"/>
    </row>
    <row r="13" spans="1:34" x14ac:dyDescent="0.35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 x14ac:dyDescent="0.35">
      <c r="A17" s="34" t="s">
        <v>12</v>
      </c>
      <c r="B17" s="33" t="s">
        <v>22</v>
      </c>
      <c r="C17" s="28" t="s">
        <v>7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28" t="s">
        <v>7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28" t="s">
        <v>7</v>
      </c>
      <c r="AF17" s="28" t="s">
        <v>7</v>
      </c>
      <c r="AG17" s="28" t="s">
        <v>7</v>
      </c>
      <c r="AH17"/>
    </row>
    <row r="18" spans="1:34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 x14ac:dyDescent="0.35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45" t="s">
        <v>85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 x14ac:dyDescent="0.35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45" t="s">
        <v>54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 x14ac:dyDescent="0.35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 x14ac:dyDescent="0.35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7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 x14ac:dyDescent="0.35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 x14ac:dyDescent="0.35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 x14ac:dyDescent="0.35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 x14ac:dyDescent="0.35">
      <c r="B28" t="s">
        <v>65</v>
      </c>
    </row>
    <row r="29" spans="1:34" x14ac:dyDescent="0.35">
      <c r="B29" s="5" t="s">
        <v>66</v>
      </c>
    </row>
    <row r="30" spans="1:34" x14ac:dyDescent="0.35">
      <c r="B30" s="5" t="s">
        <v>67</v>
      </c>
    </row>
    <row r="31" spans="1:34" x14ac:dyDescent="0.35">
      <c r="B31" s="1" t="s">
        <v>68</v>
      </c>
    </row>
    <row r="32" spans="1:34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K40"/>
  <sheetViews>
    <sheetView topLeftCell="B3" workbookViewId="0">
      <selection activeCell="U21" sqref="U21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7" ht="24" customHeight="1" x14ac:dyDescent="0.35">
      <c r="A1" s="6"/>
      <c r="B1" s="174"/>
      <c r="C1" s="189" t="s">
        <v>112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7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7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7" x14ac:dyDescent="0.35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7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7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  <c r="AK6" s="5" t="s">
        <v>15</v>
      </c>
    </row>
    <row r="7" spans="1:37" x14ac:dyDescent="0.35">
      <c r="A7" s="34" t="s">
        <v>12</v>
      </c>
      <c r="B7" s="33" t="s">
        <v>111</v>
      </c>
      <c r="C7" s="118" t="s">
        <v>83</v>
      </c>
      <c r="D7" s="118" t="s">
        <v>83</v>
      </c>
      <c r="E7" s="118" t="s">
        <v>83</v>
      </c>
      <c r="F7" s="118" t="s">
        <v>83</v>
      </c>
      <c r="G7" s="118" t="s">
        <v>83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118" t="s">
        <v>83</v>
      </c>
      <c r="R7" s="118" t="s">
        <v>83</v>
      </c>
      <c r="S7" s="118" t="s">
        <v>83</v>
      </c>
      <c r="T7" s="118" t="s">
        <v>83</v>
      </c>
      <c r="U7" s="118" t="s">
        <v>83</v>
      </c>
      <c r="V7" s="28" t="s">
        <v>7</v>
      </c>
      <c r="W7" s="28" t="s">
        <v>7</v>
      </c>
      <c r="X7" s="118" t="s">
        <v>83</v>
      </c>
      <c r="Y7" s="118" t="s">
        <v>83</v>
      </c>
      <c r="Z7" s="118" t="s">
        <v>83</v>
      </c>
      <c r="AA7" s="118" t="s">
        <v>83</v>
      </c>
      <c r="AB7" s="118" t="s">
        <v>83</v>
      </c>
      <c r="AC7" s="28" t="s">
        <v>7</v>
      </c>
      <c r="AD7" s="28" t="s">
        <v>7</v>
      </c>
      <c r="AE7" s="118" t="s">
        <v>83</v>
      </c>
      <c r="AF7" s="118" t="s">
        <v>83</v>
      </c>
      <c r="AG7"/>
    </row>
    <row r="8" spans="1:37" x14ac:dyDescent="0.35">
      <c r="AG8"/>
    </row>
    <row r="9" spans="1:37" x14ac:dyDescent="0.35">
      <c r="AG9"/>
    </row>
    <row r="10" spans="1:37" x14ac:dyDescent="0.35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7" x14ac:dyDescent="0.35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7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7" x14ac:dyDescent="0.35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7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7" x14ac:dyDescent="0.35">
      <c r="AG15"/>
    </row>
    <row r="16" spans="1:37" x14ac:dyDescent="0.35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 x14ac:dyDescent="0.35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 x14ac:dyDescent="0.35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 x14ac:dyDescent="0.35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 x14ac:dyDescent="0.35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 x14ac:dyDescent="0.35">
      <c r="H22" t="s">
        <v>114</v>
      </c>
      <c r="AG22"/>
    </row>
    <row r="23" spans="1:33" x14ac:dyDescent="0.35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5</v>
      </c>
      <c r="I23" s="110">
        <f t="shared" si="0"/>
        <v>5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 x14ac:dyDescent="0.35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 x14ac:dyDescent="0.35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 x14ac:dyDescent="0.35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 x14ac:dyDescent="0.35">
      <c r="B28" t="s">
        <v>65</v>
      </c>
    </row>
    <row r="29" spans="1:33" x14ac:dyDescent="0.35">
      <c r="B29" s="5" t="s">
        <v>66</v>
      </c>
    </row>
    <row r="30" spans="1:33" x14ac:dyDescent="0.35">
      <c r="B30" s="5" t="s">
        <v>67</v>
      </c>
    </row>
    <row r="31" spans="1:33" x14ac:dyDescent="0.35">
      <c r="B31" s="1" t="s">
        <v>68</v>
      </c>
    </row>
    <row r="32" spans="1:33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topLeftCell="B3" workbookViewId="0">
      <selection activeCell="S18" sqref="S1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6" ht="24" customHeight="1" x14ac:dyDescent="0.35">
      <c r="A1" s="6"/>
      <c r="B1" s="174"/>
      <c r="C1" s="189" t="s">
        <v>115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6" x14ac:dyDescent="0.35">
      <c r="A2" s="6"/>
      <c r="B2" s="174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x14ac:dyDescent="0.3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 x14ac:dyDescent="0.35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5</v>
      </c>
      <c r="P20" s="110">
        <f t="shared" si="0"/>
        <v>5</v>
      </c>
      <c r="Q20" s="110">
        <f t="shared" si="0"/>
        <v>5</v>
      </c>
      <c r="R20" s="110">
        <f t="shared" si="0"/>
        <v>5</v>
      </c>
      <c r="S20" s="110">
        <f t="shared" si="0"/>
        <v>5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1</v>
      </c>
      <c r="P23" s="112">
        <f t="shared" si="3"/>
        <v>1</v>
      </c>
      <c r="Q23" s="112">
        <f t="shared" si="3"/>
        <v>1</v>
      </c>
      <c r="R23" s="112">
        <f t="shared" si="3"/>
        <v>1</v>
      </c>
      <c r="S23" s="112">
        <f t="shared" si="3"/>
        <v>1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9.54296875" style="91" customWidth="1"/>
  </cols>
  <sheetData>
    <row r="1" spans="1:33" ht="24" customHeight="1" x14ac:dyDescent="0.35">
      <c r="A1" s="6"/>
      <c r="B1" s="174"/>
      <c r="C1" s="189" t="s">
        <v>117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/>
    </row>
    <row r="2" spans="1:33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119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120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5429687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54296875" customWidth="1"/>
    <col min="63" max="63" width="5" customWidth="1"/>
    <col min="64" max="64" width="4.1796875" customWidth="1"/>
  </cols>
  <sheetData>
    <row r="2" spans="4:64" x14ac:dyDescent="0.35">
      <c r="G2" s="101" t="s">
        <v>121</v>
      </c>
      <c r="I2" s="102">
        <f>1800*10</f>
        <v>18000</v>
      </c>
    </row>
    <row r="3" spans="4:64" x14ac:dyDescent="0.35">
      <c r="G3" s="101" t="s">
        <v>122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 x14ac:dyDescent="0.35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192</v>
      </c>
      <c r="H23">
        <f>AVERAGE(H10:H20)</f>
        <v>849.6</v>
      </c>
    </row>
    <row r="27" spans="7:64" x14ac:dyDescent="0.35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 x14ac:dyDescent="0.35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191</v>
      </c>
      <c r="H40">
        <f>SUM(H28:H38)</f>
        <v>17424</v>
      </c>
    </row>
    <row r="41" spans="7:64" x14ac:dyDescent="0.35">
      <c r="G41" s="101" t="s">
        <v>192</v>
      </c>
      <c r="H41">
        <f>AVERAGE(H28:H38)</f>
        <v>1742.4</v>
      </c>
      <c r="K41" s="104" t="s">
        <v>193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  <row r="84" spans="7:64" x14ac:dyDescent="0.35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 x14ac:dyDescent="0.35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 x14ac:dyDescent="0.35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 x14ac:dyDescent="0.35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 x14ac:dyDescent="0.35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 x14ac:dyDescent="0.35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 x14ac:dyDescent="0.35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 x14ac:dyDescent="0.35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 x14ac:dyDescent="0.35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 x14ac:dyDescent="0.35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 x14ac:dyDescent="0.35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 x14ac:dyDescent="0.35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 x14ac:dyDescent="0.35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 x14ac:dyDescent="0.35">
      <c r="G98" s="101" t="s">
        <v>191</v>
      </c>
      <c r="H98">
        <f>SUM(H85:H96)</f>
        <v>6880</v>
      </c>
    </row>
    <row r="99" spans="7:11" x14ac:dyDescent="0.35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baseColWidth="10" defaultColWidth="8.7265625" defaultRowHeight="14.5" x14ac:dyDescent="0.35"/>
  <cols>
    <col min="4" max="4" width="9.1796875" bestFit="1" customWidth="1"/>
  </cols>
  <sheetData>
    <row r="2" spans="4:61" x14ac:dyDescent="0.35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 x14ac:dyDescent="0.35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 x14ac:dyDescent="0.35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 x14ac:dyDescent="0.35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 x14ac:dyDescent="0.35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 x14ac:dyDescent="0.35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 x14ac:dyDescent="0.35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 x14ac:dyDescent="0.35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 x14ac:dyDescent="0.35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 x14ac:dyDescent="0.35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 x14ac:dyDescent="0.35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 x14ac:dyDescent="0.35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 x14ac:dyDescent="0.35">
      <c r="D15" s="101" t="s">
        <v>191</v>
      </c>
      <c r="E15">
        <f>SUM(E3:E13)</f>
        <v>17424</v>
      </c>
    </row>
    <row r="16" spans="4:61" x14ac:dyDescent="0.35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2026-05-03T14:11:25Z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