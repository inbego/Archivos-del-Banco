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3252" documentId="8_{BF395F17-8A36-4A5B-A61D-48748E8233D4}" xr6:coauthVersionLast="47" xr6:coauthVersionMax="47" xr10:uidLastSave="{85F88174-308E-496B-90A5-1E887C24079E}"/>
  <bookViews>
    <workbookView xWindow="-120" yWindow="-120" windowWidth="38640" windowHeight="21120" firstSheet="12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Abril-2026" sheetId="30" r:id="rId7"/>
    <sheet name="Enero-2026" sheetId="15" r:id="rId8"/>
    <sheet name="Febrero-2026" sheetId="18" r:id="rId9"/>
    <sheet name="Marzo-2026" sheetId="19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3" l="1"/>
  <c r="M24" i="23"/>
  <c r="M23" i="23"/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X25" i="32" l="1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3"/>
  <c r="D23" i="23"/>
  <c r="E23" i="23"/>
  <c r="F23" i="23"/>
  <c r="G23" i="23"/>
  <c r="H23" i="23"/>
  <c r="I23" i="23"/>
  <c r="J23" i="23"/>
  <c r="K23" i="23"/>
  <c r="L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23"/>
  <c r="D24" i="23"/>
  <c r="E24" i="23"/>
  <c r="F24" i="23"/>
  <c r="G24" i="23"/>
  <c r="H24" i="23"/>
  <c r="I24" i="23"/>
  <c r="J24" i="23"/>
  <c r="K24" i="23"/>
  <c r="L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2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2" i="23"/>
  <c r="M22" i="23"/>
  <c r="AE22" i="23"/>
  <c r="R22" i="23"/>
  <c r="K22" i="23"/>
  <c r="W22" i="23"/>
  <c r="J22" i="23"/>
  <c r="AG22" i="23"/>
  <c r="U22" i="23"/>
  <c r="I22" i="23"/>
  <c r="S22" i="23"/>
  <c r="V22" i="23"/>
  <c r="AD22" i="23"/>
  <c r="Z22" i="23"/>
  <c r="N22" i="23"/>
  <c r="Y22" i="23"/>
  <c r="E22" i="23"/>
  <c r="D22" i="23"/>
  <c r="G22" i="23"/>
  <c r="C22" i="23"/>
  <c r="F22" i="23"/>
  <c r="O22" i="23"/>
  <c r="AC22" i="23"/>
  <c r="AB22" i="23"/>
  <c r="P22" i="23"/>
  <c r="AA22" i="23"/>
  <c r="Q22" i="23"/>
  <c r="AF22" i="23"/>
  <c r="T22" i="23"/>
  <c r="H22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tc={5EC1227B-6469-4D37-AC1A-68884B9D869D}</author>
    <author>Muñoz Valle Adrian</author>
    <author>Benitez Gonzalez Inmaculada</author>
  </authors>
  <commentList>
    <comment ref="AF13" authorId="0" shapeId="0" xr:uid="{5EC1227B-6469-4D37-AC1A-68884B9D869D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MEDICO - 12:40</t>
      </text>
    </comment>
    <comment ref="E19" authorId="1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2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<sst xmlns="http://schemas.openxmlformats.org/spreadsheetml/2006/main" count="11639" uniqueCount="196">
  <si>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</si>
  <si>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</si>
  <si>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</si>
  <si>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</si>
  <si>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</si>
  <si>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</si>
  <si>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</si>
  <si>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</si>
  <si>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</si>
  <si>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</si>
  <si>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</si>
  <si>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</si>
  <si>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</si>
  <si>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</si>
  <si>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</si>
  <si>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</si>
  <si>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</si>
  <si>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</si>
  <si>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</si>
  <si>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</si>
  <si>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</si>
  <si>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</si>
  <si>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</si>
  <si>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</si>
  <si>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</si>
  <si>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</si>
  <si>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</si>
  <si>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</si>
  <si>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</si>
  <si>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</si>
  <si>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</si>
  <si>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</si>
  <si>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</si>
  <si>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</si>
  <si>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</si>
  <si>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</si>
  <si>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</si>
  <si>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</si>
  <si>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</si>
  <si>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</si>
  <si>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</si>
  <si>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</si>
  <si>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</si>
  <si>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</si>
  <si>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</si>
  <si>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</si>
  <si>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</si>
  <si>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</si>
  <si>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</si>
  <si>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</si>
  <si>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</si>
  <si>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</si>
  <si>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</si>
  <si>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</si>
  <si>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</si>
  <si>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</si>
  <si>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</si>
  <si>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</si>
  <si>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</si>
  <si>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</si>
  <si>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</si>
  <si>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</si>
  <si>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</si>
  <si>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</si>
  <si>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</si>
  <si>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</si>
  <si>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</si>
  <si>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</si>
  <si>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</si>
  <si>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</si>
  <si>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</si>
  <si>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</si>
  <si>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</si>
  <si>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</si>
  <si>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</si>
  <si>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</si>
  <si>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</si>
  <si>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</si>
  <si>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</si>
  <si>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</si>
  <si>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</si>
  <si>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</si>
  <si>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</si>
  <si>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</si>
  <si>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</si>
  <si>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</si>
  <si>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</si>
  <si>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</si>
  <si>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</si>
  <si>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</si>
  <si>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</si>
  <si>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</si>
  <si>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</si>
  <si>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</si>
  <si>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</si>
  <si>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</si>
  <si>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</si>
  <si>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</si>
  <si>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</si>
  <si>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p,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</si>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</sst>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FFFFFF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23" fillId="23" borderId="21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F13" dT="2026-06-29T12:32:06.13" personId="{678BB04D-11B0-457D-BCA0-D5F409BCB035}" id="{5EC1227B-6469-4D37-AC1A-68884B9D869D}">
    <text>MEDICO - 12:40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2"/>
      <c r="E2" s="178" t="s">
        <v>0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ht="18" customHeight="1">
      <c r="B3" s="32"/>
      <c r="D3" s="17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2"/>
      <c r="C11" s="34"/>
      <c r="D11" s="36"/>
      <c r="E11" s="187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9"/>
      <c r="AJ11" s="91"/>
    </row>
    <row r="12" spans="1:36" ht="18" customHeight="1">
      <c r="A12" s="18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2"/>
      <c r="C17" s="34"/>
      <c r="D17" s="33"/>
      <c r="E17" s="187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9"/>
    </row>
    <row r="18" spans="1:36" ht="18" customHeight="1">
      <c r="A18" s="18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2"/>
      <c r="C23" s="34"/>
      <c r="D23" s="35"/>
      <c r="E23" s="184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6"/>
    </row>
    <row r="24" spans="1:36" ht="18" customHeight="1">
      <c r="A24" s="18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.7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>
      <c r="A2" s="6"/>
      <c r="B2" s="6"/>
      <c r="C2" s="6"/>
      <c r="D2" s="172"/>
      <c r="E2" s="178" t="s">
        <v>49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>
      <c r="A3" s="6"/>
      <c r="B3" s="32"/>
      <c r="C3" s="6"/>
      <c r="D3" s="17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2"/>
      <c r="B10" s="6"/>
      <c r="C10" s="34"/>
      <c r="D10" s="36"/>
      <c r="E10" s="187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9"/>
    </row>
    <row r="11" spans="1:36">
      <c r="A11" s="18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>
      <c r="A13" s="18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>
      <c r="A14" s="18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2"/>
      <c r="B18" s="6"/>
      <c r="C18" s="34"/>
      <c r="D18" s="33"/>
      <c r="E18" s="187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9"/>
    </row>
    <row r="19" spans="1:35">
      <c r="A19" s="18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2"/>
      <c r="B24" s="6"/>
      <c r="C24" s="34"/>
      <c r="E24" s="184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6"/>
    </row>
    <row r="25" spans="1:35" ht="15.75" thickBot="1">
      <c r="A25" s="18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>
      <c r="A33" s="17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2"/>
      <c r="C1" s="178" t="s">
        <v>57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2"/>
      <c r="C1" s="190" t="s">
        <v>78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2"/>
    </row>
    <row r="2" spans="1:34">
      <c r="A2" s="6"/>
      <c r="B2" s="17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2"/>
      <c r="C1" s="193" t="s">
        <v>81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 spans="1:34">
      <c r="A2" s="6"/>
      <c r="B2" s="17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2"/>
      <c r="C1" s="193" t="s">
        <v>95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7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97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99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101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2"/>
      <c r="C1" s="193" t="s">
        <v>103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4">
      <c r="A2" s="6"/>
      <c r="B2" s="17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94" t="s">
        <v>104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</row>
    <row r="2" spans="1:34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105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106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107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108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9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109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>
      <c r="A3" s="6"/>
      <c r="B3" s="172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>
      <c r="A4" s="63" t="s">
        <v>12</v>
      </c>
      <c r="B4" s="62" t="s">
        <v>110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>
      <c r="A10" s="34" t="s">
        <v>12</v>
      </c>
      <c r="B10" s="33" t="s">
        <v>101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102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2"/>
      <c r="C1" s="173" t="s">
        <v>111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101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102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tabSelected="1" workbookViewId="0">
      <selection activeCell="AF13" sqref="AF13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113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102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>
      <c r="AG12"/>
    </row>
    <row r="13" spans="1:33">
      <c r="A13" s="34" t="s">
        <v>12</v>
      </c>
      <c r="B13" s="167" t="s">
        <v>114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37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14</v>
      </c>
      <c r="AG13"/>
    </row>
    <row r="14" spans="1:33">
      <c r="A14" s="34" t="s">
        <v>12</v>
      </c>
      <c r="B14" s="167" t="s">
        <v>112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61</v>
      </c>
      <c r="Y19" s="157" t="s">
        <v>32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57" t="s">
        <v>11</v>
      </c>
      <c r="AF19" s="144" t="s">
        <v>54</v>
      </c>
      <c r="AG19"/>
    </row>
    <row r="20" spans="1:33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57" t="s">
        <v>32</v>
      </c>
      <c r="Y20" s="17" t="s">
        <v>4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44" t="s">
        <v>54</v>
      </c>
      <c r="AF20" s="157" t="s">
        <v>11</v>
      </c>
      <c r="AG20"/>
    </row>
    <row r="21" spans="1:33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>
      <c r="AG22"/>
    </row>
    <row r="23" spans="1:33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6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2</v>
      </c>
      <c r="Y28" s="112">
        <f t="shared" si="5"/>
        <v>1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9"/>
  <sheetViews>
    <sheetView workbookViewId="0">
      <selection activeCell="E19" sqref="E19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2"/>
      <c r="C1" s="173" t="s">
        <v>115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6">
      <c r="A2" s="6"/>
      <c r="B2" s="17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110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71" t="s">
        <v>16</v>
      </c>
      <c r="I8" s="171" t="s">
        <v>16</v>
      </c>
      <c r="J8" s="171" t="s">
        <v>16</v>
      </c>
      <c r="K8" s="171" t="s">
        <v>16</v>
      </c>
      <c r="L8" s="171" t="s">
        <v>16</v>
      </c>
      <c r="M8" s="171" t="s">
        <v>17</v>
      </c>
      <c r="N8" s="171" t="s">
        <v>17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69" t="s">
        <v>20</v>
      </c>
      <c r="W8" s="169" t="s">
        <v>20</v>
      </c>
      <c r="X8" s="169" t="s">
        <v>20</v>
      </c>
      <c r="Y8" s="169" t="s">
        <v>20</v>
      </c>
      <c r="Z8" s="169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71" t="s">
        <v>16</v>
      </c>
      <c r="P9" s="171" t="s">
        <v>16</v>
      </c>
      <c r="Q9" s="171" t="s">
        <v>16</v>
      </c>
      <c r="R9" s="171" t="s">
        <v>16</v>
      </c>
      <c r="S9" s="171" t="s">
        <v>16</v>
      </c>
      <c r="T9" s="171" t="s">
        <v>17</v>
      </c>
      <c r="U9" s="171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69" t="s">
        <v>20</v>
      </c>
      <c r="AD9" s="169" t="s">
        <v>20</v>
      </c>
      <c r="AE9" s="169" t="s">
        <v>20</v>
      </c>
      <c r="AF9" s="169" t="s">
        <v>20</v>
      </c>
      <c r="AG9" s="169" t="s">
        <v>20</v>
      </c>
      <c r="AH9"/>
    </row>
    <row r="10" spans="1:36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69" t="s">
        <v>20</v>
      </c>
      <c r="P10" s="169" t="s">
        <v>20</v>
      </c>
      <c r="Q10" s="169" t="s">
        <v>20</v>
      </c>
      <c r="R10" s="169" t="s">
        <v>20</v>
      </c>
      <c r="S10" s="169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71" t="s">
        <v>16</v>
      </c>
      <c r="AD10" s="171" t="s">
        <v>16</v>
      </c>
      <c r="AE10" s="171" t="s">
        <v>16</v>
      </c>
      <c r="AF10" s="171" t="s">
        <v>16</v>
      </c>
      <c r="AG10" s="171" t="s">
        <v>16</v>
      </c>
      <c r="AH10"/>
    </row>
    <row r="11" spans="1:36">
      <c r="A11" s="34" t="s">
        <v>12</v>
      </c>
      <c r="B11" s="33" t="s">
        <v>102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69" t="s">
        <v>20</v>
      </c>
      <c r="I11" s="169" t="s">
        <v>20</v>
      </c>
      <c r="J11" s="169" t="s">
        <v>20</v>
      </c>
      <c r="K11" s="169" t="s">
        <v>20</v>
      </c>
      <c r="L11" s="169" t="s">
        <v>20</v>
      </c>
      <c r="M11" s="5" t="s">
        <v>15</v>
      </c>
      <c r="N11" s="5" t="s">
        <v>15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71" t="s">
        <v>16</v>
      </c>
      <c r="W11" s="171" t="s">
        <v>16</v>
      </c>
      <c r="X11" s="171" t="s">
        <v>16</v>
      </c>
      <c r="Y11" s="171" t="s">
        <v>16</v>
      </c>
      <c r="Z11" s="171" t="s">
        <v>16</v>
      </c>
      <c r="AA11" s="171" t="s">
        <v>17</v>
      </c>
      <c r="AB11" s="171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>
      <c r="AH12"/>
    </row>
    <row r="13" spans="1:36">
      <c r="A13" s="34" t="s">
        <v>12</v>
      </c>
      <c r="B13" s="167" t="s">
        <v>114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>
      <c r="A14" s="34" t="s">
        <v>12</v>
      </c>
      <c r="B14" s="167" t="s">
        <v>112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>
      <c r="AH15"/>
    </row>
    <row r="16" spans="1:36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130" t="s">
        <v>16</v>
      </c>
      <c r="I16" s="130" t="s">
        <v>16</v>
      </c>
      <c r="J16" s="130" t="s">
        <v>16</v>
      </c>
      <c r="K16" s="130" t="s">
        <v>16</v>
      </c>
      <c r="L16" s="130" t="s">
        <v>16</v>
      </c>
      <c r="M16" s="130" t="s">
        <v>17</v>
      </c>
      <c r="N16" s="130" t="s">
        <v>17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130" t="s">
        <v>16</v>
      </c>
      <c r="W16" s="130" t="s">
        <v>16</v>
      </c>
      <c r="X16" s="130" t="s">
        <v>16</v>
      </c>
      <c r="Y16" s="130" t="s">
        <v>16</v>
      </c>
      <c r="Z16" s="130" t="s">
        <v>16</v>
      </c>
      <c r="AA16" s="130" t="s">
        <v>17</v>
      </c>
      <c r="AB16" s="130" t="s">
        <v>17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  <c r="AH16"/>
    </row>
    <row r="17" spans="1:34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17</v>
      </c>
      <c r="G17" s="130" t="s">
        <v>17</v>
      </c>
      <c r="H17" s="28" t="s">
        <v>7</v>
      </c>
      <c r="I17" s="28" t="s">
        <v>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130" t="s">
        <v>16</v>
      </c>
      <c r="P17" s="130" t="s">
        <v>16</v>
      </c>
      <c r="Q17" s="130" t="s">
        <v>16</v>
      </c>
      <c r="R17" s="130" t="s">
        <v>16</v>
      </c>
      <c r="S17" s="130" t="s">
        <v>16</v>
      </c>
      <c r="T17" s="130" t="s">
        <v>17</v>
      </c>
      <c r="U17" s="130" t="s">
        <v>17</v>
      </c>
      <c r="V17" s="28" t="s">
        <v>7</v>
      </c>
      <c r="W17" s="28" t="s">
        <v>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130" t="s">
        <v>16</v>
      </c>
      <c r="AD17" s="130" t="s">
        <v>16</v>
      </c>
      <c r="AE17" s="130" t="s">
        <v>16</v>
      </c>
      <c r="AF17" s="130" t="s">
        <v>16</v>
      </c>
      <c r="AG17" s="130" t="s">
        <v>16</v>
      </c>
      <c r="AH17"/>
    </row>
    <row r="18" spans="1:34">
      <c r="AH18"/>
    </row>
    <row r="19" spans="1:34">
      <c r="A19" s="34" t="s">
        <v>28</v>
      </c>
      <c r="B19" s="37" t="s">
        <v>29</v>
      </c>
      <c r="C19" s="4" t="s">
        <v>11</v>
      </c>
      <c r="D19" s="4" t="s">
        <v>11</v>
      </c>
      <c r="E19" s="4" t="s">
        <v>11</v>
      </c>
      <c r="F19" s="28" t="s">
        <v>7</v>
      </c>
      <c r="G19" s="28" t="s">
        <v>7</v>
      </c>
      <c r="H19" s="4" t="s">
        <v>85</v>
      </c>
      <c r="I19" s="4" t="s">
        <v>85</v>
      </c>
      <c r="J19" s="4" t="s">
        <v>85</v>
      </c>
      <c r="K19" s="4" t="s">
        <v>85</v>
      </c>
      <c r="L19" s="4" t="s">
        <v>85</v>
      </c>
      <c r="M19" s="28" t="s">
        <v>30</v>
      </c>
      <c r="N19" s="28" t="s">
        <v>30</v>
      </c>
      <c r="O19" s="25" t="s">
        <v>14</v>
      </c>
      <c r="P19" s="25" t="s">
        <v>14</v>
      </c>
      <c r="Q19" s="25" t="s">
        <v>14</v>
      </c>
      <c r="R19" s="25" t="s">
        <v>14</v>
      </c>
      <c r="S19" s="25" t="s">
        <v>14</v>
      </c>
      <c r="T19" s="28" t="s">
        <v>7</v>
      </c>
      <c r="U19" s="28" t="s">
        <v>7</v>
      </c>
      <c r="V19" s="4" t="s">
        <v>85</v>
      </c>
      <c r="W19" s="4" t="s">
        <v>85</v>
      </c>
      <c r="X19" s="4" t="s">
        <v>85</v>
      </c>
      <c r="Y19" s="4" t="s">
        <v>85</v>
      </c>
      <c r="Z19" s="4" t="s">
        <v>85</v>
      </c>
      <c r="AA19" s="28" t="s">
        <v>7</v>
      </c>
      <c r="AB19" s="28" t="s">
        <v>7</v>
      </c>
      <c r="AC19" s="4" t="s">
        <v>11</v>
      </c>
      <c r="AD19" s="4" t="s">
        <v>11</v>
      </c>
      <c r="AE19" s="4" t="s">
        <v>11</v>
      </c>
      <c r="AF19" s="4" t="s">
        <v>11</v>
      </c>
      <c r="AG19" s="4" t="s">
        <v>11</v>
      </c>
      <c r="AH19"/>
    </row>
    <row r="20" spans="1:34">
      <c r="A20" s="34" t="s">
        <v>28</v>
      </c>
      <c r="B20" s="37" t="s">
        <v>60</v>
      </c>
      <c r="C20" s="25" t="s">
        <v>14</v>
      </c>
      <c r="D20" s="25" t="s">
        <v>14</v>
      </c>
      <c r="E20" s="25" t="s">
        <v>14</v>
      </c>
      <c r="F20" s="28" t="s">
        <v>7</v>
      </c>
      <c r="G20" s="28" t="s">
        <v>7</v>
      </c>
      <c r="H20" s="4" t="s">
        <v>11</v>
      </c>
      <c r="I20" s="4" t="s">
        <v>11</v>
      </c>
      <c r="J20" s="4" t="s">
        <v>11</v>
      </c>
      <c r="K20" s="4" t="s">
        <v>11</v>
      </c>
      <c r="L20" s="4" t="s">
        <v>11</v>
      </c>
      <c r="M20" s="28" t="s">
        <v>7</v>
      </c>
      <c r="N20" s="28" t="s">
        <v>7</v>
      </c>
      <c r="O20" s="4" t="s">
        <v>85</v>
      </c>
      <c r="P20" s="4" t="s">
        <v>85</v>
      </c>
      <c r="Q20" s="4" t="s">
        <v>85</v>
      </c>
      <c r="R20" s="4" t="s">
        <v>85</v>
      </c>
      <c r="S20" s="4" t="s">
        <v>85</v>
      </c>
      <c r="T20" s="28" t="s">
        <v>30</v>
      </c>
      <c r="U20" s="28" t="s">
        <v>30</v>
      </c>
      <c r="V20" s="17" t="s">
        <v>4</v>
      </c>
      <c r="W20" s="17" t="s">
        <v>4</v>
      </c>
      <c r="X20" s="17" t="s">
        <v>4</v>
      </c>
      <c r="Y20" s="17" t="s">
        <v>4</v>
      </c>
      <c r="Z20" s="17" t="s">
        <v>4</v>
      </c>
      <c r="AA20" s="28" t="s">
        <v>7</v>
      </c>
      <c r="AB20" s="28" t="s">
        <v>7</v>
      </c>
      <c r="AC20" s="25" t="s">
        <v>14</v>
      </c>
      <c r="AD20" s="25" t="s">
        <v>14</v>
      </c>
      <c r="AE20" s="25" t="s">
        <v>14</v>
      </c>
      <c r="AF20" s="25" t="s">
        <v>14</v>
      </c>
      <c r="AG20" s="25" t="s">
        <v>14</v>
      </c>
      <c r="AH20"/>
    </row>
    <row r="21" spans="1:34">
      <c r="A21" s="34" t="s">
        <v>28</v>
      </c>
      <c r="B21" s="37" t="s">
        <v>13</v>
      </c>
      <c r="C21" s="4" t="s">
        <v>85</v>
      </c>
      <c r="D21" s="4" t="s">
        <v>85</v>
      </c>
      <c r="E21" s="4" t="s">
        <v>85</v>
      </c>
      <c r="F21" s="28" t="s">
        <v>30</v>
      </c>
      <c r="G21" s="28" t="s">
        <v>30</v>
      </c>
      <c r="H21" s="25" t="s">
        <v>14</v>
      </c>
      <c r="I21" s="25" t="s">
        <v>14</v>
      </c>
      <c r="J21" s="25" t="s">
        <v>14</v>
      </c>
      <c r="K21" s="25" t="s">
        <v>14</v>
      </c>
      <c r="L21" s="25" t="s">
        <v>14</v>
      </c>
      <c r="M21" s="28" t="s">
        <v>7</v>
      </c>
      <c r="N21" s="28" t="s">
        <v>7</v>
      </c>
      <c r="O21" s="17" t="s">
        <v>4</v>
      </c>
      <c r="P21" s="17" t="s">
        <v>4</v>
      </c>
      <c r="Q21" s="17" t="s">
        <v>4</v>
      </c>
      <c r="R21" s="17" t="s">
        <v>4</v>
      </c>
      <c r="S21" s="17" t="s">
        <v>4</v>
      </c>
      <c r="T21" s="28" t="s">
        <v>7</v>
      </c>
      <c r="U21" s="28" t="s">
        <v>7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30</v>
      </c>
      <c r="AB21" s="28" t="s">
        <v>30</v>
      </c>
      <c r="AC21" s="4" t="s">
        <v>85</v>
      </c>
      <c r="AD21" s="4" t="s">
        <v>85</v>
      </c>
      <c r="AE21" s="4" t="s">
        <v>85</v>
      </c>
      <c r="AF21" s="4" t="s">
        <v>85</v>
      </c>
      <c r="AG21" s="4" t="s">
        <v>85</v>
      </c>
      <c r="AH21"/>
    </row>
    <row r="22" spans="1:34">
      <c r="B22" s="111" t="s">
        <v>89</v>
      </c>
      <c r="C22" s="110">
        <f t="shared" ref="C22:AG22" si="0">SUM(C23:C25)</f>
        <v>5</v>
      </c>
      <c r="D22" s="110">
        <f t="shared" si="0"/>
        <v>5</v>
      </c>
      <c r="E22" s="110">
        <f t="shared" si="0"/>
        <v>5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5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  <c r="AG22" s="110">
        <f t="shared" si="0"/>
        <v>5</v>
      </c>
    </row>
    <row r="23" spans="1:34">
      <c r="B23" s="111" t="s">
        <v>90</v>
      </c>
      <c r="C23" s="112">
        <f>COUNTIF(C4:C17,"T")</f>
        <v>3</v>
      </c>
      <c r="D23" s="112">
        <f>COUNTIF(D4:D17,"T")</f>
        <v>3</v>
      </c>
      <c r="E23" s="112">
        <f>COUNTIF(E4:E17,"T")</f>
        <v>3</v>
      </c>
      <c r="F23" s="112">
        <f>COUNTIF(F4:F17,"T")</f>
        <v>0</v>
      </c>
      <c r="G23" s="112">
        <f>COUNTIF(G4:G17,"T")</f>
        <v>0</v>
      </c>
      <c r="H23" s="112">
        <f>COUNTIF(H4:H17,"T")</f>
        <v>2</v>
      </c>
      <c r="I23" s="112">
        <f>COUNTIF(I4:I17,"T")</f>
        <v>2</v>
      </c>
      <c r="J23" s="112">
        <f>COUNTIF(J4:J17,"T")</f>
        <v>2</v>
      </c>
      <c r="K23" s="112">
        <f>COUNTIF(K4:K17,"T")</f>
        <v>2</v>
      </c>
      <c r="L23" s="112">
        <f>COUNTIF(L4:L17,"T")</f>
        <v>2</v>
      </c>
      <c r="M23" s="112">
        <f>COUNTIF(M4:M17,"T")</f>
        <v>0</v>
      </c>
      <c r="N23" s="112">
        <f>COUNTIF(N4:N17,"T")</f>
        <v>0</v>
      </c>
      <c r="O23" s="112">
        <f>COUNTIF(O4:O17,"T")</f>
        <v>3</v>
      </c>
      <c r="P23" s="112">
        <f>COUNTIF(P4:P17,"T")</f>
        <v>3</v>
      </c>
      <c r="Q23" s="112">
        <f>COUNTIF(Q4:Q17,"T")</f>
        <v>3</v>
      </c>
      <c r="R23" s="112">
        <f>COUNTIF(R4:R17,"T")</f>
        <v>3</v>
      </c>
      <c r="S23" s="112">
        <f>COUNTIF(S4:S17,"T")</f>
        <v>3</v>
      </c>
      <c r="T23" s="112">
        <f>COUNTIF(T4:T17,"T")</f>
        <v>0</v>
      </c>
      <c r="U23" s="112">
        <f>COUNTIF(U4:U17,"T")</f>
        <v>0</v>
      </c>
      <c r="V23" s="112">
        <f>COUNTIF(V4:V17,"T")</f>
        <v>2</v>
      </c>
      <c r="W23" s="112">
        <f>COUNTIF(W4:W17,"T")</f>
        <v>2</v>
      </c>
      <c r="X23" s="112">
        <f>COUNTIF(X4:X17,"T")</f>
        <v>2</v>
      </c>
      <c r="Y23" s="112">
        <f>COUNTIF(Y4:Y17,"T")</f>
        <v>2</v>
      </c>
      <c r="Z23" s="112">
        <f>COUNTIF(Z4:Z17,"T")</f>
        <v>2</v>
      </c>
      <c r="AA23" s="112">
        <f>COUNTIF(AA4:AA17,"T")</f>
        <v>0</v>
      </c>
      <c r="AB23" s="112">
        <f>COUNTIF(AB4:AB17,"T")</f>
        <v>0</v>
      </c>
      <c r="AC23" s="112">
        <f>COUNTIF(AC4:AC17,"T")</f>
        <v>3</v>
      </c>
      <c r="AD23" s="112">
        <f>COUNTIF(AD4:AD17,"T")</f>
        <v>3</v>
      </c>
      <c r="AE23" s="112">
        <f>COUNTIF(AE4:AE17,"T")</f>
        <v>3</v>
      </c>
      <c r="AF23" s="112">
        <f>COUNTIF(AF4:AF17,"T")</f>
        <v>3</v>
      </c>
      <c r="AG23" s="112">
        <f>COUNTIF(AG4:AG17,"T")</f>
        <v>3</v>
      </c>
    </row>
    <row r="24" spans="1:34">
      <c r="B24" s="111" t="s">
        <v>91</v>
      </c>
      <c r="C24" s="112">
        <f>COUNTIF(C4:C17,"N")+COUNTIF(C4:C17,"NF")</f>
        <v>2</v>
      </c>
      <c r="D24" s="112">
        <f>COUNTIF(D4:D17,"N")+COUNTIF(D4:D17,"NF")</f>
        <v>2</v>
      </c>
      <c r="E24" s="112">
        <f>COUNTIF(E4:E17,"N")+COUNTIF(E4:E17,"NF")</f>
        <v>2</v>
      </c>
      <c r="F24" s="112">
        <f>COUNTIF(F4:F17,"N")+COUNTIF(F4:F17,"NF")</f>
        <v>2</v>
      </c>
      <c r="G24" s="112">
        <f>COUNTIF(G4:G17,"N")+COUNTIF(G4:G17,"NF")</f>
        <v>2</v>
      </c>
      <c r="H24" s="112">
        <f>COUNTIF(H4:H17,"N")+COUNTIF(H4:H17,"NF")</f>
        <v>3</v>
      </c>
      <c r="I24" s="112">
        <f>COUNTIF(I4:I17,"N")+COUNTIF(I4:I17,"NF")</f>
        <v>3</v>
      </c>
      <c r="J24" s="112">
        <f>COUNTIF(J4:J17,"N")+COUNTIF(J4:J17,"NF")</f>
        <v>3</v>
      </c>
      <c r="K24" s="112">
        <f>COUNTIF(K4:K17,"N")+COUNTIF(K4:K17,"NF")</f>
        <v>3</v>
      </c>
      <c r="L24" s="112">
        <f>COUNTIF(L4:L17,"N")+COUNTIF(L4:L17,"NF")</f>
        <v>3</v>
      </c>
      <c r="M24" s="112">
        <f>COUNTIF(M4:M17,"N")+COUNTIF(M4:M17,"NF")</f>
        <v>2</v>
      </c>
      <c r="N24" s="112">
        <f>COUNTIF(N4:N17,"N")+COUNTIF(N4:N17,"NF")</f>
        <v>2</v>
      </c>
      <c r="O24" s="112">
        <f>COUNTIF(O4:O17,"N")+COUNTIF(O4:O17,"NF")</f>
        <v>2</v>
      </c>
      <c r="P24" s="112">
        <f>COUNTIF(P4:P17,"N")+COUNTIF(P4:P17,"NF")</f>
        <v>2</v>
      </c>
      <c r="Q24" s="112">
        <f>COUNTIF(Q4:Q17,"N")+COUNTIF(Q4:Q17,"NF")</f>
        <v>2</v>
      </c>
      <c r="R24" s="112">
        <f>COUNTIF(R4:R17,"N")+COUNTIF(R4:R17,"NF")</f>
        <v>2</v>
      </c>
      <c r="S24" s="112">
        <f>COUNTIF(S4:S17,"N")+COUNTIF(S4:S17,"NF")</f>
        <v>2</v>
      </c>
      <c r="T24" s="112">
        <f>COUNTIF(T4:T17,"N")+COUNTIF(T4:T17,"NF")</f>
        <v>2</v>
      </c>
      <c r="U24" s="112">
        <f>COUNTIF(U4:U17,"N")+COUNTIF(U4:U17,"NF")</f>
        <v>2</v>
      </c>
      <c r="V24" s="112">
        <f>COUNTIF(V4:V17,"N")+COUNTIF(V4:V17,"NF")</f>
        <v>3</v>
      </c>
      <c r="W24" s="112">
        <f>COUNTIF(W4:W17,"N")+COUNTIF(W4:W17,"NF")</f>
        <v>3</v>
      </c>
      <c r="X24" s="112">
        <f>COUNTIF(X4:X17,"N")+COUNTIF(X4:X17,"NF")</f>
        <v>3</v>
      </c>
      <c r="Y24" s="112">
        <f>COUNTIF(Y4:Y17,"N")+COUNTIF(Y4:Y17,"NF")</f>
        <v>3</v>
      </c>
      <c r="Z24" s="112">
        <f>COUNTIF(Z4:Z17,"N")+COUNTIF(Z4:Z17,"NF")</f>
        <v>3</v>
      </c>
      <c r="AA24" s="112">
        <f>COUNTIF(AA4:AA17,"N")+COUNTIF(AA4:AA17,"NF")</f>
        <v>2</v>
      </c>
      <c r="AB24" s="112">
        <f>COUNTIF(AB4:AB17,"N")+COUNTIF(AB4:AB17,"NF")</f>
        <v>2</v>
      </c>
      <c r="AC24" s="112">
        <f>COUNTIF(AC4:AC17,"N")+COUNTIF(AC4:AC17,"NF")</f>
        <v>2</v>
      </c>
      <c r="AD24" s="112">
        <f>COUNTIF(AD4:AD17,"N")+COUNTIF(AD4:AD17,"NF")</f>
        <v>2</v>
      </c>
      <c r="AE24" s="112">
        <f>COUNTIF(AE4:AE17,"N")+COUNTIF(AE4:AE17,"NF")</f>
        <v>2</v>
      </c>
      <c r="AF24" s="112">
        <f>COUNTIF(AF4:AF17,"N")+COUNTIF(AF4:AF17,"NF")</f>
        <v>2</v>
      </c>
      <c r="AG24" s="112">
        <f>COUNTIF(AG4:AG17,"N")+COUNTIF(AG4:AG17,"NF")</f>
        <v>2</v>
      </c>
    </row>
    <row r="25" spans="1:34">
      <c r="B25" s="111" t="s">
        <v>92</v>
      </c>
      <c r="C25" s="112">
        <f>COUNTIF(C4:C17,"M/F")+COUNTIF(C4:C17,"M1")+COUNTIF(C4:C17,"M3")+COUNTIF(C4:C17,"M3/G")+COUNTIF(C4:C17,"M2")</f>
        <v>0</v>
      </c>
      <c r="D25" s="112">
        <f>COUNTIF(D4:D17,"M/F")+COUNTIF(D4:D17,"M1")+COUNTIF(D4:D17,"M3")+COUNTIF(D4:D17,"M3/G")+COUNTIF(D4:D17,"M2")</f>
        <v>0</v>
      </c>
      <c r="E25" s="112">
        <f>COUNTIF(E4:E17,"M1")+COUNTIF(E4:E17,"NF")</f>
        <v>0</v>
      </c>
      <c r="F25" s="112">
        <f>COUNTIF(F4:F17,"M/F")+COUNTIF(F4:F17,"M1")+COUNTIF(F4:F17,"M3")+COUNTIF(F4:F17,"M3/G")+COUNTIF(F4:F17,"M2")</f>
        <v>2</v>
      </c>
      <c r="G25" s="112">
        <f>COUNTIF(G4:G17,"M/F")+COUNTIF(G4:G17,"M1")+COUNTIF(G4:G17,"M3")+COUNTIF(G4:G17,"M3/G")+COUNTIF(G4:G17,"M2")</f>
        <v>2</v>
      </c>
      <c r="H25" s="112">
        <f>COUNTIF(H4:H17,"M/F")+COUNTIF(H4:H17,"M1")+COUNTIF(H4:H17,"M3")+COUNTIF(H4:H17,"M3/G")+COUNTIF(H4:H17,"M2")</f>
        <v>0</v>
      </c>
      <c r="I25" s="112">
        <f>COUNTIF(I4:I17,"M/F")+COUNTIF(I4:I17,"M1")+COUNTIF(I4:I17,"M3")+COUNTIF(I4:I17,"M3/G")+COUNTIF(I4:I17,"M2")</f>
        <v>0</v>
      </c>
      <c r="J25" s="112">
        <f>COUNTIF(J4:J17,"M/F")+COUNTIF(J4:J17,"M1")+COUNTIF(J4:J17,"M3")+COUNTIF(J4:J17,"M3/G")+COUNTIF(J4:J17,"M2")</f>
        <v>0</v>
      </c>
      <c r="K25" s="112">
        <f>COUNTIF(K4:K17,"M/F")+COUNTIF(K4:K17,"M1")+COUNTIF(K4:K17,"M3")+COUNTIF(K4:K17,"M3/G")+COUNTIF(K4:K17,"M2")</f>
        <v>0</v>
      </c>
      <c r="L25" s="112">
        <f>COUNTIF(L4:L17,"M/F")+COUNTIF(L4:L17,"M1")+COUNTIF(L4:L17,"M3")+COUNTIF(L4:L17,"M3/G")+COUNTIF(L4:L17,"M2")</f>
        <v>0</v>
      </c>
      <c r="M25" s="112">
        <f>COUNTIF(M4:M17,"M/F")+COUNTIF(M4:M17,"M1")+COUNTIF(M4:M17,"M3")+COUNTIF(M4:M17,"M3/G")+COUNTIF(M4:M17,"M2")</f>
        <v>2</v>
      </c>
      <c r="N25" s="112">
        <f>COUNTIF(N4:N17,"M/F")+COUNTIF(N4:N17,"M1")+COUNTIF(N4:N17,"M3")+COUNTIF(N4:N17,"M3/G")+COUNTIF(N4:N17,"M2")</f>
        <v>2</v>
      </c>
      <c r="O25" s="112">
        <f>COUNTIF(O4:O17,"M/F")+COUNTIF(O4:O17,"M1")+COUNTIF(O4:O17,"M3")+COUNTIF(O4:O17,"M3/G")+COUNTIF(O4:O17,"M2")</f>
        <v>0</v>
      </c>
      <c r="P25" s="112">
        <f>COUNTIF(P4:P17,"M/F")+COUNTIF(P4:P17,"M1")+COUNTIF(P4:P17,"M3")+COUNTIF(P4:P17,"M3/G")+COUNTIF(P4:P17,"M2")</f>
        <v>0</v>
      </c>
      <c r="Q25" s="112">
        <f>COUNTIF(Q4:Q17,"M/F")+COUNTIF(Q4:Q17,"M1")+COUNTIF(Q4:Q17,"M3")+COUNTIF(Q4:Q17,"M3/G")+COUNTIF(Q4:Q17,"M2")</f>
        <v>0</v>
      </c>
      <c r="R25" s="112">
        <f>COUNTIF(R4:R17,"M/F")+COUNTIF(R4:R17,"M1")+COUNTIF(R4:R17,"M3")+COUNTIF(R4:R17,"M3/G")+COUNTIF(R4:R17,"M2")</f>
        <v>0</v>
      </c>
      <c r="S25" s="112">
        <f>COUNTIF(S4:S17,"M/F")+COUNTIF(S4:S17,"M1")+COUNTIF(S4:S17,"M3")+COUNTIF(S4:S17,"M3/G")+COUNTIF(S4:S17,"M2")</f>
        <v>0</v>
      </c>
      <c r="T25" s="112">
        <f>COUNTIF(T4:T17,"M/F")+COUNTIF(T4:T17,"M1")+COUNTIF(T4:T17,"M3")+COUNTIF(T4:T17,"M3/G")+COUNTIF(T4:T17,"M2")</f>
        <v>2</v>
      </c>
      <c r="U25" s="112">
        <f>COUNTIF(U4:U17,"M/F")+COUNTIF(U4:U17,"M1")+COUNTIF(U4:U17,"M3")+COUNTIF(U4:U17,"M3/G")+COUNTIF(U4:U17,"M2")</f>
        <v>2</v>
      </c>
      <c r="V25" s="112">
        <f>COUNTIF(V4:V17,"M/F")+COUNTIF(V4:V17,"M1")+COUNTIF(V4:V17,"M3")+COUNTIF(V4:V17,"M3/G")+COUNTIF(V4:V17,"M2")</f>
        <v>0</v>
      </c>
      <c r="W25" s="112">
        <f>COUNTIF(W4:W17,"M/F")+COUNTIF(W4:W17,"M1")+COUNTIF(W4:W17,"M3")+COUNTIF(W4:W17,"M3/G")+COUNTIF(W4:W17,"M2")</f>
        <v>0</v>
      </c>
      <c r="X25" s="112">
        <f>COUNTIF(X4:X17,"M/F")+COUNTIF(X4:X17,"M1")+COUNTIF(X4:X17,"M3")+COUNTIF(X4:X17,"M3/G")+COUNTIF(X4:X17,"M2")</f>
        <v>0</v>
      </c>
      <c r="Y25" s="112">
        <f>COUNTIF(Y4:Y17,"M/F")+COUNTIF(Y4:Y17,"M1")+COUNTIF(Y4:Y17,"M3")+COUNTIF(Y4:Y17,"M3/G")+COUNTIF(Y4:Y17,"M2")</f>
        <v>0</v>
      </c>
      <c r="Z25" s="112">
        <f>COUNTIF(Z4:Z17,"M/F")+COUNTIF(Z4:Z17,"M1")+COUNTIF(Z4:Z17,"M3")+COUNTIF(Z4:Z17,"M3/G")+COUNTIF(Z4:Z17,"M2")</f>
        <v>0</v>
      </c>
      <c r="AA25" s="112">
        <f>COUNTIF(AA4:AA17,"M/F")+COUNTIF(AA4:AA17,"M1")+COUNTIF(AA4:AA17,"M3")+COUNTIF(AA4:AA17,"M3/G")+COUNTIF(AA4:AA17,"M2")</f>
        <v>2</v>
      </c>
      <c r="AB25" s="112">
        <f>COUNTIF(AB4:AB17,"M/F")+COUNTIF(AB4:AB17,"M1")+COUNTIF(AB4:AB17,"M3")+COUNTIF(AB4:AB17,"M3/G")+COUNTIF(AB4:AB17,"M2")</f>
        <v>2</v>
      </c>
      <c r="AC25" s="112">
        <f>COUNTIF(AC4:AC17,"M/F")+COUNTIF(AC4:AC17,"M1")+COUNTIF(AC4:AC17,"M3")+COUNTIF(AC4:AC17,"M3/G")+COUNTIF(AC4:AC17,"M2")</f>
        <v>0</v>
      </c>
      <c r="AD25" s="112">
        <f>COUNTIF(AD4:AD17,"M/F")+COUNTIF(AD4:AD17,"M1")+COUNTIF(AD4:AD17,"M3")+COUNTIF(AD4:AD17,"M3/G")+COUNTIF(AD4:AD17,"M2")</f>
        <v>0</v>
      </c>
      <c r="AE25" s="112">
        <f>COUNTIF(AE4:AE17,"M/F")+COUNTIF(AE4:AE17,"M1")+COUNTIF(AE4:AE17,"M3")+COUNTIF(AE4:AE17,"M3/G")+COUNTIF(AE4:AE17,"M2")</f>
        <v>0</v>
      </c>
      <c r="AF25" s="112">
        <f>COUNTIF(AF4:AF17,"M/F")+COUNTIF(AF4:AF17,"M1")+COUNTIF(AF4:AF17,"M3")+COUNTIF(AF4:AF17,"M3/G")+COUNTIF(AF4:AF17,"M2")</f>
        <v>0</v>
      </c>
      <c r="AG25" s="112">
        <f>COUNTIF(AG4:AG17,"M/F")+COUNTIF(AG4:AG17,"M1")+COUNTIF(AG4:AG17,"M3")+COUNTIF(AG4:AG17,"M3/G")+COUNTIF(AG4:AG17,"M2")</f>
        <v>0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5" priority="1" operator="equal">
      <formula>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6"/>
  <sheetViews>
    <sheetView workbookViewId="0">
      <selection activeCell="K32" sqref="K32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116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14</v>
      </c>
      <c r="AA4" s="1" t="s">
        <v>14</v>
      </c>
      <c r="AB4" s="1" t="s">
        <v>14</v>
      </c>
      <c r="AC4" s="1" t="s">
        <v>14</v>
      </c>
      <c r="AD4" s="1" t="s">
        <v>14</v>
      </c>
      <c r="AE4" s="5" t="s">
        <v>15</v>
      </c>
      <c r="AF4" s="5" t="s">
        <v>15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167" t="s">
        <v>114</v>
      </c>
      <c r="C7" s="28" t="s">
        <v>7</v>
      </c>
      <c r="D7" s="28" t="s">
        <v>7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14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H8"/>
    </row>
    <row r="9" spans="1:34">
      <c r="A9" s="34" t="s">
        <v>12</v>
      </c>
      <c r="B9" s="33" t="s">
        <v>53</v>
      </c>
      <c r="C9" s="28" t="s">
        <v>7</v>
      </c>
      <c r="D9" s="28" t="s">
        <v>7</v>
      </c>
      <c r="E9" s="28" t="s">
        <v>7</v>
      </c>
      <c r="F9" s="28" t="s">
        <v>7</v>
      </c>
      <c r="G9" s="28" t="s">
        <v>7</v>
      </c>
      <c r="H9" s="28" t="s">
        <v>7</v>
      </c>
      <c r="I9" s="28" t="s">
        <v>7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28" t="s">
        <v>7</v>
      </c>
      <c r="T9" s="28" t="s">
        <v>7</v>
      </c>
      <c r="U9" s="28" t="s">
        <v>7</v>
      </c>
      <c r="V9" s="28" t="s">
        <v>7</v>
      </c>
      <c r="W9" s="28" t="s">
        <v>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  <c r="AH9"/>
    </row>
    <row r="10" spans="1:34">
      <c r="A10" s="34" t="s">
        <v>12</v>
      </c>
      <c r="B10" s="33" t="s">
        <v>24</v>
      </c>
      <c r="C10" s="171" t="s">
        <v>17</v>
      </c>
      <c r="D10" s="171" t="s">
        <v>17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84</v>
      </c>
      <c r="C11" s="5" t="s">
        <v>15</v>
      </c>
      <c r="D11" s="5" t="s">
        <v>15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>
      <c r="A12" s="34" t="s">
        <v>12</v>
      </c>
      <c r="B12" s="33" t="s">
        <v>102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167" t="s">
        <v>112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>
      <c r="AH14"/>
    </row>
    <row r="15" spans="1:34">
      <c r="A15" s="34" t="s">
        <v>12</v>
      </c>
      <c r="B15" s="33" t="s">
        <v>21</v>
      </c>
      <c r="C15" s="28" t="s">
        <v>7</v>
      </c>
      <c r="D15" s="28" t="s">
        <v>7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16</v>
      </c>
      <c r="J15" s="130" t="s">
        <v>17</v>
      </c>
      <c r="K15" s="130" t="s">
        <v>17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16</v>
      </c>
      <c r="X15" s="130" t="s">
        <v>17</v>
      </c>
      <c r="Y15" s="130" t="s">
        <v>17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130" t="s">
        <v>16</v>
      </c>
      <c r="AH15"/>
    </row>
    <row r="16" spans="1:34">
      <c r="A16" s="34" t="s">
        <v>12</v>
      </c>
      <c r="B16" s="33" t="s">
        <v>22</v>
      </c>
      <c r="C16" s="171" t="s">
        <v>17</v>
      </c>
      <c r="D16" s="171" t="s">
        <v>17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17</v>
      </c>
      <c r="R16" s="130" t="s">
        <v>17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17</v>
      </c>
      <c r="AF16" s="130" t="s">
        <v>17</v>
      </c>
      <c r="AG16" s="28" t="s">
        <v>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7" t="s">
        <v>29</v>
      </c>
      <c r="C18" s="28" t="s">
        <v>7</v>
      </c>
      <c r="D18" s="28" t="s">
        <v>7</v>
      </c>
      <c r="E18" s="25" t="s">
        <v>14</v>
      </c>
      <c r="F18" s="25" t="s">
        <v>14</v>
      </c>
      <c r="G18" s="25" t="s">
        <v>14</v>
      </c>
      <c r="H18" s="25" t="s">
        <v>14</v>
      </c>
      <c r="I18" s="25" t="s">
        <v>14</v>
      </c>
      <c r="J18" s="28" t="s">
        <v>7</v>
      </c>
      <c r="K18" s="28" t="s">
        <v>7</v>
      </c>
      <c r="L18" s="4" t="s">
        <v>11</v>
      </c>
      <c r="M18" s="4" t="s">
        <v>11</v>
      </c>
      <c r="N18" s="4" t="s">
        <v>11</v>
      </c>
      <c r="O18" s="4" t="s">
        <v>11</v>
      </c>
      <c r="P18" s="4" t="s">
        <v>11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30</v>
      </c>
      <c r="Y18" s="28" t="s">
        <v>30</v>
      </c>
      <c r="Z18" s="25" t="s">
        <v>14</v>
      </c>
      <c r="AA18" s="25" t="s">
        <v>14</v>
      </c>
      <c r="AB18" s="25" t="s">
        <v>14</v>
      </c>
      <c r="AC18" s="25" t="s">
        <v>14</v>
      </c>
      <c r="AD18" s="25" t="s">
        <v>14</v>
      </c>
      <c r="AE18" s="28" t="s">
        <v>7</v>
      </c>
      <c r="AF18" s="28" t="s">
        <v>7</v>
      </c>
      <c r="AG18" s="4" t="s">
        <v>11</v>
      </c>
      <c r="AH18"/>
    </row>
    <row r="19" spans="1:34">
      <c r="A19" s="34" t="s">
        <v>28</v>
      </c>
      <c r="B19" s="37" t="s">
        <v>60</v>
      </c>
      <c r="C19" s="28" t="s">
        <v>7</v>
      </c>
      <c r="D19" s="28" t="s">
        <v>7</v>
      </c>
      <c r="E19" s="4" t="s">
        <v>85</v>
      </c>
      <c r="F19" s="4" t="s">
        <v>85</v>
      </c>
      <c r="G19" s="4" t="s">
        <v>85</v>
      </c>
      <c r="H19" s="4" t="s">
        <v>85</v>
      </c>
      <c r="I19" s="4" t="s">
        <v>85</v>
      </c>
      <c r="J19" s="28" t="s">
        <v>30</v>
      </c>
      <c r="K19" s="28" t="s">
        <v>30</v>
      </c>
      <c r="L19" s="25" t="s">
        <v>14</v>
      </c>
      <c r="M19" s="25" t="s">
        <v>14</v>
      </c>
      <c r="N19" s="25" t="s">
        <v>14</v>
      </c>
      <c r="O19" s="25" t="s">
        <v>14</v>
      </c>
      <c r="P19" s="25" t="s">
        <v>14</v>
      </c>
      <c r="Q19" s="28" t="s">
        <v>7</v>
      </c>
      <c r="R19" s="28" t="s">
        <v>7</v>
      </c>
      <c r="S19" s="4" t="s">
        <v>11</v>
      </c>
      <c r="T19" s="4" t="s">
        <v>11</v>
      </c>
      <c r="U19" s="4" t="s">
        <v>11</v>
      </c>
      <c r="V19" s="4" t="s">
        <v>11</v>
      </c>
      <c r="W19" s="4" t="s">
        <v>11</v>
      </c>
      <c r="X19" s="28" t="s">
        <v>7</v>
      </c>
      <c r="Y19" s="28" t="s">
        <v>7</v>
      </c>
      <c r="Z19" s="4" t="s">
        <v>85</v>
      </c>
      <c r="AA19" s="4" t="s">
        <v>85</v>
      </c>
      <c r="AB19" s="4" t="s">
        <v>85</v>
      </c>
      <c r="AC19" s="4" t="s">
        <v>85</v>
      </c>
      <c r="AD19" s="4" t="s">
        <v>85</v>
      </c>
      <c r="AE19" s="28" t="s">
        <v>30</v>
      </c>
      <c r="AF19" s="28" t="s">
        <v>30</v>
      </c>
      <c r="AG19" s="25" t="s">
        <v>14</v>
      </c>
      <c r="AH19"/>
    </row>
    <row r="20" spans="1:34">
      <c r="A20" s="34" t="s">
        <v>28</v>
      </c>
      <c r="B20" s="37" t="s">
        <v>13</v>
      </c>
      <c r="C20" s="28" t="s">
        <v>7</v>
      </c>
      <c r="D20" s="28" t="s">
        <v>7</v>
      </c>
      <c r="E20" s="4" t="s">
        <v>11</v>
      </c>
      <c r="F20" s="4" t="s">
        <v>11</v>
      </c>
      <c r="G20" s="4" t="s">
        <v>11</v>
      </c>
      <c r="H20" s="4" t="s">
        <v>11</v>
      </c>
      <c r="I20" s="4" t="s">
        <v>11</v>
      </c>
      <c r="J20" s="28" t="s">
        <v>7</v>
      </c>
      <c r="K20" s="28" t="s">
        <v>7</v>
      </c>
      <c r="L20" s="4" t="s">
        <v>85</v>
      </c>
      <c r="M20" s="4" t="s">
        <v>85</v>
      </c>
      <c r="N20" s="4" t="s">
        <v>85</v>
      </c>
      <c r="O20" s="4" t="s">
        <v>85</v>
      </c>
      <c r="P20" s="4" t="s">
        <v>85</v>
      </c>
      <c r="Q20" s="28" t="s">
        <v>30</v>
      </c>
      <c r="R20" s="28" t="s">
        <v>30</v>
      </c>
      <c r="S20" s="25" t="s">
        <v>14</v>
      </c>
      <c r="T20" s="25" t="s">
        <v>14</v>
      </c>
      <c r="U20" s="25" t="s">
        <v>14</v>
      </c>
      <c r="V20" s="25" t="s">
        <v>14</v>
      </c>
      <c r="W20" s="25" t="s">
        <v>14</v>
      </c>
      <c r="X20" s="28" t="s">
        <v>7</v>
      </c>
      <c r="Y20" s="28" t="s">
        <v>7</v>
      </c>
      <c r="Z20" s="4" t="s">
        <v>11</v>
      </c>
      <c r="AA20" s="4" t="s">
        <v>11</v>
      </c>
      <c r="AB20" s="4" t="s">
        <v>11</v>
      </c>
      <c r="AC20" s="4" t="s">
        <v>11</v>
      </c>
      <c r="AD20" s="4" t="s">
        <v>11</v>
      </c>
      <c r="AE20" s="28" t="s">
        <v>7</v>
      </c>
      <c r="AF20" s="28" t="s">
        <v>7</v>
      </c>
      <c r="AG20" s="4" t="s">
        <v>85</v>
      </c>
      <c r="AH20"/>
    </row>
    <row r="21" spans="1:34">
      <c r="B21" s="111" t="s">
        <v>91</v>
      </c>
      <c r="C21" s="112">
        <f>COUNTIF(C4:C17,"N")+COUNTIF(C4:C17,"NF")</f>
        <v>2</v>
      </c>
      <c r="D21" s="112">
        <f>COUNTIF(D4:D17,"N")+COUNTIF(D4:D17,"NF")</f>
        <v>2</v>
      </c>
      <c r="E21" s="112">
        <f>COUNTIF(E4:E17,"N")+COUNTIF(E4:E17,"NF")</f>
        <v>1</v>
      </c>
      <c r="F21" s="112">
        <f>COUNTIF(F4:F17,"N")+COUNTIF(F4:F17,"NF")</f>
        <v>1</v>
      </c>
      <c r="G21" s="112">
        <f>COUNTIF(G4:G17,"N")+COUNTIF(G4:G17,"NF")</f>
        <v>1</v>
      </c>
      <c r="H21" s="112">
        <f>COUNTIF(H4:H17,"N")+COUNTIF(H4:H17,"NF")</f>
        <v>1</v>
      </c>
      <c r="I21" s="112">
        <f>COUNTIF(I4:I17,"N")+COUNTIF(I4:I17,"NF")</f>
        <v>1</v>
      </c>
      <c r="J21" s="112">
        <f>COUNTIF(J4:J17,"N")+COUNTIF(J4:J17,"NF")</f>
        <v>1</v>
      </c>
      <c r="K21" s="112">
        <f>COUNTIF(K4:K17,"N")+COUNTIF(K4:K17,"NF")</f>
        <v>1</v>
      </c>
      <c r="L21" s="112">
        <f>COUNTIF(L4:L17,"N")+COUNTIF(L4:L17,"NF")</f>
        <v>1</v>
      </c>
      <c r="M21" s="112">
        <f>COUNTIF(M4:M17,"N")+COUNTIF(M4:M17,"NF")</f>
        <v>1</v>
      </c>
      <c r="N21" s="112">
        <f>COUNTIF(N4:N17,"N")+COUNTIF(N4:N17,"NF")</f>
        <v>1</v>
      </c>
      <c r="O21" s="112">
        <f>COUNTIF(O4:O17,"N")+COUNTIF(O4:O17,"NF")</f>
        <v>1</v>
      </c>
      <c r="P21" s="112">
        <f>COUNTIF(P4:P17,"N")+COUNTIF(P4:P17,"NF")</f>
        <v>1</v>
      </c>
      <c r="Q21" s="112">
        <f>COUNTIF(Q4:Q17,"N")+COUNTIF(Q4:Q17,"NF")</f>
        <v>1</v>
      </c>
      <c r="R21" s="112">
        <f>COUNTIF(R4:R17,"N")+COUNTIF(R4:R17,"NF")</f>
        <v>1</v>
      </c>
      <c r="S21" s="112">
        <f>COUNTIF(S4:S17,"N")+COUNTIF(S4:S17,"NF")</f>
        <v>1</v>
      </c>
      <c r="T21" s="112">
        <f>COUNTIF(T4:T17,"N")+COUNTIF(T4:T17,"NF")</f>
        <v>1</v>
      </c>
      <c r="U21" s="112">
        <f>COUNTIF(U4:U17,"N")+COUNTIF(U4:U17,"NF")</f>
        <v>1</v>
      </c>
      <c r="V21" s="112">
        <f>COUNTIF(V4:V17,"N")+COUNTIF(V4:V17,"NF")</f>
        <v>1</v>
      </c>
      <c r="W21" s="112">
        <f>COUNTIF(W4:W17,"N")+COUNTIF(W4:W17,"NF")</f>
        <v>1</v>
      </c>
      <c r="X21" s="112">
        <f>COUNTIF(X4:X17,"N")+COUNTIF(X4:X17,"NF")</f>
        <v>1</v>
      </c>
      <c r="Y21" s="112">
        <f>COUNTIF(Y4:Y17,"N")+COUNTIF(Y4:Y17,"NF")</f>
        <v>1</v>
      </c>
      <c r="Z21" s="112">
        <f>COUNTIF(Z4:Z17,"N")+COUNTIF(Z4:Z17,"NF")</f>
        <v>1</v>
      </c>
      <c r="AA21" s="112">
        <f>COUNTIF(AA4:AA17,"N")+COUNTIF(AA4:AA17,"NF")</f>
        <v>1</v>
      </c>
      <c r="AB21" s="112">
        <f>COUNTIF(AB4:AB17,"N")+COUNTIF(AB4:AB17,"NF")</f>
        <v>1</v>
      </c>
      <c r="AC21" s="112">
        <f>COUNTIF(AC4:AC17,"N")+COUNTIF(AC4:AC17,"NF")</f>
        <v>1</v>
      </c>
      <c r="AD21" s="112">
        <f>COUNTIF(AD4:AD17,"N")+COUNTIF(AD4:AD17,"NF")</f>
        <v>1</v>
      </c>
      <c r="AE21" s="112">
        <f>COUNTIF(AE4:AE17,"N")+COUNTIF(AE4:AE17,"NF")</f>
        <v>1</v>
      </c>
      <c r="AF21" s="112">
        <f>COUNTIF(AF4:AF17,"N")+COUNTIF(AF4:AF17,"NF")</f>
        <v>1</v>
      </c>
      <c r="AG21" s="112">
        <f>COUNTIF(AG4:AG17,"N")+COUNTIF(AG4:AG17,"NF")</f>
        <v>1</v>
      </c>
    </row>
    <row r="22" spans="1:34">
      <c r="B22" s="111" t="s">
        <v>92</v>
      </c>
      <c r="C22" s="112">
        <f>COUNTIF(C4:C17,"M/F")+COUNTIF(C4:C17,"M1")+COUNTIF(C4:C17,"M3")+COUNTIF(C4:C17,"M3/G")+COUNTIF(C4:C17,"M2")</f>
        <v>2</v>
      </c>
      <c r="D22" s="112">
        <f>COUNTIF(D4:D17,"M/F")+COUNTIF(D4:D17,"M1")+COUNTIF(D4:D17,"M3")+COUNTIF(D4:D17,"M3/G")+COUNTIF(D4:D17,"M2")</f>
        <v>2</v>
      </c>
      <c r="E22" s="112">
        <f>COUNTIF(E4:E17,"M1")+COUNTIF(E4:E17,"NF")</f>
        <v>0</v>
      </c>
      <c r="F22" s="112">
        <f>COUNTIF(F4:F17,"M/F")+COUNTIF(F4:F17,"M1")+COUNTIF(F4:F17,"M3")+COUNTIF(F4:F17,"M3/G")+COUNTIF(F4:F17,"M2")</f>
        <v>0</v>
      </c>
      <c r="G22" s="112">
        <f>COUNTIF(G4:G17,"M/F")+COUNTIF(G4:G17,"M1")+COUNTIF(G4:G17,"M3")+COUNTIF(G4:G17,"M3/G")+COUNTIF(G4:G17,"M2")</f>
        <v>0</v>
      </c>
      <c r="H22" s="112">
        <f>COUNTIF(H4:H17,"M/F")+COUNTIF(H4:H17,"M1")+COUNTIF(H4:H17,"M3")+COUNTIF(H4:H17,"M3/G")+COUNTIF(H4:H17,"M2")</f>
        <v>0</v>
      </c>
      <c r="I22" s="112">
        <f>COUNTIF(I4:I17,"M/F")+COUNTIF(I4:I17,"M1")+COUNTIF(I4:I17,"M3")+COUNTIF(I4:I17,"M3/G")+COUNTIF(I4:I17,"M2")</f>
        <v>0</v>
      </c>
      <c r="J22" s="112">
        <f>COUNTIF(J4:J17,"M/F")+COUNTIF(J4:J17,"M1")+COUNTIF(J4:J17,"M3")+COUNTIF(J4:J17,"M3/G")+COUNTIF(J4:J17,"M2")</f>
        <v>1</v>
      </c>
      <c r="K22" s="112">
        <f>COUNTIF(K4:K17,"M/F")+COUNTIF(K4:K17,"M1")+COUNTIF(K4:K17,"M3")+COUNTIF(K4:K17,"M3/G")+COUNTIF(K4:K17,"M2")</f>
        <v>1</v>
      </c>
      <c r="L22" s="112">
        <f>COUNTIF(L4:L17,"M/F")+COUNTIF(L4:L17,"M1")+COUNTIF(L4:L17,"M3")+COUNTIF(L4:L17,"M3/G")+COUNTIF(L4:L17,"M2")</f>
        <v>0</v>
      </c>
      <c r="M22" s="112">
        <f>COUNTIF(M4:M17,"M/F")+COUNTIF(M4:M17,"M1")+COUNTIF(M4:M17,"M3")+COUNTIF(M4:M17,"M3/G")+COUNTIF(M4:M17,"M2")</f>
        <v>0</v>
      </c>
      <c r="N22" s="112">
        <f>COUNTIF(N4:N17,"M/F")+COUNTIF(N4:N17,"M1")+COUNTIF(N4:N17,"M3")+COUNTIF(N4:N17,"M3/G")+COUNTIF(N4:N17,"M2")</f>
        <v>0</v>
      </c>
      <c r="O22" s="112">
        <f>COUNTIF(O4:O17,"M/F")+COUNTIF(O4:O17,"M1")+COUNTIF(O4:O17,"M3")+COUNTIF(O4:O17,"M3/G")+COUNTIF(O4:O17,"M2")</f>
        <v>0</v>
      </c>
      <c r="P22" s="112">
        <f>COUNTIF(P4:P17,"M/F")+COUNTIF(P4:P17,"M1")+COUNTIF(P4:P17,"M3")+COUNTIF(P4:P17,"M3/G")+COUNTIF(P4:P17,"M2")</f>
        <v>0</v>
      </c>
      <c r="Q22" s="112">
        <f>COUNTIF(Q4:Q17,"M/F")+COUNTIF(Q4:Q17,"M1")+COUNTIF(Q4:Q17,"M3")+COUNTIF(Q4:Q17,"M3/G")+COUNTIF(Q4:Q17,"M2")</f>
        <v>1</v>
      </c>
      <c r="R22" s="112">
        <f>COUNTIF(R4:R17,"M/F")+COUNTIF(R4:R17,"M1")+COUNTIF(R4:R17,"M3")+COUNTIF(R4:R17,"M3/G")+COUNTIF(R4:R17,"M2")</f>
        <v>1</v>
      </c>
      <c r="S22" s="112">
        <f>COUNTIF(S4:S17,"M/F")+COUNTIF(S4:S17,"M1")+COUNTIF(S4:S17,"M3")+COUNTIF(S4:S17,"M3/G")+COUNTIF(S4:S17,"M2")</f>
        <v>0</v>
      </c>
      <c r="T22" s="112">
        <f>COUNTIF(T4:T17,"M/F")+COUNTIF(T4:T17,"M1")+COUNTIF(T4:T17,"M3")+COUNTIF(T4:T17,"M3/G")+COUNTIF(T4:T17,"M2")</f>
        <v>0</v>
      </c>
      <c r="U22" s="112">
        <f>COUNTIF(U4:U17,"M/F")+COUNTIF(U4:U17,"M1")+COUNTIF(U4:U17,"M3")+COUNTIF(U4:U17,"M3/G")+COUNTIF(U4:U17,"M2")</f>
        <v>0</v>
      </c>
      <c r="V22" s="112">
        <f>COUNTIF(V4:V17,"M/F")+COUNTIF(V4:V17,"M1")+COUNTIF(V4:V17,"M3")+COUNTIF(V4:V17,"M3/G")+COUNTIF(V4:V17,"M2")</f>
        <v>0</v>
      </c>
      <c r="W22" s="112">
        <f>COUNTIF(W4:W17,"M/F")+COUNTIF(W4:W17,"M1")+COUNTIF(W4:W17,"M3")+COUNTIF(W4:W17,"M3/G")+COUNTIF(W4:W17,"M2")</f>
        <v>0</v>
      </c>
      <c r="X22" s="112">
        <f>COUNTIF(X4:X17,"M/F")+COUNTIF(X4:X17,"M1")+COUNTIF(X4:X17,"M3")+COUNTIF(X4:X17,"M3/G")+COUNTIF(X4:X17,"M2")</f>
        <v>1</v>
      </c>
      <c r="Y22" s="112">
        <f>COUNTIF(Y4:Y17,"M/F")+COUNTIF(Y4:Y17,"M1")+COUNTIF(Y4:Y17,"M3")+COUNTIF(Y4:Y17,"M3/G")+COUNTIF(Y4:Y17,"M2")</f>
        <v>1</v>
      </c>
      <c r="Z22" s="112">
        <f>COUNTIF(Z4:Z17,"M/F")+COUNTIF(Z4:Z17,"M1")+COUNTIF(Z4:Z17,"M3")+COUNTIF(Z4:Z17,"M3/G")+COUNTIF(Z4:Z17,"M2")</f>
        <v>0</v>
      </c>
      <c r="AA22" s="112">
        <f>COUNTIF(AA4:AA17,"M/F")+COUNTIF(AA4:AA17,"M1")+COUNTIF(AA4:AA17,"M3")+COUNTIF(AA4:AA17,"M3/G")+COUNTIF(AA4:AA17,"M2")</f>
        <v>0</v>
      </c>
      <c r="AB22" s="112">
        <f>COUNTIF(AB4:AB17,"M/F")+COUNTIF(AB4:AB17,"M1")+COUNTIF(AB4:AB17,"M3")+COUNTIF(AB4:AB17,"M3/G")+COUNTIF(AB4:AB17,"M2")</f>
        <v>0</v>
      </c>
      <c r="AC22" s="112">
        <f>COUNTIF(AC4:AC17,"M/F")+COUNTIF(AC4:AC17,"M1")+COUNTIF(AC4:AC17,"M3")+COUNTIF(AC4:AC17,"M3/G")+COUNTIF(AC4:AC17,"M2")</f>
        <v>0</v>
      </c>
      <c r="AD22" s="112">
        <f>COUNTIF(AD4:AD17,"M/F")+COUNTIF(AD4:AD17,"M1")+COUNTIF(AD4:AD17,"M3")+COUNTIF(AD4:AD17,"M3/G")+COUNTIF(AD4:AD17,"M2")</f>
        <v>0</v>
      </c>
      <c r="AE22" s="112">
        <f>COUNTIF(AE4:AE17,"M/F")+COUNTIF(AE4:AE17,"M1")+COUNTIF(AE4:AE17,"M3")+COUNTIF(AE4:AE17,"M3/G")+COUNTIF(AE4:AE17,"M2")</f>
        <v>1</v>
      </c>
      <c r="AF22" s="112">
        <f>COUNTIF(AF4:AF17,"M/F")+COUNTIF(AF4:AF17,"M1")+COUNTIF(AF4:AF17,"M3")+COUNTIF(AF4:AF17,"M3/G")+COUNTIF(AF4:AF17,"M2")</f>
        <v>1</v>
      </c>
      <c r="AG22" s="112">
        <f>COUNTIF(AG4:AG17,"M/F")+COUNTIF(AG4:AG17,"M1")+COUNTIF(AG4:AG17,"M3")+COUNTIF(AG4:AG17,"M3/G")+COUNTIF(AG4:AG17,"M2")</f>
        <v>0</v>
      </c>
    </row>
    <row r="24" spans="1:34">
      <c r="B24" t="s">
        <v>65</v>
      </c>
    </row>
    <row r="25" spans="1:34">
      <c r="B25" s="5" t="s">
        <v>66</v>
      </c>
    </row>
    <row r="26" spans="1:34">
      <c r="B26" s="5" t="s">
        <v>67</v>
      </c>
    </row>
    <row r="27" spans="1:34">
      <c r="B27" s="1" t="s">
        <v>68</v>
      </c>
    </row>
    <row r="28" spans="1:34">
      <c r="B28" s="7" t="s">
        <v>69</v>
      </c>
    </row>
    <row r="29" spans="1:34">
      <c r="B29" s="3" t="s">
        <v>70</v>
      </c>
    </row>
    <row r="30" spans="1:34">
      <c r="B30" s="5" t="s">
        <v>71</v>
      </c>
    </row>
    <row r="31" spans="1:34">
      <c r="B31" s="3" t="s">
        <v>72</v>
      </c>
    </row>
    <row r="32" spans="1:34">
      <c r="B32" s="4" t="s">
        <v>73</v>
      </c>
    </row>
    <row r="33" spans="2:2">
      <c r="B33" s="25" t="s">
        <v>74</v>
      </c>
    </row>
    <row r="34" spans="2:2">
      <c r="B34" s="4" t="s">
        <v>93</v>
      </c>
    </row>
    <row r="35" spans="2:2">
      <c r="B35" s="28" t="s">
        <v>76</v>
      </c>
    </row>
    <row r="36" spans="2:2">
      <c r="B36" s="17" t="s">
        <v>77</v>
      </c>
    </row>
  </sheetData>
  <mergeCells count="2">
    <mergeCell ref="B1:B3"/>
    <mergeCell ref="C1:AG1"/>
  </mergeCells>
  <conditionalFormatting sqref="C21:AG22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H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2"/>
      <c r="C1" s="173" t="s">
        <v>117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/>
    </row>
    <row r="2" spans="1:33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</row>
    <row r="6" spans="1:33">
      <c r="A6" s="34" t="s">
        <v>12</v>
      </c>
      <c r="B6" s="33" t="s">
        <v>59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</row>
    <row r="7" spans="1:33">
      <c r="A7" s="34" t="s">
        <v>12</v>
      </c>
      <c r="B7" s="167" t="s">
        <v>114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</row>
    <row r="8" spans="1:33">
      <c r="AG8"/>
    </row>
    <row r="9" spans="1:33">
      <c r="A9" s="34" t="s">
        <v>12</v>
      </c>
      <c r="B9" s="33" t="s">
        <v>53</v>
      </c>
      <c r="C9" s="28" t="s">
        <v>7</v>
      </c>
      <c r="D9" s="28" t="s">
        <v>7</v>
      </c>
      <c r="E9" s="28" t="s">
        <v>7</v>
      </c>
      <c r="F9" s="28" t="s">
        <v>7</v>
      </c>
      <c r="G9" s="28" t="s">
        <v>7</v>
      </c>
      <c r="H9" s="28" t="s">
        <v>7</v>
      </c>
      <c r="I9" s="28" t="s">
        <v>7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28" t="s">
        <v>7</v>
      </c>
      <c r="T9" s="28" t="s">
        <v>7</v>
      </c>
      <c r="U9" s="28" t="s">
        <v>7</v>
      </c>
      <c r="V9" s="28" t="s">
        <v>7</v>
      </c>
      <c r="W9" s="28" t="s">
        <v>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</row>
    <row r="10" spans="1:33">
      <c r="A10" s="34" t="s">
        <v>12</v>
      </c>
      <c r="B10" s="33" t="s">
        <v>24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</row>
    <row r="11" spans="1:33">
      <c r="A11" s="34" t="s">
        <v>12</v>
      </c>
      <c r="B11" s="33" t="s">
        <v>84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</row>
    <row r="12" spans="1:33">
      <c r="A12" s="34" t="s">
        <v>12</v>
      </c>
      <c r="B12" s="33" t="s">
        <v>102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</row>
    <row r="13" spans="1:33">
      <c r="A13" s="34" t="s">
        <v>12</v>
      </c>
      <c r="B13" s="167" t="s">
        <v>112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</row>
    <row r="14" spans="1:33">
      <c r="AG14"/>
    </row>
    <row r="15" spans="1:33">
      <c r="A15" s="34" t="s">
        <v>12</v>
      </c>
      <c r="B15" s="33" t="s">
        <v>21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28" t="s">
        <v>7</v>
      </c>
      <c r="K15" s="28" t="s">
        <v>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28" t="s">
        <v>7</v>
      </c>
      <c r="Y15" s="28" t="s">
        <v>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28" t="s">
        <v>7</v>
      </c>
    </row>
    <row r="16" spans="1:33">
      <c r="A16" s="34" t="s">
        <v>12</v>
      </c>
      <c r="B16" s="33" t="s">
        <v>22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28" t="s">
        <v>7</v>
      </c>
      <c r="AB16" s="28" t="s">
        <v>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G17"/>
    </row>
    <row r="18" spans="1:34">
      <c r="A18" s="34" t="s">
        <v>28</v>
      </c>
      <c r="B18" s="37" t="s">
        <v>29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</row>
    <row r="19" spans="1:34">
      <c r="A19" s="34" t="s">
        <v>28</v>
      </c>
      <c r="B19" s="37" t="s">
        <v>60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 s="28" t="s">
        <v>7</v>
      </c>
      <c r="AH19" s="91"/>
    </row>
    <row r="20" spans="1:34">
      <c r="A20" s="34" t="s">
        <v>28</v>
      </c>
      <c r="B20" s="37" t="s">
        <v>13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 s="91"/>
    </row>
    <row r="21" spans="1:34">
      <c r="B21" s="111" t="s">
        <v>90</v>
      </c>
      <c r="C21" s="112">
        <f t="shared" ref="C21:AF21" si="0">COUNTIF(C4:C18,"T")</f>
        <v>0</v>
      </c>
      <c r="D21" s="112">
        <f t="shared" si="0"/>
        <v>0</v>
      </c>
      <c r="E21" s="112">
        <f t="shared" si="0"/>
        <v>0</v>
      </c>
      <c r="F21" s="112">
        <f t="shared" si="0"/>
        <v>0</v>
      </c>
      <c r="G21" s="112">
        <f t="shared" si="0"/>
        <v>0</v>
      </c>
      <c r="H21" s="112">
        <f t="shared" si="0"/>
        <v>0</v>
      </c>
      <c r="I21" s="112">
        <f t="shared" si="0"/>
        <v>0</v>
      </c>
      <c r="J21" s="112">
        <f t="shared" si="0"/>
        <v>0</v>
      </c>
      <c r="K21" s="112">
        <f t="shared" si="0"/>
        <v>0</v>
      </c>
      <c r="L21" s="112">
        <f t="shared" si="0"/>
        <v>0</v>
      </c>
      <c r="M21" s="112">
        <f t="shared" si="0"/>
        <v>0</v>
      </c>
      <c r="N21" s="112">
        <f t="shared" si="0"/>
        <v>0</v>
      </c>
      <c r="O21" s="112">
        <f t="shared" si="0"/>
        <v>0</v>
      </c>
      <c r="P21" s="112">
        <f t="shared" si="0"/>
        <v>0</v>
      </c>
      <c r="Q21" s="112">
        <f t="shared" si="0"/>
        <v>0</v>
      </c>
      <c r="R21" s="112">
        <f t="shared" si="0"/>
        <v>0</v>
      </c>
      <c r="S21" s="112">
        <f t="shared" si="0"/>
        <v>0</v>
      </c>
      <c r="T21" s="112">
        <f t="shared" si="0"/>
        <v>0</v>
      </c>
      <c r="U21" s="112">
        <f t="shared" si="0"/>
        <v>0</v>
      </c>
      <c r="V21" s="112">
        <f t="shared" si="0"/>
        <v>0</v>
      </c>
      <c r="W21" s="112">
        <f t="shared" si="0"/>
        <v>0</v>
      </c>
      <c r="X21" s="112">
        <f t="shared" si="0"/>
        <v>0</v>
      </c>
      <c r="Y21" s="112">
        <f t="shared" si="0"/>
        <v>0</v>
      </c>
      <c r="Z21" s="112">
        <f t="shared" si="0"/>
        <v>0</v>
      </c>
      <c r="AA21" s="112">
        <f t="shared" si="0"/>
        <v>0</v>
      </c>
      <c r="AB21" s="112">
        <f t="shared" si="0"/>
        <v>0</v>
      </c>
      <c r="AC21" s="112">
        <f t="shared" si="0"/>
        <v>0</v>
      </c>
      <c r="AD21" s="112">
        <f t="shared" si="0"/>
        <v>0</v>
      </c>
      <c r="AE21" s="112">
        <f t="shared" si="0"/>
        <v>0</v>
      </c>
      <c r="AF21" s="112">
        <f t="shared" si="0"/>
        <v>0</v>
      </c>
    </row>
    <row r="22" spans="1:34">
      <c r="B22" s="111" t="s">
        <v>91</v>
      </c>
      <c r="C22" s="112">
        <f t="shared" ref="C22:AF22" si="1">COUNTIF(C4:C18,"N")+COUNTIF(C4:C18,"NF")</f>
        <v>0</v>
      </c>
      <c r="D22" s="112">
        <f t="shared" si="1"/>
        <v>0</v>
      </c>
      <c r="E22" s="112">
        <f t="shared" si="1"/>
        <v>0</v>
      </c>
      <c r="F22" s="112">
        <f t="shared" si="1"/>
        <v>0</v>
      </c>
      <c r="G22" s="112">
        <f t="shared" si="1"/>
        <v>0</v>
      </c>
      <c r="H22" s="112">
        <f t="shared" si="1"/>
        <v>0</v>
      </c>
      <c r="I22" s="112">
        <f t="shared" si="1"/>
        <v>0</v>
      </c>
      <c r="J22" s="112">
        <f t="shared" si="1"/>
        <v>0</v>
      </c>
      <c r="K22" s="112">
        <f t="shared" si="1"/>
        <v>0</v>
      </c>
      <c r="L22" s="112">
        <f t="shared" si="1"/>
        <v>0</v>
      </c>
      <c r="M22" s="112">
        <f t="shared" si="1"/>
        <v>0</v>
      </c>
      <c r="N22" s="112">
        <f t="shared" si="1"/>
        <v>0</v>
      </c>
      <c r="O22" s="112">
        <f t="shared" si="1"/>
        <v>0</v>
      </c>
      <c r="P22" s="112">
        <f t="shared" si="1"/>
        <v>0</v>
      </c>
      <c r="Q22" s="112">
        <f t="shared" si="1"/>
        <v>0</v>
      </c>
      <c r="R22" s="112">
        <f t="shared" si="1"/>
        <v>0</v>
      </c>
      <c r="S22" s="112">
        <f t="shared" si="1"/>
        <v>0</v>
      </c>
      <c r="T22" s="112">
        <f t="shared" si="1"/>
        <v>0</v>
      </c>
      <c r="U22" s="112">
        <f t="shared" si="1"/>
        <v>0</v>
      </c>
      <c r="V22" s="112">
        <f t="shared" si="1"/>
        <v>0</v>
      </c>
      <c r="W22" s="112">
        <f t="shared" si="1"/>
        <v>0</v>
      </c>
      <c r="X22" s="112">
        <f t="shared" si="1"/>
        <v>0</v>
      </c>
      <c r="Y22" s="112">
        <f t="shared" si="1"/>
        <v>0</v>
      </c>
      <c r="Z22" s="112">
        <f t="shared" si="1"/>
        <v>0</v>
      </c>
      <c r="AA22" s="112">
        <f t="shared" si="1"/>
        <v>0</v>
      </c>
      <c r="AB22" s="112">
        <f t="shared" si="1"/>
        <v>0</v>
      </c>
      <c r="AC22" s="112">
        <f t="shared" si="1"/>
        <v>0</v>
      </c>
      <c r="AD22" s="112">
        <f t="shared" si="1"/>
        <v>0</v>
      </c>
      <c r="AE22" s="112">
        <f t="shared" si="1"/>
        <v>0</v>
      </c>
      <c r="AF22" s="112">
        <f t="shared" si="1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0</v>
      </c>
      <c r="D23" s="112">
        <f>COUNTIF(D4:D18,"M/F")+COUNTIF(D4:D18,"M1")+COUNTIF(D4:D18,"M3")+COUNTIF(D4:D18,"M3/G")+COUNTIF(D4:D18,"M2")</f>
        <v>0</v>
      </c>
      <c r="E23" s="112">
        <f>COUNTIF(E4:E18,"M1")+COUNTIF(E4:E18,"NF")</f>
        <v>0</v>
      </c>
      <c r="F23" s="112">
        <f t="shared" ref="F23:AF23" si="2">COUNTIF(F4:F18,"M/F")+COUNTIF(F4:F18,"M1")+COUNTIF(F4:F18,"M3")+COUNTIF(F4:F18,"M3/G")+COUNTIF(F4:F18,"M2")</f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2"/>
      <c r="C1" s="173" t="s">
        <v>119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120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2026-06-29T12:34:06Z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0x010100053D453421A95D4FAA4AEEF46A964E01</vt:lpwstr>
  </property>
  <property fmtid="{D5CDD505-2E9C-101B-9397-08002B2CF9AE}" pid="3" name="MediaServiceImageTags">
    <vt:lpwstr/>
  </property>
  <property fmtid="{D5CDD505-2E9C-101B-9397-08002B2CF9AE}" pid="4" name="MSIP_Label_0c2abd79-57a9-4473-8700-c843f76a1e37_Enabled">
    <vt:lpwstr>true</vt:lpwstr>
  </property>
  <property fmtid="{D5CDD505-2E9C-101B-9397-08002B2CF9AE}" pid="5" name="MSIP_Label_0c2abd79-57a9-4473-8700-c843f76a1e37_SetDate">
    <vt:lpwstr>2026-06-29T08:55:42Z</vt:lpwstr>
  </property>
  <property fmtid="{D5CDD505-2E9C-101B-9397-08002B2CF9AE}" pid="6" name="MSIP_Label_0c2abd79-57a9-4473-8700-c843f76a1e37_Method">
    <vt:lpwstr>Privileged</vt:lpwstr>
  </property>
  <property fmtid="{D5CDD505-2E9C-101B-9397-08002B2CF9AE}" pid="7" name="MSIP_Label_0c2abd79-57a9-4473-8700-c843f76a1e37_Name">
    <vt:lpwstr>Internal</vt:lpwstr>
  </property>
  <property fmtid="{D5CDD505-2E9C-101B-9397-08002B2CF9AE}" pid="8" name="MSIP_Label_0c2abd79-57a9-4473-8700-c843f76a1e37_SiteId">
    <vt:lpwstr>35595a02-4d6d-44ac-99e1-f9ab4cd872db</vt:lpwstr>
  </property>
  <property fmtid="{D5CDD505-2E9C-101B-9397-08002B2CF9AE}" pid="9" name="MSIP_Label_0c2abd79-57a9-4473-8700-c843f76a1e37_ActionId">
    <vt:lpwstr>b734c67d-c623-45f9-8ccd-f6a042f910da</vt:lpwstr>
  </property>
  <property fmtid="{D5CDD505-2E9C-101B-9397-08002B2CF9AE}" pid="10" name="MSIP_Label_0c2abd79-57a9-4473-8700-c843f76a1e37_ContentBits">
    <vt:lpwstr>0</vt:lpwstr>
  </property>
  <property fmtid="{D5CDD505-2E9C-101B-9397-08002B2CF9AE}" pid="11" name="MSIP_Label_0c2abd79-57a9-4473-8700-c843f76a1e37_Tag">
    <vt:lpwstr>10, 0, 1, 2</vt:lpwstr>
  </property>
</Properties>
</file>