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threadedComments/threadedComment4.xml" ContentType="application/vnd.ms-excel.threaded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3276" documentId="8_{BF395F17-8A36-4A5B-A61D-48748E8233D4}" xr6:coauthVersionLast="47" xr6:coauthVersionMax="47" xr10:uidLastSave="{4AA567B9-B8AE-43F8-B94D-1044CB04EB55}"/>
  <bookViews>
    <workbookView xWindow="28680" yWindow="-120" windowWidth="38640" windowHeight="15720" firstSheet="12" activeTab="13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Abril-2026" sheetId="30" r:id="rId7"/>
    <sheet name="Enero-2026" sheetId="15" r:id="rId8"/>
    <sheet name="Febrero-2026" sheetId="18" r:id="rId9"/>
    <sheet name="Marzo-2026" sheetId="19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23" l="1"/>
  <c r="M25" i="23"/>
  <c r="M24" i="23"/>
  <c r="X26" i="32" l="1"/>
  <c r="X27" i="32"/>
  <c r="X28" i="32"/>
  <c r="H88" i="17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W26" i="32"/>
  <c r="V26" i="32"/>
  <c r="U26" i="32"/>
  <c r="T26" i="32"/>
  <c r="T25" i="32" s="1"/>
  <c r="S26" i="32"/>
  <c r="R26" i="32"/>
  <c r="R25" i="32" s="1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Z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X25" i="32" l="1"/>
  <c r="O25" i="32"/>
  <c r="AC25" i="32"/>
  <c r="AD25" i="32"/>
  <c r="N25" i="32"/>
  <c r="W25" i="32"/>
  <c r="U25" i="32"/>
  <c r="Y25" i="32"/>
  <c r="L25" i="32"/>
  <c r="J25" i="32"/>
  <c r="V25" i="32"/>
  <c r="K25" i="32"/>
  <c r="M25" i="32"/>
  <c r="I25" i="32"/>
  <c r="H25" i="32"/>
  <c r="AE25" i="3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4" i="23"/>
  <c r="D24" i="23"/>
  <c r="E24" i="23"/>
  <c r="F24" i="23"/>
  <c r="G24" i="23"/>
  <c r="H24" i="23"/>
  <c r="I24" i="23"/>
  <c r="J24" i="23"/>
  <c r="K24" i="23"/>
  <c r="L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C25" i="23"/>
  <c r="D25" i="23"/>
  <c r="E25" i="23"/>
  <c r="F25" i="23"/>
  <c r="G25" i="23"/>
  <c r="H25" i="23"/>
  <c r="I25" i="23"/>
  <c r="J25" i="23"/>
  <c r="K25" i="23"/>
  <c r="L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C26" i="23"/>
  <c r="D26" i="23"/>
  <c r="E26" i="23"/>
  <c r="F26" i="23"/>
  <c r="G26" i="23"/>
  <c r="H26" i="23"/>
  <c r="I26" i="23"/>
  <c r="J26" i="23"/>
  <c r="K26" i="23"/>
  <c r="L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3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3" i="23"/>
  <c r="M23" i="23"/>
  <c r="AE23" i="23"/>
  <c r="R23" i="23"/>
  <c r="K23" i="23"/>
  <c r="W23" i="23"/>
  <c r="J23" i="23"/>
  <c r="AG23" i="23"/>
  <c r="U23" i="23"/>
  <c r="I23" i="23"/>
  <c r="S23" i="23"/>
  <c r="V23" i="23"/>
  <c r="AD23" i="23"/>
  <c r="Z23" i="23"/>
  <c r="N23" i="23"/>
  <c r="Y23" i="23"/>
  <c r="E23" i="23"/>
  <c r="D23" i="23"/>
  <c r="G23" i="23"/>
  <c r="C23" i="23"/>
  <c r="F23" i="23"/>
  <c r="O23" i="23"/>
  <c r="AC23" i="23"/>
  <c r="AB23" i="23"/>
  <c r="P23" i="23"/>
  <c r="AA23" i="23"/>
  <c r="Q23" i="23"/>
  <c r="AF23" i="23"/>
  <c r="T23" i="23"/>
  <c r="H23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8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8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tc={5EC1227B-6469-4D37-AC1A-68884B9D869D}</author>
    <author>Muñoz Valle Adrian</author>
    <author>Benitez Gonzalez Inmaculada</author>
  </authors>
  <commentList>
    <comment ref="AF13" authorId="0" shapeId="0" xr:uid="{5EC1227B-6469-4D37-AC1A-68884B9D869D}">
      <text>
        <t>[Threaded comment]
Your version of Excel allows you to read this threaded comment; however, any edits to it will get removed if the file is opened in a newer version of Excel. Learn more: https://go.microsoft.com/fwlink/?linkid=870924
Comment:
    MEDICO - 12:40</t>
      </text>
    </comment>
    <comment ref="E19" authorId="1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  <comment ref="X19" authorId="2" shapeId="0" xr:uid="{D46B916F-918F-4B5F-9FFF-AC5FB38DCA78}">
      <text>
        <r>
          <rPr>
            <sz val="11"/>
            <color theme="1"/>
            <rFont val="Aptos Narrow"/>
            <family val="2"/>
            <scheme val="minor"/>
          </rPr>
          <t>Benitez Gonzalez Inmaculada:
Medico Adri</t>
        </r>
      </text>
    </comment>
  </commentList>
</comments>
</file>

<file path=xl/sharedStrings.xml><?xml version="1.0" encoding="utf-8"?>
<sst xmlns="http://schemas.openxmlformats.org/spreadsheetml/2006/main" count="11673" uniqueCount="199">
  <si>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</si>
  <si>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</si>
  <si>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</si>
  <si>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</si>
  <si>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</si>
  <si>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</si>
  <si>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</si>
  <si>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</si>
  <si>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</si>
  <si>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</si>
  <si>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</si>
  <si>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</si>
  <si>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</si>
  <si>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</si>
  <si>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</si>
  <si>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</si>
  <si>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</si>
  <si>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</si>
  <si>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</si>
  <si>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</si>
  <si>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</si>
  <si>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</si>
  <si>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</si>
  <si>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</si>
  <si>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</si>
  <si>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</si>
  <si>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</si>
  <si>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</si>
  <si>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</si>
  <si>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</si>
  <si>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</si>
  <si>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</si>
  <si>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</si>
  <si>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</si>
  <si>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</si>
  <si>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</si>
  <si>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</si>
  <si>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</si>
  <si>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</si>
  <si>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</si>
  <si>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</si>
  <si>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</si>
  <si>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</si>
  <si>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</si>
  <si>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</si>
  <si>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</si>
  <si>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</si>
  <si>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</si>
  <si>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</si>
  <si>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</si>
  <si>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</si>
  <si>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</si>
  <si>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</si>
  <si>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</si>
  <si>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</si>
  <si>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</si>
  <si>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</si>
  <si>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</si>
  <si>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</si>
  <si>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</si>
  <si>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</si>
  <si>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</si>
  <si>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</si>
  <si>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</si>
  <si>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</si>
  <si>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</si>
  <si>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</si>
  <si>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</si>
  <si>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</si>
  <si>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</si>
  <si>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</si>
  <si>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</si>
  <si>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</si>
  <si>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</si>
  <si>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</si>
  <si>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</si>
  <si>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</si>
  <si>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</si>
  <si>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</si>
  <si>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</si>
  <si>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</si>
  <si>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</si>
  <si>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</si>
  <si>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</si>
  <si>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</si>
  <si>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</si>
  <si>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</si>
  <si>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</si>
  <si>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</si>
  <si>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</si>
  <si>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</si>
  <si>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</si>
  <si>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</si>
  <si>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</si>
  <si>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</si>
  <si>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</si>
  <si>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</si>
  <si>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ABRIL</t>
  </si>
  <si>
    <t>Erik</t>
  </si>
  <si>
    <t>p,</t>
  </si>
  <si>
    <t>Hector  Contreras</t>
  </si>
  <si>
    <t>Jared Orta</t>
  </si>
  <si>
    <t>Cesar</t>
  </si>
  <si>
    <t>ENERO</t>
  </si>
  <si>
    <t>FEBRERO</t>
  </si>
  <si>
    <t>x</t>
  </si>
  <si>
    <t xml:space="preserve">Jared Orta/Cesar  </t>
  </si>
  <si>
    <t>V/G</t>
  </si>
  <si>
    <t>?</t>
  </si>
  <si>
    <t>Marzo</t>
  </si>
  <si>
    <t>Erik Castillo</t>
  </si>
  <si>
    <t>Mayo</t>
  </si>
  <si>
    <t>Edgar Rendon Soto</t>
  </si>
  <si>
    <t>Junio</t>
  </si>
  <si>
    <t>Alvaro  Cerrato</t>
  </si>
  <si>
    <t>Li</t>
  </si>
  <si>
    <t>Julio</t>
  </si>
  <si>
    <t>ANGEL LUNA</t>
  </si>
  <si>
    <t>Angel Luna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</si>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</sst>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FFFFFF"/>
      <name val="Aptos Narrow"/>
    </font>
  </fonts>
  <fills count="4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5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/>
    </xf>
    <xf numFmtId="0" fontId="4" fillId="39" borderId="20" xfId="0" applyFont="1" applyFill="1" applyBorder="1" applyAlignment="1">
      <alignment horizontal="left" vertical="center"/>
    </xf>
    <xf numFmtId="0" fontId="11" fillId="18" borderId="19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0" fillId="18" borderId="19" xfId="0" applyFont="1" applyFill="1" applyBorder="1" applyAlignment="1">
      <alignment horizontal="center"/>
    </xf>
    <xf numFmtId="0" fontId="23" fillId="23" borderId="21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29210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F13" dT="2026-06-29T12:32:06.13" personId="{678BB04D-11B0-457D-BCA0-D5F409BCB035}" id="{5EC1227B-6469-4D37-AC1A-68884B9D869D}">
    <text>MEDICO - 12:40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2"/>
      <c r="E2" s="178" t="s">
        <v>0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 ht="18" customHeight="1">
      <c r="B3" s="32"/>
      <c r="D3" s="172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1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2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2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2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2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2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2"/>
      <c r="C11" s="34"/>
      <c r="D11" s="36"/>
      <c r="E11" s="187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9"/>
      <c r="AJ11" s="91"/>
    </row>
    <row r="12" spans="1:36" ht="18" customHeight="1">
      <c r="A12" s="182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2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2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2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2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2"/>
      <c r="C17" s="34"/>
      <c r="D17" s="33"/>
      <c r="E17" s="187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9"/>
    </row>
    <row r="18" spans="1:36" ht="18" customHeight="1">
      <c r="A18" s="182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2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2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2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2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2"/>
      <c r="C23" s="34"/>
      <c r="D23" s="35"/>
      <c r="E23" s="184"/>
      <c r="F23" s="185"/>
      <c r="G23" s="185"/>
      <c r="H23" s="185"/>
      <c r="I23" s="185"/>
      <c r="J23" s="185"/>
      <c r="K23" s="185"/>
      <c r="L23" s="185"/>
      <c r="M23" s="185"/>
      <c r="N23" s="185"/>
      <c r="O23" s="185"/>
      <c r="P23" s="185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  <c r="AG23" s="185"/>
      <c r="AH23" s="185"/>
      <c r="AI23" s="186"/>
    </row>
    <row r="24" spans="1:36" ht="18" customHeight="1">
      <c r="A24" s="183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5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6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6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6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6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7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72"/>
      <c r="E2" s="178" t="s">
        <v>49</v>
      </c>
      <c r="F2" s="179"/>
      <c r="G2" s="179"/>
      <c r="H2" s="179"/>
      <c r="I2" s="179"/>
      <c r="J2" s="179"/>
      <c r="K2" s="179"/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80"/>
    </row>
    <row r="3" spans="1:36">
      <c r="A3" s="6"/>
      <c r="B3" s="32"/>
      <c r="C3" s="6"/>
      <c r="D3" s="172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2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2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2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2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2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2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2"/>
      <c r="B10" s="6"/>
      <c r="C10" s="34"/>
      <c r="D10" s="36"/>
      <c r="E10" s="187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9"/>
    </row>
    <row r="11" spans="1:36">
      <c r="A11" s="182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2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82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82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2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2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2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2"/>
      <c r="B18" s="6"/>
      <c r="C18" s="34"/>
      <c r="D18" s="33"/>
      <c r="E18" s="187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9"/>
    </row>
    <row r="19" spans="1:35">
      <c r="A19" s="182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2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2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2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2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2"/>
      <c r="B24" s="6"/>
      <c r="C24" s="34"/>
      <c r="E24" s="184"/>
      <c r="F24" s="185"/>
      <c r="G24" s="185"/>
      <c r="H24" s="185"/>
      <c r="I24" s="185"/>
      <c r="J24" s="185"/>
      <c r="K24" s="185"/>
      <c r="L24" s="185"/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6"/>
    </row>
    <row r="25" spans="1:35" ht="15" thickBot="1">
      <c r="A25" s="183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5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6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6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6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6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7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2"/>
      <c r="C1" s="178" t="s">
        <v>57</v>
      </c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</row>
    <row r="2" spans="1:33">
      <c r="A2" s="6"/>
      <c r="B2" s="172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2"/>
      <c r="C1" s="190" t="s">
        <v>78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2"/>
    </row>
    <row r="2" spans="1:34">
      <c r="A2" s="6"/>
      <c r="B2" s="172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2"/>
      <c r="C1" s="193" t="s">
        <v>81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 spans="1:34">
      <c r="A2" s="6"/>
      <c r="B2" s="172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2"/>
      <c r="C1" s="193" t="s">
        <v>95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7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97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98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99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101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102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0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4" t="s">
        <v>54</v>
      </c>
      <c r="I20" s="144" t="s">
        <v>54</v>
      </c>
      <c r="J20" s="144" t="s">
        <v>54</v>
      </c>
      <c r="K20" s="144" t="s">
        <v>54</v>
      </c>
      <c r="L20" s="144" t="s">
        <v>54</v>
      </c>
      <c r="M20" s="28" t="s">
        <v>7</v>
      </c>
      <c r="N20" s="28" t="s">
        <v>7</v>
      </c>
      <c r="O20" s="162" t="s">
        <v>33</v>
      </c>
      <c r="P20" s="144" t="s">
        <v>85</v>
      </c>
      <c r="Q20" s="144" t="s">
        <v>85</v>
      </c>
      <c r="R20" s="144" t="s">
        <v>85</v>
      </c>
      <c r="S20" s="144" t="s">
        <v>85</v>
      </c>
      <c r="T20" s="28" t="s">
        <v>30</v>
      </c>
      <c r="U20" s="28" t="s">
        <v>30</v>
      </c>
      <c r="V20" s="157" t="s">
        <v>11</v>
      </c>
      <c r="W20" s="157" t="s">
        <v>11</v>
      </c>
      <c r="X20" s="157" t="s">
        <v>11</v>
      </c>
      <c r="Y20" s="157" t="s">
        <v>11</v>
      </c>
      <c r="Z20" s="157" t="s">
        <v>11</v>
      </c>
      <c r="AA20" s="28" t="s">
        <v>7</v>
      </c>
      <c r="AB20" s="28" t="s">
        <v>7</v>
      </c>
      <c r="AC20" s="144" t="s">
        <v>54</v>
      </c>
      <c r="AD20" s="144" t="s">
        <v>54</v>
      </c>
      <c r="AE20" s="144" t="s">
        <v>54</v>
      </c>
      <c r="AF20" s="144" t="s">
        <v>54</v>
      </c>
      <c r="AG20"/>
    </row>
    <row r="21" spans="1:33">
      <c r="A21" s="34" t="s">
        <v>28</v>
      </c>
      <c r="B21" s="37" t="s">
        <v>60</v>
      </c>
      <c r="C21" s="161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7" t="s">
        <v>11</v>
      </c>
      <c r="I21" s="157" t="s">
        <v>11</v>
      </c>
      <c r="J21" s="157" t="s">
        <v>11</v>
      </c>
      <c r="K21" s="157" t="s">
        <v>11</v>
      </c>
      <c r="L21" s="157" t="s">
        <v>11</v>
      </c>
      <c r="M21" s="28" t="s">
        <v>7</v>
      </c>
      <c r="N21" s="28" t="s">
        <v>7</v>
      </c>
      <c r="O21" s="17" t="s">
        <v>4</v>
      </c>
      <c r="P21" s="144" t="s">
        <v>54</v>
      </c>
      <c r="Q21" s="144" t="s">
        <v>54</v>
      </c>
      <c r="R21" s="144" t="s">
        <v>54</v>
      </c>
      <c r="S21" s="144" t="s">
        <v>54</v>
      </c>
      <c r="T21" s="28" t="s">
        <v>7</v>
      </c>
      <c r="U21" s="28" t="s">
        <v>7</v>
      </c>
      <c r="V21" s="144" t="s">
        <v>85</v>
      </c>
      <c r="W21" s="144" t="s">
        <v>85</v>
      </c>
      <c r="X21" s="144" t="s">
        <v>85</v>
      </c>
      <c r="Y21" s="144" t="s">
        <v>85</v>
      </c>
      <c r="Z21" s="144" t="s">
        <v>85</v>
      </c>
      <c r="AA21" s="28" t="s">
        <v>30</v>
      </c>
      <c r="AB21" s="28" t="s">
        <v>30</v>
      </c>
      <c r="AC21" s="157" t="s">
        <v>11</v>
      </c>
      <c r="AD21" s="157" t="s">
        <v>11</v>
      </c>
      <c r="AE21" s="157" t="s">
        <v>11</v>
      </c>
      <c r="AF21" s="157" t="s">
        <v>11</v>
      </c>
      <c r="AG21"/>
    </row>
    <row r="22" spans="1:33">
      <c r="A22" s="34" t="s">
        <v>28</v>
      </c>
      <c r="B22" s="37" t="s">
        <v>13</v>
      </c>
      <c r="C22" s="161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4" t="s">
        <v>85</v>
      </c>
      <c r="I22" s="144" t="s">
        <v>85</v>
      </c>
      <c r="J22" s="144" t="s">
        <v>85</v>
      </c>
      <c r="K22" s="144" t="s">
        <v>85</v>
      </c>
      <c r="L22" s="144" t="s">
        <v>85</v>
      </c>
      <c r="M22" s="28" t="s">
        <v>30</v>
      </c>
      <c r="N22" s="28" t="s">
        <v>30</v>
      </c>
      <c r="O22" s="157" t="s">
        <v>11</v>
      </c>
      <c r="P22" s="157" t="s">
        <v>11</v>
      </c>
      <c r="Q22" s="157" t="s">
        <v>11</v>
      </c>
      <c r="R22" s="157" t="s">
        <v>11</v>
      </c>
      <c r="S22" s="17" t="s">
        <v>4</v>
      </c>
      <c r="T22" s="28" t="s">
        <v>7</v>
      </c>
      <c r="U22" s="28" t="s">
        <v>7</v>
      </c>
      <c r="V22" s="144" t="s">
        <v>54</v>
      </c>
      <c r="W22" s="144" t="s">
        <v>54</v>
      </c>
      <c r="X22" s="144" t="s">
        <v>54</v>
      </c>
      <c r="Y22" s="144" t="s">
        <v>54</v>
      </c>
      <c r="Z22" s="144" t="s">
        <v>54</v>
      </c>
      <c r="AA22" s="28" t="s">
        <v>7</v>
      </c>
      <c r="AB22" s="28" t="s">
        <v>7</v>
      </c>
      <c r="AC22" s="144" t="s">
        <v>85</v>
      </c>
      <c r="AD22" s="144" t="s">
        <v>85</v>
      </c>
      <c r="AE22" s="144" t="s">
        <v>85</v>
      </c>
      <c r="AF22" s="144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11" priority="1" operator="equal">
      <formula>1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2"/>
      <c r="C1" s="193" t="s">
        <v>103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</row>
    <row r="2" spans="1:34">
      <c r="A2" s="6"/>
      <c r="B2" s="172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94" t="s">
        <v>104</v>
      </c>
      <c r="D1" s="194"/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4"/>
      <c r="W1" s="194"/>
      <c r="X1" s="194"/>
      <c r="Y1" s="194"/>
      <c r="Z1" s="194"/>
      <c r="AA1" s="194"/>
      <c r="AB1" s="194"/>
      <c r="AC1" s="194"/>
      <c r="AD1" s="194"/>
    </row>
    <row r="2" spans="1:34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105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98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106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1" t="s">
        <v>20</v>
      </c>
      <c r="S12" s="141" t="s">
        <v>20</v>
      </c>
      <c r="T12" s="141" t="s">
        <v>20</v>
      </c>
      <c r="U12" s="141" t="s">
        <v>20</v>
      </c>
      <c r="V12" s="141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107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108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9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L15" sqref="L15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109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145" t="s">
        <v>6</v>
      </c>
      <c r="D2" s="146" t="s">
        <v>7</v>
      </c>
      <c r="E2" s="146" t="s">
        <v>1</v>
      </c>
      <c r="F2" s="147" t="s">
        <v>2</v>
      </c>
      <c r="G2" s="147" t="s">
        <v>3</v>
      </c>
      <c r="H2" s="147" t="s">
        <v>4</v>
      </c>
      <c r="I2" s="145" t="s">
        <v>5</v>
      </c>
      <c r="J2" s="145" t="s">
        <v>6</v>
      </c>
      <c r="K2" s="146" t="s">
        <v>7</v>
      </c>
      <c r="L2" s="146" t="s">
        <v>1</v>
      </c>
      <c r="M2" s="147" t="s">
        <v>2</v>
      </c>
      <c r="N2" s="147" t="s">
        <v>3</v>
      </c>
      <c r="O2" s="147" t="s">
        <v>4</v>
      </c>
      <c r="P2" s="145" t="s">
        <v>5</v>
      </c>
      <c r="Q2" s="145" t="s">
        <v>6</v>
      </c>
      <c r="R2" s="146" t="s">
        <v>7</v>
      </c>
      <c r="S2" s="146" t="s">
        <v>1</v>
      </c>
      <c r="T2" s="147" t="s">
        <v>2</v>
      </c>
      <c r="U2" s="147" t="s">
        <v>3</v>
      </c>
      <c r="V2" s="147" t="s">
        <v>4</v>
      </c>
      <c r="W2" s="145" t="s">
        <v>5</v>
      </c>
      <c r="X2" s="145" t="s">
        <v>6</v>
      </c>
      <c r="Y2" s="146" t="s">
        <v>7</v>
      </c>
      <c r="Z2" s="146" t="s">
        <v>1</v>
      </c>
      <c r="AA2" s="147" t="s">
        <v>2</v>
      </c>
      <c r="AB2" s="147" t="s">
        <v>3</v>
      </c>
      <c r="AC2" s="147" t="s">
        <v>4</v>
      </c>
      <c r="AD2" s="145" t="s">
        <v>5</v>
      </c>
      <c r="AE2" s="145" t="s">
        <v>6</v>
      </c>
      <c r="AF2" s="146" t="s">
        <v>7</v>
      </c>
      <c r="AG2" s="146" t="s">
        <v>1</v>
      </c>
      <c r="AH2"/>
    </row>
    <row r="3" spans="1:34">
      <c r="A3" s="6"/>
      <c r="B3" s="172"/>
      <c r="C3" s="148">
        <v>1</v>
      </c>
      <c r="D3" s="148">
        <v>2</v>
      </c>
      <c r="E3" s="148">
        <v>3</v>
      </c>
      <c r="F3" s="148">
        <v>4</v>
      </c>
      <c r="G3" s="148">
        <v>5</v>
      </c>
      <c r="H3" s="148">
        <v>6</v>
      </c>
      <c r="I3" s="148">
        <v>7</v>
      </c>
      <c r="J3" s="148">
        <v>8</v>
      </c>
      <c r="K3" s="148">
        <v>9</v>
      </c>
      <c r="L3" s="148">
        <v>10</v>
      </c>
      <c r="M3" s="148">
        <v>11</v>
      </c>
      <c r="N3" s="148">
        <v>12</v>
      </c>
      <c r="O3" s="148">
        <v>13</v>
      </c>
      <c r="P3" s="148">
        <v>14</v>
      </c>
      <c r="Q3" s="148">
        <v>15</v>
      </c>
      <c r="R3" s="148">
        <v>16</v>
      </c>
      <c r="S3" s="148">
        <v>17</v>
      </c>
      <c r="T3" s="148">
        <v>18</v>
      </c>
      <c r="U3" s="148">
        <v>19</v>
      </c>
      <c r="V3" s="148">
        <v>20</v>
      </c>
      <c r="W3" s="148">
        <v>21</v>
      </c>
      <c r="X3" s="148">
        <v>22</v>
      </c>
      <c r="Y3" s="148">
        <v>23</v>
      </c>
      <c r="Z3" s="148">
        <v>24</v>
      </c>
      <c r="AA3" s="148">
        <v>25</v>
      </c>
      <c r="AB3" s="148">
        <v>26</v>
      </c>
      <c r="AC3" s="148">
        <v>27</v>
      </c>
      <c r="AD3" s="148">
        <v>28</v>
      </c>
      <c r="AE3" s="148">
        <v>29</v>
      </c>
      <c r="AF3" s="148">
        <v>30</v>
      </c>
      <c r="AG3" s="148">
        <v>31</v>
      </c>
      <c r="AH3"/>
    </row>
    <row r="4" spans="1:34">
      <c r="A4" s="63" t="s">
        <v>12</v>
      </c>
      <c r="B4" s="62" t="s">
        <v>110</v>
      </c>
      <c r="C4" s="143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3" t="s">
        <v>7</v>
      </c>
      <c r="J4" s="143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3" t="s">
        <v>7</v>
      </c>
      <c r="S4" s="143" t="s">
        <v>7</v>
      </c>
      <c r="T4" s="143" t="s">
        <v>7</v>
      </c>
      <c r="U4" s="143" t="s">
        <v>7</v>
      </c>
      <c r="V4" s="109" t="s">
        <v>4</v>
      </c>
      <c r="W4" s="143" t="s">
        <v>7</v>
      </c>
      <c r="X4" s="143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3" t="s">
        <v>7</v>
      </c>
      <c r="AG4" s="143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3" t="s">
        <v>7</v>
      </c>
      <c r="E5" s="143" t="s">
        <v>7</v>
      </c>
      <c r="F5" s="143" t="s">
        <v>7</v>
      </c>
      <c r="G5" s="109" t="s">
        <v>4</v>
      </c>
      <c r="H5" s="143" t="s">
        <v>7</v>
      </c>
      <c r="I5" s="143" t="s">
        <v>7</v>
      </c>
      <c r="J5" s="143" t="s">
        <v>7</v>
      </c>
      <c r="K5" s="149" t="s">
        <v>20</v>
      </c>
      <c r="L5" s="149" t="s">
        <v>20</v>
      </c>
      <c r="M5" s="149" t="s">
        <v>20</v>
      </c>
      <c r="N5" s="149" t="s">
        <v>20</v>
      </c>
      <c r="O5" s="149" t="s">
        <v>20</v>
      </c>
      <c r="P5" s="143" t="s">
        <v>7</v>
      </c>
      <c r="Q5" s="143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3" t="s">
        <v>7</v>
      </c>
      <c r="Z5" s="143" t="s">
        <v>7</v>
      </c>
      <c r="AA5" s="143" t="s">
        <v>7</v>
      </c>
      <c r="AB5" s="143" t="s">
        <v>7</v>
      </c>
      <c r="AC5" s="109" t="s">
        <v>4</v>
      </c>
      <c r="AD5" s="143" t="s">
        <v>7</v>
      </c>
      <c r="AE5" s="143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3" t="s">
        <v>7</v>
      </c>
      <c r="D6" s="149" t="s">
        <v>20</v>
      </c>
      <c r="E6" s="149" t="s">
        <v>20</v>
      </c>
      <c r="F6" s="149" t="s">
        <v>20</v>
      </c>
      <c r="G6" s="149" t="s">
        <v>20</v>
      </c>
      <c r="H6" s="149" t="s">
        <v>20</v>
      </c>
      <c r="I6" s="137" t="s">
        <v>15</v>
      </c>
      <c r="J6" s="137" t="s">
        <v>15</v>
      </c>
      <c r="K6" s="143" t="s">
        <v>7</v>
      </c>
      <c r="L6" s="143" t="s">
        <v>7</v>
      </c>
      <c r="M6" s="143" t="s">
        <v>7</v>
      </c>
      <c r="N6" s="143" t="s">
        <v>7</v>
      </c>
      <c r="O6" s="109" t="s">
        <v>4</v>
      </c>
      <c r="P6" s="143" t="s">
        <v>7</v>
      </c>
      <c r="Q6" s="143" t="s">
        <v>7</v>
      </c>
      <c r="R6" s="149" t="s">
        <v>20</v>
      </c>
      <c r="S6" s="149" t="s">
        <v>20</v>
      </c>
      <c r="T6" s="149" t="s">
        <v>20</v>
      </c>
      <c r="U6" s="149" t="s">
        <v>20</v>
      </c>
      <c r="V6" s="149" t="s">
        <v>20</v>
      </c>
      <c r="W6" s="143" t="s">
        <v>7</v>
      </c>
      <c r="X6" s="143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3" t="s">
        <v>7</v>
      </c>
      <c r="AG6" s="143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3" t="s">
        <v>7</v>
      </c>
      <c r="E7" s="143" t="s">
        <v>7</v>
      </c>
      <c r="F7" s="143" t="s">
        <v>7</v>
      </c>
      <c r="G7" s="143" t="s">
        <v>7</v>
      </c>
      <c r="H7" s="109" t="s">
        <v>4</v>
      </c>
      <c r="I7" s="143" t="s">
        <v>7</v>
      </c>
      <c r="J7" s="143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3" t="s">
        <v>7</v>
      </c>
      <c r="S7" s="143" t="s">
        <v>7</v>
      </c>
      <c r="T7" s="143" t="s">
        <v>7</v>
      </c>
      <c r="U7" s="109" t="s">
        <v>4</v>
      </c>
      <c r="V7" s="143" t="s">
        <v>7</v>
      </c>
      <c r="W7" s="143" t="s">
        <v>7</v>
      </c>
      <c r="X7" s="143" t="s">
        <v>7</v>
      </c>
      <c r="Y7" s="149" t="s">
        <v>20</v>
      </c>
      <c r="Z7" s="149" t="s">
        <v>20</v>
      </c>
      <c r="AA7" s="149" t="s">
        <v>20</v>
      </c>
      <c r="AB7" s="149" t="s">
        <v>20</v>
      </c>
      <c r="AC7" s="149" t="s">
        <v>20</v>
      </c>
      <c r="AD7" s="143" t="s">
        <v>7</v>
      </c>
      <c r="AE7" s="143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3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3" t="s">
        <v>7</v>
      </c>
      <c r="L8" s="143" t="s">
        <v>7</v>
      </c>
      <c r="M8" s="143" t="s">
        <v>7</v>
      </c>
      <c r="N8" s="109" t="s">
        <v>4</v>
      </c>
      <c r="O8" s="143" t="s">
        <v>7</v>
      </c>
      <c r="P8" s="143" t="s">
        <v>7</v>
      </c>
      <c r="Q8" s="143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3" t="s">
        <v>7</v>
      </c>
      <c r="Z8" s="143" t="s">
        <v>7</v>
      </c>
      <c r="AA8" s="143" t="s">
        <v>7</v>
      </c>
      <c r="AB8" s="109" t="s">
        <v>4</v>
      </c>
      <c r="AC8" s="143" t="s">
        <v>7</v>
      </c>
      <c r="AD8" s="143" t="s">
        <v>7</v>
      </c>
      <c r="AE8" s="143" t="s">
        <v>7</v>
      </c>
      <c r="AF8" s="149" t="s">
        <v>20</v>
      </c>
      <c r="AG8" s="149" t="s">
        <v>20</v>
      </c>
      <c r="AH8"/>
    </row>
    <row r="9" spans="1:34">
      <c r="A9" s="34"/>
      <c r="C9" s="150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0"/>
      <c r="AF9" s="150"/>
      <c r="AG9" s="150"/>
      <c r="AH9"/>
    </row>
    <row r="10" spans="1:34">
      <c r="A10" s="34" t="s">
        <v>12</v>
      </c>
      <c r="B10" s="33" t="s">
        <v>101</v>
      </c>
      <c r="C10" s="136" t="s">
        <v>7</v>
      </c>
      <c r="D10" s="152" t="s">
        <v>16</v>
      </c>
      <c r="E10" s="152" t="s">
        <v>16</v>
      </c>
      <c r="F10" s="152" t="s">
        <v>16</v>
      </c>
      <c r="G10" s="152" t="s">
        <v>16</v>
      </c>
      <c r="H10" s="152" t="s">
        <v>16</v>
      </c>
      <c r="I10" s="152" t="s">
        <v>17</v>
      </c>
      <c r="J10" s="152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58" t="s">
        <v>17</v>
      </c>
      <c r="Q10" s="158" t="s">
        <v>17</v>
      </c>
      <c r="R10" s="153" t="s">
        <v>20</v>
      </c>
      <c r="S10" s="153" t="s">
        <v>20</v>
      </c>
      <c r="T10" s="153" t="s">
        <v>20</v>
      </c>
      <c r="U10" s="153" t="s">
        <v>20</v>
      </c>
      <c r="V10" s="158" t="s">
        <v>16</v>
      </c>
      <c r="W10" s="136" t="s">
        <v>7</v>
      </c>
      <c r="X10" s="136" t="s">
        <v>7</v>
      </c>
      <c r="Y10" s="158" t="s">
        <v>20</v>
      </c>
      <c r="Z10" s="158" t="s">
        <v>20</v>
      </c>
      <c r="AA10" s="158" t="s">
        <v>20</v>
      </c>
      <c r="AB10" s="158" t="s">
        <v>20</v>
      </c>
      <c r="AC10" s="158" t="s">
        <v>20</v>
      </c>
      <c r="AD10" s="159" t="s">
        <v>7</v>
      </c>
      <c r="AE10" s="159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2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2" t="s">
        <v>16</v>
      </c>
      <c r="L11" s="152" t="s">
        <v>16</v>
      </c>
      <c r="M11" s="152" t="s">
        <v>16</v>
      </c>
      <c r="N11" s="152" t="s">
        <v>16</v>
      </c>
      <c r="O11" s="152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58" t="s">
        <v>16</v>
      </c>
      <c r="Z11" s="158" t="s">
        <v>16</v>
      </c>
      <c r="AA11" s="158" t="s">
        <v>16</v>
      </c>
      <c r="AB11" s="158" t="s">
        <v>16</v>
      </c>
      <c r="AC11" s="158" t="s">
        <v>16</v>
      </c>
      <c r="AD11" s="158" t="s">
        <v>17</v>
      </c>
      <c r="AE11" s="158" t="s">
        <v>17</v>
      </c>
      <c r="AF11" s="152" t="s">
        <v>16</v>
      </c>
      <c r="AG11" s="152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2" t="s">
        <v>16</v>
      </c>
      <c r="E12" s="152" t="s">
        <v>16</v>
      </c>
      <c r="F12" s="152" t="s">
        <v>16</v>
      </c>
      <c r="G12" s="152" t="s">
        <v>16</v>
      </c>
      <c r="H12" s="152" t="s">
        <v>16</v>
      </c>
      <c r="I12" s="152" t="s">
        <v>17</v>
      </c>
      <c r="J12" s="152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2" t="s">
        <v>16</v>
      </c>
      <c r="S12" s="152" t="s">
        <v>16</v>
      </c>
      <c r="T12" s="152" t="s">
        <v>16</v>
      </c>
      <c r="U12" s="152" t="s">
        <v>16</v>
      </c>
      <c r="V12" s="158" t="s">
        <v>20</v>
      </c>
      <c r="W12" s="152" t="s">
        <v>17</v>
      </c>
      <c r="X12" s="152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3" t="s">
        <v>20</v>
      </c>
      <c r="AG12" s="153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3" t="s">
        <v>20</v>
      </c>
      <c r="E13" s="153" t="s">
        <v>20</v>
      </c>
      <c r="F13" s="153" t="s">
        <v>20</v>
      </c>
      <c r="G13" s="153" t="s">
        <v>20</v>
      </c>
      <c r="H13" s="153" t="s">
        <v>20</v>
      </c>
      <c r="I13" s="136" t="s">
        <v>7</v>
      </c>
      <c r="J13" s="136" t="s">
        <v>7</v>
      </c>
      <c r="K13" s="152" t="s">
        <v>16</v>
      </c>
      <c r="L13" s="152" t="s">
        <v>16</v>
      </c>
      <c r="M13" s="152" t="s">
        <v>16</v>
      </c>
      <c r="N13" s="152" t="s">
        <v>16</v>
      </c>
      <c r="O13" s="152" t="s">
        <v>16</v>
      </c>
      <c r="P13" s="152" t="s">
        <v>17</v>
      </c>
      <c r="Q13" s="152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2" t="s">
        <v>16</v>
      </c>
      <c r="Z13" s="152" t="s">
        <v>16</v>
      </c>
      <c r="AA13" s="152" t="s">
        <v>16</v>
      </c>
      <c r="AB13" s="152" t="s">
        <v>16</v>
      </c>
      <c r="AC13" s="152" t="s">
        <v>16</v>
      </c>
      <c r="AD13" s="152" t="s">
        <v>17</v>
      </c>
      <c r="AE13" s="152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102</v>
      </c>
      <c r="C14" s="136" t="s">
        <v>7</v>
      </c>
      <c r="D14" s="153" t="s">
        <v>20</v>
      </c>
      <c r="E14" s="153" t="s">
        <v>20</v>
      </c>
      <c r="F14" s="153" t="s">
        <v>20</v>
      </c>
      <c r="G14" s="153" t="s">
        <v>20</v>
      </c>
      <c r="H14" s="153" t="s">
        <v>20</v>
      </c>
      <c r="I14" s="155" t="s">
        <v>7</v>
      </c>
      <c r="J14" s="155" t="s">
        <v>7</v>
      </c>
      <c r="K14" s="156" t="s">
        <v>20</v>
      </c>
      <c r="L14" s="156" t="s">
        <v>20</v>
      </c>
      <c r="M14" s="156" t="s">
        <v>20</v>
      </c>
      <c r="N14" s="156" t="s">
        <v>20</v>
      </c>
      <c r="O14" s="156" t="s">
        <v>20</v>
      </c>
      <c r="P14" s="155" t="s">
        <v>7</v>
      </c>
      <c r="Q14" s="155" t="s">
        <v>7</v>
      </c>
      <c r="R14" s="154" t="s">
        <v>16</v>
      </c>
      <c r="S14" s="154" t="s">
        <v>16</v>
      </c>
      <c r="T14" s="154" t="s">
        <v>16</v>
      </c>
      <c r="U14" s="154" t="s">
        <v>16</v>
      </c>
      <c r="V14" s="154" t="s">
        <v>16</v>
      </c>
      <c r="W14" s="152" t="s">
        <v>17</v>
      </c>
      <c r="X14" s="152" t="s">
        <v>17</v>
      </c>
      <c r="Y14" s="155" t="s">
        <v>7</v>
      </c>
      <c r="Z14" s="155" t="s">
        <v>7</v>
      </c>
      <c r="AA14" s="155" t="s">
        <v>7</v>
      </c>
      <c r="AB14" s="155" t="s">
        <v>7</v>
      </c>
      <c r="AC14" s="155" t="s">
        <v>7</v>
      </c>
      <c r="AD14" s="155" t="s">
        <v>7</v>
      </c>
      <c r="AE14" s="155" t="s">
        <v>7</v>
      </c>
      <c r="AF14" s="154" t="s">
        <v>16</v>
      </c>
      <c r="AG14" s="154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AG2" sqref="B1:AG28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2"/>
      <c r="C1" s="173" t="s">
        <v>111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98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166" t="s">
        <v>16</v>
      </c>
      <c r="AD6" s="166" t="s">
        <v>16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46</v>
      </c>
      <c r="C8" s="162" t="s">
        <v>83</v>
      </c>
      <c r="D8" s="143" t="s">
        <v>7</v>
      </c>
      <c r="E8" s="143" t="s">
        <v>7</v>
      </c>
      <c r="F8" s="162" t="s">
        <v>83</v>
      </c>
      <c r="G8" s="162" t="s">
        <v>83</v>
      </c>
      <c r="H8" s="162" t="s">
        <v>83</v>
      </c>
      <c r="I8" s="162" t="s">
        <v>83</v>
      </c>
      <c r="J8" s="162" t="s">
        <v>83</v>
      </c>
      <c r="K8" s="143" t="s">
        <v>7</v>
      </c>
      <c r="L8" s="143" t="s">
        <v>7</v>
      </c>
      <c r="M8" s="162" t="s">
        <v>83</v>
      </c>
      <c r="N8" s="162" t="s">
        <v>83</v>
      </c>
      <c r="O8" s="162" t="s">
        <v>83</v>
      </c>
      <c r="P8" s="162" t="s">
        <v>83</v>
      </c>
      <c r="Q8" s="162" t="s">
        <v>83</v>
      </c>
      <c r="R8" s="143" t="s">
        <v>7</v>
      </c>
      <c r="S8" s="143" t="s">
        <v>7</v>
      </c>
      <c r="T8" s="162" t="s">
        <v>83</v>
      </c>
      <c r="U8" s="162" t="s">
        <v>83</v>
      </c>
      <c r="V8" s="162" t="s">
        <v>83</v>
      </c>
      <c r="W8" s="162" t="s">
        <v>83</v>
      </c>
      <c r="X8" s="162" t="s">
        <v>83</v>
      </c>
      <c r="Y8" s="143" t="s">
        <v>7</v>
      </c>
      <c r="Z8" s="143" t="s">
        <v>7</v>
      </c>
      <c r="AA8" s="162" t="s">
        <v>83</v>
      </c>
      <c r="AB8" s="162" t="s">
        <v>83</v>
      </c>
      <c r="AC8" s="162" t="s">
        <v>83</v>
      </c>
      <c r="AD8" s="162" t="s">
        <v>83</v>
      </c>
      <c r="AE8" s="162" t="s">
        <v>83</v>
      </c>
      <c r="AF8" s="163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>
      <c r="A10" s="34" t="s">
        <v>12</v>
      </c>
      <c r="B10" s="33" t="s">
        <v>101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4" t="s">
        <v>83</v>
      </c>
      <c r="AE10" s="162" t="s">
        <v>83</v>
      </c>
      <c r="AF10" s="163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102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66" t="s">
        <v>83</v>
      </c>
      <c r="AD18" s="166" t="s">
        <v>83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2" t="s">
        <v>33</v>
      </c>
      <c r="G21" s="144" t="s">
        <v>85</v>
      </c>
      <c r="H21" s="144" t="s">
        <v>85</v>
      </c>
      <c r="I21" s="144" t="s">
        <v>85</v>
      </c>
      <c r="J21" s="144" t="s">
        <v>85</v>
      </c>
      <c r="K21" s="28" t="s">
        <v>30</v>
      </c>
      <c r="L21" s="28" t="s">
        <v>30</v>
      </c>
      <c r="M21" s="157" t="s">
        <v>11</v>
      </c>
      <c r="N21" s="157" t="s">
        <v>11</v>
      </c>
      <c r="O21" s="157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4" t="s">
        <v>54</v>
      </c>
      <c r="U21" s="144" t="s">
        <v>54</v>
      </c>
      <c r="V21" s="144" t="s">
        <v>54</v>
      </c>
      <c r="W21" s="144" t="s">
        <v>54</v>
      </c>
      <c r="X21" s="144" t="s">
        <v>54</v>
      </c>
      <c r="Y21" s="28" t="s">
        <v>7</v>
      </c>
      <c r="Z21" s="28" t="s">
        <v>7</v>
      </c>
      <c r="AA21" s="144" t="s">
        <v>85</v>
      </c>
      <c r="AB21" s="144" t="s">
        <v>85</v>
      </c>
      <c r="AC21" s="144" t="s">
        <v>85</v>
      </c>
      <c r="AD21" s="144" t="s">
        <v>85</v>
      </c>
      <c r="AE21" s="144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4" t="s">
        <v>54</v>
      </c>
      <c r="H22" s="144" t="s">
        <v>54</v>
      </c>
      <c r="I22" s="144" t="s">
        <v>54</v>
      </c>
      <c r="J22" s="144" t="s">
        <v>54</v>
      </c>
      <c r="K22" s="28" t="s">
        <v>7</v>
      </c>
      <c r="L22" s="28" t="s">
        <v>7</v>
      </c>
      <c r="M22" s="144" t="s">
        <v>85</v>
      </c>
      <c r="N22" s="144" t="s">
        <v>85</v>
      </c>
      <c r="O22" s="144" t="s">
        <v>85</v>
      </c>
      <c r="P22" s="157" t="s">
        <v>85</v>
      </c>
      <c r="Q22" s="28" t="s">
        <v>30</v>
      </c>
      <c r="R22" s="28" t="s">
        <v>30</v>
      </c>
      <c r="S22" s="28" t="s">
        <v>30</v>
      </c>
      <c r="T22" s="157" t="s">
        <v>11</v>
      </c>
      <c r="U22" s="157" t="s">
        <v>11</v>
      </c>
      <c r="V22" s="157" t="s">
        <v>11</v>
      </c>
      <c r="W22" s="157" t="s">
        <v>11</v>
      </c>
      <c r="X22" s="157" t="s">
        <v>11</v>
      </c>
      <c r="Y22" s="28" t="s">
        <v>7</v>
      </c>
      <c r="Z22" s="28" t="s">
        <v>7</v>
      </c>
      <c r="AA22" s="144" t="s">
        <v>54</v>
      </c>
      <c r="AB22" s="144" t="s">
        <v>54</v>
      </c>
      <c r="AC22" s="144" t="s">
        <v>54</v>
      </c>
      <c r="AD22" s="144" t="s">
        <v>54</v>
      </c>
      <c r="AE22" s="144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7" t="s">
        <v>11</v>
      </c>
      <c r="G23" s="157" t="s">
        <v>11</v>
      </c>
      <c r="H23" s="157" t="s">
        <v>11</v>
      </c>
      <c r="I23" s="157" t="s">
        <v>11</v>
      </c>
      <c r="J23" s="157" t="s">
        <v>11</v>
      </c>
      <c r="K23" s="28" t="s">
        <v>7</v>
      </c>
      <c r="L23" s="28" t="s">
        <v>7</v>
      </c>
      <c r="M23" s="144" t="s">
        <v>54</v>
      </c>
      <c r="N23" s="144" t="s">
        <v>54</v>
      </c>
      <c r="O23" s="144" t="s">
        <v>54</v>
      </c>
      <c r="P23" s="144" t="s">
        <v>54</v>
      </c>
      <c r="Q23" s="28" t="s">
        <v>7</v>
      </c>
      <c r="R23" s="28" t="s">
        <v>7</v>
      </c>
      <c r="S23" s="28" t="s">
        <v>7</v>
      </c>
      <c r="T23" s="144" t="s">
        <v>85</v>
      </c>
      <c r="U23" s="144" t="s">
        <v>85</v>
      </c>
      <c r="V23" s="144" t="s">
        <v>85</v>
      </c>
      <c r="W23" s="144" t="s">
        <v>85</v>
      </c>
      <c r="X23" s="144" t="s">
        <v>85</v>
      </c>
      <c r="Y23" s="28" t="s">
        <v>30</v>
      </c>
      <c r="Z23" s="28" t="s">
        <v>30</v>
      </c>
      <c r="AA23" s="157" t="s">
        <v>11</v>
      </c>
      <c r="AB23" s="157" t="s">
        <v>11</v>
      </c>
      <c r="AC23" s="157" t="s">
        <v>11</v>
      </c>
      <c r="AD23" s="157" t="s">
        <v>11</v>
      </c>
      <c r="AE23" s="157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2"/>
  <sheetViews>
    <sheetView workbookViewId="0">
      <selection activeCell="AI20" sqref="AI20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2"/>
      <c r="C1" s="173" t="s">
        <v>113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109" t="s">
        <v>4</v>
      </c>
      <c r="G4" s="28" t="s">
        <v>7</v>
      </c>
      <c r="H4" s="48" t="s">
        <v>15</v>
      </c>
      <c r="I4" s="48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47" t="s">
        <v>20</v>
      </c>
      <c r="R4" s="47" t="s">
        <v>20</v>
      </c>
      <c r="S4" s="1" t="s">
        <v>14</v>
      </c>
      <c r="T4" s="47" t="s">
        <v>20</v>
      </c>
      <c r="U4" s="1" t="s">
        <v>14</v>
      </c>
      <c r="V4" s="82" t="s">
        <v>7</v>
      </c>
      <c r="W4" s="82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109" t="s">
        <v>4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82" t="s">
        <v>7</v>
      </c>
      <c r="I5" s="82" t="s">
        <v>7</v>
      </c>
      <c r="J5" s="28" t="s">
        <v>7</v>
      </c>
      <c r="K5" s="28" t="s">
        <v>7</v>
      </c>
      <c r="L5" s="28" t="s">
        <v>7</v>
      </c>
      <c r="M5" s="169" t="s">
        <v>20</v>
      </c>
      <c r="N5" s="109" t="s">
        <v>4</v>
      </c>
      <c r="O5" s="28" t="s">
        <v>7</v>
      </c>
      <c r="P5" s="28" t="s">
        <v>7</v>
      </c>
      <c r="Q5" s="47" t="s">
        <v>14</v>
      </c>
      <c r="R5" s="47" t="s">
        <v>14</v>
      </c>
      <c r="S5" s="82" t="s">
        <v>7</v>
      </c>
      <c r="T5" s="47" t="s">
        <v>14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109" t="s">
        <v>4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>
      <c r="AG7"/>
    </row>
    <row r="8" spans="1:33">
      <c r="A8" s="34" t="s">
        <v>12</v>
      </c>
      <c r="B8" s="33" t="s">
        <v>53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130" t="s">
        <v>16</v>
      </c>
      <c r="K8" s="130" t="s">
        <v>16</v>
      </c>
      <c r="L8" s="130" t="s">
        <v>16</v>
      </c>
      <c r="M8" s="130" t="s">
        <v>16</v>
      </c>
      <c r="N8" s="130" t="s">
        <v>16</v>
      </c>
      <c r="O8" s="130" t="s">
        <v>17</v>
      </c>
      <c r="P8" s="130" t="s">
        <v>17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125" t="s">
        <v>20</v>
      </c>
      <c r="Y8" s="125" t="s">
        <v>20</v>
      </c>
      <c r="Z8" s="125" t="s">
        <v>20</v>
      </c>
      <c r="AA8" s="125" t="s">
        <v>20</v>
      </c>
      <c r="AB8" s="125" t="s">
        <v>20</v>
      </c>
      <c r="AC8" s="5" t="s">
        <v>15</v>
      </c>
      <c r="AD8" s="5" t="s">
        <v>15</v>
      </c>
      <c r="AE8" s="28" t="s">
        <v>7</v>
      </c>
      <c r="AF8" s="28" t="s">
        <v>7</v>
      </c>
      <c r="AG8"/>
    </row>
    <row r="9" spans="1:33">
      <c r="A9" s="34" t="s">
        <v>12</v>
      </c>
      <c r="B9" s="33" t="s">
        <v>24</v>
      </c>
      <c r="C9" s="125" t="s">
        <v>20</v>
      </c>
      <c r="D9" s="125" t="s">
        <v>20</v>
      </c>
      <c r="E9" s="166" t="s">
        <v>16</v>
      </c>
      <c r="F9" s="125" t="s">
        <v>20</v>
      </c>
      <c r="G9" s="125" t="s">
        <v>20</v>
      </c>
      <c r="H9" s="5" t="s">
        <v>15</v>
      </c>
      <c r="I9" s="5" t="s">
        <v>15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170" t="s">
        <v>20</v>
      </c>
      <c r="R9" s="130" t="s">
        <v>16</v>
      </c>
      <c r="S9" s="130" t="s">
        <v>16</v>
      </c>
      <c r="T9" s="130" t="s">
        <v>16</v>
      </c>
      <c r="U9" s="130" t="s">
        <v>16</v>
      </c>
      <c r="V9" s="130" t="s">
        <v>17</v>
      </c>
      <c r="W9" s="130" t="s">
        <v>17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125" t="s">
        <v>20</v>
      </c>
      <c r="AF9" s="125" t="s">
        <v>20</v>
      </c>
      <c r="AG9"/>
    </row>
    <row r="10" spans="1:33">
      <c r="A10" s="34" t="s">
        <v>12</v>
      </c>
      <c r="B10" s="33" t="s">
        <v>84</v>
      </c>
      <c r="C10" s="130" t="s">
        <v>16</v>
      </c>
      <c r="D10" s="130" t="s">
        <v>16</v>
      </c>
      <c r="E10" s="168" t="s">
        <v>20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166" t="s">
        <v>16</v>
      </c>
      <c r="R10" s="125" t="s">
        <v>20</v>
      </c>
      <c r="S10" s="125" t="s">
        <v>20</v>
      </c>
      <c r="T10" s="125" t="s">
        <v>20</v>
      </c>
      <c r="U10" s="125" t="s">
        <v>20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102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25" t="s">
        <v>20</v>
      </c>
      <c r="K11" s="125" t="s">
        <v>20</v>
      </c>
      <c r="L11" s="125" t="s">
        <v>20</v>
      </c>
      <c r="M11" s="82" t="s">
        <v>7</v>
      </c>
      <c r="N11" s="125" t="s">
        <v>20</v>
      </c>
      <c r="O11" s="5" t="s">
        <v>15</v>
      </c>
      <c r="P11" s="5" t="s">
        <v>15</v>
      </c>
      <c r="Q11" s="28" t="s">
        <v>7</v>
      </c>
      <c r="R11" s="28" t="s">
        <v>7</v>
      </c>
      <c r="S11" s="169" t="s">
        <v>20</v>
      </c>
      <c r="T11" s="28" t="s">
        <v>7</v>
      </c>
      <c r="U11" s="28" t="s">
        <v>7</v>
      </c>
      <c r="V11" s="28" t="s">
        <v>7</v>
      </c>
      <c r="W11" s="28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28" t="s">
        <v>7</v>
      </c>
      <c r="AF11" s="28" t="s">
        <v>7</v>
      </c>
      <c r="AG11"/>
    </row>
    <row r="12" spans="1:33">
      <c r="AG12"/>
    </row>
    <row r="13" spans="1:33">
      <c r="A13" s="34" t="s">
        <v>12</v>
      </c>
      <c r="B13" s="167" t="s">
        <v>114</v>
      </c>
      <c r="C13" s="137" t="s">
        <v>14</v>
      </c>
      <c r="D13" s="137" t="s">
        <v>14</v>
      </c>
      <c r="E13" s="137" t="s">
        <v>14</v>
      </c>
      <c r="F13" s="137" t="s">
        <v>14</v>
      </c>
      <c r="G13" s="137" t="s">
        <v>14</v>
      </c>
      <c r="H13" s="143" t="s">
        <v>7</v>
      </c>
      <c r="I13" s="143" t="s">
        <v>7</v>
      </c>
      <c r="J13" s="137" t="s">
        <v>14</v>
      </c>
      <c r="K13" s="137" t="s">
        <v>14</v>
      </c>
      <c r="L13" s="137" t="s">
        <v>14</v>
      </c>
      <c r="M13" s="121" t="s">
        <v>14</v>
      </c>
      <c r="N13" s="121" t="s">
        <v>14</v>
      </c>
      <c r="O13" s="143" t="s">
        <v>7</v>
      </c>
      <c r="P13" s="143" t="s">
        <v>7</v>
      </c>
      <c r="Q13" s="121" t="s">
        <v>14</v>
      </c>
      <c r="R13" s="121" t="s">
        <v>14</v>
      </c>
      <c r="S13" s="121" t="s">
        <v>14</v>
      </c>
      <c r="T13" s="121" t="s">
        <v>14</v>
      </c>
      <c r="U13" s="137" t="s">
        <v>14</v>
      </c>
      <c r="V13" s="143" t="s">
        <v>7</v>
      </c>
      <c r="W13" s="143" t="s">
        <v>7</v>
      </c>
      <c r="X13" s="121" t="s">
        <v>14</v>
      </c>
      <c r="Y13" s="137" t="s">
        <v>14</v>
      </c>
      <c r="Z13" s="137" t="s">
        <v>14</v>
      </c>
      <c r="AA13" s="137" t="s">
        <v>14</v>
      </c>
      <c r="AB13" s="137" t="s">
        <v>14</v>
      </c>
      <c r="AC13" s="143" t="s">
        <v>7</v>
      </c>
      <c r="AD13" s="143" t="s">
        <v>7</v>
      </c>
      <c r="AE13" s="137" t="s">
        <v>14</v>
      </c>
      <c r="AF13" s="137" t="s">
        <v>115</v>
      </c>
      <c r="AG13"/>
    </row>
    <row r="14" spans="1:33">
      <c r="A14" s="34" t="s">
        <v>12</v>
      </c>
      <c r="B14" s="167" t="s">
        <v>112</v>
      </c>
      <c r="C14" s="137" t="s">
        <v>14</v>
      </c>
      <c r="D14" s="137" t="s">
        <v>14</v>
      </c>
      <c r="E14" s="137" t="s">
        <v>14</v>
      </c>
      <c r="F14" s="137" t="s">
        <v>14</v>
      </c>
      <c r="G14" s="137" t="s">
        <v>14</v>
      </c>
      <c r="H14" s="143" t="s">
        <v>7</v>
      </c>
      <c r="I14" s="143" t="s">
        <v>7</v>
      </c>
      <c r="J14" s="137" t="s">
        <v>14</v>
      </c>
      <c r="K14" s="137" t="s">
        <v>14</v>
      </c>
      <c r="L14" s="137" t="s">
        <v>14</v>
      </c>
      <c r="M14" s="137" t="s">
        <v>14</v>
      </c>
      <c r="N14" s="137" t="s">
        <v>14</v>
      </c>
      <c r="O14" s="143" t="s">
        <v>7</v>
      </c>
      <c r="P14" s="143" t="s">
        <v>7</v>
      </c>
      <c r="Q14" s="153" t="s">
        <v>20</v>
      </c>
      <c r="R14" s="153" t="s">
        <v>20</v>
      </c>
      <c r="S14" s="153" t="s">
        <v>20</v>
      </c>
      <c r="T14" s="153" t="s">
        <v>20</v>
      </c>
      <c r="U14" s="153" t="s">
        <v>20</v>
      </c>
      <c r="V14" s="143" t="s">
        <v>7</v>
      </c>
      <c r="W14" s="143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43" t="s">
        <v>7</v>
      </c>
      <c r="AD14" s="143" t="s">
        <v>7</v>
      </c>
      <c r="AE14" s="153" t="s">
        <v>20</v>
      </c>
      <c r="AF14" s="153" t="s">
        <v>20</v>
      </c>
      <c r="AG14"/>
    </row>
    <row r="15" spans="1:33">
      <c r="AG15"/>
    </row>
    <row r="16" spans="1:33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109" t="s">
        <v>4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109" t="s">
        <v>4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109" t="s">
        <v>4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109" t="s">
        <v>4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7" t="s">
        <v>11</v>
      </c>
      <c r="D19" s="157" t="s">
        <v>11</v>
      </c>
      <c r="E19" s="157" t="s">
        <v>11</v>
      </c>
      <c r="F19" s="157" t="s">
        <v>11</v>
      </c>
      <c r="G19" s="157" t="s">
        <v>11</v>
      </c>
      <c r="H19" s="28" t="s">
        <v>7</v>
      </c>
      <c r="I19" s="28" t="s">
        <v>7</v>
      </c>
      <c r="J19" s="144" t="s">
        <v>54</v>
      </c>
      <c r="K19" s="144" t="s">
        <v>54</v>
      </c>
      <c r="L19" s="144" t="s">
        <v>54</v>
      </c>
      <c r="M19" s="144" t="s">
        <v>54</v>
      </c>
      <c r="N19" s="144" t="s">
        <v>54</v>
      </c>
      <c r="O19" s="28" t="s">
        <v>7</v>
      </c>
      <c r="P19" s="28" t="s">
        <v>7</v>
      </c>
      <c r="Q19" s="144" t="s">
        <v>85</v>
      </c>
      <c r="R19" s="144" t="s">
        <v>85</v>
      </c>
      <c r="S19" s="144" t="s">
        <v>85</v>
      </c>
      <c r="T19" s="144" t="s">
        <v>85</v>
      </c>
      <c r="U19" s="144" t="s">
        <v>85</v>
      </c>
      <c r="V19" s="28" t="s">
        <v>30</v>
      </c>
      <c r="W19" s="28" t="s">
        <v>30</v>
      </c>
      <c r="X19" s="144" t="s">
        <v>61</v>
      </c>
      <c r="Y19" s="157" t="s">
        <v>32</v>
      </c>
      <c r="Z19" s="157" t="s">
        <v>11</v>
      </c>
      <c r="AA19" s="157" t="s">
        <v>11</v>
      </c>
      <c r="AB19" s="157" t="s">
        <v>11</v>
      </c>
      <c r="AC19" s="28" t="s">
        <v>7</v>
      </c>
      <c r="AD19" s="28" t="s">
        <v>7</v>
      </c>
      <c r="AE19" s="157" t="s">
        <v>11</v>
      </c>
      <c r="AF19" s="144" t="s">
        <v>54</v>
      </c>
      <c r="AG19"/>
    </row>
    <row r="20" spans="1:33">
      <c r="A20" s="34" t="s">
        <v>28</v>
      </c>
      <c r="B20" s="35" t="s">
        <v>60</v>
      </c>
      <c r="C20" s="144" t="s">
        <v>85</v>
      </c>
      <c r="D20" s="144" t="s">
        <v>85</v>
      </c>
      <c r="E20" s="144" t="s">
        <v>85</v>
      </c>
      <c r="F20" s="144" t="s">
        <v>85</v>
      </c>
      <c r="G20" s="144" t="s">
        <v>85</v>
      </c>
      <c r="H20" s="28" t="s">
        <v>30</v>
      </c>
      <c r="I20" s="28" t="s">
        <v>30</v>
      </c>
      <c r="J20" s="157" t="s">
        <v>11</v>
      </c>
      <c r="K20" s="157" t="s">
        <v>11</v>
      </c>
      <c r="L20" s="157" t="s">
        <v>54</v>
      </c>
      <c r="M20" s="157" t="s">
        <v>54</v>
      </c>
      <c r="N20" s="157" t="s">
        <v>11</v>
      </c>
      <c r="O20" s="28" t="s">
        <v>7</v>
      </c>
      <c r="P20" s="28" t="s">
        <v>7</v>
      </c>
      <c r="Q20" s="144" t="s">
        <v>54</v>
      </c>
      <c r="R20" s="144" t="s">
        <v>54</v>
      </c>
      <c r="S20" s="144" t="s">
        <v>54</v>
      </c>
      <c r="T20" s="144" t="s">
        <v>54</v>
      </c>
      <c r="U20" s="144" t="s">
        <v>54</v>
      </c>
      <c r="V20" s="28" t="s">
        <v>7</v>
      </c>
      <c r="W20" s="28" t="s">
        <v>7</v>
      </c>
      <c r="X20" s="157" t="s">
        <v>32</v>
      </c>
      <c r="Y20" s="17" t="s">
        <v>4</v>
      </c>
      <c r="Z20" s="144" t="s">
        <v>85</v>
      </c>
      <c r="AA20" s="144" t="s">
        <v>85</v>
      </c>
      <c r="AB20" s="144" t="s">
        <v>85</v>
      </c>
      <c r="AC20" s="28" t="s">
        <v>30</v>
      </c>
      <c r="AD20" s="28" t="s">
        <v>30</v>
      </c>
      <c r="AE20" s="144" t="s">
        <v>54</v>
      </c>
      <c r="AF20" s="157" t="s">
        <v>11</v>
      </c>
      <c r="AG20"/>
    </row>
    <row r="21" spans="1:33">
      <c r="A21" s="34" t="s">
        <v>28</v>
      </c>
      <c r="B21" s="37" t="s">
        <v>13</v>
      </c>
      <c r="C21" s="161" t="s">
        <v>54</v>
      </c>
      <c r="D21" s="144" t="s">
        <v>54</v>
      </c>
      <c r="E21" s="144" t="s">
        <v>54</v>
      </c>
      <c r="F21" s="144" t="s">
        <v>54</v>
      </c>
      <c r="G21" s="144" t="s">
        <v>54</v>
      </c>
      <c r="H21" s="28" t="s">
        <v>7</v>
      </c>
      <c r="I21" s="28" t="s">
        <v>7</v>
      </c>
      <c r="J21" s="144" t="s">
        <v>85</v>
      </c>
      <c r="K21" s="144" t="s">
        <v>85</v>
      </c>
      <c r="L21" s="144" t="s">
        <v>85</v>
      </c>
      <c r="M21" s="144" t="s">
        <v>85</v>
      </c>
      <c r="N21" s="144" t="s">
        <v>85</v>
      </c>
      <c r="O21" s="28" t="s">
        <v>30</v>
      </c>
      <c r="P21" s="28" t="s">
        <v>30</v>
      </c>
      <c r="Q21" s="157" t="s">
        <v>11</v>
      </c>
      <c r="R21" s="157" t="s">
        <v>11</v>
      </c>
      <c r="S21" s="157" t="s">
        <v>11</v>
      </c>
      <c r="T21" s="157" t="s">
        <v>11</v>
      </c>
      <c r="U21" s="17" t="s">
        <v>4</v>
      </c>
      <c r="V21" s="28" t="s">
        <v>7</v>
      </c>
      <c r="W21" s="28" t="s">
        <v>7</v>
      </c>
      <c r="X21" s="144" t="s">
        <v>54</v>
      </c>
      <c r="Y21" s="144" t="s">
        <v>54</v>
      </c>
      <c r="Z21" s="144" t="s">
        <v>54</v>
      </c>
      <c r="AA21" s="144" t="s">
        <v>54</v>
      </c>
      <c r="AB21" s="144" t="s">
        <v>54</v>
      </c>
      <c r="AC21" s="28" t="s">
        <v>7</v>
      </c>
      <c r="AD21" s="28" t="s">
        <v>7</v>
      </c>
      <c r="AE21" s="144" t="s">
        <v>85</v>
      </c>
      <c r="AF21" s="144" t="s">
        <v>85</v>
      </c>
      <c r="AG21"/>
    </row>
    <row r="22" spans="1:33">
      <c r="AG22"/>
    </row>
    <row r="23" spans="1:33">
      <c r="A23" s="34" t="s">
        <v>12</v>
      </c>
      <c r="B23" s="33" t="s">
        <v>46</v>
      </c>
      <c r="C23" s="162" t="s">
        <v>83</v>
      </c>
      <c r="D23" s="162" t="s">
        <v>83</v>
      </c>
      <c r="E23" s="162" t="s">
        <v>83</v>
      </c>
      <c r="F23" s="162" t="s">
        <v>83</v>
      </c>
      <c r="G23" s="162" t="s">
        <v>83</v>
      </c>
      <c r="H23" s="163" t="s">
        <v>7</v>
      </c>
      <c r="I23" s="165" t="s">
        <v>7</v>
      </c>
      <c r="J23" s="162" t="s">
        <v>83</v>
      </c>
      <c r="K23" s="162" t="s">
        <v>83</v>
      </c>
      <c r="L23" s="162" t="s">
        <v>83</v>
      </c>
      <c r="M23" s="162" t="s">
        <v>83</v>
      </c>
      <c r="N23" s="162" t="s">
        <v>83</v>
      </c>
      <c r="O23" s="163" t="s">
        <v>7</v>
      </c>
      <c r="P23" s="165" t="s">
        <v>7</v>
      </c>
      <c r="Q23" s="162" t="s">
        <v>83</v>
      </c>
      <c r="R23" s="162" t="s">
        <v>83</v>
      </c>
      <c r="S23" s="162" t="s">
        <v>83</v>
      </c>
      <c r="T23" s="162" t="s">
        <v>83</v>
      </c>
      <c r="U23" s="162" t="s">
        <v>83</v>
      </c>
      <c r="V23" s="163" t="s">
        <v>7</v>
      </c>
      <c r="W23" s="165" t="s">
        <v>7</v>
      </c>
      <c r="X23" s="162" t="s">
        <v>83</v>
      </c>
      <c r="Y23" s="162" t="s">
        <v>83</v>
      </c>
      <c r="Z23" s="162" t="s">
        <v>83</v>
      </c>
      <c r="AA23" s="162" t="s">
        <v>83</v>
      </c>
      <c r="AB23" s="162" t="s">
        <v>83</v>
      </c>
      <c r="AC23" s="163" t="s">
        <v>7</v>
      </c>
      <c r="AD23" s="165" t="s">
        <v>7</v>
      </c>
      <c r="AE23" s="162" t="s">
        <v>83</v>
      </c>
      <c r="AF23" s="162" t="s">
        <v>83</v>
      </c>
      <c r="AG23"/>
    </row>
    <row r="24" spans="1:33"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8</v>
      </c>
      <c r="R25" s="110">
        <f t="shared" si="0"/>
        <v>8</v>
      </c>
      <c r="S25" s="110">
        <f t="shared" si="0"/>
        <v>8</v>
      </c>
      <c r="T25" s="110">
        <f t="shared" si="0"/>
        <v>8</v>
      </c>
      <c r="U25" s="110">
        <f t="shared" si="0"/>
        <v>7</v>
      </c>
      <c r="V25" s="110">
        <f t="shared" si="0"/>
        <v>4</v>
      </c>
      <c r="W25" s="110">
        <f t="shared" si="0"/>
        <v>4</v>
      </c>
      <c r="X25" s="110">
        <f t="shared" si="0"/>
        <v>7</v>
      </c>
      <c r="Y25" s="110">
        <f t="shared" si="0"/>
        <v>6</v>
      </c>
      <c r="Z25" s="110">
        <f t="shared" si="0"/>
        <v>8</v>
      </c>
      <c r="AA25" s="110">
        <f t="shared" si="0"/>
        <v>8</v>
      </c>
      <c r="AB25" s="110">
        <f t="shared" si="0"/>
        <v>8</v>
      </c>
      <c r="AC25" s="110">
        <f t="shared" si="0"/>
        <v>4</v>
      </c>
      <c r="AD25" s="110">
        <f t="shared" si="0"/>
        <v>4</v>
      </c>
      <c r="AE25" s="110">
        <f t="shared" si="0"/>
        <v>8</v>
      </c>
      <c r="AF25" s="110">
        <f t="shared" si="0"/>
        <v>8</v>
      </c>
    </row>
    <row r="26" spans="1:33">
      <c r="B26" s="111" t="s">
        <v>90</v>
      </c>
      <c r="C26" s="112">
        <f t="shared" ref="C26:AF26" si="1">COUNTIF(C4:C21,"T")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>COUNTIF(H4:H21,"T")</f>
        <v>0</v>
      </c>
      <c r="I26" s="112">
        <f>COUNTIF(I4:I21,"T")</f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3</v>
      </c>
      <c r="R26" s="112">
        <f t="shared" si="1"/>
        <v>3</v>
      </c>
      <c r="S26" s="112">
        <f t="shared" si="1"/>
        <v>3</v>
      </c>
      <c r="T26" s="112">
        <f t="shared" si="1"/>
        <v>3</v>
      </c>
      <c r="U26" s="112">
        <f t="shared" si="1"/>
        <v>3</v>
      </c>
      <c r="V26" s="112">
        <f>COUNTIF(V5:V21,"T")</f>
        <v>0</v>
      </c>
      <c r="W26" s="112">
        <f>COUNTIF(W5:W21,"T")</f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3</v>
      </c>
      <c r="AF26" s="112">
        <f t="shared" si="1"/>
        <v>3</v>
      </c>
    </row>
    <row r="27" spans="1:33">
      <c r="B27" s="111" t="s">
        <v>91</v>
      </c>
      <c r="C27" s="112">
        <f t="shared" ref="C27:U27" si="2">COUNTIF(C4:C21,"N")+COUNTIF(C4:C21,"NF")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>COUNTIF(V5:V21,"N")+COUNTIF(V5:V21,"NF")</f>
        <v>2</v>
      </c>
      <c r="W27" s="112">
        <f>COUNTIF(W5:W21,"N")+COUNTIF(W5:W21,"NF")</f>
        <v>2</v>
      </c>
      <c r="X27" s="112">
        <f t="shared" ref="X27:AF27" si="3">COUNTIF(X4:X21,"N")+COUNTIF(X4:X21,"NF")</f>
        <v>3</v>
      </c>
      <c r="Y27" s="112">
        <f t="shared" si="3"/>
        <v>3</v>
      </c>
      <c r="Z27" s="112">
        <f t="shared" si="3"/>
        <v>3</v>
      </c>
      <c r="AA27" s="112">
        <f t="shared" si="3"/>
        <v>3</v>
      </c>
      <c r="AB27" s="112">
        <f t="shared" si="3"/>
        <v>3</v>
      </c>
      <c r="AC27" s="112">
        <f t="shared" si="3"/>
        <v>2</v>
      </c>
      <c r="AD27" s="112">
        <f t="shared" si="3"/>
        <v>2</v>
      </c>
      <c r="AE27" s="112">
        <f t="shared" si="3"/>
        <v>2</v>
      </c>
      <c r="AF27" s="112">
        <f t="shared" si="3"/>
        <v>2</v>
      </c>
    </row>
    <row r="28" spans="1:33">
      <c r="B28" s="111" t="s">
        <v>92</v>
      </c>
      <c r="C28" s="112">
        <f>COUNTIF(C4:C21,"M/F")+COUNTIF(C4:C21,"M1")+COUNTIF(C4:C21,"M3")+COUNTIF(C4:C21,"M3/G")+COUNTIF(C4:C21,"M2")</f>
        <v>3</v>
      </c>
      <c r="D28" s="112">
        <f>COUNTIF(D4:D21,"M/F")+COUNTIF(D4:D21,"M1")+COUNTIF(D4:D21,"M3")+COUNTIF(D4:D21,"M3/G")+COUNTIF(D4:D21,"M2")</f>
        <v>3</v>
      </c>
      <c r="E28" s="112">
        <f>COUNTIF(E4:E21,"M1")+COUNTIF(E4:E21,"NF")</f>
        <v>1</v>
      </c>
      <c r="F28" s="112">
        <f t="shared" ref="F28:U28" si="4">COUNTIF(F4:F21,"M/F")+COUNTIF(F4:F21,"M1")+COUNTIF(F4:F21,"M3")+COUNTIF(F4:F21,"M3/G")+COUNTIF(F4:F21,"M2")</f>
        <v>3</v>
      </c>
      <c r="G28" s="112">
        <f t="shared" si="4"/>
        <v>3</v>
      </c>
      <c r="H28" s="112">
        <f t="shared" si="4"/>
        <v>2</v>
      </c>
      <c r="I28" s="112">
        <f t="shared" si="4"/>
        <v>2</v>
      </c>
      <c r="J28" s="112">
        <f t="shared" si="4"/>
        <v>3</v>
      </c>
      <c r="K28" s="112">
        <f t="shared" si="4"/>
        <v>3</v>
      </c>
      <c r="L28" s="112">
        <f t="shared" si="4"/>
        <v>3</v>
      </c>
      <c r="M28" s="112">
        <f t="shared" si="4"/>
        <v>3</v>
      </c>
      <c r="N28" s="112">
        <f t="shared" si="4"/>
        <v>3</v>
      </c>
      <c r="O28" s="112">
        <f t="shared" si="4"/>
        <v>2</v>
      </c>
      <c r="P28" s="112">
        <f t="shared" si="4"/>
        <v>2</v>
      </c>
      <c r="Q28" s="112">
        <f t="shared" si="4"/>
        <v>3</v>
      </c>
      <c r="R28" s="112">
        <f t="shared" si="4"/>
        <v>3</v>
      </c>
      <c r="S28" s="112">
        <f t="shared" si="4"/>
        <v>3</v>
      </c>
      <c r="T28" s="112">
        <f t="shared" si="4"/>
        <v>3</v>
      </c>
      <c r="U28" s="112">
        <f t="shared" si="4"/>
        <v>2</v>
      </c>
      <c r="V28" s="112">
        <f>COUNTIF(V5:V21,"M/F")+COUNTIF(V5:V21,"M1")+COUNTIF(V5:V21,"M3")+COUNTIF(V5:V21,"M3/G")+COUNTIF(V5:V21,"M2")</f>
        <v>2</v>
      </c>
      <c r="W28" s="112">
        <f>COUNTIF(W5:W21,"M/F")+COUNTIF(W5:W21,"M1")+COUNTIF(W5:W21,"M3")+COUNTIF(W5:W21,"M3/G")+COUNTIF(W5:W21,"M2")</f>
        <v>2</v>
      </c>
      <c r="X28" s="112">
        <f t="shared" ref="X28:AF28" si="5">COUNTIF(X4:X21,"M/F")+COUNTIF(X4:X21,"M1")+COUNTIF(X4:X21,"M3")+COUNTIF(X4:X21,"M3/G")+COUNTIF(X4:X21,"M2")</f>
        <v>2</v>
      </c>
      <c r="Y28" s="112">
        <f t="shared" si="5"/>
        <v>1</v>
      </c>
      <c r="Z28" s="112">
        <f t="shared" si="5"/>
        <v>3</v>
      </c>
      <c r="AA28" s="112">
        <f t="shared" si="5"/>
        <v>3</v>
      </c>
      <c r="AB28" s="112">
        <f t="shared" si="5"/>
        <v>3</v>
      </c>
      <c r="AC28" s="112">
        <f t="shared" si="5"/>
        <v>2</v>
      </c>
      <c r="AD28" s="112">
        <f t="shared" si="5"/>
        <v>2</v>
      </c>
      <c r="AE28" s="112">
        <f t="shared" si="5"/>
        <v>3</v>
      </c>
      <c r="AF28" s="112">
        <f t="shared" si="5"/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0"/>
  <sheetViews>
    <sheetView workbookViewId="0">
      <selection activeCell="V8" sqref="V8:AB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2"/>
      <c r="C1" s="173" t="s">
        <v>116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6">
      <c r="A2" s="6"/>
      <c r="B2" s="172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110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6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H7"/>
    </row>
    <row r="8" spans="1:36">
      <c r="A8" s="34" t="s">
        <v>12</v>
      </c>
      <c r="B8" s="33" t="s">
        <v>53</v>
      </c>
      <c r="C8" s="124" t="s">
        <v>7</v>
      </c>
      <c r="D8" s="124" t="s">
        <v>7</v>
      </c>
      <c r="E8" s="124" t="s">
        <v>7</v>
      </c>
      <c r="F8" s="124" t="s">
        <v>7</v>
      </c>
      <c r="G8" s="124" t="s">
        <v>7</v>
      </c>
      <c r="H8" s="171" t="s">
        <v>16</v>
      </c>
      <c r="I8" s="171" t="s">
        <v>16</v>
      </c>
      <c r="J8" s="171" t="s">
        <v>16</v>
      </c>
      <c r="K8" s="171" t="s">
        <v>16</v>
      </c>
      <c r="L8" s="171" t="s">
        <v>16</v>
      </c>
      <c r="M8" s="171" t="s">
        <v>17</v>
      </c>
      <c r="N8" s="171" t="s">
        <v>17</v>
      </c>
      <c r="O8" s="124" t="s">
        <v>7</v>
      </c>
      <c r="P8" s="124" t="s">
        <v>7</v>
      </c>
      <c r="Q8" s="124" t="s">
        <v>7</v>
      </c>
      <c r="R8" s="124" t="s">
        <v>7</v>
      </c>
      <c r="S8" s="124" t="s">
        <v>7</v>
      </c>
      <c r="T8" s="124" t="s">
        <v>7</v>
      </c>
      <c r="U8" s="124" t="s">
        <v>7</v>
      </c>
      <c r="V8" s="169" t="s">
        <v>20</v>
      </c>
      <c r="W8" s="169" t="s">
        <v>20</v>
      </c>
      <c r="X8" s="169" t="s">
        <v>20</v>
      </c>
      <c r="Y8" s="169" t="s">
        <v>20</v>
      </c>
      <c r="Z8" s="169" t="s">
        <v>20</v>
      </c>
      <c r="AA8" s="5" t="s">
        <v>15</v>
      </c>
      <c r="AB8" s="5" t="s">
        <v>15</v>
      </c>
      <c r="AC8" s="124" t="s">
        <v>7</v>
      </c>
      <c r="AD8" s="124" t="s">
        <v>7</v>
      </c>
      <c r="AE8" s="124" t="s">
        <v>7</v>
      </c>
      <c r="AF8" s="124" t="s">
        <v>7</v>
      </c>
      <c r="AG8" s="124" t="s">
        <v>7</v>
      </c>
      <c r="AH8"/>
    </row>
    <row r="9" spans="1:36">
      <c r="A9" s="34" t="s">
        <v>12</v>
      </c>
      <c r="B9" s="33" t="s">
        <v>24</v>
      </c>
      <c r="C9" s="125" t="s">
        <v>20</v>
      </c>
      <c r="D9" s="125" t="s">
        <v>20</v>
      </c>
      <c r="E9" s="125" t="s">
        <v>20</v>
      </c>
      <c r="F9" s="5" t="s">
        <v>15</v>
      </c>
      <c r="G9" s="5" t="s">
        <v>15</v>
      </c>
      <c r="H9" s="124" t="s">
        <v>7</v>
      </c>
      <c r="I9" s="124" t="s">
        <v>7</v>
      </c>
      <c r="J9" s="124" t="s">
        <v>7</v>
      </c>
      <c r="K9" s="124" t="s">
        <v>7</v>
      </c>
      <c r="L9" s="124" t="s">
        <v>7</v>
      </c>
      <c r="M9" s="124" t="s">
        <v>7</v>
      </c>
      <c r="N9" s="124" t="s">
        <v>7</v>
      </c>
      <c r="O9" s="171" t="s">
        <v>16</v>
      </c>
      <c r="P9" s="171" t="s">
        <v>16</v>
      </c>
      <c r="Q9" s="171" t="s">
        <v>16</v>
      </c>
      <c r="R9" s="171" t="s">
        <v>16</v>
      </c>
      <c r="S9" s="171" t="s">
        <v>16</v>
      </c>
      <c r="T9" s="171" t="s">
        <v>17</v>
      </c>
      <c r="U9" s="171" t="s">
        <v>17</v>
      </c>
      <c r="V9" s="124" t="s">
        <v>7</v>
      </c>
      <c r="W9" s="124" t="s">
        <v>7</v>
      </c>
      <c r="X9" s="124" t="s">
        <v>7</v>
      </c>
      <c r="Y9" s="124" t="s">
        <v>7</v>
      </c>
      <c r="Z9" s="124" t="s">
        <v>7</v>
      </c>
      <c r="AA9" s="124" t="s">
        <v>7</v>
      </c>
      <c r="AB9" s="124" t="s">
        <v>7</v>
      </c>
      <c r="AC9" s="169" t="s">
        <v>20</v>
      </c>
      <c r="AD9" s="169" t="s">
        <v>20</v>
      </c>
      <c r="AE9" s="169" t="s">
        <v>20</v>
      </c>
      <c r="AF9" s="169" t="s">
        <v>20</v>
      </c>
      <c r="AG9" s="169" t="s">
        <v>20</v>
      </c>
      <c r="AH9"/>
      <c r="AJ9" t="s">
        <v>117</v>
      </c>
    </row>
    <row r="10" spans="1:36">
      <c r="A10" s="34" t="s">
        <v>12</v>
      </c>
      <c r="B10" s="33" t="s">
        <v>84</v>
      </c>
      <c r="C10" s="130" t="s">
        <v>16</v>
      </c>
      <c r="D10" s="130" t="s">
        <v>16</v>
      </c>
      <c r="E10" s="130" t="s">
        <v>16</v>
      </c>
      <c r="F10" s="130" t="s">
        <v>17</v>
      </c>
      <c r="G10" s="130" t="s">
        <v>17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69" t="s">
        <v>20</v>
      </c>
      <c r="P10" s="169" t="s">
        <v>20</v>
      </c>
      <c r="Q10" s="169" t="s">
        <v>20</v>
      </c>
      <c r="R10" s="169" t="s">
        <v>20</v>
      </c>
      <c r="S10" s="169" t="s">
        <v>20</v>
      </c>
      <c r="T10" s="5" t="s">
        <v>15</v>
      </c>
      <c r="U10" s="5" t="s">
        <v>15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71" t="s">
        <v>16</v>
      </c>
      <c r="AD10" s="171" t="s">
        <v>16</v>
      </c>
      <c r="AE10" s="171" t="s">
        <v>16</v>
      </c>
      <c r="AF10" s="171" t="s">
        <v>16</v>
      </c>
      <c r="AG10" s="171" t="s">
        <v>16</v>
      </c>
      <c r="AH10"/>
    </row>
    <row r="11" spans="1:36">
      <c r="A11" s="34" t="s">
        <v>12</v>
      </c>
      <c r="B11" s="33" t="s">
        <v>102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69" t="s">
        <v>20</v>
      </c>
      <c r="I11" s="169" t="s">
        <v>20</v>
      </c>
      <c r="J11" s="169" t="s">
        <v>20</v>
      </c>
      <c r="K11" s="169" t="s">
        <v>20</v>
      </c>
      <c r="L11" s="169" t="s">
        <v>20</v>
      </c>
      <c r="M11" s="5" t="s">
        <v>15</v>
      </c>
      <c r="N11" s="5" t="s">
        <v>15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71" t="s">
        <v>16</v>
      </c>
      <c r="W11" s="171" t="s">
        <v>16</v>
      </c>
      <c r="X11" s="171" t="s">
        <v>16</v>
      </c>
      <c r="Y11" s="171" t="s">
        <v>16</v>
      </c>
      <c r="Z11" s="171" t="s">
        <v>16</v>
      </c>
      <c r="AA11" s="171" t="s">
        <v>17</v>
      </c>
      <c r="AB11" s="171" t="s">
        <v>17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  <c r="AJ11" s="134"/>
    </row>
    <row r="12" spans="1:36">
      <c r="AH12"/>
    </row>
    <row r="13" spans="1:36">
      <c r="A13" s="34" t="s">
        <v>12</v>
      </c>
      <c r="B13" s="167" t="s">
        <v>114</v>
      </c>
      <c r="C13" s="5" t="s">
        <v>14</v>
      </c>
      <c r="D13" s="5" t="s">
        <v>14</v>
      </c>
      <c r="E13" s="5" t="s">
        <v>14</v>
      </c>
      <c r="F13" s="28" t="s">
        <v>7</v>
      </c>
      <c r="G13" s="28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17" t="s">
        <v>4</v>
      </c>
      <c r="M13" s="28" t="s">
        <v>7</v>
      </c>
      <c r="N13" s="28" t="s">
        <v>7</v>
      </c>
      <c r="O13" s="17" t="s">
        <v>4</v>
      </c>
      <c r="P13" s="17" t="s">
        <v>4</v>
      </c>
      <c r="Q13" s="5" t="s">
        <v>14</v>
      </c>
      <c r="R13" s="5" t="s">
        <v>14</v>
      </c>
      <c r="S13" s="5" t="s">
        <v>14</v>
      </c>
      <c r="T13" s="28" t="s">
        <v>7</v>
      </c>
      <c r="U13" s="28" t="s">
        <v>7</v>
      </c>
      <c r="V13" s="5" t="s">
        <v>14</v>
      </c>
      <c r="W13" s="5" t="s">
        <v>14</v>
      </c>
      <c r="X13" s="5" t="s">
        <v>14</v>
      </c>
      <c r="Y13" s="5" t="s">
        <v>14</v>
      </c>
      <c r="Z13" s="5" t="s">
        <v>14</v>
      </c>
      <c r="AA13" s="28" t="s">
        <v>7</v>
      </c>
      <c r="AB13" s="28" t="s">
        <v>7</v>
      </c>
      <c r="AC13" s="1" t="s">
        <v>14</v>
      </c>
      <c r="AD13" s="1" t="s">
        <v>14</v>
      </c>
      <c r="AE13" s="1" t="s">
        <v>14</v>
      </c>
      <c r="AF13" s="1" t="s">
        <v>14</v>
      </c>
      <c r="AG13" s="1" t="s">
        <v>14</v>
      </c>
      <c r="AH13"/>
    </row>
    <row r="14" spans="1:36">
      <c r="A14" s="34" t="s">
        <v>12</v>
      </c>
      <c r="B14" s="167" t="s">
        <v>112</v>
      </c>
      <c r="C14" s="125" t="s">
        <v>20</v>
      </c>
      <c r="D14" s="125" t="s">
        <v>20</v>
      </c>
      <c r="E14" s="125" t="s">
        <v>20</v>
      </c>
      <c r="F14" s="28" t="s">
        <v>7</v>
      </c>
      <c r="G14" s="28" t="s">
        <v>7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16</v>
      </c>
      <c r="M14" s="28" t="s">
        <v>7</v>
      </c>
      <c r="N14" s="28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28" t="s">
        <v>7</v>
      </c>
      <c r="U14" s="28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28" t="s">
        <v>7</v>
      </c>
      <c r="AB14" s="28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</row>
    <row r="15" spans="1:36">
      <c r="A15" s="34" t="s">
        <v>12</v>
      </c>
      <c r="B15" s="167" t="s">
        <v>118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169" t="s">
        <v>20</v>
      </c>
      <c r="I15" s="169" t="s">
        <v>20</v>
      </c>
      <c r="J15" s="169" t="s">
        <v>20</v>
      </c>
      <c r="K15" s="169" t="s">
        <v>20</v>
      </c>
      <c r="L15" s="169" t="s">
        <v>20</v>
      </c>
      <c r="M15" s="28" t="s">
        <v>7</v>
      </c>
      <c r="N15" s="28" t="s">
        <v>7</v>
      </c>
      <c r="O15" s="169" t="s">
        <v>20</v>
      </c>
      <c r="P15" s="169" t="s">
        <v>20</v>
      </c>
      <c r="Q15" s="169" t="s">
        <v>20</v>
      </c>
      <c r="R15" s="169" t="s">
        <v>20</v>
      </c>
      <c r="S15" s="169" t="s">
        <v>20</v>
      </c>
      <c r="T15" s="28" t="s">
        <v>7</v>
      </c>
      <c r="U15" s="28" t="s">
        <v>7</v>
      </c>
      <c r="V15" s="169" t="s">
        <v>20</v>
      </c>
      <c r="W15" s="169" t="s">
        <v>20</v>
      </c>
      <c r="X15" s="169" t="s">
        <v>20</v>
      </c>
      <c r="Y15" s="169" t="s">
        <v>20</v>
      </c>
      <c r="Z15" s="169" t="s">
        <v>20</v>
      </c>
      <c r="AA15" s="28" t="s">
        <v>7</v>
      </c>
      <c r="AB15" s="28" t="s">
        <v>7</v>
      </c>
      <c r="AC15" s="169" t="s">
        <v>20</v>
      </c>
      <c r="AD15" s="169" t="s">
        <v>20</v>
      </c>
      <c r="AE15" s="169" t="s">
        <v>20</v>
      </c>
      <c r="AF15" s="169" t="s">
        <v>20</v>
      </c>
      <c r="AG15" s="169" t="s">
        <v>20</v>
      </c>
      <c r="AH15"/>
    </row>
    <row r="16" spans="1:36">
      <c r="AH16"/>
    </row>
    <row r="17" spans="1:34">
      <c r="A17" s="34" t="s">
        <v>12</v>
      </c>
      <c r="B17" s="33" t="s">
        <v>21</v>
      </c>
      <c r="C17" s="28" t="s">
        <v>7</v>
      </c>
      <c r="D17" s="28" t="s">
        <v>7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28" t="s">
        <v>7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 s="28" t="s">
        <v>7</v>
      </c>
      <c r="AH17"/>
    </row>
    <row r="18" spans="1:34">
      <c r="A18" s="34" t="s">
        <v>12</v>
      </c>
      <c r="B18" s="33" t="s">
        <v>22</v>
      </c>
      <c r="C18" s="130" t="s">
        <v>16</v>
      </c>
      <c r="D18" s="130" t="s">
        <v>16</v>
      </c>
      <c r="E18" s="130" t="s">
        <v>16</v>
      </c>
      <c r="F18" s="130" t="s">
        <v>17</v>
      </c>
      <c r="G18" s="130" t="s">
        <v>17</v>
      </c>
      <c r="H18" s="28" t="s">
        <v>7</v>
      </c>
      <c r="I18" s="28" t="s">
        <v>7</v>
      </c>
      <c r="J18" s="28" t="s">
        <v>7</v>
      </c>
      <c r="K18" s="28" t="s">
        <v>7</v>
      </c>
      <c r="L18" s="28" t="s">
        <v>7</v>
      </c>
      <c r="M18" s="28" t="s">
        <v>7</v>
      </c>
      <c r="N18" s="28" t="s">
        <v>7</v>
      </c>
      <c r="O18" s="130" t="s">
        <v>16</v>
      </c>
      <c r="P18" s="130" t="s">
        <v>16</v>
      </c>
      <c r="Q18" s="130" t="s">
        <v>16</v>
      </c>
      <c r="R18" s="130" t="s">
        <v>16</v>
      </c>
      <c r="S18" s="130" t="s">
        <v>16</v>
      </c>
      <c r="T18" s="130" t="s">
        <v>17</v>
      </c>
      <c r="U18" s="130" t="s">
        <v>17</v>
      </c>
      <c r="V18" s="28" t="s">
        <v>7</v>
      </c>
      <c r="W18" s="28" t="s">
        <v>7</v>
      </c>
      <c r="X18" s="28" t="s">
        <v>7</v>
      </c>
      <c r="Y18" s="28" t="s">
        <v>7</v>
      </c>
      <c r="Z18" s="28" t="s">
        <v>7</v>
      </c>
      <c r="AA18" s="28" t="s">
        <v>7</v>
      </c>
      <c r="AB18" s="28" t="s">
        <v>7</v>
      </c>
      <c r="AC18" s="130" t="s">
        <v>16</v>
      </c>
      <c r="AD18" s="130" t="s">
        <v>16</v>
      </c>
      <c r="AE18" s="130" t="s">
        <v>16</v>
      </c>
      <c r="AF18" s="130" t="s">
        <v>16</v>
      </c>
      <c r="AG18" s="130" t="s">
        <v>16</v>
      </c>
      <c r="AH18"/>
    </row>
    <row r="19" spans="1:34">
      <c r="AH19"/>
    </row>
    <row r="20" spans="1:34">
      <c r="A20" s="34" t="s">
        <v>28</v>
      </c>
      <c r="B20" s="37" t="s">
        <v>29</v>
      </c>
      <c r="C20" s="4" t="s">
        <v>11</v>
      </c>
      <c r="D20" s="4" t="s">
        <v>11</v>
      </c>
      <c r="E20" s="4" t="s">
        <v>11</v>
      </c>
      <c r="F20" s="28" t="s">
        <v>7</v>
      </c>
      <c r="G20" s="28" t="s">
        <v>7</v>
      </c>
      <c r="H20" s="4" t="s">
        <v>85</v>
      </c>
      <c r="I20" s="4" t="s">
        <v>85</v>
      </c>
      <c r="J20" s="4" t="s">
        <v>85</v>
      </c>
      <c r="K20" s="4" t="s">
        <v>85</v>
      </c>
      <c r="L20" s="4" t="s">
        <v>85</v>
      </c>
      <c r="M20" s="28" t="s">
        <v>30</v>
      </c>
      <c r="N20" s="28" t="s">
        <v>30</v>
      </c>
      <c r="O20" s="25" t="s">
        <v>14</v>
      </c>
      <c r="P20" s="25" t="s">
        <v>14</v>
      </c>
      <c r="Q20" s="25" t="s">
        <v>14</v>
      </c>
      <c r="R20" s="25" t="s">
        <v>14</v>
      </c>
      <c r="S20" s="25" t="s">
        <v>14</v>
      </c>
      <c r="T20" s="28" t="s">
        <v>7</v>
      </c>
      <c r="U20" s="28" t="s">
        <v>7</v>
      </c>
      <c r="V20" s="4" t="s">
        <v>85</v>
      </c>
      <c r="W20" s="4" t="s">
        <v>85</v>
      </c>
      <c r="X20" s="4" t="s">
        <v>85</v>
      </c>
      <c r="Y20" s="4" t="s">
        <v>85</v>
      </c>
      <c r="Z20" s="4" t="s">
        <v>85</v>
      </c>
      <c r="AA20" s="28" t="s">
        <v>7</v>
      </c>
      <c r="AB20" s="28" t="s">
        <v>7</v>
      </c>
      <c r="AC20" s="4" t="s">
        <v>11</v>
      </c>
      <c r="AD20" s="4" t="s">
        <v>11</v>
      </c>
      <c r="AE20" s="4" t="s">
        <v>11</v>
      </c>
      <c r="AF20" s="4" t="s">
        <v>11</v>
      </c>
      <c r="AG20" s="4" t="s">
        <v>11</v>
      </c>
      <c r="AH20"/>
    </row>
    <row r="21" spans="1:34">
      <c r="A21" s="34" t="s">
        <v>28</v>
      </c>
      <c r="B21" s="37" t="s">
        <v>60</v>
      </c>
      <c r="C21" s="25" t="s">
        <v>14</v>
      </c>
      <c r="D21" s="25" t="s">
        <v>14</v>
      </c>
      <c r="E21" s="25" t="s">
        <v>14</v>
      </c>
      <c r="F21" s="28" t="s">
        <v>7</v>
      </c>
      <c r="G21" s="28" t="s">
        <v>7</v>
      </c>
      <c r="H21" s="4" t="s">
        <v>11</v>
      </c>
      <c r="I21" s="4" t="s">
        <v>11</v>
      </c>
      <c r="J21" s="4" t="s">
        <v>11</v>
      </c>
      <c r="K21" s="4" t="s">
        <v>11</v>
      </c>
      <c r="L21" s="4" t="s">
        <v>11</v>
      </c>
      <c r="M21" s="28" t="s">
        <v>7</v>
      </c>
      <c r="N21" s="28" t="s">
        <v>7</v>
      </c>
      <c r="O21" s="4" t="s">
        <v>85</v>
      </c>
      <c r="P21" s="4" t="s">
        <v>85</v>
      </c>
      <c r="Q21" s="4" t="s">
        <v>85</v>
      </c>
      <c r="R21" s="4" t="s">
        <v>85</v>
      </c>
      <c r="S21" s="4" t="s">
        <v>85</v>
      </c>
      <c r="T21" s="28" t="s">
        <v>30</v>
      </c>
      <c r="U21" s="28" t="s">
        <v>30</v>
      </c>
      <c r="V21" s="17" t="s">
        <v>4</v>
      </c>
      <c r="W21" s="17" t="s">
        <v>4</v>
      </c>
      <c r="X21" s="17" t="s">
        <v>4</v>
      </c>
      <c r="Y21" s="17" t="s">
        <v>4</v>
      </c>
      <c r="Z21" s="17" t="s">
        <v>4</v>
      </c>
      <c r="AA21" s="28" t="s">
        <v>7</v>
      </c>
      <c r="AB21" s="28" t="s">
        <v>7</v>
      </c>
      <c r="AC21" s="25" t="s">
        <v>14</v>
      </c>
      <c r="AD21" s="25" t="s">
        <v>14</v>
      </c>
      <c r="AE21" s="25" t="s">
        <v>14</v>
      </c>
      <c r="AF21" s="25" t="s">
        <v>14</v>
      </c>
      <c r="AG21" s="25" t="s">
        <v>14</v>
      </c>
      <c r="AH21"/>
    </row>
    <row r="22" spans="1:34">
      <c r="A22" s="34" t="s">
        <v>28</v>
      </c>
      <c r="B22" s="37" t="s">
        <v>13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25" t="s">
        <v>14</v>
      </c>
      <c r="I22" s="25" t="s">
        <v>14</v>
      </c>
      <c r="J22" s="25" t="s">
        <v>14</v>
      </c>
      <c r="K22" s="25" t="s">
        <v>14</v>
      </c>
      <c r="L22" s="25" t="s">
        <v>14</v>
      </c>
      <c r="M22" s="28" t="s">
        <v>7</v>
      </c>
      <c r="N22" s="28" t="s">
        <v>7</v>
      </c>
      <c r="O22" s="17" t="s">
        <v>4</v>
      </c>
      <c r="P22" s="17" t="s">
        <v>4</v>
      </c>
      <c r="Q22" s="17" t="s">
        <v>4</v>
      </c>
      <c r="R22" s="17" t="s">
        <v>4</v>
      </c>
      <c r="S22" s="17" t="s">
        <v>4</v>
      </c>
      <c r="T22" s="28" t="s">
        <v>7</v>
      </c>
      <c r="U22" s="28" t="s">
        <v>7</v>
      </c>
      <c r="V22" s="25" t="s">
        <v>14</v>
      </c>
      <c r="W22" s="25" t="s">
        <v>14</v>
      </c>
      <c r="X22" s="25" t="s">
        <v>14</v>
      </c>
      <c r="Y22" s="25" t="s">
        <v>14</v>
      </c>
      <c r="Z22" s="25" t="s">
        <v>14</v>
      </c>
      <c r="AA22" s="28" t="s">
        <v>30</v>
      </c>
      <c r="AB22" s="28" t="s">
        <v>30</v>
      </c>
      <c r="AC22" s="4" t="s">
        <v>85</v>
      </c>
      <c r="AD22" s="4" t="s">
        <v>85</v>
      </c>
      <c r="AE22" s="4" t="s">
        <v>85</v>
      </c>
      <c r="AF22" s="4" t="s">
        <v>85</v>
      </c>
      <c r="AG22" s="4" t="s">
        <v>85</v>
      </c>
      <c r="AH22"/>
    </row>
    <row r="23" spans="1:34">
      <c r="B23" s="111" t="s">
        <v>89</v>
      </c>
      <c r="C23" s="110">
        <f t="shared" ref="C23:AG23" si="0">SUM(C24:C26)</f>
        <v>5</v>
      </c>
      <c r="D23" s="110">
        <f t="shared" si="0"/>
        <v>5</v>
      </c>
      <c r="E23" s="110">
        <f t="shared" si="0"/>
        <v>5</v>
      </c>
      <c r="F23" s="110">
        <f t="shared" si="0"/>
        <v>4</v>
      </c>
      <c r="G23" s="110">
        <f t="shared" si="0"/>
        <v>4</v>
      </c>
      <c r="H23" s="110">
        <f t="shared" si="0"/>
        <v>6</v>
      </c>
      <c r="I23" s="110">
        <f t="shared" si="0"/>
        <v>6</v>
      </c>
      <c r="J23" s="110">
        <f t="shared" si="0"/>
        <v>6</v>
      </c>
      <c r="K23" s="110">
        <f t="shared" si="0"/>
        <v>6</v>
      </c>
      <c r="L23" s="110">
        <f t="shared" si="0"/>
        <v>6</v>
      </c>
      <c r="M23" s="110">
        <f t="shared" si="0"/>
        <v>4</v>
      </c>
      <c r="N23" s="110">
        <f t="shared" si="0"/>
        <v>4</v>
      </c>
      <c r="O23" s="110">
        <f t="shared" si="0"/>
        <v>6</v>
      </c>
      <c r="P23" s="110">
        <f t="shared" si="0"/>
        <v>6</v>
      </c>
      <c r="Q23" s="110">
        <f t="shared" si="0"/>
        <v>6</v>
      </c>
      <c r="R23" s="110">
        <f t="shared" si="0"/>
        <v>6</v>
      </c>
      <c r="S23" s="110">
        <f t="shared" si="0"/>
        <v>6</v>
      </c>
      <c r="T23" s="110">
        <f t="shared" si="0"/>
        <v>4</v>
      </c>
      <c r="U23" s="110">
        <f t="shared" si="0"/>
        <v>4</v>
      </c>
      <c r="V23" s="110">
        <f t="shared" si="0"/>
        <v>6</v>
      </c>
      <c r="W23" s="110">
        <f t="shared" si="0"/>
        <v>6</v>
      </c>
      <c r="X23" s="110">
        <f t="shared" si="0"/>
        <v>6</v>
      </c>
      <c r="Y23" s="110">
        <f t="shared" si="0"/>
        <v>6</v>
      </c>
      <c r="Z23" s="110">
        <f t="shared" si="0"/>
        <v>6</v>
      </c>
      <c r="AA23" s="110">
        <f t="shared" si="0"/>
        <v>4</v>
      </c>
      <c r="AB23" s="110">
        <f t="shared" si="0"/>
        <v>4</v>
      </c>
      <c r="AC23" s="110">
        <f t="shared" si="0"/>
        <v>6</v>
      </c>
      <c r="AD23" s="110">
        <f t="shared" si="0"/>
        <v>6</v>
      </c>
      <c r="AE23" s="110">
        <f t="shared" si="0"/>
        <v>6</v>
      </c>
      <c r="AF23" s="110">
        <f t="shared" si="0"/>
        <v>6</v>
      </c>
      <c r="AG23" s="110">
        <f t="shared" si="0"/>
        <v>6</v>
      </c>
    </row>
    <row r="24" spans="1:34">
      <c r="B24" s="111" t="s">
        <v>90</v>
      </c>
      <c r="C24" s="112">
        <f t="shared" ref="C24:AG24" si="1">COUNTIF(C4:C18,"T")</f>
        <v>3</v>
      </c>
      <c r="D24" s="112">
        <f t="shared" si="1"/>
        <v>3</v>
      </c>
      <c r="E24" s="112">
        <f t="shared" si="1"/>
        <v>3</v>
      </c>
      <c r="F24" s="112">
        <f t="shared" si="1"/>
        <v>0</v>
      </c>
      <c r="G24" s="112">
        <f t="shared" si="1"/>
        <v>0</v>
      </c>
      <c r="H24" s="112">
        <f t="shared" si="1"/>
        <v>3</v>
      </c>
      <c r="I24" s="112">
        <f t="shared" si="1"/>
        <v>3</v>
      </c>
      <c r="J24" s="112">
        <f t="shared" si="1"/>
        <v>3</v>
      </c>
      <c r="K24" s="112">
        <f t="shared" si="1"/>
        <v>3</v>
      </c>
      <c r="L24" s="112">
        <f t="shared" si="1"/>
        <v>3</v>
      </c>
      <c r="M24" s="112">
        <f t="shared" si="1"/>
        <v>0</v>
      </c>
      <c r="N24" s="112">
        <f t="shared" si="1"/>
        <v>0</v>
      </c>
      <c r="O24" s="112">
        <f t="shared" si="1"/>
        <v>4</v>
      </c>
      <c r="P24" s="112">
        <f t="shared" si="1"/>
        <v>4</v>
      </c>
      <c r="Q24" s="112">
        <f t="shared" si="1"/>
        <v>4</v>
      </c>
      <c r="R24" s="112">
        <f t="shared" si="1"/>
        <v>4</v>
      </c>
      <c r="S24" s="112">
        <f t="shared" si="1"/>
        <v>4</v>
      </c>
      <c r="T24" s="112">
        <f t="shared" si="1"/>
        <v>0</v>
      </c>
      <c r="U24" s="112">
        <f t="shared" si="1"/>
        <v>0</v>
      </c>
      <c r="V24" s="112">
        <f t="shared" si="1"/>
        <v>3</v>
      </c>
      <c r="W24" s="112">
        <f t="shared" si="1"/>
        <v>3</v>
      </c>
      <c r="X24" s="112">
        <f t="shared" si="1"/>
        <v>3</v>
      </c>
      <c r="Y24" s="112">
        <f t="shared" si="1"/>
        <v>3</v>
      </c>
      <c r="Z24" s="112">
        <f t="shared" si="1"/>
        <v>3</v>
      </c>
      <c r="AA24" s="112">
        <f t="shared" si="1"/>
        <v>0</v>
      </c>
      <c r="AB24" s="112">
        <f t="shared" si="1"/>
        <v>0</v>
      </c>
      <c r="AC24" s="112">
        <f t="shared" si="1"/>
        <v>4</v>
      </c>
      <c r="AD24" s="112">
        <f t="shared" si="1"/>
        <v>4</v>
      </c>
      <c r="AE24" s="112">
        <f t="shared" si="1"/>
        <v>4</v>
      </c>
      <c r="AF24" s="112">
        <f t="shared" si="1"/>
        <v>4</v>
      </c>
      <c r="AG24" s="112">
        <f t="shared" si="1"/>
        <v>4</v>
      </c>
    </row>
    <row r="25" spans="1:34">
      <c r="B25" s="111" t="s">
        <v>91</v>
      </c>
      <c r="C25" s="112">
        <f t="shared" ref="C25:AG25" si="2">COUNTIF(C4:C18,"N")+COUNTIF(C4:C18,"NF")</f>
        <v>2</v>
      </c>
      <c r="D25" s="112">
        <f t="shared" si="2"/>
        <v>2</v>
      </c>
      <c r="E25" s="112">
        <f t="shared" si="2"/>
        <v>2</v>
      </c>
      <c r="F25" s="112">
        <f t="shared" si="2"/>
        <v>2</v>
      </c>
      <c r="G25" s="112">
        <f t="shared" si="2"/>
        <v>2</v>
      </c>
      <c r="H25" s="112">
        <f t="shared" si="2"/>
        <v>3</v>
      </c>
      <c r="I25" s="112">
        <f t="shared" si="2"/>
        <v>3</v>
      </c>
      <c r="J25" s="112">
        <f t="shared" si="2"/>
        <v>3</v>
      </c>
      <c r="K25" s="112">
        <f t="shared" si="2"/>
        <v>3</v>
      </c>
      <c r="L25" s="112">
        <f t="shared" si="2"/>
        <v>3</v>
      </c>
      <c r="M25" s="112">
        <f t="shared" si="2"/>
        <v>2</v>
      </c>
      <c r="N25" s="112">
        <f t="shared" si="2"/>
        <v>2</v>
      </c>
      <c r="O25" s="112">
        <f t="shared" si="2"/>
        <v>2</v>
      </c>
      <c r="P25" s="112">
        <f t="shared" si="2"/>
        <v>2</v>
      </c>
      <c r="Q25" s="112">
        <f t="shared" si="2"/>
        <v>2</v>
      </c>
      <c r="R25" s="112">
        <f t="shared" si="2"/>
        <v>2</v>
      </c>
      <c r="S25" s="112">
        <f t="shared" si="2"/>
        <v>2</v>
      </c>
      <c r="T25" s="112">
        <f t="shared" si="2"/>
        <v>2</v>
      </c>
      <c r="U25" s="112">
        <f t="shared" si="2"/>
        <v>2</v>
      </c>
      <c r="V25" s="112">
        <f t="shared" si="2"/>
        <v>3</v>
      </c>
      <c r="W25" s="112">
        <f t="shared" si="2"/>
        <v>3</v>
      </c>
      <c r="X25" s="112">
        <f t="shared" si="2"/>
        <v>3</v>
      </c>
      <c r="Y25" s="112">
        <f t="shared" si="2"/>
        <v>3</v>
      </c>
      <c r="Z25" s="112">
        <f t="shared" si="2"/>
        <v>3</v>
      </c>
      <c r="AA25" s="112">
        <f t="shared" si="2"/>
        <v>2</v>
      </c>
      <c r="AB25" s="112">
        <f t="shared" si="2"/>
        <v>2</v>
      </c>
      <c r="AC25" s="112">
        <f t="shared" si="2"/>
        <v>2</v>
      </c>
      <c r="AD25" s="112">
        <f t="shared" si="2"/>
        <v>2</v>
      </c>
      <c r="AE25" s="112">
        <f t="shared" si="2"/>
        <v>2</v>
      </c>
      <c r="AF25" s="112">
        <f t="shared" si="2"/>
        <v>2</v>
      </c>
      <c r="AG25" s="112">
        <f t="shared" si="2"/>
        <v>2</v>
      </c>
    </row>
    <row r="26" spans="1:34">
      <c r="B26" s="111" t="s">
        <v>92</v>
      </c>
      <c r="C26" s="112">
        <f>COUNTIF(C4:C18,"M/F")+COUNTIF(C4:C18,"M1")+COUNTIF(C4:C18,"M3")+COUNTIF(C4:C18,"M3/G")+COUNTIF(C4:C18,"M2")</f>
        <v>0</v>
      </c>
      <c r="D26" s="112">
        <f>COUNTIF(D4:D18,"M/F")+COUNTIF(D4:D18,"M1")+COUNTIF(D4:D18,"M3")+COUNTIF(D4:D18,"M3/G")+COUNTIF(D4:D18,"M2")</f>
        <v>0</v>
      </c>
      <c r="E26" s="112">
        <f>COUNTIF(E4:E18,"M1")+COUNTIF(E4:E18,"NF")</f>
        <v>0</v>
      </c>
      <c r="F26" s="112">
        <f t="shared" ref="F26:AG26" si="3">COUNTIF(F4:F18,"M/F")+COUNTIF(F4:F18,"M1")+COUNTIF(F4:F18,"M3")+COUNTIF(F4:F18,"M3/G")+COUNTIF(F4:F18,"M2")</f>
        <v>2</v>
      </c>
      <c r="G26" s="112">
        <f t="shared" si="3"/>
        <v>2</v>
      </c>
      <c r="H26" s="112">
        <f t="shared" si="3"/>
        <v>0</v>
      </c>
      <c r="I26" s="112">
        <f t="shared" si="3"/>
        <v>0</v>
      </c>
      <c r="J26" s="112">
        <f t="shared" si="3"/>
        <v>0</v>
      </c>
      <c r="K26" s="112">
        <f t="shared" si="3"/>
        <v>0</v>
      </c>
      <c r="L26" s="112">
        <f t="shared" si="3"/>
        <v>0</v>
      </c>
      <c r="M26" s="112">
        <f t="shared" si="3"/>
        <v>2</v>
      </c>
      <c r="N26" s="112">
        <f t="shared" si="3"/>
        <v>2</v>
      </c>
      <c r="O26" s="112">
        <f t="shared" si="3"/>
        <v>0</v>
      </c>
      <c r="P26" s="112">
        <f t="shared" si="3"/>
        <v>0</v>
      </c>
      <c r="Q26" s="112">
        <f t="shared" si="3"/>
        <v>0</v>
      </c>
      <c r="R26" s="112">
        <f t="shared" si="3"/>
        <v>0</v>
      </c>
      <c r="S26" s="112">
        <f t="shared" si="3"/>
        <v>0</v>
      </c>
      <c r="T26" s="112">
        <f t="shared" si="3"/>
        <v>2</v>
      </c>
      <c r="U26" s="112">
        <f t="shared" si="3"/>
        <v>2</v>
      </c>
      <c r="V26" s="112">
        <f t="shared" si="3"/>
        <v>0</v>
      </c>
      <c r="W26" s="112">
        <f t="shared" si="3"/>
        <v>0</v>
      </c>
      <c r="X26" s="112">
        <f t="shared" si="3"/>
        <v>0</v>
      </c>
      <c r="Y26" s="112">
        <f t="shared" si="3"/>
        <v>0</v>
      </c>
      <c r="Z26" s="112">
        <f t="shared" si="3"/>
        <v>0</v>
      </c>
      <c r="AA26" s="112">
        <f t="shared" si="3"/>
        <v>2</v>
      </c>
      <c r="AB26" s="112">
        <f t="shared" si="3"/>
        <v>2</v>
      </c>
      <c r="AC26" s="112">
        <f t="shared" si="3"/>
        <v>0</v>
      </c>
      <c r="AD26" s="112">
        <f t="shared" si="3"/>
        <v>0</v>
      </c>
      <c r="AE26" s="112">
        <f t="shared" si="3"/>
        <v>0</v>
      </c>
      <c r="AF26" s="112">
        <f t="shared" si="3"/>
        <v>0</v>
      </c>
      <c r="AG26" s="112">
        <f t="shared" si="3"/>
        <v>0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5" priority="1" operator="equal">
      <formula>1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6"/>
  <sheetViews>
    <sheetView tabSelected="1" workbookViewId="0">
      <selection activeCell="Z13" activeCellId="1" sqref="Z11:AD11 Z13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119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14</v>
      </c>
      <c r="AA4" s="1" t="s">
        <v>14</v>
      </c>
      <c r="AB4" s="1" t="s">
        <v>14</v>
      </c>
      <c r="AC4" s="1" t="s">
        <v>14</v>
      </c>
      <c r="AD4" s="1" t="s">
        <v>14</v>
      </c>
      <c r="AE4" s="5" t="s">
        <v>15</v>
      </c>
      <c r="AF4" s="5" t="s">
        <v>15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167" t="s">
        <v>114</v>
      </c>
      <c r="C7" s="28" t="s">
        <v>7</v>
      </c>
      <c r="D7" s="28" t="s">
        <v>7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14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  <c r="AH7"/>
    </row>
    <row r="8" spans="1:34">
      <c r="AH8"/>
    </row>
    <row r="9" spans="1:34" ht="15">
      <c r="A9" s="34" t="s">
        <v>12</v>
      </c>
      <c r="B9" s="33" t="s">
        <v>53</v>
      </c>
      <c r="C9" s="28" t="s">
        <v>7</v>
      </c>
      <c r="D9" s="28" t="s">
        <v>7</v>
      </c>
      <c r="E9" s="171" t="s">
        <v>16</v>
      </c>
      <c r="F9" s="171" t="s">
        <v>16</v>
      </c>
      <c r="G9" s="171" t="s">
        <v>16</v>
      </c>
      <c r="H9" s="171" t="s">
        <v>16</v>
      </c>
      <c r="I9" s="171" t="s">
        <v>16</v>
      </c>
      <c r="J9" s="171" t="s">
        <v>17</v>
      </c>
      <c r="K9" s="171" t="s">
        <v>17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169" t="s">
        <v>20</v>
      </c>
      <c r="T9" s="169" t="s">
        <v>20</v>
      </c>
      <c r="U9" s="169" t="s">
        <v>20</v>
      </c>
      <c r="V9" s="169" t="s">
        <v>20</v>
      </c>
      <c r="W9" s="169" t="s">
        <v>20</v>
      </c>
      <c r="X9" s="5" t="s">
        <v>15</v>
      </c>
      <c r="Y9" s="5" t="s">
        <v>15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  <c r="AH9"/>
    </row>
    <row r="10" spans="1:34" ht="15">
      <c r="A10" s="34" t="s">
        <v>12</v>
      </c>
      <c r="B10" s="33" t="s">
        <v>24</v>
      </c>
      <c r="C10" s="171" t="s">
        <v>17</v>
      </c>
      <c r="D10" s="171" t="s">
        <v>17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169" t="s">
        <v>20</v>
      </c>
      <c r="M10" s="169" t="s">
        <v>20</v>
      </c>
      <c r="N10" s="169" t="s">
        <v>20</v>
      </c>
      <c r="O10" s="169" t="s">
        <v>20</v>
      </c>
      <c r="P10" s="169" t="s">
        <v>20</v>
      </c>
      <c r="Q10" s="5" t="s">
        <v>15</v>
      </c>
      <c r="R10" s="5" t="s">
        <v>15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171" t="s">
        <v>16</v>
      </c>
      <c r="AA10" s="171" t="s">
        <v>16</v>
      </c>
      <c r="AB10" s="171" t="s">
        <v>16</v>
      </c>
      <c r="AC10" s="171" t="s">
        <v>16</v>
      </c>
      <c r="AD10" s="171" t="s">
        <v>16</v>
      </c>
      <c r="AE10" s="171" t="s">
        <v>17</v>
      </c>
      <c r="AF10" s="171" t="s">
        <v>17</v>
      </c>
      <c r="AG10" s="28" t="s">
        <v>7</v>
      </c>
      <c r="AH10"/>
    </row>
    <row r="11" spans="1:34" ht="15">
      <c r="A11" s="34" t="s">
        <v>12</v>
      </c>
      <c r="B11" s="33" t="s">
        <v>84</v>
      </c>
      <c r="C11" s="5" t="s">
        <v>15</v>
      </c>
      <c r="D11" s="5" t="s">
        <v>15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171" t="s">
        <v>16</v>
      </c>
      <c r="M11" s="171" t="s">
        <v>16</v>
      </c>
      <c r="N11" s="171" t="s">
        <v>16</v>
      </c>
      <c r="O11" s="171" t="s">
        <v>16</v>
      </c>
      <c r="P11" s="171" t="s">
        <v>16</v>
      </c>
      <c r="Q11" s="171" t="s">
        <v>17</v>
      </c>
      <c r="R11" s="171" t="s">
        <v>17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169" t="s">
        <v>20</v>
      </c>
      <c r="AA11" s="169" t="s">
        <v>20</v>
      </c>
      <c r="AB11" s="169" t="s">
        <v>20</v>
      </c>
      <c r="AC11" s="169" t="s">
        <v>20</v>
      </c>
      <c r="AD11" s="169" t="s">
        <v>20</v>
      </c>
      <c r="AE11" s="5" t="s">
        <v>15</v>
      </c>
      <c r="AF11" s="5" t="s">
        <v>15</v>
      </c>
      <c r="AG11" s="28" t="s">
        <v>7</v>
      </c>
      <c r="AH11"/>
    </row>
    <row r="12" spans="1:34" ht="15">
      <c r="A12" s="34" t="s">
        <v>12</v>
      </c>
      <c r="B12" s="33" t="s">
        <v>102</v>
      </c>
      <c r="C12" s="28" t="s">
        <v>7</v>
      </c>
      <c r="D12" s="28" t="s">
        <v>7</v>
      </c>
      <c r="E12" s="169" t="s">
        <v>20</v>
      </c>
      <c r="F12" s="169" t="s">
        <v>20</v>
      </c>
      <c r="G12" s="169" t="s">
        <v>20</v>
      </c>
      <c r="H12" s="169" t="s">
        <v>20</v>
      </c>
      <c r="I12" s="169" t="s">
        <v>20</v>
      </c>
      <c r="J12" s="5" t="s">
        <v>15</v>
      </c>
      <c r="K12" s="5" t="s">
        <v>15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171" t="s">
        <v>16</v>
      </c>
      <c r="T12" s="171" t="s">
        <v>16</v>
      </c>
      <c r="U12" s="171" t="s">
        <v>16</v>
      </c>
      <c r="V12" s="171" t="s">
        <v>16</v>
      </c>
      <c r="W12" s="171" t="s">
        <v>16</v>
      </c>
      <c r="X12" s="171" t="s">
        <v>17</v>
      </c>
      <c r="Y12" s="171" t="s">
        <v>17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 ht="15">
      <c r="A13" s="34" t="s">
        <v>12</v>
      </c>
      <c r="B13" s="167" t="s">
        <v>112</v>
      </c>
      <c r="C13" s="28" t="s">
        <v>7</v>
      </c>
      <c r="D13" s="28" t="s">
        <v>7</v>
      </c>
      <c r="E13" s="169" t="s">
        <v>20</v>
      </c>
      <c r="F13" s="169" t="s">
        <v>20</v>
      </c>
      <c r="G13" s="169" t="s">
        <v>20</v>
      </c>
      <c r="H13" s="169" t="s">
        <v>20</v>
      </c>
      <c r="I13" s="169" t="s">
        <v>20</v>
      </c>
      <c r="J13" s="28" t="s">
        <v>7</v>
      </c>
      <c r="K13" s="28" t="s">
        <v>7</v>
      </c>
      <c r="L13" s="171" t="s">
        <v>16</v>
      </c>
      <c r="M13" s="171" t="s">
        <v>16</v>
      </c>
      <c r="N13" s="171" t="s">
        <v>16</v>
      </c>
      <c r="O13" s="171" t="s">
        <v>16</v>
      </c>
      <c r="P13" s="171" t="s">
        <v>16</v>
      </c>
      <c r="Q13" s="171" t="s">
        <v>17</v>
      </c>
      <c r="R13" s="171" t="s">
        <v>17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169" t="s">
        <v>20</v>
      </c>
      <c r="AA13" s="169" t="s">
        <v>20</v>
      </c>
      <c r="AB13" s="169" t="s">
        <v>20</v>
      </c>
      <c r="AC13" s="169" t="s">
        <v>20</v>
      </c>
      <c r="AD13" s="169" t="s">
        <v>20</v>
      </c>
      <c r="AE13" s="28" t="s">
        <v>7</v>
      </c>
      <c r="AF13" s="28" t="s">
        <v>7</v>
      </c>
      <c r="AG13" s="28" t="s">
        <v>7</v>
      </c>
      <c r="AH13"/>
    </row>
    <row r="14" spans="1:34">
      <c r="AH14"/>
    </row>
    <row r="15" spans="1:34">
      <c r="A15" s="34" t="s">
        <v>12</v>
      </c>
      <c r="B15" s="33" t="s">
        <v>21</v>
      </c>
      <c r="C15" s="28" t="s">
        <v>7</v>
      </c>
      <c r="D15" s="28" t="s">
        <v>7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16</v>
      </c>
      <c r="J15" s="130" t="s">
        <v>17</v>
      </c>
      <c r="K15" s="130" t="s">
        <v>17</v>
      </c>
      <c r="L15" s="28" t="s">
        <v>7</v>
      </c>
      <c r="M15" s="28" t="s">
        <v>7</v>
      </c>
      <c r="N15" s="28" t="s">
        <v>7</v>
      </c>
      <c r="O15" s="28" t="s">
        <v>7</v>
      </c>
      <c r="P15" s="28" t="s">
        <v>7</v>
      </c>
      <c r="Q15" s="28" t="s">
        <v>7</v>
      </c>
      <c r="R15" s="28" t="s">
        <v>7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16</v>
      </c>
      <c r="X15" s="130" t="s">
        <v>17</v>
      </c>
      <c r="Y15" s="130" t="s">
        <v>17</v>
      </c>
      <c r="Z15" s="28" t="s">
        <v>7</v>
      </c>
      <c r="AA15" s="28" t="s">
        <v>7</v>
      </c>
      <c r="AB15" s="28" t="s">
        <v>7</v>
      </c>
      <c r="AC15" s="28" t="s">
        <v>7</v>
      </c>
      <c r="AD15" s="28" t="s">
        <v>7</v>
      </c>
      <c r="AE15" s="28" t="s">
        <v>7</v>
      </c>
      <c r="AF15" s="28" t="s">
        <v>7</v>
      </c>
      <c r="AG15" s="130" t="s">
        <v>16</v>
      </c>
      <c r="AH15"/>
    </row>
    <row r="16" spans="1:34">
      <c r="A16" s="34" t="s">
        <v>12</v>
      </c>
      <c r="B16" s="33" t="s">
        <v>22</v>
      </c>
      <c r="C16" s="171" t="s">
        <v>17</v>
      </c>
      <c r="D16" s="171" t="s">
        <v>17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16</v>
      </c>
      <c r="Q16" s="130" t="s">
        <v>17</v>
      </c>
      <c r="R16" s="130" t="s">
        <v>17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16</v>
      </c>
      <c r="AE16" s="130" t="s">
        <v>17</v>
      </c>
      <c r="AF16" s="130" t="s">
        <v>17</v>
      </c>
      <c r="AG16" s="28" t="s">
        <v>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 t="s">
        <v>28</v>
      </c>
      <c r="B18" s="37" t="s">
        <v>29</v>
      </c>
      <c r="C18" s="28" t="s">
        <v>7</v>
      </c>
      <c r="D18" s="28" t="s">
        <v>7</v>
      </c>
      <c r="E18" s="25" t="s">
        <v>14</v>
      </c>
      <c r="F18" s="25" t="s">
        <v>14</v>
      </c>
      <c r="G18" s="25" t="s">
        <v>14</v>
      </c>
      <c r="H18" s="25" t="s">
        <v>14</v>
      </c>
      <c r="I18" s="25" t="s">
        <v>14</v>
      </c>
      <c r="J18" s="28" t="s">
        <v>7</v>
      </c>
      <c r="K18" s="28" t="s">
        <v>7</v>
      </c>
      <c r="L18" s="4" t="s">
        <v>11</v>
      </c>
      <c r="M18" s="4" t="s">
        <v>11</v>
      </c>
      <c r="N18" s="4" t="s">
        <v>11</v>
      </c>
      <c r="O18" s="4" t="s">
        <v>11</v>
      </c>
      <c r="P18" s="4" t="s">
        <v>11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30</v>
      </c>
      <c r="Y18" s="28" t="s">
        <v>30</v>
      </c>
      <c r="Z18" s="25" t="s">
        <v>14</v>
      </c>
      <c r="AA18" s="25" t="s">
        <v>14</v>
      </c>
      <c r="AB18" s="25" t="s">
        <v>14</v>
      </c>
      <c r="AC18" s="25" t="s">
        <v>14</v>
      </c>
      <c r="AD18" s="25" t="s">
        <v>14</v>
      </c>
      <c r="AE18" s="28" t="s">
        <v>7</v>
      </c>
      <c r="AF18" s="28" t="s">
        <v>7</v>
      </c>
      <c r="AG18" s="4" t="s">
        <v>11</v>
      </c>
      <c r="AH18"/>
    </row>
    <row r="19" spans="1:34">
      <c r="A19" s="34" t="s">
        <v>28</v>
      </c>
      <c r="B19" s="37" t="s">
        <v>60</v>
      </c>
      <c r="C19" s="28" t="s">
        <v>7</v>
      </c>
      <c r="D19" s="28" t="s">
        <v>7</v>
      </c>
      <c r="E19" s="4" t="s">
        <v>85</v>
      </c>
      <c r="F19" s="4" t="s">
        <v>85</v>
      </c>
      <c r="G19" s="4" t="s">
        <v>85</v>
      </c>
      <c r="H19" s="4" t="s">
        <v>85</v>
      </c>
      <c r="I19" s="4" t="s">
        <v>85</v>
      </c>
      <c r="J19" s="28" t="s">
        <v>30</v>
      </c>
      <c r="K19" s="28" t="s">
        <v>30</v>
      </c>
      <c r="L19" s="25" t="s">
        <v>14</v>
      </c>
      <c r="M19" s="25" t="s">
        <v>14</v>
      </c>
      <c r="N19" s="25" t="s">
        <v>14</v>
      </c>
      <c r="O19" s="25" t="s">
        <v>14</v>
      </c>
      <c r="P19" s="25" t="s">
        <v>14</v>
      </c>
      <c r="Q19" s="28" t="s">
        <v>7</v>
      </c>
      <c r="R19" s="28" t="s">
        <v>7</v>
      </c>
      <c r="S19" s="4" t="s">
        <v>11</v>
      </c>
      <c r="T19" s="4" t="s">
        <v>11</v>
      </c>
      <c r="U19" s="4" t="s">
        <v>11</v>
      </c>
      <c r="V19" s="4" t="s">
        <v>11</v>
      </c>
      <c r="W19" s="4" t="s">
        <v>11</v>
      </c>
      <c r="X19" s="28" t="s">
        <v>7</v>
      </c>
      <c r="Y19" s="28" t="s">
        <v>7</v>
      </c>
      <c r="Z19" s="4" t="s">
        <v>85</v>
      </c>
      <c r="AA19" s="4" t="s">
        <v>85</v>
      </c>
      <c r="AB19" s="4" t="s">
        <v>85</v>
      </c>
      <c r="AC19" s="4" t="s">
        <v>85</v>
      </c>
      <c r="AD19" s="4" t="s">
        <v>85</v>
      </c>
      <c r="AE19" s="28" t="s">
        <v>30</v>
      </c>
      <c r="AF19" s="28" t="s">
        <v>30</v>
      </c>
      <c r="AG19" s="25" t="s">
        <v>14</v>
      </c>
      <c r="AH19"/>
    </row>
    <row r="20" spans="1:34">
      <c r="A20" s="34" t="s">
        <v>28</v>
      </c>
      <c r="B20" s="37" t="s">
        <v>13</v>
      </c>
      <c r="C20" s="28" t="s">
        <v>30</v>
      </c>
      <c r="D20" s="28" t="s">
        <v>30</v>
      </c>
      <c r="E20" s="4" t="s">
        <v>11</v>
      </c>
      <c r="F20" s="4" t="s">
        <v>11</v>
      </c>
      <c r="G20" s="4" t="s">
        <v>11</v>
      </c>
      <c r="H20" s="4" t="s">
        <v>11</v>
      </c>
      <c r="I20" s="4" t="s">
        <v>11</v>
      </c>
      <c r="J20" s="28" t="s">
        <v>7</v>
      </c>
      <c r="K20" s="28" t="s">
        <v>7</v>
      </c>
      <c r="L20" s="4" t="s">
        <v>85</v>
      </c>
      <c r="M20" s="4" t="s">
        <v>85</v>
      </c>
      <c r="N20" s="4" t="s">
        <v>85</v>
      </c>
      <c r="O20" s="4" t="s">
        <v>85</v>
      </c>
      <c r="P20" s="4" t="s">
        <v>85</v>
      </c>
      <c r="Q20" s="28" t="s">
        <v>30</v>
      </c>
      <c r="R20" s="28" t="s">
        <v>30</v>
      </c>
      <c r="S20" s="25" t="s">
        <v>14</v>
      </c>
      <c r="T20" s="25" t="s">
        <v>14</v>
      </c>
      <c r="U20" s="25" t="s">
        <v>14</v>
      </c>
      <c r="V20" s="25" t="s">
        <v>14</v>
      </c>
      <c r="W20" s="25" t="s">
        <v>14</v>
      </c>
      <c r="X20" s="28" t="s">
        <v>7</v>
      </c>
      <c r="Y20" s="28" t="s">
        <v>7</v>
      </c>
      <c r="Z20" s="4" t="s">
        <v>11</v>
      </c>
      <c r="AA20" s="4" t="s">
        <v>11</v>
      </c>
      <c r="AB20" s="4" t="s">
        <v>11</v>
      </c>
      <c r="AC20" s="4" t="s">
        <v>11</v>
      </c>
      <c r="AD20" s="4" t="s">
        <v>11</v>
      </c>
      <c r="AE20" s="28" t="s">
        <v>7</v>
      </c>
      <c r="AF20" s="28" t="s">
        <v>7</v>
      </c>
      <c r="AG20" s="4" t="s">
        <v>85</v>
      </c>
      <c r="AH20"/>
    </row>
    <row r="21" spans="1:34">
      <c r="B21" s="111" t="s">
        <v>91</v>
      </c>
      <c r="C21" s="112">
        <f t="shared" ref="C21:AG21" si="0">COUNTIF(C4:C17,"N")+COUNTIF(C4:C17,"NF")</f>
        <v>2</v>
      </c>
      <c r="D21" s="112">
        <f t="shared" si="0"/>
        <v>2</v>
      </c>
      <c r="E21" s="112">
        <f t="shared" si="0"/>
        <v>2</v>
      </c>
      <c r="F21" s="112">
        <f t="shared" si="0"/>
        <v>2</v>
      </c>
      <c r="G21" s="112">
        <f t="shared" si="0"/>
        <v>2</v>
      </c>
      <c r="H21" s="112">
        <f t="shared" si="0"/>
        <v>2</v>
      </c>
      <c r="I21" s="112">
        <f t="shared" si="0"/>
        <v>2</v>
      </c>
      <c r="J21" s="112">
        <f t="shared" si="0"/>
        <v>2</v>
      </c>
      <c r="K21" s="112">
        <f t="shared" si="0"/>
        <v>2</v>
      </c>
      <c r="L21" s="112">
        <f t="shared" si="0"/>
        <v>3</v>
      </c>
      <c r="M21" s="112">
        <f t="shared" si="0"/>
        <v>3</v>
      </c>
      <c r="N21" s="112">
        <f t="shared" si="0"/>
        <v>3</v>
      </c>
      <c r="O21" s="112">
        <f t="shared" si="0"/>
        <v>3</v>
      </c>
      <c r="P21" s="112">
        <f t="shared" si="0"/>
        <v>3</v>
      </c>
      <c r="Q21" s="112">
        <f t="shared" si="0"/>
        <v>3</v>
      </c>
      <c r="R21" s="112">
        <f t="shared" si="0"/>
        <v>3</v>
      </c>
      <c r="S21" s="112">
        <f t="shared" si="0"/>
        <v>2</v>
      </c>
      <c r="T21" s="112">
        <f t="shared" si="0"/>
        <v>2</v>
      </c>
      <c r="U21" s="112">
        <f t="shared" si="0"/>
        <v>2</v>
      </c>
      <c r="V21" s="112">
        <f t="shared" si="0"/>
        <v>2</v>
      </c>
      <c r="W21" s="112">
        <f t="shared" si="0"/>
        <v>2</v>
      </c>
      <c r="X21" s="112">
        <f t="shared" si="0"/>
        <v>2</v>
      </c>
      <c r="Y21" s="112">
        <f t="shared" si="0"/>
        <v>2</v>
      </c>
      <c r="Z21" s="112">
        <f t="shared" si="0"/>
        <v>2</v>
      </c>
      <c r="AA21" s="112">
        <f t="shared" si="0"/>
        <v>2</v>
      </c>
      <c r="AB21" s="112">
        <f t="shared" si="0"/>
        <v>2</v>
      </c>
      <c r="AC21" s="112">
        <f t="shared" si="0"/>
        <v>2</v>
      </c>
      <c r="AD21" s="112">
        <f t="shared" si="0"/>
        <v>2</v>
      </c>
      <c r="AE21" s="112">
        <f t="shared" si="0"/>
        <v>2</v>
      </c>
      <c r="AF21" s="112">
        <f t="shared" si="0"/>
        <v>2</v>
      </c>
      <c r="AG21" s="112">
        <f t="shared" si="0"/>
        <v>1</v>
      </c>
    </row>
    <row r="22" spans="1:34">
      <c r="B22" s="111" t="s">
        <v>92</v>
      </c>
      <c r="C22" s="112">
        <f>COUNTIF(C4:C17,"M/F")+COUNTIF(C4:C17,"M1")+COUNTIF(C4:C17,"M3")+COUNTIF(C4:C17,"M3/G")+COUNTIF(C4:C17,"M2")</f>
        <v>2</v>
      </c>
      <c r="D22" s="112">
        <f>COUNTIF(D4:D17,"M/F")+COUNTIF(D4:D17,"M1")+COUNTIF(D4:D17,"M3")+COUNTIF(D4:D17,"M3/G")+COUNTIF(D4:D17,"M2")</f>
        <v>2</v>
      </c>
      <c r="E22" s="112">
        <f>COUNTIF(E4:E17,"M1")+COUNTIF(E4:E17,"NF")</f>
        <v>0</v>
      </c>
      <c r="F22" s="112">
        <f t="shared" ref="F22:AG22" si="1">COUNTIF(F4:F17,"M/F")+COUNTIF(F4:F17,"M1")+COUNTIF(F4:F17,"M3")+COUNTIF(F4:F17,"M3/G")+COUNTIF(F4:F17,"M2")</f>
        <v>0</v>
      </c>
      <c r="G22" s="112">
        <f t="shared" si="1"/>
        <v>0</v>
      </c>
      <c r="H22" s="112">
        <f t="shared" si="1"/>
        <v>0</v>
      </c>
      <c r="I22" s="112">
        <f t="shared" si="1"/>
        <v>0</v>
      </c>
      <c r="J22" s="112">
        <f t="shared" si="1"/>
        <v>2</v>
      </c>
      <c r="K22" s="112">
        <f t="shared" si="1"/>
        <v>2</v>
      </c>
      <c r="L22" s="112">
        <f t="shared" si="1"/>
        <v>0</v>
      </c>
      <c r="M22" s="112">
        <f t="shared" si="1"/>
        <v>0</v>
      </c>
      <c r="N22" s="112">
        <f t="shared" si="1"/>
        <v>0</v>
      </c>
      <c r="O22" s="112">
        <f t="shared" si="1"/>
        <v>0</v>
      </c>
      <c r="P22" s="112">
        <f t="shared" si="1"/>
        <v>0</v>
      </c>
      <c r="Q22" s="112">
        <f t="shared" si="1"/>
        <v>2</v>
      </c>
      <c r="R22" s="112">
        <f t="shared" si="1"/>
        <v>2</v>
      </c>
      <c r="S22" s="112">
        <f t="shared" si="1"/>
        <v>0</v>
      </c>
      <c r="T22" s="112">
        <f t="shared" si="1"/>
        <v>0</v>
      </c>
      <c r="U22" s="112">
        <f t="shared" si="1"/>
        <v>0</v>
      </c>
      <c r="V22" s="112">
        <f t="shared" si="1"/>
        <v>0</v>
      </c>
      <c r="W22" s="112">
        <f t="shared" si="1"/>
        <v>0</v>
      </c>
      <c r="X22" s="112">
        <f t="shared" si="1"/>
        <v>2</v>
      </c>
      <c r="Y22" s="112">
        <f t="shared" si="1"/>
        <v>2</v>
      </c>
      <c r="Z22" s="112">
        <f t="shared" si="1"/>
        <v>0</v>
      </c>
      <c r="AA22" s="112">
        <f t="shared" si="1"/>
        <v>0</v>
      </c>
      <c r="AB22" s="112">
        <f t="shared" si="1"/>
        <v>0</v>
      </c>
      <c r="AC22" s="112">
        <f t="shared" si="1"/>
        <v>0</v>
      </c>
      <c r="AD22" s="112">
        <f t="shared" si="1"/>
        <v>0</v>
      </c>
      <c r="AE22" s="112">
        <f t="shared" si="1"/>
        <v>2</v>
      </c>
      <c r="AF22" s="112">
        <f t="shared" si="1"/>
        <v>2</v>
      </c>
      <c r="AG22" s="112">
        <f t="shared" si="1"/>
        <v>0</v>
      </c>
    </row>
    <row r="24" spans="1:34">
      <c r="B24" t="s">
        <v>65</v>
      </c>
    </row>
    <row r="25" spans="1:34">
      <c r="B25" s="5" t="s">
        <v>66</v>
      </c>
    </row>
    <row r="26" spans="1:34">
      <c r="B26" s="5" t="s">
        <v>67</v>
      </c>
    </row>
    <row r="27" spans="1:34">
      <c r="B27" s="1" t="s">
        <v>68</v>
      </c>
    </row>
    <row r="28" spans="1:34">
      <c r="B28" s="7" t="s">
        <v>69</v>
      </c>
    </row>
    <row r="29" spans="1:34">
      <c r="B29" s="3" t="s">
        <v>70</v>
      </c>
    </row>
    <row r="30" spans="1:34">
      <c r="B30" s="5" t="s">
        <v>71</v>
      </c>
    </row>
    <row r="31" spans="1:34">
      <c r="B31" s="3" t="s">
        <v>72</v>
      </c>
    </row>
    <row r="32" spans="1:34">
      <c r="B32" s="4" t="s">
        <v>73</v>
      </c>
    </row>
    <row r="33" spans="2:2">
      <c r="B33" s="25" t="s">
        <v>74</v>
      </c>
    </row>
    <row r="34" spans="2:2">
      <c r="B34" s="4" t="s">
        <v>93</v>
      </c>
    </row>
    <row r="35" spans="2:2">
      <c r="B35" s="28" t="s">
        <v>76</v>
      </c>
    </row>
    <row r="36" spans="2:2">
      <c r="B36" s="17" t="s">
        <v>77</v>
      </c>
    </row>
  </sheetData>
  <mergeCells count="2">
    <mergeCell ref="B1:B3"/>
    <mergeCell ref="C1:AG1"/>
  </mergeCells>
  <conditionalFormatting sqref="C21:AG22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2"/>
      <c r="C1" s="173" t="s">
        <v>120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/>
    </row>
    <row r="2" spans="1:33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</row>
    <row r="5" spans="1:33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</row>
    <row r="6" spans="1:33">
      <c r="A6" s="34" t="s">
        <v>12</v>
      </c>
      <c r="B6" s="33" t="s">
        <v>59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</row>
    <row r="7" spans="1:33">
      <c r="A7" s="34" t="s">
        <v>12</v>
      </c>
      <c r="B7" s="167" t="s">
        <v>114</v>
      </c>
      <c r="C7" s="28" t="s">
        <v>7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28" t="s">
        <v>7</v>
      </c>
    </row>
    <row r="8" spans="1:33">
      <c r="AG8"/>
    </row>
    <row r="9" spans="1:33">
      <c r="A9" s="34" t="s">
        <v>12</v>
      </c>
      <c r="B9" s="33" t="s">
        <v>53</v>
      </c>
      <c r="C9" s="28" t="s">
        <v>7</v>
      </c>
      <c r="D9" s="28" t="s">
        <v>7</v>
      </c>
      <c r="E9" s="28" t="s">
        <v>7</v>
      </c>
      <c r="F9" s="28" t="s">
        <v>7</v>
      </c>
      <c r="G9" s="28" t="s">
        <v>7</v>
      </c>
      <c r="H9" s="28" t="s">
        <v>7</v>
      </c>
      <c r="I9" s="28" t="s">
        <v>7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28" t="s">
        <v>7</v>
      </c>
      <c r="R9" s="28" t="s">
        <v>7</v>
      </c>
      <c r="S9" s="28" t="s">
        <v>7</v>
      </c>
      <c r="T9" s="28" t="s">
        <v>7</v>
      </c>
      <c r="U9" s="28" t="s">
        <v>7</v>
      </c>
      <c r="V9" s="28" t="s">
        <v>7</v>
      </c>
      <c r="W9" s="28" t="s">
        <v>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28" t="s">
        <v>7</v>
      </c>
      <c r="AF9" s="28" t="s">
        <v>7</v>
      </c>
      <c r="AG9" s="28" t="s">
        <v>7</v>
      </c>
    </row>
    <row r="10" spans="1:33">
      <c r="A10" s="34" t="s">
        <v>12</v>
      </c>
      <c r="B10" s="33" t="s">
        <v>24</v>
      </c>
      <c r="C10" s="28" t="s">
        <v>7</v>
      </c>
      <c r="D10" s="28" t="s">
        <v>7</v>
      </c>
      <c r="E10" s="28" t="s">
        <v>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28" t="s">
        <v>7</v>
      </c>
      <c r="R10" s="28" t="s">
        <v>7</v>
      </c>
      <c r="S10" s="28" t="s">
        <v>7</v>
      </c>
      <c r="T10" s="28" t="s">
        <v>7</v>
      </c>
      <c r="U10" s="28" t="s">
        <v>7</v>
      </c>
      <c r="V10" s="28" t="s">
        <v>7</v>
      </c>
      <c r="W10" s="28" t="s">
        <v>7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28" t="s">
        <v>7</v>
      </c>
      <c r="AF10" s="28" t="s">
        <v>7</v>
      </c>
      <c r="AG10" s="28" t="s">
        <v>7</v>
      </c>
    </row>
    <row r="11" spans="1:33">
      <c r="A11" s="34" t="s">
        <v>12</v>
      </c>
      <c r="B11" s="33" t="s">
        <v>84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28" t="s">
        <v>7</v>
      </c>
      <c r="P11" s="28" t="s">
        <v>7</v>
      </c>
      <c r="Q11" s="28" t="s">
        <v>7</v>
      </c>
      <c r="R11" s="28" t="s">
        <v>7</v>
      </c>
      <c r="S11" s="28" t="s">
        <v>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28" t="s">
        <v>7</v>
      </c>
      <c r="AB11" s="28" t="s">
        <v>7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</row>
    <row r="12" spans="1:33">
      <c r="A12" s="34" t="s">
        <v>12</v>
      </c>
      <c r="B12" s="33" t="s">
        <v>102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28" t="s">
        <v>7</v>
      </c>
      <c r="K12" s="28" t="s">
        <v>7</v>
      </c>
      <c r="L12" s="28" t="s">
        <v>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</row>
    <row r="13" spans="1:33">
      <c r="A13" s="34" t="s">
        <v>12</v>
      </c>
      <c r="B13" s="167" t="s">
        <v>112</v>
      </c>
      <c r="C13" s="28" t="s">
        <v>7</v>
      </c>
      <c r="D13" s="28" t="s">
        <v>7</v>
      </c>
      <c r="E13" s="28" t="s">
        <v>7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28" t="s">
        <v>7</v>
      </c>
      <c r="R13" s="28" t="s">
        <v>7</v>
      </c>
      <c r="S13" s="28" t="s">
        <v>7</v>
      </c>
      <c r="T13" s="28" t="s">
        <v>7</v>
      </c>
      <c r="U13" s="28" t="s">
        <v>7</v>
      </c>
      <c r="V13" s="28" t="s">
        <v>7</v>
      </c>
      <c r="W13" s="28" t="s">
        <v>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</row>
    <row r="14" spans="1:33">
      <c r="AG14"/>
    </row>
    <row r="15" spans="1:33">
      <c r="A15" s="34" t="s">
        <v>12</v>
      </c>
      <c r="B15" s="33" t="s">
        <v>21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28" t="s">
        <v>7</v>
      </c>
      <c r="I15" s="28" t="s">
        <v>7</v>
      </c>
      <c r="J15" s="28" t="s">
        <v>7</v>
      </c>
      <c r="K15" s="28" t="s">
        <v>7</v>
      </c>
      <c r="L15" s="28" t="s">
        <v>7</v>
      </c>
      <c r="M15" s="28" t="s">
        <v>7</v>
      </c>
      <c r="N15" s="28" t="s">
        <v>7</v>
      </c>
      <c r="O15" s="28" t="s">
        <v>7</v>
      </c>
      <c r="P15" s="28" t="s">
        <v>7</v>
      </c>
      <c r="Q15" s="28" t="s">
        <v>7</v>
      </c>
      <c r="R15" s="28" t="s">
        <v>7</v>
      </c>
      <c r="S15" s="28" t="s">
        <v>7</v>
      </c>
      <c r="T15" s="28" t="s">
        <v>7</v>
      </c>
      <c r="U15" s="28" t="s">
        <v>7</v>
      </c>
      <c r="V15" s="28" t="s">
        <v>7</v>
      </c>
      <c r="W15" s="28" t="s">
        <v>7</v>
      </c>
      <c r="X15" s="28" t="s">
        <v>7</v>
      </c>
      <c r="Y15" s="28" t="s">
        <v>7</v>
      </c>
      <c r="Z15" s="28" t="s">
        <v>7</v>
      </c>
      <c r="AA15" s="28" t="s">
        <v>7</v>
      </c>
      <c r="AB15" s="28" t="s">
        <v>7</v>
      </c>
      <c r="AC15" s="28" t="s">
        <v>7</v>
      </c>
      <c r="AD15" s="28" t="s">
        <v>7</v>
      </c>
      <c r="AE15" s="28" t="s">
        <v>7</v>
      </c>
      <c r="AF15" s="28" t="s">
        <v>7</v>
      </c>
      <c r="AG15" s="28" t="s">
        <v>7</v>
      </c>
    </row>
    <row r="16" spans="1:33">
      <c r="A16" s="34" t="s">
        <v>12</v>
      </c>
      <c r="B16" s="33" t="s">
        <v>22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28" t="s">
        <v>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28" t="s">
        <v>7</v>
      </c>
      <c r="W16" s="28" t="s">
        <v>7</v>
      </c>
      <c r="X16" s="28" t="s">
        <v>7</v>
      </c>
      <c r="Y16" s="28" t="s">
        <v>7</v>
      </c>
      <c r="Z16" s="28" t="s">
        <v>7</v>
      </c>
      <c r="AA16" s="28" t="s">
        <v>7</v>
      </c>
      <c r="AB16" s="28" t="s">
        <v>7</v>
      </c>
      <c r="AC16" s="28" t="s">
        <v>7</v>
      </c>
      <c r="AD16" s="28" t="s">
        <v>7</v>
      </c>
      <c r="AE16" s="28" t="s">
        <v>7</v>
      </c>
      <c r="AF16" s="28" t="s">
        <v>7</v>
      </c>
      <c r="AG16" s="28" t="s">
        <v>7</v>
      </c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G17"/>
    </row>
    <row r="18" spans="1:34">
      <c r="A18" s="34" t="s">
        <v>28</v>
      </c>
      <c r="B18" s="37" t="s">
        <v>29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28" t="s">
        <v>7</v>
      </c>
      <c r="I18" s="28" t="s">
        <v>7</v>
      </c>
      <c r="J18" s="28" t="s">
        <v>7</v>
      </c>
      <c r="K18" s="28" t="s">
        <v>7</v>
      </c>
      <c r="L18" s="28" t="s">
        <v>7</v>
      </c>
      <c r="M18" s="28" t="s">
        <v>7</v>
      </c>
      <c r="N18" s="28" t="s">
        <v>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28" t="s">
        <v>7</v>
      </c>
      <c r="W18" s="28" t="s">
        <v>7</v>
      </c>
      <c r="X18" s="28" t="s">
        <v>7</v>
      </c>
      <c r="Y18" s="28" t="s">
        <v>7</v>
      </c>
      <c r="Z18" s="28" t="s">
        <v>7</v>
      </c>
      <c r="AA18" s="28" t="s">
        <v>7</v>
      </c>
      <c r="AB18" s="28" t="s">
        <v>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</row>
    <row r="19" spans="1:34">
      <c r="A19" s="34" t="s">
        <v>28</v>
      </c>
      <c r="B19" s="37" t="s">
        <v>60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28" t="s">
        <v>7</v>
      </c>
      <c r="P19" s="28" t="s">
        <v>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28" t="s">
        <v>7</v>
      </c>
      <c r="AD19" s="28" t="s">
        <v>7</v>
      </c>
      <c r="AE19" s="28" t="s">
        <v>7</v>
      </c>
      <c r="AF19" s="28" t="s">
        <v>7</v>
      </c>
      <c r="AG19" s="28" t="s">
        <v>7</v>
      </c>
      <c r="AH19" s="91"/>
    </row>
    <row r="20" spans="1:34">
      <c r="A20" s="34" t="s">
        <v>28</v>
      </c>
      <c r="B20" s="37" t="s">
        <v>13</v>
      </c>
      <c r="C20" s="28" t="s">
        <v>7</v>
      </c>
      <c r="D20" s="28" t="s">
        <v>7</v>
      </c>
      <c r="E20" s="28" t="s">
        <v>7</v>
      </c>
      <c r="F20" s="28" t="s">
        <v>7</v>
      </c>
      <c r="G20" s="28" t="s">
        <v>7</v>
      </c>
      <c r="H20" s="28" t="s">
        <v>7</v>
      </c>
      <c r="I20" s="28" t="s">
        <v>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28" t="s">
        <v>7</v>
      </c>
      <c r="R20" s="28" t="s">
        <v>7</v>
      </c>
      <c r="S20" s="28" t="s">
        <v>7</v>
      </c>
      <c r="T20" s="28" t="s">
        <v>7</v>
      </c>
      <c r="U20" s="28" t="s">
        <v>7</v>
      </c>
      <c r="V20" s="28" t="s">
        <v>7</v>
      </c>
      <c r="W20" s="28" t="s">
        <v>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28" t="s">
        <v>7</v>
      </c>
      <c r="AF20" s="28" t="s">
        <v>7</v>
      </c>
      <c r="AG20" s="28" t="s">
        <v>7</v>
      </c>
      <c r="AH20" s="91"/>
    </row>
    <row r="21" spans="1:34">
      <c r="B21" s="111" t="s">
        <v>90</v>
      </c>
      <c r="C21" s="112">
        <f t="shared" ref="C21:AF21" si="0">COUNTIF(C4:C18,"T")</f>
        <v>0</v>
      </c>
      <c r="D21" s="112">
        <f t="shared" si="0"/>
        <v>0</v>
      </c>
      <c r="E21" s="112">
        <f t="shared" si="0"/>
        <v>0</v>
      </c>
      <c r="F21" s="112">
        <f t="shared" si="0"/>
        <v>0</v>
      </c>
      <c r="G21" s="112">
        <f t="shared" si="0"/>
        <v>0</v>
      </c>
      <c r="H21" s="112">
        <f t="shared" si="0"/>
        <v>0</v>
      </c>
      <c r="I21" s="112">
        <f t="shared" si="0"/>
        <v>0</v>
      </c>
      <c r="J21" s="112">
        <f t="shared" si="0"/>
        <v>0</v>
      </c>
      <c r="K21" s="112">
        <f t="shared" si="0"/>
        <v>0</v>
      </c>
      <c r="L21" s="112">
        <f t="shared" si="0"/>
        <v>0</v>
      </c>
      <c r="M21" s="112">
        <f t="shared" si="0"/>
        <v>0</v>
      </c>
      <c r="N21" s="112">
        <f t="shared" si="0"/>
        <v>0</v>
      </c>
      <c r="O21" s="112">
        <f t="shared" si="0"/>
        <v>0</v>
      </c>
      <c r="P21" s="112">
        <f t="shared" si="0"/>
        <v>0</v>
      </c>
      <c r="Q21" s="112">
        <f t="shared" si="0"/>
        <v>0</v>
      </c>
      <c r="R21" s="112">
        <f t="shared" si="0"/>
        <v>0</v>
      </c>
      <c r="S21" s="112">
        <f t="shared" si="0"/>
        <v>0</v>
      </c>
      <c r="T21" s="112">
        <f t="shared" si="0"/>
        <v>0</v>
      </c>
      <c r="U21" s="112">
        <f t="shared" si="0"/>
        <v>0</v>
      </c>
      <c r="V21" s="112">
        <f t="shared" si="0"/>
        <v>0</v>
      </c>
      <c r="W21" s="112">
        <f t="shared" si="0"/>
        <v>0</v>
      </c>
      <c r="X21" s="112">
        <f t="shared" si="0"/>
        <v>0</v>
      </c>
      <c r="Y21" s="112">
        <f t="shared" si="0"/>
        <v>0</v>
      </c>
      <c r="Z21" s="112">
        <f t="shared" si="0"/>
        <v>0</v>
      </c>
      <c r="AA21" s="112">
        <f t="shared" si="0"/>
        <v>0</v>
      </c>
      <c r="AB21" s="112">
        <f t="shared" si="0"/>
        <v>0</v>
      </c>
      <c r="AC21" s="112">
        <f t="shared" si="0"/>
        <v>0</v>
      </c>
      <c r="AD21" s="112">
        <f t="shared" si="0"/>
        <v>0</v>
      </c>
      <c r="AE21" s="112">
        <f t="shared" si="0"/>
        <v>0</v>
      </c>
      <c r="AF21" s="112">
        <f t="shared" si="0"/>
        <v>0</v>
      </c>
    </row>
    <row r="22" spans="1:34">
      <c r="B22" s="111" t="s">
        <v>91</v>
      </c>
      <c r="C22" s="112">
        <f t="shared" ref="C22:AF22" si="1">COUNTIF(C4:C18,"N")+COUNTIF(C4:C18,"NF")</f>
        <v>0</v>
      </c>
      <c r="D22" s="112">
        <f t="shared" si="1"/>
        <v>0</v>
      </c>
      <c r="E22" s="112">
        <f t="shared" si="1"/>
        <v>0</v>
      </c>
      <c r="F22" s="112">
        <f t="shared" si="1"/>
        <v>0</v>
      </c>
      <c r="G22" s="112">
        <f t="shared" si="1"/>
        <v>0</v>
      </c>
      <c r="H22" s="112">
        <f t="shared" si="1"/>
        <v>0</v>
      </c>
      <c r="I22" s="112">
        <f t="shared" si="1"/>
        <v>0</v>
      </c>
      <c r="J22" s="112">
        <f t="shared" si="1"/>
        <v>0</v>
      </c>
      <c r="K22" s="112">
        <f t="shared" si="1"/>
        <v>0</v>
      </c>
      <c r="L22" s="112">
        <f t="shared" si="1"/>
        <v>0</v>
      </c>
      <c r="M22" s="112">
        <f t="shared" si="1"/>
        <v>0</v>
      </c>
      <c r="N22" s="112">
        <f t="shared" si="1"/>
        <v>0</v>
      </c>
      <c r="O22" s="112">
        <f t="shared" si="1"/>
        <v>0</v>
      </c>
      <c r="P22" s="112">
        <f t="shared" si="1"/>
        <v>0</v>
      </c>
      <c r="Q22" s="112">
        <f t="shared" si="1"/>
        <v>0</v>
      </c>
      <c r="R22" s="112">
        <f t="shared" si="1"/>
        <v>0</v>
      </c>
      <c r="S22" s="112">
        <f t="shared" si="1"/>
        <v>0</v>
      </c>
      <c r="T22" s="112">
        <f t="shared" si="1"/>
        <v>0</v>
      </c>
      <c r="U22" s="112">
        <f t="shared" si="1"/>
        <v>0</v>
      </c>
      <c r="V22" s="112">
        <f t="shared" si="1"/>
        <v>0</v>
      </c>
      <c r="W22" s="112">
        <f t="shared" si="1"/>
        <v>0</v>
      </c>
      <c r="X22" s="112">
        <f t="shared" si="1"/>
        <v>0</v>
      </c>
      <c r="Y22" s="112">
        <f t="shared" si="1"/>
        <v>0</v>
      </c>
      <c r="Z22" s="112">
        <f t="shared" si="1"/>
        <v>0</v>
      </c>
      <c r="AA22" s="112">
        <f t="shared" si="1"/>
        <v>0</v>
      </c>
      <c r="AB22" s="112">
        <f t="shared" si="1"/>
        <v>0</v>
      </c>
      <c r="AC22" s="112">
        <f t="shared" si="1"/>
        <v>0</v>
      </c>
      <c r="AD22" s="112">
        <f t="shared" si="1"/>
        <v>0</v>
      </c>
      <c r="AE22" s="112">
        <f t="shared" si="1"/>
        <v>0</v>
      </c>
      <c r="AF22" s="112">
        <f t="shared" si="1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0</v>
      </c>
      <c r="D23" s="112">
        <f>COUNTIF(D4:D18,"M/F")+COUNTIF(D4:D18,"M1")+COUNTIF(D4:D18,"M3")+COUNTIF(D4:D18,"M3/G")+COUNTIF(D4:D18,"M2")</f>
        <v>0</v>
      </c>
      <c r="E23" s="112">
        <f>COUNTIF(E4:E18,"M1")+COUNTIF(E4:E18,"NF")</f>
        <v>0</v>
      </c>
      <c r="F23" s="112">
        <f t="shared" ref="F23:AF23" si="2">COUNTIF(F4:F18,"M/F")+COUNTIF(F4:F18,"M1")+COUNTIF(F4:F18,"M3")+COUNTIF(F4:F18,"M3/G")+COUNTIF(F4:F18,"M2")</f>
        <v>0</v>
      </c>
      <c r="G23" s="112">
        <f t="shared" si="2"/>
        <v>0</v>
      </c>
      <c r="H23" s="112">
        <f t="shared" si="2"/>
        <v>0</v>
      </c>
      <c r="I23" s="112">
        <f t="shared" si="2"/>
        <v>0</v>
      </c>
      <c r="J23" s="112">
        <f t="shared" si="2"/>
        <v>0</v>
      </c>
      <c r="K23" s="112">
        <f t="shared" si="2"/>
        <v>0</v>
      </c>
      <c r="L23" s="112">
        <f t="shared" si="2"/>
        <v>0</v>
      </c>
      <c r="M23" s="112">
        <f t="shared" si="2"/>
        <v>0</v>
      </c>
      <c r="N23" s="112">
        <f t="shared" si="2"/>
        <v>0</v>
      </c>
      <c r="O23" s="112">
        <f t="shared" si="2"/>
        <v>0</v>
      </c>
      <c r="P23" s="112">
        <f t="shared" si="2"/>
        <v>0</v>
      </c>
      <c r="Q23" s="112">
        <f t="shared" si="2"/>
        <v>0</v>
      </c>
      <c r="R23" s="112">
        <f t="shared" si="2"/>
        <v>0</v>
      </c>
      <c r="S23" s="112">
        <f t="shared" si="2"/>
        <v>0</v>
      </c>
      <c r="T23" s="112">
        <f t="shared" si="2"/>
        <v>0</v>
      </c>
      <c r="U23" s="112">
        <f t="shared" si="2"/>
        <v>0</v>
      </c>
      <c r="V23" s="112">
        <f t="shared" si="2"/>
        <v>0</v>
      </c>
      <c r="W23" s="112">
        <f t="shared" si="2"/>
        <v>0</v>
      </c>
      <c r="X23" s="112">
        <f t="shared" si="2"/>
        <v>0</v>
      </c>
      <c r="Y23" s="112">
        <f t="shared" si="2"/>
        <v>0</v>
      </c>
      <c r="Z23" s="112">
        <f t="shared" si="2"/>
        <v>0</v>
      </c>
      <c r="AA23" s="112">
        <f t="shared" si="2"/>
        <v>0</v>
      </c>
      <c r="AB23" s="112">
        <f t="shared" si="2"/>
        <v>0</v>
      </c>
      <c r="AC23" s="112">
        <f t="shared" si="2"/>
        <v>0</v>
      </c>
      <c r="AD23" s="112">
        <f t="shared" si="2"/>
        <v>0</v>
      </c>
      <c r="AE23" s="112">
        <f t="shared" si="2"/>
        <v>0</v>
      </c>
      <c r="AF23" s="112">
        <f t="shared" si="2"/>
        <v>0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121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2"/>
      <c r="C1" s="173" t="s">
        <v>122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</row>
    <row r="2" spans="1:33">
      <c r="A2" s="6"/>
      <c r="B2" s="172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2"/>
      <c r="C1" s="173" t="s">
        <v>123</v>
      </c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</row>
    <row r="2" spans="1:34">
      <c r="A2" s="6"/>
      <c r="B2" s="172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2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124</v>
      </c>
      <c r="I2" s="102">
        <f>1800*10</f>
        <v>18000</v>
      </c>
    </row>
    <row r="3" spans="4:64">
      <c r="G3" s="101" t="s">
        <v>125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126</v>
      </c>
      <c r="H9" s="99" t="s">
        <v>127</v>
      </c>
      <c r="I9" s="99" t="s">
        <v>128</v>
      </c>
      <c r="J9" s="99" t="s">
        <v>129</v>
      </c>
      <c r="K9" s="99" t="s">
        <v>130</v>
      </c>
      <c r="L9" s="99" t="s">
        <v>131</v>
      </c>
      <c r="M9" s="99" t="s">
        <v>132</v>
      </c>
      <c r="N9" s="99" t="s">
        <v>133</v>
      </c>
      <c r="O9" s="99" t="s">
        <v>134</v>
      </c>
      <c r="P9" s="99" t="s">
        <v>135</v>
      </c>
      <c r="Q9" s="99" t="s">
        <v>136</v>
      </c>
      <c r="R9" s="99" t="s">
        <v>137</v>
      </c>
      <c r="S9" s="99" t="s">
        <v>138</v>
      </c>
      <c r="T9" s="99" t="s">
        <v>139</v>
      </c>
      <c r="U9" s="99" t="s">
        <v>140</v>
      </c>
      <c r="V9" s="99" t="s">
        <v>141</v>
      </c>
      <c r="W9" s="99" t="s">
        <v>142</v>
      </c>
      <c r="X9" s="99" t="s">
        <v>143</v>
      </c>
      <c r="Y9" s="99" t="s">
        <v>144</v>
      </c>
      <c r="Z9" s="99" t="s">
        <v>145</v>
      </c>
      <c r="AA9" s="99" t="s">
        <v>146</v>
      </c>
      <c r="AB9" s="99" t="s">
        <v>147</v>
      </c>
      <c r="AC9" s="99" t="s">
        <v>148</v>
      </c>
      <c r="AD9" s="99" t="s">
        <v>149</v>
      </c>
      <c r="AE9" s="99" t="s">
        <v>150</v>
      </c>
      <c r="AF9" s="99" t="s">
        <v>151</v>
      </c>
      <c r="AG9" s="99" t="s">
        <v>152</v>
      </c>
      <c r="AH9" s="99" t="s">
        <v>153</v>
      </c>
      <c r="AI9" s="99" t="s">
        <v>154</v>
      </c>
      <c r="AJ9" s="99" t="s">
        <v>155</v>
      </c>
      <c r="AK9" s="99" t="s">
        <v>156</v>
      </c>
      <c r="AL9" s="99" t="s">
        <v>157</v>
      </c>
      <c r="AM9" s="99" t="s">
        <v>158</v>
      </c>
      <c r="AN9" s="99" t="s">
        <v>159</v>
      </c>
      <c r="AO9" s="99" t="s">
        <v>160</v>
      </c>
      <c r="AP9" s="99" t="s">
        <v>161</v>
      </c>
      <c r="AQ9" s="99" t="s">
        <v>162</v>
      </c>
      <c r="AR9" s="99" t="s">
        <v>163</v>
      </c>
      <c r="AS9" s="99" t="s">
        <v>164</v>
      </c>
      <c r="AT9" s="99" t="s">
        <v>165</v>
      </c>
      <c r="AU9" s="99" t="s">
        <v>166</v>
      </c>
      <c r="AV9" s="99" t="s">
        <v>167</v>
      </c>
      <c r="AW9" s="99" t="s">
        <v>168</v>
      </c>
      <c r="AX9" s="99" t="s">
        <v>169</v>
      </c>
      <c r="AY9" s="99" t="s">
        <v>170</v>
      </c>
      <c r="AZ9" s="99" t="s">
        <v>171</v>
      </c>
      <c r="BA9" s="99" t="s">
        <v>172</v>
      </c>
      <c r="BB9" s="99" t="s">
        <v>173</v>
      </c>
      <c r="BC9" s="99" t="s">
        <v>174</v>
      </c>
      <c r="BD9" s="99" t="s">
        <v>175</v>
      </c>
      <c r="BE9" s="99" t="s">
        <v>176</v>
      </c>
      <c r="BF9" s="99" t="s">
        <v>177</v>
      </c>
      <c r="BG9" s="99" t="s">
        <v>178</v>
      </c>
      <c r="BH9" s="99" t="s">
        <v>179</v>
      </c>
      <c r="BI9" s="99" t="s">
        <v>180</v>
      </c>
      <c r="BJ9" s="99" t="s">
        <v>181</v>
      </c>
      <c r="BK9" s="106" t="s">
        <v>182</v>
      </c>
      <c r="BL9" s="106" t="s">
        <v>183</v>
      </c>
    </row>
    <row r="10" spans="4:64">
      <c r="D10" s="102"/>
      <c r="E10" s="102"/>
      <c r="F10" s="95"/>
      <c r="G10" s="97" t="s">
        <v>184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185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186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187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188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189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190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191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192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193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194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195</v>
      </c>
      <c r="H23">
        <f>AVERAGE(H10:H20)</f>
        <v>849.6</v>
      </c>
    </row>
    <row r="27" spans="7:64">
      <c r="G27" s="99" t="s">
        <v>126</v>
      </c>
      <c r="H27" s="99" t="s">
        <v>127</v>
      </c>
      <c r="I27" s="99" t="s">
        <v>128</v>
      </c>
      <c r="J27" s="99" t="s">
        <v>129</v>
      </c>
      <c r="K27" s="99" t="s">
        <v>130</v>
      </c>
      <c r="L27" s="99" t="s">
        <v>131</v>
      </c>
      <c r="M27" s="99" t="s">
        <v>132</v>
      </c>
      <c r="N27" s="99" t="s">
        <v>133</v>
      </c>
      <c r="O27" s="99" t="s">
        <v>134</v>
      </c>
      <c r="P27" s="99" t="s">
        <v>135</v>
      </c>
      <c r="Q27" s="99" t="s">
        <v>136</v>
      </c>
      <c r="R27" s="99" t="s">
        <v>137</v>
      </c>
      <c r="S27" s="99" t="s">
        <v>138</v>
      </c>
      <c r="T27" s="99" t="s">
        <v>139</v>
      </c>
      <c r="U27" s="99" t="s">
        <v>140</v>
      </c>
      <c r="V27" s="99" t="s">
        <v>141</v>
      </c>
      <c r="W27" s="99" t="s">
        <v>142</v>
      </c>
      <c r="X27" s="99" t="s">
        <v>143</v>
      </c>
      <c r="Y27" s="99" t="s">
        <v>144</v>
      </c>
      <c r="Z27" s="99" t="s">
        <v>145</v>
      </c>
      <c r="AA27" s="99" t="s">
        <v>146</v>
      </c>
      <c r="AB27" s="99" t="s">
        <v>147</v>
      </c>
      <c r="AC27" s="99" t="s">
        <v>148</v>
      </c>
      <c r="AD27" s="99" t="s">
        <v>149</v>
      </c>
      <c r="AE27" s="99" t="s">
        <v>150</v>
      </c>
      <c r="AF27" s="99" t="s">
        <v>151</v>
      </c>
      <c r="AG27" s="99" t="s">
        <v>152</v>
      </c>
      <c r="AH27" s="99" t="s">
        <v>153</v>
      </c>
      <c r="AI27" s="99" t="s">
        <v>154</v>
      </c>
      <c r="AJ27" s="99" t="s">
        <v>155</v>
      </c>
      <c r="AK27" s="99" t="s">
        <v>156</v>
      </c>
      <c r="AL27" s="99" t="s">
        <v>157</v>
      </c>
      <c r="AM27" s="99" t="s">
        <v>158</v>
      </c>
      <c r="AN27" s="99" t="s">
        <v>159</v>
      </c>
      <c r="AO27" s="99" t="s">
        <v>160</v>
      </c>
      <c r="AP27" s="99" t="s">
        <v>161</v>
      </c>
      <c r="AQ27" s="99" t="s">
        <v>162</v>
      </c>
      <c r="AR27" s="99" t="s">
        <v>163</v>
      </c>
      <c r="AS27" s="99" t="s">
        <v>164</v>
      </c>
      <c r="AT27" s="99" t="s">
        <v>165</v>
      </c>
      <c r="AU27" s="99" t="s">
        <v>166</v>
      </c>
      <c r="AV27" s="99" t="s">
        <v>167</v>
      </c>
      <c r="AW27" s="99" t="s">
        <v>168</v>
      </c>
      <c r="AX27" s="99" t="s">
        <v>169</v>
      </c>
      <c r="AY27" s="99" t="s">
        <v>170</v>
      </c>
      <c r="AZ27" s="99" t="s">
        <v>171</v>
      </c>
      <c r="BA27" s="99" t="s">
        <v>172</v>
      </c>
      <c r="BB27" s="99" t="s">
        <v>173</v>
      </c>
      <c r="BC27" s="99" t="s">
        <v>174</v>
      </c>
      <c r="BD27" s="99" t="s">
        <v>175</v>
      </c>
      <c r="BE27" s="99" t="s">
        <v>176</v>
      </c>
      <c r="BF27" s="99" t="s">
        <v>177</v>
      </c>
      <c r="BG27" s="99" t="s">
        <v>178</v>
      </c>
      <c r="BH27" s="99" t="s">
        <v>179</v>
      </c>
      <c r="BI27" s="99" t="s">
        <v>180</v>
      </c>
      <c r="BJ27" s="99" t="s">
        <v>181</v>
      </c>
      <c r="BK27" s="106" t="s">
        <v>182</v>
      </c>
      <c r="BL27" s="106" t="s">
        <v>183</v>
      </c>
    </row>
    <row r="28" spans="7:64">
      <c r="G28" s="97" t="s">
        <v>184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185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186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187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188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189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190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191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192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193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194</v>
      </c>
      <c r="H40">
        <f>SUM(H28:H38)</f>
        <v>17424</v>
      </c>
    </row>
    <row r="41" spans="7:64">
      <c r="G41" s="101" t="s">
        <v>195</v>
      </c>
      <c r="H41">
        <f>AVERAGE(H28:H38)</f>
        <v>1742.4</v>
      </c>
      <c r="K41" s="104" t="s">
        <v>196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126</v>
      </c>
      <c r="H84" s="99" t="s">
        <v>127</v>
      </c>
      <c r="I84" s="99" t="s">
        <v>128</v>
      </c>
      <c r="J84" s="99" t="s">
        <v>129</v>
      </c>
      <c r="K84" s="99" t="s">
        <v>130</v>
      </c>
      <c r="L84" s="99" t="s">
        <v>131</v>
      </c>
      <c r="M84" s="99" t="s">
        <v>132</v>
      </c>
      <c r="N84" s="99" t="s">
        <v>133</v>
      </c>
      <c r="O84" s="99" t="s">
        <v>134</v>
      </c>
      <c r="P84" s="99" t="s">
        <v>135</v>
      </c>
      <c r="Q84" s="99" t="s">
        <v>136</v>
      </c>
      <c r="R84" s="99" t="s">
        <v>137</v>
      </c>
      <c r="S84" s="99" t="s">
        <v>138</v>
      </c>
      <c r="T84" s="99" t="s">
        <v>139</v>
      </c>
      <c r="U84" s="99" t="s">
        <v>140</v>
      </c>
      <c r="V84" s="99" t="s">
        <v>141</v>
      </c>
      <c r="W84" s="99" t="s">
        <v>142</v>
      </c>
      <c r="X84" s="99" t="s">
        <v>143</v>
      </c>
      <c r="Y84" s="99" t="s">
        <v>144</v>
      </c>
      <c r="Z84" s="99" t="s">
        <v>145</v>
      </c>
      <c r="AA84" s="99" t="s">
        <v>146</v>
      </c>
      <c r="AB84" s="99" t="s">
        <v>147</v>
      </c>
      <c r="AC84" s="99" t="s">
        <v>148</v>
      </c>
      <c r="AD84" s="99" t="s">
        <v>149</v>
      </c>
      <c r="AE84" s="99" t="s">
        <v>150</v>
      </c>
      <c r="AF84" s="99" t="s">
        <v>151</v>
      </c>
      <c r="AG84" s="99" t="s">
        <v>152</v>
      </c>
      <c r="AH84" s="99" t="s">
        <v>153</v>
      </c>
      <c r="AI84" s="99" t="s">
        <v>154</v>
      </c>
      <c r="AJ84" s="99" t="s">
        <v>155</v>
      </c>
      <c r="AK84" s="99" t="s">
        <v>156</v>
      </c>
      <c r="AL84" s="99" t="s">
        <v>157</v>
      </c>
      <c r="AM84" s="99" t="s">
        <v>158</v>
      </c>
      <c r="AN84" s="99" t="s">
        <v>159</v>
      </c>
      <c r="AO84" s="99" t="s">
        <v>160</v>
      </c>
      <c r="AP84" s="99" t="s">
        <v>161</v>
      </c>
      <c r="AQ84" s="99" t="s">
        <v>162</v>
      </c>
      <c r="AR84" s="99" t="s">
        <v>163</v>
      </c>
      <c r="AS84" s="99" t="s">
        <v>164</v>
      </c>
      <c r="AT84" s="99" t="s">
        <v>165</v>
      </c>
      <c r="AU84" s="99" t="s">
        <v>166</v>
      </c>
      <c r="AV84" s="99" t="s">
        <v>167</v>
      </c>
      <c r="AW84" s="99" t="s">
        <v>168</v>
      </c>
      <c r="AX84" s="99" t="s">
        <v>169</v>
      </c>
      <c r="AY84" s="99" t="s">
        <v>170</v>
      </c>
      <c r="AZ84" s="99" t="s">
        <v>171</v>
      </c>
      <c r="BA84" s="99" t="s">
        <v>172</v>
      </c>
      <c r="BB84" s="99" t="s">
        <v>173</v>
      </c>
      <c r="BC84" s="99" t="s">
        <v>174</v>
      </c>
      <c r="BD84" s="99" t="s">
        <v>175</v>
      </c>
      <c r="BE84" s="99" t="s">
        <v>176</v>
      </c>
      <c r="BF84" s="99" t="s">
        <v>177</v>
      </c>
      <c r="BG84" s="99" t="s">
        <v>178</v>
      </c>
      <c r="BH84" s="99" t="s">
        <v>179</v>
      </c>
      <c r="BI84" s="99" t="s">
        <v>180</v>
      </c>
      <c r="BJ84" s="99" t="s">
        <v>181</v>
      </c>
      <c r="BK84" s="106" t="s">
        <v>182</v>
      </c>
      <c r="BL84" s="106" t="s">
        <v>183</v>
      </c>
    </row>
    <row r="85" spans="7:64">
      <c r="G85" s="97" t="s">
        <v>184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185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186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187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197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198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189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190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191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192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193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194</v>
      </c>
      <c r="H98">
        <f>SUM(H85:H96)</f>
        <v>6880</v>
      </c>
    </row>
    <row r="99" spans="7:11">
      <c r="G99" s="101" t="s">
        <v>195</v>
      </c>
      <c r="H99">
        <f>AVERAGE(H85:H96)</f>
        <v>625.4545454545455</v>
      </c>
      <c r="K99" s="104" t="s">
        <v>196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126</v>
      </c>
      <c r="E2" s="99" t="s">
        <v>127</v>
      </c>
      <c r="F2" s="99" t="s">
        <v>128</v>
      </c>
      <c r="G2" s="99" t="s">
        <v>129</v>
      </c>
      <c r="H2" s="99" t="s">
        <v>130</v>
      </c>
      <c r="I2" s="99" t="s">
        <v>131</v>
      </c>
      <c r="J2" s="99" t="s">
        <v>132</v>
      </c>
      <c r="K2" s="99" t="s">
        <v>133</v>
      </c>
      <c r="L2" s="99" t="s">
        <v>134</v>
      </c>
      <c r="M2" s="99" t="s">
        <v>135</v>
      </c>
      <c r="N2" s="99" t="s">
        <v>136</v>
      </c>
      <c r="O2" s="99" t="s">
        <v>137</v>
      </c>
      <c r="P2" s="99" t="s">
        <v>138</v>
      </c>
      <c r="Q2" s="99" t="s">
        <v>139</v>
      </c>
      <c r="R2" s="99" t="s">
        <v>140</v>
      </c>
      <c r="S2" s="99" t="s">
        <v>141</v>
      </c>
      <c r="T2" s="99" t="s">
        <v>142</v>
      </c>
      <c r="U2" s="99" t="s">
        <v>143</v>
      </c>
      <c r="V2" s="99" t="s">
        <v>144</v>
      </c>
      <c r="W2" s="99" t="s">
        <v>145</v>
      </c>
      <c r="X2" s="99" t="s">
        <v>146</v>
      </c>
      <c r="Y2" s="99" t="s">
        <v>147</v>
      </c>
      <c r="Z2" s="99" t="s">
        <v>148</v>
      </c>
      <c r="AA2" s="99" t="s">
        <v>149</v>
      </c>
      <c r="AB2" s="99" t="s">
        <v>150</v>
      </c>
      <c r="AC2" s="99" t="s">
        <v>151</v>
      </c>
      <c r="AD2" s="99" t="s">
        <v>152</v>
      </c>
      <c r="AE2" s="99" t="s">
        <v>153</v>
      </c>
      <c r="AF2" s="99" t="s">
        <v>154</v>
      </c>
      <c r="AG2" s="99" t="s">
        <v>155</v>
      </c>
      <c r="AH2" s="99" t="s">
        <v>156</v>
      </c>
      <c r="AI2" s="99" t="s">
        <v>157</v>
      </c>
      <c r="AJ2" s="99" t="s">
        <v>158</v>
      </c>
      <c r="AK2" s="99" t="s">
        <v>159</v>
      </c>
      <c r="AL2" s="99" t="s">
        <v>160</v>
      </c>
      <c r="AM2" s="99" t="s">
        <v>161</v>
      </c>
      <c r="AN2" s="99" t="s">
        <v>162</v>
      </c>
      <c r="AO2" s="99" t="s">
        <v>163</v>
      </c>
      <c r="AP2" s="99" t="s">
        <v>164</v>
      </c>
      <c r="AQ2" s="99" t="s">
        <v>165</v>
      </c>
      <c r="AR2" s="99" t="s">
        <v>166</v>
      </c>
      <c r="AS2" s="99" t="s">
        <v>167</v>
      </c>
      <c r="AT2" s="99" t="s">
        <v>168</v>
      </c>
      <c r="AU2" s="99" t="s">
        <v>169</v>
      </c>
      <c r="AV2" s="99" t="s">
        <v>170</v>
      </c>
      <c r="AW2" s="99" t="s">
        <v>171</v>
      </c>
      <c r="AX2" s="99" t="s">
        <v>172</v>
      </c>
      <c r="AY2" s="99" t="s">
        <v>173</v>
      </c>
      <c r="AZ2" s="99" t="s">
        <v>174</v>
      </c>
      <c r="BA2" s="99" t="s">
        <v>175</v>
      </c>
      <c r="BB2" s="99" t="s">
        <v>176</v>
      </c>
      <c r="BC2" s="99" t="s">
        <v>177</v>
      </c>
      <c r="BD2" s="99" t="s">
        <v>178</v>
      </c>
      <c r="BE2" s="99" t="s">
        <v>179</v>
      </c>
      <c r="BF2" s="99" t="s">
        <v>180</v>
      </c>
      <c r="BG2" s="99" t="s">
        <v>181</v>
      </c>
      <c r="BH2" s="106" t="s">
        <v>182</v>
      </c>
      <c r="BI2" s="106" t="s">
        <v>183</v>
      </c>
    </row>
    <row r="3" spans="4:61">
      <c r="D3" s="97" t="s">
        <v>184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185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186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187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188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189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190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191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192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193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194</v>
      </c>
      <c r="E15">
        <f>SUM(E3:E13)</f>
        <v>17424</v>
      </c>
    </row>
    <row r="16" spans="4:61">
      <c r="D16" s="101" t="s">
        <v>195</v>
      </c>
      <c r="E16">
        <f>AVERAGE(E3:E13)</f>
        <v>1742.4</v>
      </c>
      <c r="H16" s="104" t="s">
        <v>196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C30E971C-1E23-4A69-8C76-8F8841CEE5F0}"/>
</file>

<file path=customXml/itemProps2.xml><?xml version="1.0" encoding="utf-8"?>
<ds:datastoreItem xmlns:ds="http://schemas.openxmlformats.org/officeDocument/2006/customXml" ds:itemID="{1EECE65D-B437-4372-9E5B-6949431F5EBF}"/>
</file>

<file path=customXml/itemProps3.xml><?xml version="1.0" encoding="utf-8"?>
<ds:datastoreItem xmlns:ds="http://schemas.openxmlformats.org/officeDocument/2006/customXml" ds:itemID="{7555FA03-0D71-42C1-B384-265EE4FF17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Muñoz Valle Adrian</cp:lastModifiedBy>
  <cp:revision/>
  <dcterms:created xsi:type="dcterms:W3CDTF">2025-06-10T09:39:58Z</dcterms:created>
  <dcterms:modified xsi:type="dcterms:W3CDTF">2026-07-02T09:49:21Z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0x010100053D453421A95D4FAA4AEEF46A964E01</vt:lpwstr>
  </property>
  <property fmtid="{D5CDD505-2E9C-101B-9397-08002B2CF9AE}" pid="3" name="MediaServiceImageTags">
    <vt:lpwstr/>
  </property>
  <property fmtid="{D5CDD505-2E9C-101B-9397-08002B2CF9AE}" pid="4" name="MSIP_Label_0c2abd79-57a9-4473-8700-c843f76a1e37_Enabled">
    <vt:lpwstr>true</vt:lpwstr>
  </property>
  <property fmtid="{D5CDD505-2E9C-101B-9397-08002B2CF9AE}" pid="5" name="MSIP_Label_0c2abd79-57a9-4473-8700-c843f76a1e37_SetDate">
    <vt:lpwstr>2026-06-29T08:55:42Z</vt:lpwstr>
  </property>
  <property fmtid="{D5CDD505-2E9C-101B-9397-08002B2CF9AE}" pid="6" name="MSIP_Label_0c2abd79-57a9-4473-8700-c843f76a1e37_Method">
    <vt:lpwstr>Privileged</vt:lpwstr>
  </property>
  <property fmtid="{D5CDD505-2E9C-101B-9397-08002B2CF9AE}" pid="7" name="MSIP_Label_0c2abd79-57a9-4473-8700-c843f76a1e37_Name">
    <vt:lpwstr>Internal</vt:lpwstr>
  </property>
  <property fmtid="{D5CDD505-2E9C-101B-9397-08002B2CF9AE}" pid="8" name="MSIP_Label_0c2abd79-57a9-4473-8700-c843f76a1e37_SiteId">
    <vt:lpwstr>35595a02-4d6d-44ac-99e1-f9ab4cd872db</vt:lpwstr>
  </property>
  <property fmtid="{D5CDD505-2E9C-101B-9397-08002B2CF9AE}" pid="9" name="MSIP_Label_0c2abd79-57a9-4473-8700-c843f76a1e37_ActionId">
    <vt:lpwstr>b734c67d-c623-45f9-8ccd-f6a042f910da</vt:lpwstr>
  </property>
  <property fmtid="{D5CDD505-2E9C-101B-9397-08002B2CF9AE}" pid="10" name="MSIP_Label_0c2abd79-57a9-4473-8700-c843f76a1e37_ContentBits">
    <vt:lpwstr>0</vt:lpwstr>
  </property>
  <property fmtid="{D5CDD505-2E9C-101B-9397-08002B2CF9AE}" pid="11" name="MSIP_Label_0c2abd79-57a9-4473-8700-c843f76a1e37_Tag">
    <vt:lpwstr>10, 0, 1, 2</vt:lpwstr>
  </property>
</Properties>
</file>