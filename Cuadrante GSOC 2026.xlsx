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499" documentId="8_{BF395F17-8A36-4A5B-A61D-48748E8233D4}" xr6:coauthVersionLast="47" xr6:coauthVersionMax="47" xr10:uidLastSave="{E12F425D-9C39-4FD8-80B3-080266F73E04}"/>
  <bookViews>
    <workbookView xWindow="-110" yWindow="-110" windowWidth="19200" windowHeight="9020" firstSheet="9" activeTab="9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E25" i="32"/>
  <c r="AE23" i="32" s="1"/>
  <c r="AD25" i="32"/>
  <c r="AC25" i="32"/>
  <c r="AB25" i="32"/>
  <c r="AB23" i="32" s="1"/>
  <c r="AA25" i="32"/>
  <c r="AA23" i="32" s="1"/>
  <c r="Z25" i="32"/>
  <c r="Y25" i="32"/>
  <c r="X25" i="32"/>
  <c r="W25" i="32"/>
  <c r="V25" i="32"/>
  <c r="U25" i="32"/>
  <c r="T25" i="32"/>
  <c r="S25" i="32"/>
  <c r="S23" i="32" s="1"/>
  <c r="R25" i="32"/>
  <c r="Q25" i="32"/>
  <c r="Q23" i="32" s="1"/>
  <c r="P25" i="32"/>
  <c r="P23" i="32" s="1"/>
  <c r="O25" i="32"/>
  <c r="N25" i="32"/>
  <c r="M25" i="32"/>
  <c r="L25" i="32"/>
  <c r="K25" i="32"/>
  <c r="J25" i="32"/>
  <c r="I25" i="32"/>
  <c r="H25" i="32"/>
  <c r="G25" i="32"/>
  <c r="G23" i="32" s="1"/>
  <c r="F25" i="32"/>
  <c r="F23" i="32" s="1"/>
  <c r="E25" i="32"/>
  <c r="E23" i="32" s="1"/>
  <c r="D25" i="32"/>
  <c r="D23" i="32" s="1"/>
  <c r="C25" i="32"/>
  <c r="C23" i="32" s="1"/>
  <c r="AF24" i="32"/>
  <c r="AF23" i="32" s="1"/>
  <c r="AE24" i="32"/>
  <c r="AD24" i="32"/>
  <c r="AC24" i="32"/>
  <c r="AB24" i="32"/>
  <c r="AA24" i="32"/>
  <c r="Z24" i="32"/>
  <c r="Y24" i="32"/>
  <c r="Y23" i="32" s="1"/>
  <c r="X24" i="32"/>
  <c r="X23" i="32" s="1"/>
  <c r="W24" i="32"/>
  <c r="W23" i="32" s="1"/>
  <c r="V24" i="32"/>
  <c r="V23" i="32" s="1"/>
  <c r="U24" i="32"/>
  <c r="U23" i="32" s="1"/>
  <c r="T24" i="32"/>
  <c r="T23" i="32" s="1"/>
  <c r="S24" i="32"/>
  <c r="R24" i="32"/>
  <c r="Q24" i="32"/>
  <c r="P24" i="32"/>
  <c r="O24" i="32"/>
  <c r="N24" i="32"/>
  <c r="M24" i="32"/>
  <c r="M23" i="32" s="1"/>
  <c r="L24" i="32"/>
  <c r="L23" i="32" s="1"/>
  <c r="K24" i="32"/>
  <c r="K23" i="32" s="1"/>
  <c r="J24" i="32"/>
  <c r="J23" i="32" s="1"/>
  <c r="I24" i="32"/>
  <c r="I23" i="32" s="1"/>
  <c r="H24" i="32"/>
  <c r="H23" i="32" s="1"/>
  <c r="G24" i="32"/>
  <c r="F24" i="32"/>
  <c r="E24" i="32"/>
  <c r="D24" i="32"/>
  <c r="C24" i="32"/>
  <c r="AD23" i="32"/>
  <c r="AC23" i="32"/>
  <c r="Z23" i="32"/>
  <c r="R23" i="32"/>
  <c r="O23" i="32"/>
  <c r="N23" i="32"/>
  <c r="AG26" i="31"/>
  <c r="AF26" i="31"/>
  <c r="AE26" i="31"/>
  <c r="AD26" i="31"/>
  <c r="AC26" i="31"/>
  <c r="AB26" i="31"/>
  <c r="AB23" i="31" s="1"/>
  <c r="AA26" i="31"/>
  <c r="Z26" i="31"/>
  <c r="Y26" i="31"/>
  <c r="X26" i="31"/>
  <c r="W26" i="31"/>
  <c r="V26" i="31"/>
  <c r="V23" i="31" s="1"/>
  <c r="U26" i="31"/>
  <c r="T26" i="31"/>
  <c r="S26" i="31"/>
  <c r="R26" i="31"/>
  <c r="Q26" i="31"/>
  <c r="P26" i="31"/>
  <c r="P23" i="31" s="1"/>
  <c r="O26" i="31"/>
  <c r="N26" i="31"/>
  <c r="M26" i="31"/>
  <c r="L26" i="31"/>
  <c r="K26" i="31"/>
  <c r="J26" i="31"/>
  <c r="J23" i="31" s="1"/>
  <c r="I26" i="31"/>
  <c r="H26" i="31"/>
  <c r="G26" i="31"/>
  <c r="F26" i="31"/>
  <c r="E26" i="31"/>
  <c r="D26" i="31"/>
  <c r="D23" i="31" s="1"/>
  <c r="C26" i="31"/>
  <c r="AG25" i="31"/>
  <c r="AF25" i="31"/>
  <c r="AE25" i="31"/>
  <c r="AD25" i="31"/>
  <c r="AC25" i="31"/>
  <c r="AC23" i="31" s="1"/>
  <c r="AB25" i="31"/>
  <c r="AA25" i="31"/>
  <c r="Z25" i="31"/>
  <c r="Y25" i="31"/>
  <c r="X25" i="31"/>
  <c r="W25" i="31"/>
  <c r="V25" i="31"/>
  <c r="U25" i="31"/>
  <c r="T25" i="31"/>
  <c r="S25" i="31"/>
  <c r="R25" i="31"/>
  <c r="Q25" i="31"/>
  <c r="Q23" i="31" s="1"/>
  <c r="P25" i="31"/>
  <c r="O25" i="31"/>
  <c r="N25" i="31"/>
  <c r="M25" i="31"/>
  <c r="L25" i="31"/>
  <c r="K25" i="31"/>
  <c r="K23" i="31" s="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E23" i="31" s="1"/>
  <c r="AD24" i="31"/>
  <c r="AD23" i="31" s="1"/>
  <c r="AC24" i="31"/>
  <c r="AB24" i="31"/>
  <c r="AA24" i="31"/>
  <c r="Z24" i="31"/>
  <c r="Y24" i="31"/>
  <c r="X24" i="31"/>
  <c r="X23" i="31" s="1"/>
  <c r="W24" i="31"/>
  <c r="W23" i="31" s="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H24" i="31"/>
  <c r="G24" i="31"/>
  <c r="G23" i="31" s="1"/>
  <c r="F24" i="31"/>
  <c r="F23" i="31" s="1"/>
  <c r="E24" i="31"/>
  <c r="D24" i="31"/>
  <c r="C24" i="31"/>
  <c r="AG23" i="31"/>
  <c r="AA23" i="31"/>
  <c r="Z23" i="31"/>
  <c r="Y23" i="31"/>
  <c r="U23" i="31"/>
  <c r="T23" i="31"/>
  <c r="O23" i="31"/>
  <c r="N23" i="31"/>
  <c r="M23" i="31"/>
  <c r="I23" i="31"/>
  <c r="H23" i="31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O24" i="30" l="1"/>
  <c r="E15" i="33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1" authorId="0" shapeId="0" xr:uid="{145E8B63-2F3F-4A8A-8332-8979480330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</commentList>
</comments>
</file>

<file path=xl/sharedStrings.xml><?xml version="1.0" encoding="utf-8"?>
<sst xmlns="http://schemas.openxmlformats.org/spreadsheetml/2006/main" count="11467" uniqueCount="196">
  <si>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</si>
  <si>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</si>
  <si>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</si>
  <si>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</si>
  <si>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</si>
  <si>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</si>
  <si>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</si>
  <si>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</si>
  <si>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</si>
  <si>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</si>
  <si>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</si>
  <si>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</si>
  <si>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</si>
  <si>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</si>
  <si>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</si>
  <si>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</si>
  <si>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</si>
  <si>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</si>
  <si>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</si>
  <si>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</si>
  <si>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</si>
  <si>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</si>
  <si>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</si>
  <si>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</si>
  <si>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</si>
  <si>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</si>
  <si>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</si>
  <si>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</si>
  <si>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</si>
  <si>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</si>
  <si>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</si>
  <si>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</si>
  <si>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</si>
  <si>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</si>
  <si>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</si>
  <si>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</si>
  <si>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</si>
  <si>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</si>
  <si>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</si>
  <si>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</si>
  <si>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</si>
  <si>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</si>
  <si>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</si>
  <si>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</si>
  <si>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</si>
  <si>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</si>
  <si>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</si>
  <si>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</si>
  <si>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</si>
  <si>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</si>
  <si>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</si>
  <si>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</si>
  <si>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</si>
  <si>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</si>
  <si>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</si>
  <si>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</si>
  <si>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</si>
  <si>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</si>
  <si>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</si>
  <si>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</si>
  <si>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</si>
  <si>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</si>
  <si>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</si>
  <si>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</si>
  <si>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</si>
  <si>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</si>
  <si>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</si>
  <si>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</si>
  <si>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</si>
  <si>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</si>
  <si>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</si>
  <si>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</si>
  <si>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</si>
  <si>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</si>
  <si>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</si>
  <si>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</si>
  <si>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</si>
  <si>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</si>
  <si>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</si>
  <si>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</si>
  <si>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</si>
  <si>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</si>
  <si>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</si>
  <si>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</si>
  <si>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</si>
  <si>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</si>
  <si>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</si>
  <si>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</si>
  <si>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</si>
  <si>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</si>
  <si>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</si>
  <si>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</si>
  <si>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</si>
  <si>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</si>
  <si>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</si>
  <si>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</si>
  <si>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</si>
  <si>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</si>
  <si>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</si>
  <si>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</si>
  <si>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</si>
  <si>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</si>
  <si>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</si>
  <si>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</si>
  <si>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</si>
  <si>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</si>
  <si>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</si>
  <si>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</si>
  <si>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</si>
  <si>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</si>
  <si>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</si>
  <si>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Hector   Contreras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</si>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</sst>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1" dT="2026-03-10T11:21:01.36" personId="{678BB04D-11B0-457D-BCA0-D5F409BCB035}" id="{145E8B63-2F3F-4A8A-8332-897948033002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5429687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4"/>
      <c r="E2" s="171" t="s">
        <v>0</v>
      </c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3"/>
    </row>
    <row r="3" spans="1:36" ht="18" customHeight="1" x14ac:dyDescent="0.35">
      <c r="B3" s="32"/>
      <c r="D3" s="174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5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6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6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6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6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6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6"/>
      <c r="C11" s="34"/>
      <c r="D11" s="36"/>
      <c r="E11" s="181"/>
      <c r="F11" s="182"/>
      <c r="G11" s="182"/>
      <c r="H11" s="182"/>
      <c r="I11" s="182"/>
      <c r="J11" s="182"/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3"/>
      <c r="AJ11" s="91"/>
    </row>
    <row r="12" spans="1:36" ht="18" customHeight="1" x14ac:dyDescent="0.35">
      <c r="A12" s="176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6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6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6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6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6"/>
      <c r="C17" s="34"/>
      <c r="D17" s="33"/>
      <c r="E17" s="181"/>
      <c r="F17" s="182"/>
      <c r="G17" s="182"/>
      <c r="H17" s="182"/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3"/>
    </row>
    <row r="18" spans="1:36" ht="18" customHeight="1" x14ac:dyDescent="0.35">
      <c r="A18" s="176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6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6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6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6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6"/>
      <c r="C23" s="34"/>
      <c r="D23" s="35"/>
      <c r="E23" s="178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80"/>
    </row>
    <row r="24" spans="1:36" ht="18" customHeight="1" x14ac:dyDescent="0.35">
      <c r="A24" s="177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68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69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69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69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69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70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5429687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4"/>
      <c r="E2" s="171" t="s">
        <v>49</v>
      </c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3"/>
    </row>
    <row r="3" spans="1:36" x14ac:dyDescent="0.35">
      <c r="A3" s="6"/>
      <c r="B3" s="32"/>
      <c r="C3" s="6"/>
      <c r="D3" s="174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6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6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6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6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6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6"/>
      <c r="B10" s="6"/>
      <c r="C10" s="34"/>
      <c r="D10" s="36"/>
      <c r="E10" s="181"/>
      <c r="F10" s="182"/>
      <c r="G10" s="182"/>
      <c r="H10" s="182"/>
      <c r="I10" s="182"/>
      <c r="J10" s="182"/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3"/>
    </row>
    <row r="11" spans="1:36" x14ac:dyDescent="0.35">
      <c r="A11" s="176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6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6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6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6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6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6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6"/>
      <c r="B18" s="6"/>
      <c r="C18" s="34"/>
      <c r="D18" s="33"/>
      <c r="E18" s="181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3"/>
    </row>
    <row r="19" spans="1:35" x14ac:dyDescent="0.35">
      <c r="A19" s="176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6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6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6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6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6"/>
      <c r="B24" s="6"/>
      <c r="C24" s="34"/>
      <c r="E24" s="178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179"/>
      <c r="AF24" s="179"/>
      <c r="AG24" s="179"/>
      <c r="AH24" s="179"/>
      <c r="AI24" s="180"/>
    </row>
    <row r="25" spans="1:35" ht="15" thickBot="1" x14ac:dyDescent="0.4">
      <c r="A25" s="177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68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69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69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69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69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70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15" customHeight="1" x14ac:dyDescent="0.35">
      <c r="A1" s="6"/>
      <c r="B1" s="174"/>
      <c r="C1" s="171" t="s">
        <v>57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</row>
    <row r="2" spans="1:33" x14ac:dyDescent="0.35">
      <c r="A2" s="6"/>
      <c r="B2" s="174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82"/>
      <c r="D19" s="182"/>
      <c r="E19" s="182"/>
      <c r="F19" s="182"/>
      <c r="G19" s="182"/>
      <c r="H19" s="182"/>
      <c r="I19" s="182"/>
      <c r="J19" s="182"/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82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  <c r="AD21" s="182"/>
      <c r="AE21" s="182"/>
      <c r="AF21" s="182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15" customHeight="1" x14ac:dyDescent="0.35">
      <c r="A1" s="6"/>
      <c r="B1" s="174"/>
      <c r="C1" s="184" t="s">
        <v>78</v>
      </c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6"/>
    </row>
    <row r="2" spans="1:34" x14ac:dyDescent="0.35">
      <c r="A2" s="6"/>
      <c r="B2" s="174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54296875" customWidth="1"/>
    <col min="33" max="33" width="4" style="91" bestFit="1" customWidth="1"/>
  </cols>
  <sheetData>
    <row r="1" spans="1:34" x14ac:dyDescent="0.35">
      <c r="A1" s="6"/>
      <c r="B1" s="174"/>
      <c r="C1" s="187" t="s">
        <v>81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</row>
    <row r="2" spans="1:34" x14ac:dyDescent="0.35">
      <c r="A2" s="6"/>
      <c r="B2" s="174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54296875" customWidth="1"/>
    <col min="34" max="34" width="8.81640625" style="91" customWidth="1"/>
  </cols>
  <sheetData>
    <row r="1" spans="1:37" ht="15" customHeight="1" x14ac:dyDescent="0.35">
      <c r="A1" s="6"/>
      <c r="B1" s="174"/>
      <c r="C1" s="187" t="s">
        <v>95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</row>
    <row r="2" spans="1:37" x14ac:dyDescent="0.35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x14ac:dyDescent="0.35">
      <c r="A1" s="6"/>
      <c r="B1" s="174"/>
      <c r="C1" s="187" t="s">
        <v>97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</row>
    <row r="2" spans="1:34" x14ac:dyDescent="0.35">
      <c r="A2" s="6"/>
      <c r="B2" s="174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8" t="s">
        <v>98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</row>
    <row r="2" spans="1:34" x14ac:dyDescent="0.35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 x14ac:dyDescent="0.35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 x14ac:dyDescent="0.35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 x14ac:dyDescent="0.35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 x14ac:dyDescent="0.35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 x14ac:dyDescent="0.35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104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 x14ac:dyDescent="0.35">
      <c r="A3" s="6"/>
      <c r="B3" s="174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 x14ac:dyDescent="0.35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 x14ac:dyDescent="0.35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 x14ac:dyDescent="0.35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 x14ac:dyDescent="0.35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 x14ac:dyDescent="0.35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 x14ac:dyDescent="0.35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 x14ac:dyDescent="0.35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 x14ac:dyDescent="0.35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 x14ac:dyDescent="0.35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 x14ac:dyDescent="0.35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 x14ac:dyDescent="0.35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 x14ac:dyDescent="0.35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tabSelected="1" topLeftCell="A6" workbookViewId="0">
      <selection activeCell="O21" sqref="O21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4"/>
      <c r="C1" s="189" t="s">
        <v>108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3" x14ac:dyDescent="0.35">
      <c r="A2" s="6"/>
      <c r="B2" s="174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G7"/>
    </row>
    <row r="8" spans="1:33" x14ac:dyDescent="0.35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 x14ac:dyDescent="0.35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 x14ac:dyDescent="0.3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 x14ac:dyDescent="0.3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 x14ac:dyDescent="0.35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 x14ac:dyDescent="0.35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 x14ac:dyDescent="0.35">
      <c r="AG18"/>
    </row>
    <row r="19" spans="1:33" x14ac:dyDescent="0.35">
      <c r="AG19"/>
    </row>
    <row r="20" spans="1:33" x14ac:dyDescent="0.35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 x14ac:dyDescent="0.35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 x14ac:dyDescent="0.35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 x14ac:dyDescent="0.35">
      <c r="AG23"/>
    </row>
    <row r="24" spans="1:33" x14ac:dyDescent="0.35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 x14ac:dyDescent="0.35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 x14ac:dyDescent="0.35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 x14ac:dyDescent="0.35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 x14ac:dyDescent="0.35">
      <c r="B29" t="s">
        <v>65</v>
      </c>
    </row>
    <row r="30" spans="1:33" x14ac:dyDescent="0.35">
      <c r="B30" s="5" t="s">
        <v>66</v>
      </c>
    </row>
    <row r="31" spans="1:33" x14ac:dyDescent="0.35">
      <c r="B31" s="5" t="s">
        <v>67</v>
      </c>
    </row>
    <row r="32" spans="1:33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workbookViewId="0">
      <selection activeCell="B8" sqref="B8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1" t="s">
        <v>14</v>
      </c>
      <c r="G4" s="1" t="s">
        <v>14</v>
      </c>
      <c r="H4" s="1" t="s">
        <v>14</v>
      </c>
      <c r="I4" s="1" t="s">
        <v>14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5" t="s">
        <v>14</v>
      </c>
      <c r="AB4" s="5" t="s">
        <v>14</v>
      </c>
      <c r="AC4" s="5" t="s">
        <v>14</v>
      </c>
      <c r="AD4" s="5" t="s">
        <v>14</v>
      </c>
      <c r="AE4" s="5" t="s">
        <v>14</v>
      </c>
      <c r="AF4" s="5" t="s">
        <v>15</v>
      </c>
      <c r="AG4" s="5" t="s">
        <v>15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7" t="s">
        <v>20</v>
      </c>
      <c r="G5" s="7" t="s">
        <v>20</v>
      </c>
      <c r="H5" s="7" t="s">
        <v>20</v>
      </c>
      <c r="I5" s="7" t="s">
        <v>20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H7"/>
    </row>
    <row r="8" spans="1:34" x14ac:dyDescent="0.35">
      <c r="A8" s="34" t="s">
        <v>12</v>
      </c>
      <c r="B8" s="33" t="s">
        <v>111</v>
      </c>
      <c r="C8" s="5" t="s">
        <v>14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1" t="s">
        <v>14</v>
      </c>
      <c r="AB8" s="1" t="s">
        <v>14</v>
      </c>
      <c r="AC8" s="1" t="s">
        <v>14</v>
      </c>
      <c r="AD8" s="1" t="s">
        <v>14</v>
      </c>
      <c r="AE8" s="1" t="s">
        <v>14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x14ac:dyDescent="0.3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130" t="s">
        <v>16</v>
      </c>
      <c r="G11" s="130" t="s">
        <v>16</v>
      </c>
      <c r="H11" s="130" t="s">
        <v>16</v>
      </c>
      <c r="I11" s="130" t="s">
        <v>16</v>
      </c>
      <c r="J11" s="130" t="s">
        <v>16</v>
      </c>
      <c r="K11" s="130" t="s">
        <v>17</v>
      </c>
      <c r="L11" s="130" t="s">
        <v>17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5" t="s">
        <v>14</v>
      </c>
      <c r="U11" s="5" t="s">
        <v>14</v>
      </c>
      <c r="V11" s="5" t="s">
        <v>14</v>
      </c>
      <c r="W11" s="5" t="s">
        <v>14</v>
      </c>
      <c r="X11" s="5" t="s">
        <v>14</v>
      </c>
      <c r="Y11" s="5" t="s">
        <v>15</v>
      </c>
      <c r="Z11" s="5" t="s">
        <v>15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/>
    </row>
    <row r="12" spans="1:34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25" t="s">
        <v>20</v>
      </c>
      <c r="G12" s="125" t="s">
        <v>20</v>
      </c>
      <c r="H12" s="125" t="s">
        <v>20</v>
      </c>
      <c r="I12" s="125" t="s">
        <v>20</v>
      </c>
      <c r="J12" s="125" t="s">
        <v>20</v>
      </c>
      <c r="K12" s="28" t="s">
        <v>7</v>
      </c>
      <c r="L12" s="28" t="s">
        <v>7</v>
      </c>
      <c r="M12" s="130" t="s">
        <v>16</v>
      </c>
      <c r="N12" s="130" t="s">
        <v>16</v>
      </c>
      <c r="O12" s="130" t="s">
        <v>16</v>
      </c>
      <c r="P12" s="130" t="s">
        <v>16</v>
      </c>
      <c r="Q12" s="130" t="s">
        <v>16</v>
      </c>
      <c r="R12" s="130" t="s">
        <v>17</v>
      </c>
      <c r="S12" s="130" t="s">
        <v>17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5" t="s">
        <v>14</v>
      </c>
      <c r="AB12" s="5" t="s">
        <v>14</v>
      </c>
      <c r="AC12" s="5" t="s">
        <v>14</v>
      </c>
      <c r="AD12" s="5" t="s">
        <v>14</v>
      </c>
      <c r="AE12" s="5" t="s">
        <v>14</v>
      </c>
      <c r="AF12" s="5" t="s">
        <v>15</v>
      </c>
      <c r="AG12" s="5" t="s">
        <v>15</v>
      </c>
      <c r="AH12"/>
    </row>
    <row r="13" spans="1:34" x14ac:dyDescent="0.35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 x14ac:dyDescent="0.35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 x14ac:dyDescent="0.35">
      <c r="A17" s="34" t="s">
        <v>12</v>
      </c>
      <c r="B17" s="33" t="s">
        <v>22</v>
      </c>
      <c r="C17" s="28" t="s">
        <v>7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28" t="s">
        <v>7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28" t="s">
        <v>7</v>
      </c>
      <c r="AF17" s="28" t="s">
        <v>7</v>
      </c>
      <c r="AG17" s="28" t="s">
        <v>7</v>
      </c>
      <c r="AH17"/>
    </row>
    <row r="18" spans="1:34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 x14ac:dyDescent="0.35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45" t="s">
        <v>85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58" t="s">
        <v>11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 x14ac:dyDescent="0.35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45" t="s">
        <v>54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45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 x14ac:dyDescent="0.35">
      <c r="A21" s="34" t="s">
        <v>28</v>
      </c>
      <c r="B21" s="62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 x14ac:dyDescent="0.35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7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7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 x14ac:dyDescent="0.35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 x14ac:dyDescent="0.35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 x14ac:dyDescent="0.35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3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 x14ac:dyDescent="0.35">
      <c r="B28" t="s">
        <v>65</v>
      </c>
    </row>
    <row r="29" spans="1:34" x14ac:dyDescent="0.35">
      <c r="B29" s="5" t="s">
        <v>66</v>
      </c>
    </row>
    <row r="30" spans="1:34" x14ac:dyDescent="0.35">
      <c r="B30" s="5" t="s">
        <v>67</v>
      </c>
    </row>
    <row r="31" spans="1:34" x14ac:dyDescent="0.35">
      <c r="B31" s="1" t="s">
        <v>68</v>
      </c>
    </row>
    <row r="32" spans="1:34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0"/>
  <sheetViews>
    <sheetView workbookViewId="0">
      <selection activeCell="M16" sqref="M16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4"/>
      <c r="C1" s="189" t="s">
        <v>112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3" x14ac:dyDescent="0.35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1" t="s">
        <v>14</v>
      </c>
      <c r="K4" s="1" t="s">
        <v>14</v>
      </c>
      <c r="L4" s="1" t="s">
        <v>14</v>
      </c>
      <c r="M4" s="1" t="s">
        <v>14</v>
      </c>
      <c r="N4" s="1" t="s">
        <v>14</v>
      </c>
      <c r="O4" s="5" t="s">
        <v>15</v>
      </c>
      <c r="P4" s="5" t="s">
        <v>15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7" t="s">
        <v>20</v>
      </c>
      <c r="AA4" s="7" t="s">
        <v>20</v>
      </c>
      <c r="AB4" s="7" t="s">
        <v>20</v>
      </c>
      <c r="AC4" s="28" t="s">
        <v>7</v>
      </c>
      <c r="AD4" s="28" t="s">
        <v>7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7" t="s">
        <v>20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28" t="s">
        <v>7</v>
      </c>
      <c r="P5" s="28" t="s">
        <v>7</v>
      </c>
      <c r="Q5" s="1" t="s">
        <v>14</v>
      </c>
      <c r="R5" s="1" t="s">
        <v>14</v>
      </c>
      <c r="S5" s="1" t="s">
        <v>14</v>
      </c>
      <c r="T5" s="1" t="s">
        <v>14</v>
      </c>
      <c r="U5" s="1" t="s">
        <v>14</v>
      </c>
      <c r="V5" s="5" t="s">
        <v>15</v>
      </c>
      <c r="W5" s="5" t="s">
        <v>15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/>
    </row>
    <row r="6" spans="1:33" x14ac:dyDescent="0.35">
      <c r="A6" s="34" t="s">
        <v>12</v>
      </c>
      <c r="B6" s="33" t="s">
        <v>59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7" t="s">
        <v>20</v>
      </c>
      <c r="K6" s="7" t="s">
        <v>20</v>
      </c>
      <c r="L6" s="7" t="s">
        <v>20</v>
      </c>
      <c r="M6" s="7" t="s">
        <v>20</v>
      </c>
      <c r="N6" s="7" t="s">
        <v>20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28" t="s">
        <v>7</v>
      </c>
      <c r="W6" s="28" t="s">
        <v>7</v>
      </c>
      <c r="X6" s="1" t="s">
        <v>14</v>
      </c>
      <c r="Y6" s="1" t="s">
        <v>14</v>
      </c>
      <c r="Z6" s="1" t="s">
        <v>14</v>
      </c>
      <c r="AA6" s="1" t="s">
        <v>14</v>
      </c>
      <c r="AB6" s="1" t="s">
        <v>14</v>
      </c>
      <c r="AC6" s="5" t="s">
        <v>15</v>
      </c>
      <c r="AD6" s="5" t="s">
        <v>15</v>
      </c>
      <c r="AE6" s="28" t="s">
        <v>7</v>
      </c>
      <c r="AF6" s="28" t="s">
        <v>7</v>
      </c>
      <c r="AG6"/>
    </row>
    <row r="7" spans="1:33" x14ac:dyDescent="0.35">
      <c r="A7" s="34" t="s">
        <v>12</v>
      </c>
      <c r="B7" s="33" t="s">
        <v>111</v>
      </c>
      <c r="C7" s="1" t="s">
        <v>14</v>
      </c>
      <c r="D7" s="1" t="s">
        <v>14</v>
      </c>
      <c r="E7" s="1" t="s">
        <v>14</v>
      </c>
      <c r="F7" s="1" t="s">
        <v>14</v>
      </c>
      <c r="G7" s="1" t="s">
        <v>14</v>
      </c>
      <c r="H7" s="5" t="s">
        <v>15</v>
      </c>
      <c r="I7" s="5" t="s">
        <v>15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7" t="s">
        <v>20</v>
      </c>
      <c r="R7" s="7" t="s">
        <v>20</v>
      </c>
      <c r="S7" s="7" t="s">
        <v>20</v>
      </c>
      <c r="T7" s="7" t="s">
        <v>20</v>
      </c>
      <c r="U7" s="7" t="s">
        <v>20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28" t="s">
        <v>7</v>
      </c>
      <c r="AD7" s="28" t="s">
        <v>7</v>
      </c>
      <c r="AE7" s="1" t="s">
        <v>14</v>
      </c>
      <c r="AF7" s="1" t="s">
        <v>14</v>
      </c>
      <c r="AG7"/>
    </row>
    <row r="9" spans="1:33" x14ac:dyDescent="0.35">
      <c r="AG9"/>
    </row>
    <row r="10" spans="1:33" x14ac:dyDescent="0.35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3" x14ac:dyDescent="0.35">
      <c r="A11" s="34" t="s">
        <v>12</v>
      </c>
      <c r="B11" s="33" t="s">
        <v>53</v>
      </c>
      <c r="C11" s="125" t="s">
        <v>20</v>
      </c>
      <c r="D11" s="125" t="s">
        <v>20</v>
      </c>
      <c r="E11" s="125" t="s">
        <v>20</v>
      </c>
      <c r="F11" s="125" t="s">
        <v>20</v>
      </c>
      <c r="G11" s="125" t="s">
        <v>20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3" x14ac:dyDescent="0.35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3" x14ac:dyDescent="0.35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3" x14ac:dyDescent="0.35">
      <c r="AG15"/>
    </row>
    <row r="16" spans="1:33" x14ac:dyDescent="0.35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 x14ac:dyDescent="0.35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 x14ac:dyDescent="0.35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 x14ac:dyDescent="0.35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11</v>
      </c>
      <c r="M20" s="158" t="s">
        <v>11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 x14ac:dyDescent="0.35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 x14ac:dyDescent="0.35">
      <c r="H22" t="s">
        <v>114</v>
      </c>
      <c r="AG22"/>
    </row>
    <row r="23" spans="1:33" x14ac:dyDescent="0.35">
      <c r="B23" s="111" t="s">
        <v>89</v>
      </c>
      <c r="C23" s="110">
        <f t="shared" ref="C23:AF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7</v>
      </c>
      <c r="G23" s="110">
        <f t="shared" si="0"/>
        <v>7</v>
      </c>
      <c r="H23" s="110">
        <f t="shared" si="0"/>
        <v>4</v>
      </c>
      <c r="I23" s="110">
        <f t="shared" si="0"/>
        <v>4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7</v>
      </c>
      <c r="N23" s="110">
        <f t="shared" si="0"/>
        <v>7</v>
      </c>
      <c r="O23" s="110">
        <f t="shared" si="0"/>
        <v>4</v>
      </c>
      <c r="P23" s="110">
        <f t="shared" si="0"/>
        <v>4</v>
      </c>
      <c r="Q23" s="110">
        <f t="shared" si="0"/>
        <v>7</v>
      </c>
      <c r="R23" s="110">
        <f t="shared" si="0"/>
        <v>7</v>
      </c>
      <c r="S23" s="110">
        <f t="shared" si="0"/>
        <v>7</v>
      </c>
      <c r="T23" s="110">
        <f t="shared" si="0"/>
        <v>7</v>
      </c>
      <c r="U23" s="110">
        <f t="shared" si="0"/>
        <v>6</v>
      </c>
      <c r="V23" s="110">
        <f t="shared" si="0"/>
        <v>4</v>
      </c>
      <c r="W23" s="110">
        <f t="shared" si="0"/>
        <v>4</v>
      </c>
      <c r="X23" s="110">
        <f t="shared" si="0"/>
        <v>7</v>
      </c>
      <c r="Y23" s="110">
        <f t="shared" si="0"/>
        <v>7</v>
      </c>
      <c r="Z23" s="110">
        <f t="shared" si="0"/>
        <v>7</v>
      </c>
      <c r="AA23" s="110">
        <f t="shared" si="0"/>
        <v>7</v>
      </c>
      <c r="AB23" s="110">
        <f t="shared" si="0"/>
        <v>7</v>
      </c>
      <c r="AC23" s="110">
        <f t="shared" si="0"/>
        <v>4</v>
      </c>
      <c r="AD23" s="110">
        <f t="shared" si="0"/>
        <v>4</v>
      </c>
      <c r="AE23" s="110">
        <f t="shared" si="0"/>
        <v>7</v>
      </c>
      <c r="AF23" s="110">
        <f t="shared" si="0"/>
        <v>7</v>
      </c>
    </row>
    <row r="24" spans="1:33" x14ac:dyDescent="0.35">
      <c r="B24" s="111" t="s">
        <v>90</v>
      </c>
      <c r="C24" s="112">
        <f t="shared" ref="C24:AF24" si="1">COUNTIF(C4:C21,"T")</f>
        <v>2</v>
      </c>
      <c r="D24" s="112">
        <f t="shared" si="1"/>
        <v>2</v>
      </c>
      <c r="E24" s="112">
        <f t="shared" si="1"/>
        <v>2</v>
      </c>
      <c r="F24" s="112">
        <f t="shared" si="1"/>
        <v>2</v>
      </c>
      <c r="G24" s="112">
        <f t="shared" si="1"/>
        <v>2</v>
      </c>
      <c r="H24" s="112">
        <f t="shared" si="1"/>
        <v>0</v>
      </c>
      <c r="I24" s="112">
        <f t="shared" si="1"/>
        <v>0</v>
      </c>
      <c r="J24" s="112">
        <f t="shared" si="1"/>
        <v>2</v>
      </c>
      <c r="K24" s="112">
        <f t="shared" si="1"/>
        <v>2</v>
      </c>
      <c r="L24" s="112">
        <f t="shared" si="1"/>
        <v>2</v>
      </c>
      <c r="M24" s="112">
        <f t="shared" si="1"/>
        <v>2</v>
      </c>
      <c r="N24" s="112">
        <f t="shared" si="1"/>
        <v>2</v>
      </c>
      <c r="O24" s="112">
        <f t="shared" si="1"/>
        <v>0</v>
      </c>
      <c r="P24" s="112">
        <f t="shared" si="1"/>
        <v>0</v>
      </c>
      <c r="Q24" s="112">
        <f t="shared" si="1"/>
        <v>2</v>
      </c>
      <c r="R24" s="112">
        <f t="shared" si="1"/>
        <v>2</v>
      </c>
      <c r="S24" s="112">
        <f t="shared" si="1"/>
        <v>2</v>
      </c>
      <c r="T24" s="112">
        <f t="shared" si="1"/>
        <v>2</v>
      </c>
      <c r="U24" s="112">
        <f t="shared" si="1"/>
        <v>2</v>
      </c>
      <c r="V24" s="112">
        <f t="shared" si="1"/>
        <v>0</v>
      </c>
      <c r="W24" s="112">
        <f t="shared" si="1"/>
        <v>0</v>
      </c>
      <c r="X24" s="112">
        <f t="shared" si="1"/>
        <v>2</v>
      </c>
      <c r="Y24" s="112">
        <f t="shared" si="1"/>
        <v>2</v>
      </c>
      <c r="Z24" s="112">
        <f t="shared" si="1"/>
        <v>2</v>
      </c>
      <c r="AA24" s="112">
        <f t="shared" si="1"/>
        <v>2</v>
      </c>
      <c r="AB24" s="112">
        <f t="shared" si="1"/>
        <v>2</v>
      </c>
      <c r="AC24" s="112">
        <f t="shared" si="1"/>
        <v>0</v>
      </c>
      <c r="AD24" s="112">
        <f t="shared" si="1"/>
        <v>0</v>
      </c>
      <c r="AE24" s="112">
        <f t="shared" si="1"/>
        <v>2</v>
      </c>
      <c r="AF24" s="112">
        <f t="shared" si="1"/>
        <v>2</v>
      </c>
    </row>
    <row r="25" spans="1:33" x14ac:dyDescent="0.35">
      <c r="B25" s="111" t="s">
        <v>91</v>
      </c>
      <c r="C25" s="112">
        <f t="shared" ref="C25:AF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</row>
    <row r="26" spans="1:33" x14ac:dyDescent="0.35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3</v>
      </c>
      <c r="E26" s="112">
        <f>COUNTIF(E4:E21,"M1")+COUNTIF(E4:E21,"NF")</f>
        <v>1</v>
      </c>
      <c r="F26" s="112">
        <f t="shared" ref="F26:AF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2</v>
      </c>
      <c r="I26" s="112">
        <f t="shared" si="3"/>
        <v>2</v>
      </c>
      <c r="J26" s="112">
        <f t="shared" si="3"/>
        <v>3</v>
      </c>
      <c r="K26" s="112">
        <f t="shared" si="3"/>
        <v>3</v>
      </c>
      <c r="L26" s="112">
        <f t="shared" si="3"/>
        <v>3</v>
      </c>
      <c r="M26" s="112">
        <f t="shared" si="3"/>
        <v>3</v>
      </c>
      <c r="N26" s="112">
        <f t="shared" si="3"/>
        <v>3</v>
      </c>
      <c r="O26" s="112">
        <f t="shared" si="3"/>
        <v>2</v>
      </c>
      <c r="P26" s="112">
        <f t="shared" si="3"/>
        <v>2</v>
      </c>
      <c r="Q26" s="112">
        <f t="shared" si="3"/>
        <v>3</v>
      </c>
      <c r="R26" s="112">
        <f t="shared" si="3"/>
        <v>3</v>
      </c>
      <c r="S26" s="112">
        <f t="shared" si="3"/>
        <v>3</v>
      </c>
      <c r="T26" s="112">
        <f t="shared" si="3"/>
        <v>3</v>
      </c>
      <c r="U26" s="112">
        <f t="shared" si="3"/>
        <v>2</v>
      </c>
      <c r="V26" s="112">
        <f t="shared" si="3"/>
        <v>2</v>
      </c>
      <c r="W26" s="112">
        <f t="shared" si="3"/>
        <v>2</v>
      </c>
      <c r="X26" s="112">
        <f t="shared" si="3"/>
        <v>3</v>
      </c>
      <c r="Y26" s="112">
        <f t="shared" si="3"/>
        <v>3</v>
      </c>
      <c r="Z26" s="112">
        <f t="shared" si="3"/>
        <v>3</v>
      </c>
      <c r="AA26" s="112">
        <f t="shared" si="3"/>
        <v>3</v>
      </c>
      <c r="AB26" s="112">
        <f t="shared" si="3"/>
        <v>3</v>
      </c>
      <c r="AC26" s="112">
        <f t="shared" si="3"/>
        <v>2</v>
      </c>
      <c r="AD26" s="112">
        <f t="shared" si="3"/>
        <v>2</v>
      </c>
      <c r="AE26" s="112">
        <f t="shared" si="3"/>
        <v>3</v>
      </c>
      <c r="AF26" s="112">
        <f t="shared" si="3"/>
        <v>3</v>
      </c>
    </row>
    <row r="28" spans="1:33" x14ac:dyDescent="0.35">
      <c r="B28" t="s">
        <v>65</v>
      </c>
    </row>
    <row r="29" spans="1:33" x14ac:dyDescent="0.35">
      <c r="B29" s="5" t="s">
        <v>66</v>
      </c>
    </row>
    <row r="30" spans="1:33" x14ac:dyDescent="0.35">
      <c r="B30" s="5" t="s">
        <v>67</v>
      </c>
    </row>
    <row r="31" spans="1:33" x14ac:dyDescent="0.35">
      <c r="B31" s="1" t="s">
        <v>68</v>
      </c>
    </row>
    <row r="32" spans="1:33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F1"/>
  </mergeCells>
  <conditionalFormatting sqref="C24:AF26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topLeftCell="A6" workbookViewId="0">
      <selection activeCell="U26" sqref="U26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6" ht="24" customHeight="1" x14ac:dyDescent="0.35">
      <c r="A1" s="6"/>
      <c r="B1" s="174"/>
      <c r="C1" s="189" t="s">
        <v>115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6" x14ac:dyDescent="0.35">
      <c r="A2" s="6"/>
      <c r="B2" s="174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x14ac:dyDescent="0.3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 x14ac:dyDescent="0.35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x14ac:dyDescent="0.3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30</v>
      </c>
      <c r="U16" s="28" t="s">
        <v>30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62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116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9.54296875" style="91" customWidth="1"/>
  </cols>
  <sheetData>
    <row r="1" spans="1:33" ht="24" customHeight="1" x14ac:dyDescent="0.35">
      <c r="A1" s="6"/>
      <c r="B1" s="174"/>
      <c r="C1" s="189" t="s">
        <v>117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/>
    </row>
    <row r="2" spans="1:33" x14ac:dyDescent="0.35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24" customHeight="1" x14ac:dyDescent="0.35">
      <c r="A1" s="6"/>
      <c r="B1" s="174"/>
      <c r="C1" s="189" t="s">
        <v>119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3" x14ac:dyDescent="0.35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120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5429687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54296875" customWidth="1"/>
    <col min="63" max="63" width="5" customWidth="1"/>
    <col min="64" max="64" width="4.1796875" customWidth="1"/>
  </cols>
  <sheetData>
    <row r="2" spans="4:64" x14ac:dyDescent="0.35">
      <c r="G2" s="101" t="s">
        <v>121</v>
      </c>
      <c r="I2" s="102">
        <f>1800*10</f>
        <v>18000</v>
      </c>
    </row>
    <row r="3" spans="4:64" x14ac:dyDescent="0.35">
      <c r="G3" s="101" t="s">
        <v>122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 x14ac:dyDescent="0.35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192</v>
      </c>
      <c r="H23">
        <f>AVERAGE(H10:H20)</f>
        <v>849.6</v>
      </c>
    </row>
    <row r="27" spans="7:64" x14ac:dyDescent="0.35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 x14ac:dyDescent="0.35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191</v>
      </c>
      <c r="H40">
        <f>SUM(H28:H38)</f>
        <v>17424</v>
      </c>
    </row>
    <row r="41" spans="7:64" x14ac:dyDescent="0.35">
      <c r="G41" s="101" t="s">
        <v>192</v>
      </c>
      <c r="H41">
        <f>AVERAGE(H28:H38)</f>
        <v>1742.4</v>
      </c>
      <c r="K41" s="104" t="s">
        <v>193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  <row r="84" spans="7:64" x14ac:dyDescent="0.35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 x14ac:dyDescent="0.35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 x14ac:dyDescent="0.35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 x14ac:dyDescent="0.35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 x14ac:dyDescent="0.35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 x14ac:dyDescent="0.35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 x14ac:dyDescent="0.35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 x14ac:dyDescent="0.35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 x14ac:dyDescent="0.35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 x14ac:dyDescent="0.35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 x14ac:dyDescent="0.35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 x14ac:dyDescent="0.35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 x14ac:dyDescent="0.35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 x14ac:dyDescent="0.35">
      <c r="G98" s="101" t="s">
        <v>191</v>
      </c>
      <c r="H98">
        <f>SUM(H85:H96)</f>
        <v>6880</v>
      </c>
    </row>
    <row r="99" spans="7:11" x14ac:dyDescent="0.35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baseColWidth="10" defaultColWidth="8.7265625" defaultRowHeight="14.5" x14ac:dyDescent="0.35"/>
  <cols>
    <col min="4" max="4" width="9.1796875" bestFit="1" customWidth="1"/>
  </cols>
  <sheetData>
    <row r="2" spans="4:61" x14ac:dyDescent="0.35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 x14ac:dyDescent="0.35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 x14ac:dyDescent="0.35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 x14ac:dyDescent="0.35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 x14ac:dyDescent="0.35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 x14ac:dyDescent="0.35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 x14ac:dyDescent="0.35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 x14ac:dyDescent="0.35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 x14ac:dyDescent="0.35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 x14ac:dyDescent="0.35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 x14ac:dyDescent="0.35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 x14ac:dyDescent="0.35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 x14ac:dyDescent="0.35">
      <c r="D15" s="101" t="s">
        <v>191</v>
      </c>
      <c r="E15">
        <f>SUM(E3:E13)</f>
        <v>17424</v>
      </c>
    </row>
    <row r="16" spans="4:61" x14ac:dyDescent="0.35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2026-04-13T06:05:38Z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