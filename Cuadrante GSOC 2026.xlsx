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744" documentId="8_{BF395F17-8A36-4A5B-A61D-48748E8233D4}" xr6:coauthVersionLast="47" xr6:coauthVersionMax="47" xr10:uidLastSave="{5FE0F1E6-6A5D-42F5-9149-5D93C420B4B2}"/>
  <bookViews>
    <workbookView xWindow="-110" yWindow="-110" windowWidth="19200" windowHeight="9020" firstSheet="11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Y25" i="32" s="1"/>
  <c r="X26" i="32"/>
  <c r="X25" i="32" s="1"/>
  <c r="W26" i="32"/>
  <c r="W25" i="32" s="1"/>
  <c r="V26" i="32"/>
  <c r="V25" i="32" s="1"/>
  <c r="U26" i="32"/>
  <c r="U25" i="32" s="1"/>
  <c r="T26" i="32"/>
  <c r="T25" i="32" s="1"/>
  <c r="S26" i="32"/>
  <c r="R26" i="32"/>
  <c r="Q26" i="32"/>
  <c r="P26" i="32"/>
  <c r="O26" i="32"/>
  <c r="N26" i="32"/>
  <c r="M26" i="32"/>
  <c r="M25" i="32" s="1"/>
  <c r="L26" i="32"/>
  <c r="L25" i="32" s="1"/>
  <c r="K26" i="32"/>
  <c r="K25" i="32" s="1"/>
  <c r="J26" i="32"/>
  <c r="J25" i="32" s="1"/>
  <c r="I26" i="32"/>
  <c r="I25" i="32" s="1"/>
  <c r="H26" i="32"/>
  <c r="H25" i="32" s="1"/>
  <c r="G26" i="32"/>
  <c r="F26" i="32"/>
  <c r="E26" i="32"/>
  <c r="D26" i="32"/>
  <c r="C26" i="32"/>
  <c r="AD25" i="32"/>
  <c r="AC25" i="32"/>
  <c r="Z25" i="32"/>
  <c r="R25" i="32"/>
  <c r="O25" i="32"/>
  <c r="N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5" i="31" l="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5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5" i="23"/>
  <c r="M25" i="23"/>
  <c r="AE25" i="23"/>
  <c r="R25" i="23"/>
  <c r="K25" i="23"/>
  <c r="W25" i="23"/>
  <c r="J25" i="23"/>
  <c r="AG25" i="23"/>
  <c r="U25" i="23"/>
  <c r="I25" i="23"/>
  <c r="S25" i="23"/>
  <c r="V25" i="23"/>
  <c r="AD25" i="23"/>
  <c r="Z25" i="23"/>
  <c r="N25" i="23"/>
  <c r="Y25" i="23"/>
  <c r="E25" i="23"/>
  <c r="D25" i="23"/>
  <c r="G25" i="23"/>
  <c r="C25" i="23"/>
  <c r="F25" i="23"/>
  <c r="O25" i="23"/>
  <c r="AC25" i="23"/>
  <c r="AB25" i="23"/>
  <c r="P25" i="23"/>
  <c r="AA25" i="23"/>
  <c r="Q25" i="23"/>
  <c r="AF25" i="23"/>
  <c r="T25" i="23"/>
  <c r="H25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</authors>
  <commentList>
    <comment ref="E21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</commentList>
</comments>
</file>

<file path=xl/sharedStrings.xml><?xml version="1.0" encoding="utf-8"?>
<sst xmlns="http://schemas.openxmlformats.org/spreadsheetml/2006/main" count="11598" uniqueCount="196">
  <si>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</si>
  <si>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</si>
  <si>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</si>
  <si>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</si>
  <si>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</si>
  <si>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</si>
  <si>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</si>
  <si>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</si>
  <si>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</si>
  <si>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</si>
  <si>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</si>
  <si>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</si>
  <si>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</si>
  <si>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</si>
  <si>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</si>
  <si>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</si>
  <si>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</si>
  <si>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</si>
  <si>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</si>
  <si>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</si>
  <si>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</si>
  <si>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</si>
  <si>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</si>
  <si>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</si>
  <si>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</si>
  <si>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</si>
  <si>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</si>
  <si>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</si>
  <si>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</si>
  <si>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</si>
  <si>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</si>
  <si>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</si>
  <si>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</si>
  <si>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</si>
  <si>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</si>
  <si>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</si>
  <si>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</si>
  <si>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</si>
  <si>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</si>
  <si>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</si>
  <si>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</si>
  <si>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</si>
  <si>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</si>
  <si>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</si>
  <si>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</si>
  <si>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</si>
  <si>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</si>
  <si>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</si>
  <si>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</si>
  <si>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</si>
  <si>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</si>
  <si>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</si>
  <si>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</si>
  <si>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</si>
  <si>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</si>
  <si>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</si>
  <si>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</si>
  <si>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</si>
  <si>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</si>
  <si>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</si>
  <si>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</si>
  <si>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</si>
  <si>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</si>
  <si>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</si>
  <si>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</si>
  <si>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</si>
  <si>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</si>
  <si>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</si>
  <si>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</si>
  <si>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</si>
  <si>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</si>
  <si>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</si>
  <si>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</si>
  <si>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</si>
  <si>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</si>
  <si>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</si>
  <si>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</si>
  <si>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</si>
  <si>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</si>
  <si>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</si>
  <si>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</si>
  <si>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</si>
  <si>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</si>
  <si>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</si>
  <si>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</si>
  <si>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</si>
  <si>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</si>
  <si>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</si>
  <si>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</si>
  <si>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</si>
  <si>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</si>
  <si>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</si>
  <si>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</si>
  <si>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</si>
  <si>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</si>
  <si>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</si>
  <si>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</si>
  <si>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</si>
  <si>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</si>
  <si>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</si>
  <si>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</si>
  <si>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</si>
  <si>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</si>
  <si>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</si>
  <si>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</si>
  <si>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</si>
  <si>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</si>
  <si>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</si>
  <si>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</si>
  <si>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p,</t>
  </si>
  <si>
    <t>Hector  Contreras</t>
  </si>
  <si>
    <t>Mayo</t>
  </si>
  <si>
    <t>Edgar Rendon Soto</t>
  </si>
  <si>
    <t>Junio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</si>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</sst>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4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0"/>
      <c r="E2" s="176" t="s">
        <v>0</v>
      </c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8"/>
    </row>
    <row r="3" spans="1:36" ht="18" customHeight="1">
      <c r="B3" s="32"/>
      <c r="D3" s="17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0"/>
      <c r="C11" s="34"/>
      <c r="D11" s="36"/>
      <c r="E11" s="185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7"/>
      <c r="AJ11" s="91"/>
    </row>
    <row r="12" spans="1:36" ht="18" customHeight="1">
      <c r="A12" s="18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0"/>
      <c r="C17" s="34"/>
      <c r="D17" s="33"/>
      <c r="E17" s="185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7"/>
    </row>
    <row r="18" spans="1:36" ht="18" customHeight="1">
      <c r="A18" s="18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0"/>
      <c r="C23" s="34"/>
      <c r="D23" s="35"/>
      <c r="E23" s="182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4"/>
    </row>
    <row r="24" spans="1:36" ht="18" customHeight="1">
      <c r="A24" s="18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3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4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4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4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4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5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0"/>
      <c r="E2" s="176" t="s">
        <v>49</v>
      </c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8"/>
    </row>
    <row r="3" spans="1:36">
      <c r="A3" s="6"/>
      <c r="B3" s="32"/>
      <c r="C3" s="6"/>
      <c r="D3" s="17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0"/>
      <c r="B10" s="6"/>
      <c r="C10" s="34"/>
      <c r="D10" s="36"/>
      <c r="E10" s="185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  <c r="AA10" s="186"/>
      <c r="AB10" s="186"/>
      <c r="AC10" s="186"/>
      <c r="AD10" s="186"/>
      <c r="AE10" s="186"/>
      <c r="AF10" s="186"/>
      <c r="AG10" s="186"/>
      <c r="AH10" s="186"/>
      <c r="AI10" s="187"/>
    </row>
    <row r="11" spans="1:36">
      <c r="A11" s="18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0"/>
      <c r="B18" s="6"/>
      <c r="C18" s="34"/>
      <c r="D18" s="33"/>
      <c r="E18" s="185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7"/>
    </row>
    <row r="19" spans="1:35">
      <c r="A19" s="18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0"/>
      <c r="B24" s="6"/>
      <c r="C24" s="34"/>
      <c r="E24" s="182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4"/>
    </row>
    <row r="25" spans="1:35" ht="15" thickBot="1">
      <c r="A25" s="18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3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4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4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4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4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5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0"/>
      <c r="C1" s="176" t="s">
        <v>57</v>
      </c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</row>
    <row r="2" spans="1:33">
      <c r="A2" s="6"/>
      <c r="B2" s="17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6"/>
      <c r="D21" s="18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  <c r="AA21" s="186"/>
      <c r="AB21" s="186"/>
      <c r="AC21" s="186"/>
      <c r="AD21" s="186"/>
      <c r="AE21" s="186"/>
      <c r="AF21" s="186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0"/>
      <c r="C1" s="188" t="s">
        <v>78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0"/>
    </row>
    <row r="2" spans="1:34">
      <c r="A2" s="6"/>
      <c r="B2" s="17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0"/>
      <c r="C1" s="191" t="s">
        <v>81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 spans="1:34">
      <c r="A2" s="6"/>
      <c r="B2" s="17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0"/>
      <c r="C1" s="191" t="s">
        <v>95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7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0"/>
      <c r="C1" s="191" t="s">
        <v>97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</row>
    <row r="2" spans="1:34">
      <c r="A2" s="6"/>
      <c r="B2" s="17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0"/>
      <c r="C1" s="192" t="s">
        <v>98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</row>
    <row r="2" spans="1:34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AJ11" sqref="AJ11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0"/>
      <c r="C1" s="171" t="s">
        <v>104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4">
      <c r="A2" s="6"/>
      <c r="B2" s="170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70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0"/>
      <c r="C1" s="171" t="s">
        <v>108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>
      <c r="A2" s="6"/>
      <c r="B2" s="170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109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110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I19" sqref="AI19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0"/>
      <c r="C1" s="171" t="s">
        <v>111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4">
      <c r="A2" s="6"/>
      <c r="B2" s="170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 ht="15">
      <c r="A8" s="34" t="s">
        <v>12</v>
      </c>
      <c r="B8" s="33" t="s">
        <v>46</v>
      </c>
      <c r="C8" s="167" t="s">
        <v>83</v>
      </c>
      <c r="D8" s="144" t="s">
        <v>7</v>
      </c>
      <c r="E8" s="144" t="s">
        <v>7</v>
      </c>
      <c r="F8" s="167" t="s">
        <v>83</v>
      </c>
      <c r="G8" s="167" t="s">
        <v>83</v>
      </c>
      <c r="H8" s="167" t="s">
        <v>83</v>
      </c>
      <c r="I8" s="167" t="s">
        <v>83</v>
      </c>
      <c r="J8" s="167" t="s">
        <v>83</v>
      </c>
      <c r="K8" s="144" t="s">
        <v>7</v>
      </c>
      <c r="L8" s="144" t="s">
        <v>7</v>
      </c>
      <c r="M8" s="167" t="s">
        <v>83</v>
      </c>
      <c r="N8" s="167" t="s">
        <v>83</v>
      </c>
      <c r="O8" s="167" t="s">
        <v>83</v>
      </c>
      <c r="P8" s="167" t="s">
        <v>83</v>
      </c>
      <c r="Q8" s="167" t="s">
        <v>83</v>
      </c>
      <c r="R8" s="144" t="s">
        <v>7</v>
      </c>
      <c r="S8" s="144" t="s">
        <v>7</v>
      </c>
      <c r="T8" s="167" t="s">
        <v>83</v>
      </c>
      <c r="U8" s="167" t="s">
        <v>83</v>
      </c>
      <c r="V8" s="167" t="s">
        <v>83</v>
      </c>
      <c r="W8" s="167" t="s">
        <v>83</v>
      </c>
      <c r="X8" s="167" t="s">
        <v>83</v>
      </c>
      <c r="Y8" s="144" t="s">
        <v>7</v>
      </c>
      <c r="Z8" s="144" t="s">
        <v>7</v>
      </c>
      <c r="AA8" s="167" t="s">
        <v>83</v>
      </c>
      <c r="AB8" s="167" t="s">
        <v>83</v>
      </c>
      <c r="AC8" s="167" t="s">
        <v>83</v>
      </c>
      <c r="AD8" s="167" t="s">
        <v>83</v>
      </c>
      <c r="AE8" s="167" t="s">
        <v>83</v>
      </c>
      <c r="AF8" s="168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 ht="1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9" t="s">
        <v>83</v>
      </c>
      <c r="AE10" s="167" t="s">
        <v>83</v>
      </c>
      <c r="AF10" s="16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30" t="s">
        <v>16</v>
      </c>
      <c r="AD18" s="130" t="s">
        <v>16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 ht="15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7" t="s">
        <v>33</v>
      </c>
      <c r="G21" s="145" t="s">
        <v>85</v>
      </c>
      <c r="H21" s="145" t="s">
        <v>85</v>
      </c>
      <c r="I21" s="145" t="s">
        <v>85</v>
      </c>
      <c r="J21" s="145" t="s">
        <v>85</v>
      </c>
      <c r="K21" s="28" t="s">
        <v>30</v>
      </c>
      <c r="L21" s="28" t="s">
        <v>30</v>
      </c>
      <c r="M21" s="158" t="s">
        <v>11</v>
      </c>
      <c r="N21" s="158" t="s">
        <v>11</v>
      </c>
      <c r="O21" s="158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5" t="s">
        <v>54</v>
      </c>
      <c r="U21" s="145" t="s">
        <v>54</v>
      </c>
      <c r="V21" s="145" t="s">
        <v>54</v>
      </c>
      <c r="W21" s="145" t="s">
        <v>54</v>
      </c>
      <c r="X21" s="145" t="s">
        <v>54</v>
      </c>
      <c r="Y21" s="28" t="s">
        <v>7</v>
      </c>
      <c r="Z21" s="28" t="s">
        <v>7</v>
      </c>
      <c r="AA21" s="145" t="s">
        <v>85</v>
      </c>
      <c r="AB21" s="145" t="s">
        <v>85</v>
      </c>
      <c r="AC21" s="145" t="s">
        <v>85</v>
      </c>
      <c r="AD21" s="145" t="s">
        <v>85</v>
      </c>
      <c r="AE21" s="145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5" t="s">
        <v>54</v>
      </c>
      <c r="H22" s="145" t="s">
        <v>54</v>
      </c>
      <c r="I22" s="145" t="s">
        <v>54</v>
      </c>
      <c r="J22" s="145" t="s">
        <v>54</v>
      </c>
      <c r="K22" s="28" t="s">
        <v>7</v>
      </c>
      <c r="L22" s="28" t="s">
        <v>7</v>
      </c>
      <c r="M22" s="145" t="s">
        <v>85</v>
      </c>
      <c r="N22" s="145" t="s">
        <v>85</v>
      </c>
      <c r="O22" s="145" t="s">
        <v>85</v>
      </c>
      <c r="P22" s="158" t="s">
        <v>85</v>
      </c>
      <c r="Q22" s="28" t="s">
        <v>30</v>
      </c>
      <c r="R22" s="28" t="s">
        <v>30</v>
      </c>
      <c r="S22" s="28" t="s">
        <v>30</v>
      </c>
      <c r="T22" s="158" t="s">
        <v>11</v>
      </c>
      <c r="U22" s="158" t="s">
        <v>11</v>
      </c>
      <c r="V22" s="158" t="s">
        <v>11</v>
      </c>
      <c r="W22" s="158" t="s">
        <v>11</v>
      </c>
      <c r="X22" s="158" t="s">
        <v>11</v>
      </c>
      <c r="Y22" s="28" t="s">
        <v>7</v>
      </c>
      <c r="Z22" s="28" t="s">
        <v>7</v>
      </c>
      <c r="AA22" s="145" t="s">
        <v>54</v>
      </c>
      <c r="AB22" s="145" t="s">
        <v>54</v>
      </c>
      <c r="AC22" s="145" t="s">
        <v>54</v>
      </c>
      <c r="AD22" s="145" t="s">
        <v>54</v>
      </c>
      <c r="AE22" s="145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8" t="s">
        <v>11</v>
      </c>
      <c r="G23" s="158" t="s">
        <v>11</v>
      </c>
      <c r="H23" s="158" t="s">
        <v>11</v>
      </c>
      <c r="I23" s="158" t="s">
        <v>11</v>
      </c>
      <c r="J23" s="158" t="s">
        <v>11</v>
      </c>
      <c r="K23" s="28" t="s">
        <v>7</v>
      </c>
      <c r="L23" s="28" t="s">
        <v>7</v>
      </c>
      <c r="M23" s="145" t="s">
        <v>54</v>
      </c>
      <c r="N23" s="145" t="s">
        <v>54</v>
      </c>
      <c r="O23" s="145" t="s">
        <v>54</v>
      </c>
      <c r="P23" s="145" t="s">
        <v>54</v>
      </c>
      <c r="Q23" s="28" t="s">
        <v>7</v>
      </c>
      <c r="R23" s="28" t="s">
        <v>7</v>
      </c>
      <c r="S23" s="28" t="s">
        <v>7</v>
      </c>
      <c r="T23" s="145" t="s">
        <v>85</v>
      </c>
      <c r="U23" s="145" t="s">
        <v>85</v>
      </c>
      <c r="V23" s="145" t="s">
        <v>85</v>
      </c>
      <c r="W23" s="145" t="s">
        <v>85</v>
      </c>
      <c r="X23" s="145" t="s">
        <v>85</v>
      </c>
      <c r="Y23" s="28" t="s">
        <v>30</v>
      </c>
      <c r="Z23" s="28" t="s">
        <v>30</v>
      </c>
      <c r="AA23" s="158" t="s">
        <v>11</v>
      </c>
      <c r="AB23" s="158" t="s">
        <v>11</v>
      </c>
      <c r="AC23" s="158" t="s">
        <v>11</v>
      </c>
      <c r="AD23" s="158" t="s">
        <v>11</v>
      </c>
      <c r="AE23" s="158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3"/>
  <sheetViews>
    <sheetView tabSelected="1" workbookViewId="0">
      <selection activeCell="C8" sqref="C8:G8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0"/>
      <c r="C1" s="171" t="s">
        <v>113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ht="15">
      <c r="AG7"/>
    </row>
    <row r="8" spans="1:33" ht="15">
      <c r="A8" s="34" t="s">
        <v>12</v>
      </c>
      <c r="B8" s="33" t="s">
        <v>46</v>
      </c>
      <c r="C8" s="167" t="s">
        <v>83</v>
      </c>
      <c r="D8" s="167" t="s">
        <v>83</v>
      </c>
      <c r="E8" s="167" t="s">
        <v>83</v>
      </c>
      <c r="F8" s="167" t="s">
        <v>83</v>
      </c>
      <c r="G8" s="167" t="s">
        <v>83</v>
      </c>
      <c r="H8" s="168" t="s">
        <v>7</v>
      </c>
      <c r="I8" s="193" t="s">
        <v>7</v>
      </c>
      <c r="J8" s="167" t="s">
        <v>83</v>
      </c>
      <c r="K8" s="167" t="s">
        <v>83</v>
      </c>
      <c r="L8" s="167" t="s">
        <v>83</v>
      </c>
      <c r="M8" s="167" t="s">
        <v>83</v>
      </c>
      <c r="N8" s="167" t="s">
        <v>83</v>
      </c>
      <c r="O8" s="168" t="s">
        <v>7</v>
      </c>
      <c r="P8" s="193" t="s">
        <v>7</v>
      </c>
      <c r="Q8" s="167" t="s">
        <v>83</v>
      </c>
      <c r="R8" s="167" t="s">
        <v>83</v>
      </c>
      <c r="S8" s="167" t="s">
        <v>83</v>
      </c>
      <c r="T8" s="167" t="s">
        <v>83</v>
      </c>
      <c r="U8" s="167" t="s">
        <v>83</v>
      </c>
      <c r="V8" s="168" t="s">
        <v>7</v>
      </c>
      <c r="W8" s="193" t="s">
        <v>7</v>
      </c>
      <c r="X8" s="167" t="s">
        <v>83</v>
      </c>
      <c r="Y8" s="167" t="s">
        <v>83</v>
      </c>
      <c r="Z8" s="167" t="s">
        <v>83</v>
      </c>
      <c r="AA8" s="167" t="s">
        <v>83</v>
      </c>
      <c r="AB8" s="167" t="s">
        <v>83</v>
      </c>
      <c r="AC8" s="168" t="s">
        <v>7</v>
      </c>
      <c r="AD8" s="193" t="s">
        <v>7</v>
      </c>
      <c r="AE8" s="167" t="s">
        <v>83</v>
      </c>
      <c r="AF8" s="167" t="s">
        <v>83</v>
      </c>
      <c r="AG8"/>
    </row>
    <row r="9" spans="1:33">
      <c r="AG9"/>
    </row>
    <row r="10" spans="1:33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3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3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3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3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3" ht="15">
      <c r="AG15"/>
    </row>
    <row r="16" spans="1:33" ht="15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5" t="s">
        <v>14</v>
      </c>
      <c r="G16" s="5" t="s">
        <v>14</v>
      </c>
      <c r="H16" s="28" t="s">
        <v>7</v>
      </c>
      <c r="I16" s="28" t="s">
        <v>7</v>
      </c>
      <c r="J16" s="5" t="s">
        <v>14</v>
      </c>
      <c r="K16" s="5" t="s">
        <v>14</v>
      </c>
      <c r="L16" s="5" t="s">
        <v>14</v>
      </c>
      <c r="M16" s="5" t="s">
        <v>14</v>
      </c>
      <c r="N16" s="5" t="s">
        <v>14</v>
      </c>
      <c r="O16" s="28" t="s">
        <v>7</v>
      </c>
      <c r="P16" s="28" t="s">
        <v>7</v>
      </c>
      <c r="Q16" s="5" t="s">
        <v>14</v>
      </c>
      <c r="R16" s="5" t="s">
        <v>14</v>
      </c>
      <c r="S16" s="5" t="s">
        <v>14</v>
      </c>
      <c r="T16" s="5" t="s">
        <v>14</v>
      </c>
      <c r="U16" s="5" t="s">
        <v>14</v>
      </c>
      <c r="V16" s="28" t="s">
        <v>7</v>
      </c>
      <c r="W16" s="28" t="s">
        <v>7</v>
      </c>
      <c r="X16" s="5" t="s">
        <v>14</v>
      </c>
      <c r="Y16" s="5" t="s">
        <v>14</v>
      </c>
      <c r="Z16" s="5" t="s">
        <v>14</v>
      </c>
      <c r="AA16" s="5" t="s">
        <v>14</v>
      </c>
      <c r="AB16" s="5" t="s">
        <v>14</v>
      </c>
      <c r="AC16" s="28" t="s">
        <v>7</v>
      </c>
      <c r="AD16" s="28" t="s">
        <v>7</v>
      </c>
      <c r="AE16" s="5" t="s">
        <v>14</v>
      </c>
      <c r="AF16" s="5" t="s">
        <v>14</v>
      </c>
      <c r="AG16"/>
    </row>
    <row r="17" spans="1:33">
      <c r="AG17"/>
    </row>
    <row r="18" spans="1:33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130" t="s">
        <v>16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17</v>
      </c>
      <c r="P18" s="130" t="s">
        <v>17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130" t="s">
        <v>16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17</v>
      </c>
      <c r="AD18" s="130" t="s">
        <v>17</v>
      </c>
      <c r="AE18" s="28" t="s">
        <v>7</v>
      </c>
      <c r="AF18" s="28" t="s">
        <v>7</v>
      </c>
      <c r="AG18"/>
    </row>
    <row r="19" spans="1:33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16</v>
      </c>
      <c r="G19" s="130" t="s">
        <v>16</v>
      </c>
      <c r="H19" s="130" t="s">
        <v>17</v>
      </c>
      <c r="I19" s="130" t="s">
        <v>17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130" t="s">
        <v>16</v>
      </c>
      <c r="R19" s="130" t="s">
        <v>16</v>
      </c>
      <c r="S19" s="130" t="s">
        <v>16</v>
      </c>
      <c r="T19" s="130" t="s">
        <v>16</v>
      </c>
      <c r="U19" s="130" t="s">
        <v>16</v>
      </c>
      <c r="V19" s="130" t="s">
        <v>17</v>
      </c>
      <c r="W19" s="130" t="s">
        <v>17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130" t="s">
        <v>16</v>
      </c>
      <c r="AF19" s="130" t="s">
        <v>16</v>
      </c>
      <c r="AG19"/>
    </row>
    <row r="20" spans="1:33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G20"/>
    </row>
    <row r="21" spans="1:33">
      <c r="A21" s="34" t="s">
        <v>28</v>
      </c>
      <c r="B21" s="33" t="s">
        <v>29</v>
      </c>
      <c r="C21" s="158" t="s">
        <v>11</v>
      </c>
      <c r="D21" s="158" t="s">
        <v>11</v>
      </c>
      <c r="E21" s="158" t="s">
        <v>11</v>
      </c>
      <c r="F21" s="158" t="s">
        <v>11</v>
      </c>
      <c r="G21" s="158" t="s">
        <v>11</v>
      </c>
      <c r="H21" s="28" t="s">
        <v>7</v>
      </c>
      <c r="I21" s="28" t="s">
        <v>7</v>
      </c>
      <c r="J21" s="145" t="s">
        <v>54</v>
      </c>
      <c r="K21" s="145" t="s">
        <v>54</v>
      </c>
      <c r="L21" s="145" t="s">
        <v>54</v>
      </c>
      <c r="M21" s="145" t="s">
        <v>54</v>
      </c>
      <c r="N21" s="145" t="s">
        <v>54</v>
      </c>
      <c r="O21" s="28" t="s">
        <v>7</v>
      </c>
      <c r="P21" s="28" t="s">
        <v>7</v>
      </c>
      <c r="Q21" s="145" t="s">
        <v>85</v>
      </c>
      <c r="R21" s="145" t="s">
        <v>85</v>
      </c>
      <c r="S21" s="145" t="s">
        <v>85</v>
      </c>
      <c r="T21" s="145" t="s">
        <v>85</v>
      </c>
      <c r="U21" s="145" t="s">
        <v>85</v>
      </c>
      <c r="V21" s="28" t="s">
        <v>30</v>
      </c>
      <c r="W21" s="28" t="s">
        <v>30</v>
      </c>
      <c r="X21" s="158" t="s">
        <v>11</v>
      </c>
      <c r="Y21" s="158" t="s">
        <v>11</v>
      </c>
      <c r="Z21" s="158" t="s">
        <v>11</v>
      </c>
      <c r="AA21" s="158" t="s">
        <v>11</v>
      </c>
      <c r="AB21" s="158" t="s">
        <v>11</v>
      </c>
      <c r="AC21" s="28" t="s">
        <v>7</v>
      </c>
      <c r="AD21" s="28" t="s">
        <v>7</v>
      </c>
      <c r="AE21" s="145" t="s">
        <v>54</v>
      </c>
      <c r="AF21" s="145" t="s">
        <v>54</v>
      </c>
      <c r="AG21"/>
    </row>
    <row r="22" spans="1:33">
      <c r="A22" s="34" t="s">
        <v>28</v>
      </c>
      <c r="B22" s="35" t="s">
        <v>60</v>
      </c>
      <c r="C22" s="145" t="s">
        <v>85</v>
      </c>
      <c r="D22" s="145" t="s">
        <v>85</v>
      </c>
      <c r="E22" s="145" t="s">
        <v>85</v>
      </c>
      <c r="F22" s="145" t="s">
        <v>85</v>
      </c>
      <c r="G22" s="145" t="s">
        <v>85</v>
      </c>
      <c r="H22" s="28" t="s">
        <v>30</v>
      </c>
      <c r="I22" s="28" t="s">
        <v>30</v>
      </c>
      <c r="J22" s="158" t="s">
        <v>11</v>
      </c>
      <c r="K22" s="158" t="s">
        <v>11</v>
      </c>
      <c r="L22" s="158" t="s">
        <v>11</v>
      </c>
      <c r="M22" s="158" t="s">
        <v>11</v>
      </c>
      <c r="N22" s="158" t="s">
        <v>11</v>
      </c>
      <c r="O22" s="28" t="s">
        <v>7</v>
      </c>
      <c r="P22" s="28" t="s">
        <v>7</v>
      </c>
      <c r="Q22" s="145" t="s">
        <v>54</v>
      </c>
      <c r="R22" s="145" t="s">
        <v>54</v>
      </c>
      <c r="S22" s="145" t="s">
        <v>54</v>
      </c>
      <c r="T22" s="145" t="s">
        <v>54</v>
      </c>
      <c r="U22" s="145" t="s">
        <v>54</v>
      </c>
      <c r="V22" s="28" t="s">
        <v>7</v>
      </c>
      <c r="W22" s="28" t="s">
        <v>7</v>
      </c>
      <c r="X22" s="145" t="s">
        <v>85</v>
      </c>
      <c r="Y22" s="145" t="s">
        <v>85</v>
      </c>
      <c r="Z22" s="145" t="s">
        <v>85</v>
      </c>
      <c r="AA22" s="145" t="s">
        <v>85</v>
      </c>
      <c r="AB22" s="145" t="s">
        <v>85</v>
      </c>
      <c r="AC22" s="28" t="s">
        <v>30</v>
      </c>
      <c r="AD22" s="28" t="s">
        <v>30</v>
      </c>
      <c r="AE22" s="158" t="s">
        <v>11</v>
      </c>
      <c r="AF22" s="158" t="s">
        <v>11</v>
      </c>
      <c r="AG22"/>
    </row>
    <row r="23" spans="1:33">
      <c r="A23" s="34" t="s">
        <v>28</v>
      </c>
      <c r="B23" s="37" t="s">
        <v>13</v>
      </c>
      <c r="C23" s="166" t="s">
        <v>54</v>
      </c>
      <c r="D23" s="145" t="s">
        <v>54</v>
      </c>
      <c r="E23" s="145" t="s">
        <v>54</v>
      </c>
      <c r="F23" s="145" t="s">
        <v>54</v>
      </c>
      <c r="G23" s="145" t="s">
        <v>54</v>
      </c>
      <c r="H23" s="28" t="s">
        <v>7</v>
      </c>
      <c r="I23" s="28" t="s">
        <v>7</v>
      </c>
      <c r="J23" s="145" t="s">
        <v>85</v>
      </c>
      <c r="K23" s="145" t="s">
        <v>85</v>
      </c>
      <c r="L23" s="145" t="s">
        <v>85</v>
      </c>
      <c r="M23" s="145" t="s">
        <v>85</v>
      </c>
      <c r="N23" s="145" t="s">
        <v>85</v>
      </c>
      <c r="O23" s="28" t="s">
        <v>30</v>
      </c>
      <c r="P23" s="28" t="s">
        <v>30</v>
      </c>
      <c r="Q23" s="158" t="s">
        <v>11</v>
      </c>
      <c r="R23" s="158" t="s">
        <v>11</v>
      </c>
      <c r="S23" s="158" t="s">
        <v>11</v>
      </c>
      <c r="T23" s="158" t="s">
        <v>11</v>
      </c>
      <c r="U23" s="17" t="s">
        <v>4</v>
      </c>
      <c r="V23" s="28" t="s">
        <v>7</v>
      </c>
      <c r="W23" s="28" t="s">
        <v>7</v>
      </c>
      <c r="X23" s="145" t="s">
        <v>54</v>
      </c>
      <c r="Y23" s="145" t="s">
        <v>54</v>
      </c>
      <c r="Z23" s="145" t="s">
        <v>54</v>
      </c>
      <c r="AA23" s="145" t="s">
        <v>54</v>
      </c>
      <c r="AB23" s="145" t="s">
        <v>54</v>
      </c>
      <c r="AC23" s="28" t="s">
        <v>7</v>
      </c>
      <c r="AD23" s="28" t="s">
        <v>7</v>
      </c>
      <c r="AE23" s="145" t="s">
        <v>85</v>
      </c>
      <c r="AF23" s="145" t="s">
        <v>85</v>
      </c>
      <c r="AG23"/>
    </row>
    <row r="24" spans="1:33">
      <c r="H24" t="s">
        <v>114</v>
      </c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7</v>
      </c>
      <c r="R25" s="110">
        <f t="shared" si="0"/>
        <v>7</v>
      </c>
      <c r="S25" s="110">
        <f t="shared" si="0"/>
        <v>7</v>
      </c>
      <c r="T25" s="110">
        <f t="shared" si="0"/>
        <v>7</v>
      </c>
      <c r="U25" s="110">
        <f t="shared" si="0"/>
        <v>6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7</v>
      </c>
      <c r="Z25" s="110">
        <f t="shared" si="0"/>
        <v>7</v>
      </c>
      <c r="AA25" s="110">
        <f t="shared" si="0"/>
        <v>7</v>
      </c>
      <c r="AB25" s="110">
        <f t="shared" si="0"/>
        <v>7</v>
      </c>
      <c r="AC25" s="110">
        <f t="shared" si="0"/>
        <v>4</v>
      </c>
      <c r="AD25" s="110">
        <f t="shared" si="0"/>
        <v>4</v>
      </c>
      <c r="AE25" s="110">
        <f t="shared" si="0"/>
        <v>7</v>
      </c>
      <c r="AF25" s="110">
        <f t="shared" si="0"/>
        <v>7</v>
      </c>
    </row>
    <row r="26" spans="1:33">
      <c r="B26" s="111" t="s">
        <v>90</v>
      </c>
      <c r="C26" s="112">
        <f t="shared" ref="C26:AF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 t="shared" si="1"/>
        <v>0</v>
      </c>
      <c r="I26" s="112">
        <f t="shared" si="1"/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2</v>
      </c>
      <c r="U26" s="112">
        <f t="shared" si="1"/>
        <v>2</v>
      </c>
      <c r="V26" s="112">
        <f t="shared" si="1"/>
        <v>0</v>
      </c>
      <c r="W26" s="112">
        <f t="shared" si="1"/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2</v>
      </c>
      <c r="AF26" s="112">
        <f t="shared" si="1"/>
        <v>2</v>
      </c>
    </row>
    <row r="27" spans="1:33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</row>
    <row r="28" spans="1:33">
      <c r="B28" s="111" t="s">
        <v>92</v>
      </c>
      <c r="C28" s="112">
        <f>COUNTIF(C4:C23,"M/F")+COUNTIF(C4:C23,"M1")+COUNTIF(C4:C23,"M3")+COUNTIF(C4:C23,"M3/G")+COUNTIF(C4:C23,"M2")</f>
        <v>3</v>
      </c>
      <c r="D28" s="112">
        <f>COUNTIF(D4:D23,"M/F")+COUNTIF(D4:D23,"M1")+COUNTIF(D4:D23,"M3")+COUNTIF(D4:D23,"M3/G")+COUNTIF(D4:D23,"M2")</f>
        <v>3</v>
      </c>
      <c r="E28" s="112">
        <f>COUNTIF(E4:E23,"M1")+COUNTIF(E4:E23,"NF")</f>
        <v>1</v>
      </c>
      <c r="F28" s="112">
        <f>COUNTIF(F4:F23,"M/F")+COUNTIF(F4:F23,"M1")+COUNTIF(F4:F23,"M3")+COUNTIF(F4:F23,"M3/G")+COUNTIF(F4:F23,"M2")</f>
        <v>3</v>
      </c>
      <c r="G28" s="112">
        <f>COUNTIF(G4:G23,"M/F")+COUNTIF(G4:G23,"M1")+COUNTIF(G4:G23,"M3")+COUNTIF(G4:G23,"M3/G")+COUNTIF(G4:G23,"M2")</f>
        <v>3</v>
      </c>
      <c r="H28" s="112">
        <f>COUNTIF(H4:H23,"M/F")+COUNTIF(H4:H23,"M1")+COUNTIF(H4:H23,"M3")+COUNTIF(H4:H23,"M3/G")+COUNTIF(H4:H23,"M2")</f>
        <v>2</v>
      </c>
      <c r="I28" s="112">
        <f>COUNTIF(I4:I23,"M/F")+COUNTIF(I4:I23,"M1")+COUNTIF(I4:I23,"M3")+COUNTIF(I4:I23,"M3/G")+COUNTIF(I4:I23,"M2")</f>
        <v>2</v>
      </c>
      <c r="J28" s="112">
        <f>COUNTIF(J4:J23,"M/F")+COUNTIF(J4:J23,"M1")+COUNTIF(J4:J23,"M3")+COUNTIF(J4:J23,"M3/G")+COUNTIF(J4:J23,"M2")</f>
        <v>3</v>
      </c>
      <c r="K28" s="112">
        <f>COUNTIF(K4:K23,"M/F")+COUNTIF(K4:K23,"M1")+COUNTIF(K4:K23,"M3")+COUNTIF(K4:K23,"M3/G")+COUNTIF(K4:K23,"M2")</f>
        <v>3</v>
      </c>
      <c r="L28" s="112">
        <f>COUNTIF(L4:L23,"M/F")+COUNTIF(L4:L23,"M1")+COUNTIF(L4:L23,"M3")+COUNTIF(L4:L23,"M3/G")+COUNTIF(L4:L23,"M2")</f>
        <v>3</v>
      </c>
      <c r="M28" s="112">
        <f>COUNTIF(M4:M23,"M/F")+COUNTIF(M4:M23,"M1")+COUNTIF(M4:M23,"M3")+COUNTIF(M4:M23,"M3/G")+COUNTIF(M4:M23,"M2")</f>
        <v>3</v>
      </c>
      <c r="N28" s="112">
        <f>COUNTIF(N4:N23,"M/F")+COUNTIF(N4:N23,"M1")+COUNTIF(N4:N23,"M3")+COUNTIF(N4:N23,"M3/G")+COUNTIF(N4:N23,"M2")</f>
        <v>3</v>
      </c>
      <c r="O28" s="112">
        <f>COUNTIF(O4:O23,"M/F")+COUNTIF(O4:O23,"M1")+COUNTIF(O4:O23,"M3")+COUNTIF(O4:O23,"M3/G")+COUNTIF(O4:O23,"M2")</f>
        <v>2</v>
      </c>
      <c r="P28" s="112">
        <f>COUNTIF(P4:P23,"M/F")+COUNTIF(P4:P23,"M1")+COUNTIF(P4:P23,"M3")+COUNTIF(P4:P23,"M3/G")+COUNTIF(P4:P23,"M2")</f>
        <v>2</v>
      </c>
      <c r="Q28" s="112">
        <f>COUNTIF(Q4:Q23,"M/F")+COUNTIF(Q4:Q23,"M1")+COUNTIF(Q4:Q23,"M3")+COUNTIF(Q4:Q23,"M3/G")+COUNTIF(Q4:Q23,"M2")</f>
        <v>3</v>
      </c>
      <c r="R28" s="112">
        <f>COUNTIF(R4:R23,"M/F")+COUNTIF(R4:R23,"M1")+COUNTIF(R4:R23,"M3")+COUNTIF(R4:R23,"M3/G")+COUNTIF(R4:R23,"M2")</f>
        <v>3</v>
      </c>
      <c r="S28" s="112">
        <f>COUNTIF(S4:S23,"M/F")+COUNTIF(S4:S23,"M1")+COUNTIF(S4:S23,"M3")+COUNTIF(S4:S23,"M3/G")+COUNTIF(S4:S23,"M2")</f>
        <v>3</v>
      </c>
      <c r="T28" s="112">
        <f>COUNTIF(T4:T23,"M/F")+COUNTIF(T4:T23,"M1")+COUNTIF(T4:T23,"M3")+COUNTIF(T4:T23,"M3/G")+COUNTIF(T4:T23,"M2")</f>
        <v>3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2</v>
      </c>
      <c r="W28" s="112">
        <f>COUNTIF(W4:W23,"M/F")+COUNTIF(W4:W23,"M1")+COUNTIF(W4:W23,"M3")+COUNTIF(W4:W23,"M3/G")+COUNTIF(W4:W23,"M2")</f>
        <v>2</v>
      </c>
      <c r="X28" s="112">
        <f>COUNTIF(X4:X23,"M/F")+COUNTIF(X4:X23,"M1")+COUNTIF(X4:X23,"M3")+COUNTIF(X4:X23,"M3/G")+COUNTIF(X4:X23,"M2")</f>
        <v>3</v>
      </c>
      <c r="Y28" s="112">
        <f>COUNTIF(Y4:Y23,"M/F")+COUNTIF(Y4:Y23,"M1")+COUNTIF(Y4:Y23,"M3")+COUNTIF(Y4:Y23,"M3/G")+COUNTIF(Y4:Y23,"M2")</f>
        <v>3</v>
      </c>
      <c r="Z28" s="112">
        <f>COUNTIF(Z4:Z23,"M/F")+COUNTIF(Z4:Z23,"M1")+COUNTIF(Z4:Z23,"M3")+COUNTIF(Z4:Z23,"M3/G")+COUNTIF(Z4:Z23,"M2")</f>
        <v>3</v>
      </c>
      <c r="AA28" s="112">
        <f>COUNTIF(AA4:AA23,"M/F")+COUNTIF(AA4:AA23,"M1")+COUNTIF(AA4:AA23,"M3")+COUNTIF(AA4:AA23,"M3/G")+COUNTIF(AA4:AA23,"M2")</f>
        <v>3</v>
      </c>
      <c r="AB28" s="112">
        <f>COUNTIF(AB4:AB23,"M/F")+COUNTIF(AB4:AB23,"M1")+COUNTIF(AB4:AB23,"M3")+COUNTIF(AB4:AB23,"M3/G")+COUNTIF(AB4:AB23,"M2")</f>
        <v>3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3</v>
      </c>
      <c r="AF28" s="112">
        <f>COUNTIF(AF4:AF23,"M/F")+COUNTIF(AF4:AF23,"M1")+COUNTIF(AF4:AF23,"M3")+COUNTIF(AF4:AF23,"M3/G")+COUNTIF(AF4:AF23,"M2")</f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4"/>
  <sheetViews>
    <sheetView workbookViewId="0">
      <selection activeCell="V3" sqref="V3:A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0"/>
      <c r="C1" s="171" t="s">
        <v>115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6">
      <c r="A2" s="6"/>
      <c r="B2" s="17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ht="15">
      <c r="A4" s="63" t="s">
        <v>12</v>
      </c>
      <c r="B4" s="62" t="s">
        <v>105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ht="1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ht="15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ht="15">
      <c r="AH7"/>
    </row>
    <row r="8" spans="1:36" ht="15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28" t="s">
        <v>7</v>
      </c>
      <c r="G8" s="28" t="s">
        <v>7</v>
      </c>
      <c r="H8" s="118" t="s">
        <v>83</v>
      </c>
      <c r="I8" s="118" t="s">
        <v>83</v>
      </c>
      <c r="J8" s="118" t="s">
        <v>83</v>
      </c>
      <c r="K8" s="118" t="s">
        <v>83</v>
      </c>
      <c r="L8" s="118" t="s">
        <v>83</v>
      </c>
      <c r="M8" s="28" t="s">
        <v>7</v>
      </c>
      <c r="N8" s="28" t="s">
        <v>7</v>
      </c>
      <c r="O8" s="118" t="s">
        <v>83</v>
      </c>
      <c r="P8" s="118" t="s">
        <v>83</v>
      </c>
      <c r="Q8" s="118" t="s">
        <v>83</v>
      </c>
      <c r="R8" s="118" t="s">
        <v>83</v>
      </c>
      <c r="S8" s="118" t="s">
        <v>83</v>
      </c>
      <c r="T8" s="28" t="s">
        <v>7</v>
      </c>
      <c r="U8" s="28" t="s">
        <v>7</v>
      </c>
      <c r="V8" s="118" t="s">
        <v>83</v>
      </c>
      <c r="W8" s="118" t="s">
        <v>83</v>
      </c>
      <c r="X8" s="118" t="s">
        <v>83</v>
      </c>
      <c r="Y8" s="118" t="s">
        <v>83</v>
      </c>
      <c r="Z8" s="118" t="s">
        <v>83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 s="118" t="s">
        <v>83</v>
      </c>
      <c r="AH8"/>
    </row>
    <row r="9" spans="1:36" ht="15">
      <c r="AH9"/>
    </row>
    <row r="10" spans="1:36" ht="1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5" t="s">
        <v>14</v>
      </c>
      <c r="W10" s="5" t="s">
        <v>14</v>
      </c>
      <c r="X10" s="5" t="s">
        <v>14</v>
      </c>
      <c r="Y10" s="5" t="s">
        <v>14</v>
      </c>
      <c r="Z10" s="5" t="s">
        <v>14</v>
      </c>
      <c r="AA10" s="5" t="s">
        <v>15</v>
      </c>
      <c r="AB10" s="5" t="s">
        <v>15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ht="1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5" t="s">
        <v>14</v>
      </c>
      <c r="AD11" s="5" t="s">
        <v>14</v>
      </c>
      <c r="AE11" s="5" t="s">
        <v>14</v>
      </c>
      <c r="AF11" s="5" t="s">
        <v>14</v>
      </c>
      <c r="AG11" s="5" t="s">
        <v>14</v>
      </c>
      <c r="AH11"/>
    </row>
    <row r="12" spans="1:36" ht="15">
      <c r="A12" s="34" t="s">
        <v>12</v>
      </c>
      <c r="B12" s="33" t="s">
        <v>24</v>
      </c>
      <c r="C12" s="5" t="s">
        <v>14</v>
      </c>
      <c r="D12" s="5" t="s">
        <v>14</v>
      </c>
      <c r="E12" s="5" t="s">
        <v>14</v>
      </c>
      <c r="F12" s="5" t="s">
        <v>15</v>
      </c>
      <c r="G12" s="5" t="s">
        <v>15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ht="1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5" t="s">
        <v>14</v>
      </c>
      <c r="M13" s="5" t="s">
        <v>15</v>
      </c>
      <c r="N13" s="5" t="s">
        <v>15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ht="1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5" t="s">
        <v>14</v>
      </c>
      <c r="P14" s="5" t="s">
        <v>14</v>
      </c>
      <c r="Q14" s="5" t="s">
        <v>14</v>
      </c>
      <c r="R14" s="5" t="s">
        <v>14</v>
      </c>
      <c r="S14" s="5" t="s">
        <v>14</v>
      </c>
      <c r="T14" s="5" t="s">
        <v>15</v>
      </c>
      <c r="U14" s="5" t="s">
        <v>15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ht="15">
      <c r="AH15"/>
    </row>
    <row r="16" spans="1:36" ht="15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28" t="s">
        <v>7</v>
      </c>
      <c r="G16" s="28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28" t="s">
        <v>7</v>
      </c>
      <c r="N16" s="28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28" t="s">
        <v>7</v>
      </c>
      <c r="U16" s="28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28" t="s">
        <v>7</v>
      </c>
      <c r="AB16" s="28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/>
    </row>
    <row r="17" spans="1:34" ht="15">
      <c r="AH17"/>
    </row>
    <row r="18" spans="1:34" ht="15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130" t="s">
        <v>16</v>
      </c>
      <c r="I18" s="130" t="s">
        <v>16</v>
      </c>
      <c r="J18" s="130" t="s">
        <v>16</v>
      </c>
      <c r="K18" s="130" t="s">
        <v>16</v>
      </c>
      <c r="L18" s="130" t="s">
        <v>16</v>
      </c>
      <c r="M18" s="130" t="s">
        <v>17</v>
      </c>
      <c r="N18" s="130" t="s">
        <v>17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130" t="s">
        <v>16</v>
      </c>
      <c r="W18" s="130" t="s">
        <v>16</v>
      </c>
      <c r="X18" s="130" t="s">
        <v>16</v>
      </c>
      <c r="Y18" s="130" t="s">
        <v>16</v>
      </c>
      <c r="Z18" s="130" t="s">
        <v>16</v>
      </c>
      <c r="AA18" s="130" t="s">
        <v>17</v>
      </c>
      <c r="AB18" s="130" t="s">
        <v>17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  <c r="AH18"/>
    </row>
    <row r="19" spans="1:34" ht="15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17</v>
      </c>
      <c r="G19" s="130" t="s">
        <v>17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130" t="s">
        <v>16</v>
      </c>
      <c r="P19" s="130" t="s">
        <v>16</v>
      </c>
      <c r="Q19" s="130" t="s">
        <v>16</v>
      </c>
      <c r="R19" s="130" t="s">
        <v>16</v>
      </c>
      <c r="S19" s="130" t="s">
        <v>16</v>
      </c>
      <c r="T19" s="130" t="s">
        <v>17</v>
      </c>
      <c r="U19" s="130" t="s">
        <v>17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130" t="s">
        <v>16</v>
      </c>
      <c r="AD19" s="130" t="s">
        <v>16</v>
      </c>
      <c r="AE19" s="130" t="s">
        <v>16</v>
      </c>
      <c r="AF19" s="130" t="s">
        <v>16</v>
      </c>
      <c r="AG19" s="130" t="s">
        <v>16</v>
      </c>
      <c r="AH19"/>
    </row>
    <row r="20" spans="1:34" ht="15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7" t="s">
        <v>29</v>
      </c>
      <c r="C21" s="25" t="s">
        <v>11</v>
      </c>
      <c r="D21" s="25" t="s">
        <v>11</v>
      </c>
      <c r="E21" s="25" t="s">
        <v>11</v>
      </c>
      <c r="F21" s="28" t="s">
        <v>7</v>
      </c>
      <c r="G21" s="28" t="s">
        <v>7</v>
      </c>
      <c r="H21" s="4" t="s">
        <v>14</v>
      </c>
      <c r="I21" s="4" t="s">
        <v>14</v>
      </c>
      <c r="J21" s="4" t="s">
        <v>14</v>
      </c>
      <c r="K21" s="4" t="s">
        <v>14</v>
      </c>
      <c r="L21" s="4" t="s">
        <v>14</v>
      </c>
      <c r="M21" s="28" t="s">
        <v>7</v>
      </c>
      <c r="N21" s="28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28" t="s">
        <v>30</v>
      </c>
      <c r="U21" s="28" t="s">
        <v>30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7</v>
      </c>
      <c r="AB21" s="28" t="s">
        <v>7</v>
      </c>
      <c r="AC21" s="4" t="s">
        <v>14</v>
      </c>
      <c r="AD21" s="4" t="s">
        <v>14</v>
      </c>
      <c r="AE21" s="4" t="s">
        <v>14</v>
      </c>
      <c r="AF21" s="4" t="s">
        <v>14</v>
      </c>
      <c r="AG21" s="4" t="s">
        <v>14</v>
      </c>
      <c r="AH21"/>
    </row>
    <row r="22" spans="1:34" ht="15">
      <c r="A22" s="34" t="s">
        <v>28</v>
      </c>
      <c r="B22" s="37" t="s">
        <v>60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4" t="s">
        <v>85</v>
      </c>
      <c r="I22" s="4" t="s">
        <v>85</v>
      </c>
      <c r="J22" s="4" t="s">
        <v>85</v>
      </c>
      <c r="K22" s="4" t="s">
        <v>85</v>
      </c>
      <c r="L22" s="4" t="s">
        <v>85</v>
      </c>
      <c r="M22" s="28" t="s">
        <v>30</v>
      </c>
      <c r="N22" s="28" t="s">
        <v>30</v>
      </c>
      <c r="O22" s="25" t="s">
        <v>14</v>
      </c>
      <c r="P22" s="25" t="s">
        <v>14</v>
      </c>
      <c r="Q22" s="25" t="s">
        <v>14</v>
      </c>
      <c r="R22" s="25" t="s">
        <v>14</v>
      </c>
      <c r="S22" s="25" t="s">
        <v>14</v>
      </c>
      <c r="T22" s="28" t="s">
        <v>7</v>
      </c>
      <c r="U22" s="28" t="s">
        <v>7</v>
      </c>
      <c r="V22" s="17" t="s">
        <v>4</v>
      </c>
      <c r="W22" s="17" t="s">
        <v>4</v>
      </c>
      <c r="X22" s="17" t="s">
        <v>4</v>
      </c>
      <c r="Y22" s="17" t="s">
        <v>4</v>
      </c>
      <c r="Z22" s="17" t="s">
        <v>4</v>
      </c>
      <c r="AA22" s="28" t="s">
        <v>7</v>
      </c>
      <c r="AB22" s="28" t="s">
        <v>7</v>
      </c>
      <c r="AC22" s="25" t="s">
        <v>11</v>
      </c>
      <c r="AD22" s="25" t="s">
        <v>11</v>
      </c>
      <c r="AE22" s="25" t="s">
        <v>11</v>
      </c>
      <c r="AF22" s="25" t="s">
        <v>11</v>
      </c>
      <c r="AG22" s="25" t="s">
        <v>11</v>
      </c>
      <c r="AH22"/>
    </row>
    <row r="23" spans="1:34">
      <c r="A23" s="34" t="s">
        <v>28</v>
      </c>
      <c r="B23" s="37" t="s">
        <v>13</v>
      </c>
      <c r="C23" s="4" t="s">
        <v>14</v>
      </c>
      <c r="D23" s="4" t="s">
        <v>14</v>
      </c>
      <c r="E23" s="4" t="s">
        <v>14</v>
      </c>
      <c r="F23" s="28" t="s">
        <v>7</v>
      </c>
      <c r="G23" s="28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8" t="s">
        <v>7</v>
      </c>
      <c r="N23" s="28" t="s">
        <v>7</v>
      </c>
      <c r="O23" s="17" t="s">
        <v>4</v>
      </c>
      <c r="P23" s="17" t="s">
        <v>4</v>
      </c>
      <c r="Q23" s="17" t="s">
        <v>4</v>
      </c>
      <c r="R23" s="17" t="s">
        <v>4</v>
      </c>
      <c r="S23" s="17" t="s">
        <v>4</v>
      </c>
      <c r="T23" s="28" t="s">
        <v>7</v>
      </c>
      <c r="U23" s="28" t="s">
        <v>7</v>
      </c>
      <c r="V23" s="4" t="s">
        <v>32</v>
      </c>
      <c r="W23" s="4" t="s">
        <v>32</v>
      </c>
      <c r="X23" s="4" t="s">
        <v>32</v>
      </c>
      <c r="Y23" s="4" t="s">
        <v>32</v>
      </c>
      <c r="Z23" s="4" t="s">
        <v>32</v>
      </c>
      <c r="AA23" s="28" t="s">
        <v>30</v>
      </c>
      <c r="AB23" s="28" t="s">
        <v>30</v>
      </c>
      <c r="AC23" s="4" t="s">
        <v>85</v>
      </c>
      <c r="AD23" s="4" t="s">
        <v>85</v>
      </c>
      <c r="AE23" s="4" t="s">
        <v>85</v>
      </c>
      <c r="AF23" s="4" t="s">
        <v>85</v>
      </c>
      <c r="AG23" s="4" t="s">
        <v>85</v>
      </c>
      <c r="AH23"/>
    </row>
    <row r="24" spans="1:34">
      <c r="AH24"/>
    </row>
    <row r="25" spans="1:34">
      <c r="B25" s="111" t="s">
        <v>89</v>
      </c>
      <c r="C25" s="110">
        <f t="shared" ref="C25:AG25" si="0">SUM(C26:C28)</f>
        <v>6</v>
      </c>
      <c r="D25" s="110">
        <f t="shared" si="0"/>
        <v>6</v>
      </c>
      <c r="E25" s="110">
        <f t="shared" si="0"/>
        <v>4</v>
      </c>
      <c r="F25" s="110">
        <f t="shared" si="0"/>
        <v>4</v>
      </c>
      <c r="G25" s="110">
        <f t="shared" si="0"/>
        <v>4</v>
      </c>
      <c r="H25" s="110">
        <f t="shared" si="0"/>
        <v>6</v>
      </c>
      <c r="I25" s="110">
        <f t="shared" si="0"/>
        <v>6</v>
      </c>
      <c r="J25" s="110">
        <f t="shared" si="0"/>
        <v>6</v>
      </c>
      <c r="K25" s="110">
        <f t="shared" si="0"/>
        <v>6</v>
      </c>
      <c r="L25" s="110">
        <f t="shared" si="0"/>
        <v>6</v>
      </c>
      <c r="M25" s="110">
        <f t="shared" si="0"/>
        <v>4</v>
      </c>
      <c r="N25" s="110">
        <f t="shared" si="0"/>
        <v>4</v>
      </c>
      <c r="O25" s="110">
        <f t="shared" si="0"/>
        <v>4</v>
      </c>
      <c r="P25" s="110">
        <f t="shared" si="0"/>
        <v>4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4</v>
      </c>
      <c r="U25" s="110">
        <f t="shared" si="0"/>
        <v>4</v>
      </c>
      <c r="V25" s="110">
        <f t="shared" si="0"/>
        <v>4</v>
      </c>
      <c r="W25" s="110">
        <f t="shared" si="0"/>
        <v>4</v>
      </c>
      <c r="X25" s="110">
        <f t="shared" si="0"/>
        <v>4</v>
      </c>
      <c r="Y25" s="110">
        <f t="shared" si="0"/>
        <v>4</v>
      </c>
      <c r="Z25" s="110">
        <f t="shared" si="0"/>
        <v>4</v>
      </c>
      <c r="AA25" s="110">
        <f t="shared" si="0"/>
        <v>4</v>
      </c>
      <c r="AB25" s="110">
        <f t="shared" si="0"/>
        <v>4</v>
      </c>
      <c r="AC25" s="110">
        <f t="shared" si="0"/>
        <v>6</v>
      </c>
      <c r="AD25" s="110">
        <f t="shared" si="0"/>
        <v>6</v>
      </c>
      <c r="AE25" s="110">
        <f t="shared" si="0"/>
        <v>6</v>
      </c>
      <c r="AF25" s="110">
        <f t="shared" si="0"/>
        <v>6</v>
      </c>
      <c r="AG25" s="110">
        <f t="shared" si="0"/>
        <v>6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0</v>
      </c>
      <c r="G26" s="112">
        <f t="shared" si="1"/>
        <v>0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0</v>
      </c>
      <c r="N26" s="112">
        <f t="shared" si="1"/>
        <v>0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0</v>
      </c>
      <c r="U26" s="112">
        <f t="shared" si="1"/>
        <v>0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0</v>
      </c>
      <c r="AB26" s="112">
        <f t="shared" si="1"/>
        <v>0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2</v>
      </c>
      <c r="AG26" s="112">
        <f t="shared" si="1"/>
        <v>2</v>
      </c>
    </row>
    <row r="27" spans="1:34">
      <c r="B27" s="111" t="s">
        <v>91</v>
      </c>
      <c r="C27" s="112">
        <f>COUNTIF(C4:C23,"N")+COUNTIF(C4:C23,"NF")</f>
        <v>2</v>
      </c>
      <c r="D27" s="112">
        <f>COUNTIF(D4:D23,"N")+COUNTIF(D4:D23,"NF")</f>
        <v>2</v>
      </c>
      <c r="E27" s="112">
        <f>COUNTIF(E4:E23,"N")+COUNTIF(E4:E23,"NF")</f>
        <v>2</v>
      </c>
      <c r="F27" s="112">
        <f>COUNTIF(F4:F23,"N")+COUNTIF(F4:F23,"NF")</f>
        <v>2</v>
      </c>
      <c r="G27" s="112">
        <f>COUNTIF(G4:G23,"N")+COUNTIF(G4:G23,"NF")</f>
        <v>2</v>
      </c>
      <c r="H27" s="112">
        <f>COUNTIF(H4:H23,"N")+COUNTIF(H4:H23,"NF")</f>
        <v>2</v>
      </c>
      <c r="I27" s="112">
        <f>COUNTIF(I4:I23,"N")+COUNTIF(I4:I23,"NF")</f>
        <v>2</v>
      </c>
      <c r="J27" s="112">
        <f>COUNTIF(J4:J23,"N")+COUNTIF(J4:J23,"NF")</f>
        <v>2</v>
      </c>
      <c r="K27" s="112">
        <f>COUNTIF(K4:K23,"N")+COUNTIF(K4:K23,"NF")</f>
        <v>2</v>
      </c>
      <c r="L27" s="112">
        <f>COUNTIF(L4:L23,"N")+COUNTIF(L4:L23,"NF")</f>
        <v>2</v>
      </c>
      <c r="M27" s="112">
        <f>COUNTIF(M4:M23,"N")+COUNTIF(M4:M23,"NF")</f>
        <v>2</v>
      </c>
      <c r="N27" s="112">
        <f>COUNTIF(N4:N23,"N")+COUNTIF(N4:N23,"NF")</f>
        <v>2</v>
      </c>
      <c r="O27" s="112">
        <f>COUNTIF(O4:O23,"N")+COUNTIF(O4:O23,"NF")</f>
        <v>2</v>
      </c>
      <c r="P27" s="112">
        <f>COUNTIF(P4:P23,"N")+COUNTIF(P4:P23,"NF")</f>
        <v>2</v>
      </c>
      <c r="Q27" s="112">
        <f>COUNTIF(Q4:Q23,"N")+COUNTIF(Q4:Q23,"NF")</f>
        <v>2</v>
      </c>
      <c r="R27" s="112">
        <f>COUNTIF(R4:R23,"N")+COUNTIF(R4:R23,"NF")</f>
        <v>2</v>
      </c>
      <c r="S27" s="112">
        <f>COUNTIF(S4:S23,"N")+COUNTIF(S4:S23,"NF")</f>
        <v>2</v>
      </c>
      <c r="T27" s="112">
        <f>COUNTIF(T4:T23,"N")+COUNTIF(T4:T23,"NF")</f>
        <v>2</v>
      </c>
      <c r="U27" s="112">
        <f>COUNTIF(U4:U23,"N")+COUNTIF(U4:U23,"NF")</f>
        <v>2</v>
      </c>
      <c r="V27" s="112">
        <f>COUNTIF(V4:V23,"N")+COUNTIF(V4:V23,"NF")</f>
        <v>2</v>
      </c>
      <c r="W27" s="112">
        <f>COUNTIF(W4:W23,"N")+COUNTIF(W4:W23,"NF")</f>
        <v>2</v>
      </c>
      <c r="X27" s="112">
        <f>COUNTIF(X4:X23,"N")+COUNTIF(X4:X23,"NF")</f>
        <v>2</v>
      </c>
      <c r="Y27" s="112">
        <f>COUNTIF(Y4:Y23,"N")+COUNTIF(Y4:Y23,"NF")</f>
        <v>2</v>
      </c>
      <c r="Z27" s="112">
        <f>COUNTIF(Z4:Z23,"N")+COUNTIF(Z4:Z23,"NF")</f>
        <v>2</v>
      </c>
      <c r="AA27" s="112">
        <f>COUNTIF(AA4:AA23,"N")+COUNTIF(AA4:AA23,"NF")</f>
        <v>2</v>
      </c>
      <c r="AB27" s="112">
        <f>COUNTIF(AB4:AB23,"N")+COUNTIF(AB4:AB23,"NF")</f>
        <v>2</v>
      </c>
      <c r="AC27" s="112">
        <f>COUNTIF(AC4:AC23,"N")+COUNTIF(AC4:AC23,"NF")</f>
        <v>2</v>
      </c>
      <c r="AD27" s="112">
        <f>COUNTIF(AD4:AD23,"N")+COUNTIF(AD4:AD23,"NF")</f>
        <v>2</v>
      </c>
      <c r="AE27" s="112">
        <f>COUNTIF(AE4:AE23,"N")+COUNTIF(AE4:AE23,"NF")</f>
        <v>2</v>
      </c>
      <c r="AF27" s="112">
        <f>COUNTIF(AF4:AF23,"N")+COUNTIF(AF4:AF23,"NF")</f>
        <v>2</v>
      </c>
      <c r="AG27" s="112">
        <f>COUNTIF(AG4:AG23,"N")+COUNTIF(AG4:AG23,"NF")</f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2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0</v>
      </c>
      <c r="F28" s="112">
        <f>COUNTIF(F4:F23,"M/F")+COUNTIF(F4:F23,"M1")+COUNTIF(F4:F23,"M3")+COUNTIF(F4:F23,"M3/G")+COUNTIF(F4:F23,"M2")</f>
        <v>2</v>
      </c>
      <c r="G28" s="112">
        <f>COUNTIF(G4:G23,"M/F")+COUNTIF(G4:G23,"M1")+COUNTIF(G4:G23,"M3")+COUNTIF(G4:G23,"M3/G")+COUNTIF(G4:G23,"M2")</f>
        <v>2</v>
      </c>
      <c r="H28" s="112">
        <f>COUNTIF(H4:H23,"M/F")+COUNTIF(H4:H23,"M1")+COUNTIF(H4:H23,"M3")+COUNTIF(H4:H23,"M3/G")+COUNTIF(H4:H23,"M2")</f>
        <v>2</v>
      </c>
      <c r="I28" s="112">
        <f>COUNTIF(I4:I23,"M/F")+COUNTIF(I4:I23,"M1")+COUNTIF(I4:I23,"M3")+COUNTIF(I4:I23,"M3/G")+COUNTIF(I4:I23,"M2")</f>
        <v>2</v>
      </c>
      <c r="J28" s="112">
        <f>COUNTIF(J4:J23,"M/F")+COUNTIF(J4:J23,"M1")+COUNTIF(J4:J23,"M3")+COUNTIF(J4:J23,"M3/G")+COUNTIF(J4:J23,"M2")</f>
        <v>2</v>
      </c>
      <c r="K28" s="112">
        <f>COUNTIF(K4:K23,"M/F")+COUNTIF(K4:K23,"M1")+COUNTIF(K4:K23,"M3")+COUNTIF(K4:K23,"M3/G")+COUNTIF(K4:K23,"M2")</f>
        <v>2</v>
      </c>
      <c r="L28" s="112">
        <f>COUNTIF(L4:L23,"M/F")+COUNTIF(L4:L23,"M1")+COUNTIF(L4:L23,"M3")+COUNTIF(L4:L23,"M3/G")+COUNTIF(L4:L23,"M2")</f>
        <v>2</v>
      </c>
      <c r="M28" s="112">
        <f>COUNTIF(M4:M23,"M/F")+COUNTIF(M4:M23,"M1")+COUNTIF(M4:M23,"M3")+COUNTIF(M4:M23,"M3/G")+COUNTIF(M4:M23,"M2")</f>
        <v>2</v>
      </c>
      <c r="N28" s="112">
        <f>COUNTIF(N4:N23,"M/F")+COUNTIF(N4:N23,"M1")+COUNTIF(N4:N23,"M3")+COUNTIF(N4:N23,"M3/G")+COUNTIF(N4:N23,"M2")</f>
        <v>2</v>
      </c>
      <c r="O28" s="112">
        <f>COUNTIF(O4:O23,"M/F")+COUNTIF(O4:O23,"M1")+COUNTIF(O4:O23,"M3")+COUNTIF(O4:O23,"M3/G")+COUNTIF(O4:O23,"M2")</f>
        <v>0</v>
      </c>
      <c r="P28" s="112">
        <f>COUNTIF(P4:P23,"M/F")+COUNTIF(P4:P23,"M1")+COUNTIF(P4:P23,"M3")+COUNTIF(P4:P23,"M3/G")+COUNTIF(P4:P23,"M2")</f>
        <v>0</v>
      </c>
      <c r="Q28" s="112">
        <f>COUNTIF(Q4:Q23,"M/F")+COUNTIF(Q4:Q23,"M1")+COUNTIF(Q4:Q23,"M3")+COUNTIF(Q4:Q23,"M3/G")+COUNTIF(Q4:Q23,"M2")</f>
        <v>0</v>
      </c>
      <c r="R28" s="112">
        <f>COUNTIF(R4:R23,"M/F")+COUNTIF(R4:R23,"M1")+COUNTIF(R4:R23,"M3")+COUNTIF(R4:R23,"M3/G")+COUNTIF(R4:R23,"M2")</f>
        <v>0</v>
      </c>
      <c r="S28" s="112">
        <f>COUNTIF(S4:S23,"M/F")+COUNTIF(S4:S23,"M1")+COUNTIF(S4:S23,"M3")+COUNTIF(S4:S23,"M3/G")+COUNTIF(S4:S23,"M2")</f>
        <v>0</v>
      </c>
      <c r="T28" s="112">
        <f>COUNTIF(T4:T23,"M/F")+COUNTIF(T4:T23,"M1")+COUNTIF(T4:T23,"M3")+COUNTIF(T4:T23,"M3/G")+COUNTIF(T4:T23,"M2")</f>
        <v>2</v>
      </c>
      <c r="U28" s="112">
        <f>COUNTIF(U4:U23,"M/F")+COUNTIF(U4:U23,"M1")+COUNTIF(U4:U23,"M3")+COUNTIF(U4:U23,"M3/G")+COUNTIF(U4:U23,"M2")</f>
        <v>2</v>
      </c>
      <c r="V28" s="112">
        <f>COUNTIF(V4:V23,"M/F")+COUNTIF(V4:V23,"M1")+COUNTIF(V4:V23,"M3")+COUNTIF(V4:V23,"M3/G")+COUNTIF(V4:V23,"M2")</f>
        <v>0</v>
      </c>
      <c r="W28" s="112">
        <f>COUNTIF(W4:W23,"M/F")+COUNTIF(W4:W23,"M1")+COUNTIF(W4:W23,"M3")+COUNTIF(W4:W23,"M3/G")+COUNTIF(W4:W23,"M2")</f>
        <v>0</v>
      </c>
      <c r="X28" s="112">
        <f>COUNTIF(X4:X23,"M/F")+COUNTIF(X4:X23,"M1")+COUNTIF(X4:X23,"M3")+COUNTIF(X4:X23,"M3/G")+COUNTIF(X4:X23,"M2")</f>
        <v>0</v>
      </c>
      <c r="Y28" s="112">
        <f>COUNTIF(Y4:Y23,"M/F")+COUNTIF(Y4:Y23,"M1")+COUNTIF(Y4:Y23,"M3")+COUNTIF(Y4:Y23,"M3/G")+COUNTIF(Y4:Y23,"M2")</f>
        <v>0</v>
      </c>
      <c r="Z28" s="112">
        <f>COUNTIF(Z4:Z23,"M/F")+COUNTIF(Z4:Z23,"M1")+COUNTIF(Z4:Z23,"M3")+COUNTIF(Z4:Z23,"M3/G")+COUNTIF(Z4:Z23,"M2")</f>
        <v>0</v>
      </c>
      <c r="AA28" s="112">
        <f>COUNTIF(AA4:AA23,"M/F")+COUNTIF(AA4:AA23,"M1")+COUNTIF(AA4:AA23,"M3")+COUNTIF(AA4:AA23,"M3/G")+COUNTIF(AA4:AA23,"M2")</f>
        <v>2</v>
      </c>
      <c r="AB28" s="112">
        <f>COUNTIF(AB4:AB23,"M/F")+COUNTIF(AB4:AB23,"M1")+COUNTIF(AB4:AB23,"M3")+COUNTIF(AB4:AB23,"M3/G")+COUNTIF(AB4:AB23,"M2")</f>
        <v>2</v>
      </c>
      <c r="AC28" s="112">
        <f>COUNTIF(AC4:AC23,"M/F")+COUNTIF(AC4:AC23,"M1")+COUNTIF(AC4:AC23,"M3")+COUNTIF(AC4:AC23,"M3/G")+COUNTIF(AC4:AC23,"M2")</f>
        <v>2</v>
      </c>
      <c r="AD28" s="112">
        <f>COUNTIF(AD4:AD23,"M/F")+COUNTIF(AD4:AD23,"M1")+COUNTIF(AD4:AD23,"M3")+COUNTIF(AD4:AD23,"M3/G")+COUNTIF(AD4:AD23,"M2")</f>
        <v>2</v>
      </c>
      <c r="AE28" s="112">
        <f>COUNTIF(AE4:AE23,"M/F")+COUNTIF(AE4:AE23,"M1")+COUNTIF(AE4:AE23,"M3")+COUNTIF(AE4:AE23,"M3/G")+COUNTIF(AE4:AE23,"M2")</f>
        <v>2</v>
      </c>
      <c r="AF28" s="112">
        <f>COUNTIF(AF4:AF23,"M/F")+COUNTIF(AF4:AF23,"M1")+COUNTIF(AF4:AF23,"M3")+COUNTIF(AF4:AF23,"M3/G")+COUNTIF(AF4:AF23,"M2")</f>
        <v>2</v>
      </c>
      <c r="AG28" s="112">
        <f>COUNTIF(AG4:AG23,"M/F")+COUNTIF(AG4:AG23,"M1")+COUNTIF(AG4:AG23,"M3")+COUNTIF(AG4:AG23,"M3/G")+COUNTIF(AG4:AG23,"M2")</f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  <row r="43" spans="2:2" ht="15"/>
    <row r="44" spans="2:2" ht="15"/>
  </sheetData>
  <mergeCells count="2">
    <mergeCell ref="B1:B3"/>
    <mergeCell ref="C1:AG1"/>
  </mergeCells>
  <conditionalFormatting sqref="C26:AG28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0"/>
      <c r="C1" s="171" t="s">
        <v>116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4">
      <c r="A2" s="6"/>
      <c r="B2" s="17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0"/>
      <c r="C1" s="171" t="s">
        <v>117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/>
    </row>
    <row r="2" spans="1:33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0"/>
      <c r="C1" s="171" t="s">
        <v>118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4">
      <c r="A2" s="6"/>
      <c r="B2" s="17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0"/>
      <c r="C1" s="171" t="s">
        <v>119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0"/>
      <c r="C1" s="171" t="s">
        <v>120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</row>
    <row r="2" spans="1:34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Martin Pavon Fernando</cp:lastModifiedBy>
  <cp:revision/>
  <dcterms:created xsi:type="dcterms:W3CDTF">2025-06-10T09:39:58Z</dcterms:created>
  <dcterms:modified xsi:type="dcterms:W3CDTF">2026-05-25T10:13:27Z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