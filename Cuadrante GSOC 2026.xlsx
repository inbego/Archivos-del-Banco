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threadedComments/threadedComment5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488" documentId="8_{BF395F17-8A36-4A5B-A61D-48748E8233D4}" xr6:coauthVersionLast="47" xr6:coauthVersionMax="47" xr10:uidLastSave="{7C839E83-55FE-413D-85AE-3A7E4C366E2E}"/>
  <bookViews>
    <workbookView xWindow="-120" yWindow="-120" windowWidth="38640" windowHeight="21120" firstSheet="11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F25" i="32"/>
  <c r="AE25" i="32"/>
  <c r="AE23" i="32" s="1"/>
  <c r="AD25" i="32"/>
  <c r="AC25" i="32"/>
  <c r="AB25" i="32"/>
  <c r="AB23" i="32" s="1"/>
  <c r="AA25" i="32"/>
  <c r="AA23" i="32" s="1"/>
  <c r="Z25" i="32"/>
  <c r="Y25" i="32"/>
  <c r="X25" i="32"/>
  <c r="W25" i="32"/>
  <c r="V25" i="32"/>
  <c r="U25" i="32"/>
  <c r="T25" i="32"/>
  <c r="S25" i="32"/>
  <c r="S23" i="32" s="1"/>
  <c r="R25" i="32"/>
  <c r="Q25" i="32"/>
  <c r="Q23" i="32" s="1"/>
  <c r="P25" i="32"/>
  <c r="P23" i="32" s="1"/>
  <c r="O25" i="32"/>
  <c r="N25" i="32"/>
  <c r="M25" i="32"/>
  <c r="L25" i="32"/>
  <c r="K25" i="32"/>
  <c r="J25" i="32"/>
  <c r="I25" i="32"/>
  <c r="H25" i="32"/>
  <c r="G25" i="32"/>
  <c r="G23" i="32" s="1"/>
  <c r="F25" i="32"/>
  <c r="F23" i="32" s="1"/>
  <c r="E25" i="32"/>
  <c r="E23" i="32" s="1"/>
  <c r="D25" i="32"/>
  <c r="D23" i="32" s="1"/>
  <c r="C25" i="32"/>
  <c r="C23" i="32" s="1"/>
  <c r="AF24" i="32"/>
  <c r="AF23" i="32" s="1"/>
  <c r="AE24" i="32"/>
  <c r="AD24" i="32"/>
  <c r="AC24" i="32"/>
  <c r="AB24" i="32"/>
  <c r="AA24" i="32"/>
  <c r="Z24" i="32"/>
  <c r="Y24" i="32"/>
  <c r="Y23" i="32" s="1"/>
  <c r="X24" i="32"/>
  <c r="X23" i="32" s="1"/>
  <c r="W24" i="32"/>
  <c r="W23" i="32" s="1"/>
  <c r="V24" i="32"/>
  <c r="V23" i="32" s="1"/>
  <c r="U24" i="32"/>
  <c r="U23" i="32" s="1"/>
  <c r="T24" i="32"/>
  <c r="T23" i="32" s="1"/>
  <c r="S24" i="32"/>
  <c r="R24" i="32"/>
  <c r="Q24" i="32"/>
  <c r="P24" i="32"/>
  <c r="O24" i="32"/>
  <c r="N24" i="32"/>
  <c r="M24" i="32"/>
  <c r="M23" i="32" s="1"/>
  <c r="L24" i="32"/>
  <c r="L23" i="32" s="1"/>
  <c r="K24" i="32"/>
  <c r="K23" i="32" s="1"/>
  <c r="J24" i="32"/>
  <c r="J23" i="32" s="1"/>
  <c r="I24" i="32"/>
  <c r="I23" i="32" s="1"/>
  <c r="H24" i="32"/>
  <c r="H23" i="32" s="1"/>
  <c r="G24" i="32"/>
  <c r="F24" i="32"/>
  <c r="E24" i="32"/>
  <c r="D24" i="32"/>
  <c r="C24" i="32"/>
  <c r="AD23" i="32"/>
  <c r="AC23" i="32"/>
  <c r="Z23" i="32"/>
  <c r="R23" i="32"/>
  <c r="O23" i="32"/>
  <c r="N23" i="32"/>
  <c r="AG26" i="31"/>
  <c r="AF26" i="31"/>
  <c r="AE26" i="31"/>
  <c r="AD26" i="31"/>
  <c r="AC26" i="31"/>
  <c r="AB26" i="31"/>
  <c r="AB23" i="31" s="1"/>
  <c r="AA26" i="31"/>
  <c r="Z26" i="31"/>
  <c r="Y26" i="31"/>
  <c r="X26" i="31"/>
  <c r="W26" i="31"/>
  <c r="V26" i="31"/>
  <c r="V23" i="31" s="1"/>
  <c r="U26" i="31"/>
  <c r="T26" i="31"/>
  <c r="S26" i="31"/>
  <c r="R26" i="31"/>
  <c r="Q26" i="31"/>
  <c r="P26" i="31"/>
  <c r="P23" i="31" s="1"/>
  <c r="O26" i="31"/>
  <c r="N26" i="31"/>
  <c r="M26" i="31"/>
  <c r="L26" i="31"/>
  <c r="K26" i="31"/>
  <c r="J26" i="31"/>
  <c r="J23" i="31" s="1"/>
  <c r="I26" i="31"/>
  <c r="H26" i="31"/>
  <c r="G26" i="31"/>
  <c r="F26" i="31"/>
  <c r="E26" i="31"/>
  <c r="D26" i="31"/>
  <c r="D23" i="31" s="1"/>
  <c r="C26" i="31"/>
  <c r="AG25" i="31"/>
  <c r="AF25" i="31"/>
  <c r="AE25" i="31"/>
  <c r="AD25" i="31"/>
  <c r="AC25" i="31"/>
  <c r="AC23" i="31" s="1"/>
  <c r="AB25" i="31"/>
  <c r="AA25" i="31"/>
  <c r="Z25" i="31"/>
  <c r="Y25" i="31"/>
  <c r="X25" i="31"/>
  <c r="W25" i="31"/>
  <c r="V25" i="31"/>
  <c r="U25" i="31"/>
  <c r="T25" i="31"/>
  <c r="S25" i="31"/>
  <c r="R25" i="31"/>
  <c r="Q25" i="31"/>
  <c r="Q23" i="31" s="1"/>
  <c r="P25" i="31"/>
  <c r="O25" i="31"/>
  <c r="N25" i="31"/>
  <c r="M25" i="31"/>
  <c r="L25" i="31"/>
  <c r="K25" i="31"/>
  <c r="K23" i="31" s="1"/>
  <c r="J25" i="31"/>
  <c r="I25" i="31"/>
  <c r="H25" i="31"/>
  <c r="G25" i="31"/>
  <c r="F25" i="31"/>
  <c r="E25" i="31"/>
  <c r="D25" i="31"/>
  <c r="C25" i="31"/>
  <c r="AG24" i="31"/>
  <c r="AF24" i="31"/>
  <c r="AF23" i="31" s="1"/>
  <c r="AE24" i="31"/>
  <c r="AE23" i="31" s="1"/>
  <c r="AD24" i="31"/>
  <c r="AD23" i="31" s="1"/>
  <c r="AC24" i="31"/>
  <c r="AB24" i="31"/>
  <c r="AA24" i="31"/>
  <c r="Z24" i="31"/>
  <c r="Y24" i="31"/>
  <c r="X24" i="31"/>
  <c r="X23" i="31" s="1"/>
  <c r="W24" i="31"/>
  <c r="W23" i="31" s="1"/>
  <c r="V24" i="31"/>
  <c r="U24" i="31"/>
  <c r="T24" i="31"/>
  <c r="S24" i="31"/>
  <c r="S23" i="31" s="1"/>
  <c r="R24" i="31"/>
  <c r="R23" i="31" s="1"/>
  <c r="Q24" i="31"/>
  <c r="P24" i="31"/>
  <c r="O24" i="31"/>
  <c r="N24" i="31"/>
  <c r="M24" i="31"/>
  <c r="L24" i="31"/>
  <c r="L23" i="31" s="1"/>
  <c r="K24" i="31"/>
  <c r="J24" i="31"/>
  <c r="I24" i="31"/>
  <c r="H24" i="31"/>
  <c r="G24" i="31"/>
  <c r="G23" i="31" s="1"/>
  <c r="F24" i="31"/>
  <c r="F23" i="31" s="1"/>
  <c r="E24" i="31"/>
  <c r="D24" i="31"/>
  <c r="C24" i="31"/>
  <c r="AG23" i="31"/>
  <c r="AA23" i="31"/>
  <c r="Z23" i="31"/>
  <c r="Y23" i="31"/>
  <c r="U23" i="31"/>
  <c r="T23" i="31"/>
  <c r="O23" i="31"/>
  <c r="N23" i="31"/>
  <c r="M23" i="31"/>
  <c r="I23" i="31"/>
  <c r="H23" i="31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E15" i="33" l="1"/>
  <c r="E16" i="33"/>
  <c r="H98" i="17"/>
  <c r="H99" i="17"/>
  <c r="C23" i="31"/>
  <c r="E23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tc={257D53E7-1B5C-40EE-B858-CC181621C30F}</author>
  </authors>
  <commentList>
    <comment ref="S22" authorId="0" shapeId="0" xr:uid="{257D53E7-1B5C-40EE-B858-CC181621C30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1" authorId="0" shapeId="0" xr:uid="{145E8B63-2F3F-4A8A-8332-897948033002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Pendiente de pedir por parte de Fernando</t>
      </text>
    </comment>
  </commentList>
</comments>
</file>

<file path=xl/sharedStrings.xml><?xml version="1.0" encoding="utf-8"?>
<sst xmlns="http://schemas.openxmlformats.org/spreadsheetml/2006/main" count="11467" uniqueCount="196">
  <si>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</si>
  <si>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</si>
  <si>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</si>
  <si>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</si>
  <si>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</si>
  <si>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</si>
  <si>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</si>
  <si>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</si>
  <si>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</si>
  <si>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</si>
  <si>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</si>
  <si>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</si>
  <si>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</si>
  <si>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</si>
  <si>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</si>
  <si>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</si>
  <si>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</si>
  <si>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</si>
  <si>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</si>
  <si>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</si>
  <si>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</si>
  <si>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</si>
  <si>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</si>
  <si>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</si>
  <si>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</si>
  <si>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</si>
  <si>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</si>
  <si>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</si>
  <si>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</si>
  <si>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</si>
  <si>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</si>
  <si>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</si>
  <si>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</si>
  <si>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</si>
  <si>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</si>
  <si>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</si>
  <si>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</si>
  <si>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</si>
  <si>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</si>
  <si>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</si>
  <si>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</si>
  <si>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</si>
  <si>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</si>
  <si>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</si>
  <si>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</si>
  <si>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</si>
  <si>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</si>
  <si>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</si>
  <si>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</si>
  <si>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</si>
  <si>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</si>
  <si>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</si>
  <si>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</si>
  <si>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</si>
  <si>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</si>
  <si>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</si>
  <si>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</si>
  <si>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</si>
  <si>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</si>
  <si>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</si>
  <si>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</si>
  <si>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</si>
  <si>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</si>
  <si>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</si>
  <si>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</si>
  <si>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</si>
  <si>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</si>
  <si>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</si>
  <si>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</si>
  <si>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</si>
  <si>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</si>
  <si>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</si>
  <si>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</si>
  <si>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</si>
  <si>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</si>
  <si>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</si>
  <si>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</si>
  <si>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</si>
  <si>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</si>
  <si>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</si>
  <si>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</si>
  <si>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</si>
  <si>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</si>
  <si>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</si>
  <si>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</si>
  <si>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</si>
  <si>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</si>
  <si>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</si>
  <si>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</si>
  <si>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</si>
  <si>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</si>
  <si>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</si>
  <si>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</si>
  <si>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</si>
  <si>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</si>
  <si>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</si>
  <si>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</si>
  <si>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</si>
  <si>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</si>
  <si>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</si>
  <si>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</si>
  <si>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</si>
  <si>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</si>
  <si>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</si>
  <si>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</si>
  <si>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</si>
  <si>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</si>
  <si>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</si>
  <si>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</si>
  <si>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</si>
  <si>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</si>
  <si>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Hector   Contreras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</si>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</sst>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0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22" dT="2026-03-10T11:21:01.36" personId="{678BB04D-11B0-457D-BCA0-D5F409BCB035}" id="{257D53E7-1B5C-40EE-B858-CC181621C30F}">
    <text>Pendiente de pedir por parte de Fernando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U21" dT="2026-03-10T11:21:01.36" personId="{678BB04D-11B0-457D-BCA0-D5F409BCB035}" id="{145E8B63-2F3F-4A8A-8332-897948033002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67"/>
      <c r="E2" s="173" t="s">
        <v>0</v>
      </c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5"/>
    </row>
    <row r="3" spans="1:36" ht="18" customHeight="1">
      <c r="B3" s="32"/>
      <c r="D3" s="167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67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76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77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77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77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77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77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77"/>
      <c r="C11" s="34"/>
      <c r="D11" s="36"/>
      <c r="E11" s="182"/>
      <c r="F11" s="183"/>
      <c r="G11" s="183"/>
      <c r="H11" s="183"/>
      <c r="I11" s="183"/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3"/>
      <c r="AE11" s="183"/>
      <c r="AF11" s="183"/>
      <c r="AG11" s="183"/>
      <c r="AH11" s="183"/>
      <c r="AI11" s="184"/>
      <c r="AJ11" s="91"/>
    </row>
    <row r="12" spans="1:36" ht="18" customHeight="1">
      <c r="A12" s="177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77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77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77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77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77"/>
      <c r="C17" s="34"/>
      <c r="D17" s="33"/>
      <c r="E17" s="182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4"/>
    </row>
    <row r="18" spans="1:36" ht="18" customHeight="1">
      <c r="A18" s="177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77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77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77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77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77"/>
      <c r="C23" s="34"/>
      <c r="D23" s="35"/>
      <c r="E23" s="179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  <c r="AD23" s="180"/>
      <c r="AE23" s="180"/>
      <c r="AF23" s="180"/>
      <c r="AG23" s="180"/>
      <c r="AH23" s="180"/>
      <c r="AI23" s="181"/>
    </row>
    <row r="24" spans="1:36" ht="18" customHeight="1">
      <c r="A24" s="178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0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1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1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1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1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2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.7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.75" thickBot="1">
      <c r="A2" s="6"/>
      <c r="B2" s="6"/>
      <c r="C2" s="6"/>
      <c r="D2" s="167"/>
      <c r="E2" s="173" t="s">
        <v>49</v>
      </c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5"/>
    </row>
    <row r="3" spans="1:36">
      <c r="A3" s="6"/>
      <c r="B3" s="32"/>
      <c r="C3" s="6"/>
      <c r="D3" s="167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67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77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77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77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77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77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77"/>
      <c r="B10" s="6"/>
      <c r="C10" s="34"/>
      <c r="D10" s="36"/>
      <c r="E10" s="182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183"/>
      <c r="AD10" s="183"/>
      <c r="AE10" s="183"/>
      <c r="AF10" s="183"/>
      <c r="AG10" s="183"/>
      <c r="AH10" s="183"/>
      <c r="AI10" s="184"/>
    </row>
    <row r="11" spans="1:36">
      <c r="A11" s="177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77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.75" thickBot="1">
      <c r="A13" s="177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.75" thickBot="1">
      <c r="A14" s="177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77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77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77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77"/>
      <c r="B18" s="6"/>
      <c r="C18" s="34"/>
      <c r="D18" s="33"/>
      <c r="E18" s="182"/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4"/>
    </row>
    <row r="19" spans="1:35">
      <c r="A19" s="177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77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77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77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77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77"/>
      <c r="B24" s="6"/>
      <c r="C24" s="34"/>
      <c r="E24" s="179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  <c r="AD24" s="180"/>
      <c r="AE24" s="180"/>
      <c r="AF24" s="180"/>
      <c r="AG24" s="180"/>
      <c r="AH24" s="180"/>
      <c r="AI24" s="181"/>
    </row>
    <row r="25" spans="1:35" ht="15.75" thickBot="1">
      <c r="A25" s="178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.7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0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1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1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1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1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.75" thickBot="1">
      <c r="A33" s="172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67"/>
      <c r="C1" s="173" t="s">
        <v>57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67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3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183"/>
      <c r="AD9" s="183"/>
      <c r="AE9" s="183"/>
      <c r="AF9" s="183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3"/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3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67"/>
      <c r="C1" s="185" t="s">
        <v>78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7"/>
    </row>
    <row r="2" spans="1:34">
      <c r="A2" s="6"/>
      <c r="B2" s="167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3"/>
      <c r="D15" s="183"/>
      <c r="E15" s="183"/>
      <c r="F15" s="183"/>
      <c r="G15" s="183"/>
      <c r="H15" s="183"/>
      <c r="I15" s="183"/>
      <c r="J15" s="183"/>
      <c r="K15" s="183"/>
      <c r="L15" s="183"/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183"/>
      <c r="AD15" s="183"/>
      <c r="AE15" s="183"/>
      <c r="AF15" s="183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67"/>
      <c r="C1" s="188" t="s">
        <v>81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 spans="1:34">
      <c r="A2" s="6"/>
      <c r="B2" s="167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defaultColWidth="8.85546875" defaultRowHeight="1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67"/>
      <c r="C1" s="188" t="s">
        <v>95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</row>
    <row r="2" spans="1:37">
      <c r="A2" s="6"/>
      <c r="B2" s="167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67"/>
      <c r="C1" s="188" t="s">
        <v>97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</row>
    <row r="2" spans="1:34">
      <c r="A2" s="6"/>
      <c r="B2" s="167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7"/>
      <c r="C1" s="189" t="s">
        <v>98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</row>
    <row r="2" spans="1:34">
      <c r="A2" s="6"/>
      <c r="B2" s="167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7"/>
      <c r="C1" s="168" t="s">
        <v>104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</row>
    <row r="2" spans="1:34">
      <c r="A2" s="6"/>
      <c r="B2" s="167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67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S22" sqref="S22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7"/>
      <c r="C1" s="168" t="s">
        <v>108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</row>
    <row r="2" spans="1:33">
      <c r="A2" s="6"/>
      <c r="B2" s="167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45" t="s">
        <v>85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45" t="s">
        <v>54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7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3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0"/>
  <sheetViews>
    <sheetView workbookViewId="0">
      <selection activeCell="B16" sqref="B16:B17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67"/>
      <c r="C1" s="168" t="s">
        <v>110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</row>
    <row r="2" spans="1:34">
      <c r="A2" s="6"/>
      <c r="B2" s="167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1" t="s">
        <v>14</v>
      </c>
      <c r="G4" s="1" t="s">
        <v>14</v>
      </c>
      <c r="H4" s="1" t="s">
        <v>14</v>
      </c>
      <c r="I4" s="1" t="s">
        <v>14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5" t="s">
        <v>14</v>
      </c>
      <c r="AB4" s="5" t="s">
        <v>14</v>
      </c>
      <c r="AC4" s="5" t="s">
        <v>14</v>
      </c>
      <c r="AD4" s="5" t="s">
        <v>14</v>
      </c>
      <c r="AE4" s="5" t="s">
        <v>14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7" t="s">
        <v>20</v>
      </c>
      <c r="G5" s="7" t="s">
        <v>20</v>
      </c>
      <c r="H5" s="7" t="s">
        <v>20</v>
      </c>
      <c r="I5" s="7" t="s">
        <v>20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111</v>
      </c>
      <c r="C8" s="5" t="s">
        <v>14</v>
      </c>
      <c r="D8" s="28" t="s">
        <v>7</v>
      </c>
      <c r="E8" s="28" t="s">
        <v>7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28" t="s">
        <v>7</v>
      </c>
      <c r="L8" s="28" t="s">
        <v>7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28" t="s">
        <v>7</v>
      </c>
      <c r="S8" s="28" t="s">
        <v>7</v>
      </c>
      <c r="T8" s="5" t="s">
        <v>14</v>
      </c>
      <c r="U8" s="5" t="s">
        <v>14</v>
      </c>
      <c r="V8" s="5" t="s">
        <v>14</v>
      </c>
      <c r="W8" s="5" t="s">
        <v>14</v>
      </c>
      <c r="X8" s="5" t="s">
        <v>14</v>
      </c>
      <c r="Y8" s="28" t="s">
        <v>7</v>
      </c>
      <c r="Z8" s="28" t="s">
        <v>7</v>
      </c>
      <c r="AA8" s="1" t="s">
        <v>14</v>
      </c>
      <c r="AB8" s="1" t="s">
        <v>14</v>
      </c>
      <c r="AC8" s="1" t="s">
        <v>14</v>
      </c>
      <c r="AD8" s="1" t="s">
        <v>14</v>
      </c>
      <c r="AE8" s="1" t="s">
        <v>14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130" t="s">
        <v>16</v>
      </c>
      <c r="G11" s="130" t="s">
        <v>16</v>
      </c>
      <c r="H11" s="130" t="s">
        <v>16</v>
      </c>
      <c r="I11" s="130" t="s">
        <v>16</v>
      </c>
      <c r="J11" s="130" t="s">
        <v>16</v>
      </c>
      <c r="K11" s="130" t="s">
        <v>17</v>
      </c>
      <c r="L11" s="130" t="s">
        <v>17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5" t="s">
        <v>14</v>
      </c>
      <c r="U11" s="5" t="s">
        <v>14</v>
      </c>
      <c r="V11" s="5" t="s">
        <v>14</v>
      </c>
      <c r="W11" s="5" t="s">
        <v>14</v>
      </c>
      <c r="X11" s="5" t="s">
        <v>14</v>
      </c>
      <c r="Y11" s="5" t="s">
        <v>15</v>
      </c>
      <c r="Z11" s="5" t="s">
        <v>15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25" t="s">
        <v>20</v>
      </c>
      <c r="G12" s="125" t="s">
        <v>20</v>
      </c>
      <c r="H12" s="125" t="s">
        <v>20</v>
      </c>
      <c r="I12" s="125" t="s">
        <v>20</v>
      </c>
      <c r="J12" s="125" t="s">
        <v>20</v>
      </c>
      <c r="K12" s="28" t="s">
        <v>7</v>
      </c>
      <c r="L12" s="28" t="s">
        <v>7</v>
      </c>
      <c r="M12" s="130" t="s">
        <v>16</v>
      </c>
      <c r="N12" s="130" t="s">
        <v>16</v>
      </c>
      <c r="O12" s="130" t="s">
        <v>16</v>
      </c>
      <c r="P12" s="130" t="s">
        <v>16</v>
      </c>
      <c r="Q12" s="130" t="s">
        <v>16</v>
      </c>
      <c r="R12" s="130" t="s">
        <v>17</v>
      </c>
      <c r="S12" s="130" t="s">
        <v>17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5" t="s">
        <v>14</v>
      </c>
      <c r="AB12" s="5" t="s">
        <v>14</v>
      </c>
      <c r="AC12" s="5" t="s">
        <v>14</v>
      </c>
      <c r="AD12" s="5" t="s">
        <v>14</v>
      </c>
      <c r="AE12" s="5" t="s">
        <v>14</v>
      </c>
      <c r="AF12" s="5" t="s">
        <v>15</v>
      </c>
      <c r="AG12" s="5" t="s">
        <v>15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 t="s">
        <v>12</v>
      </c>
      <c r="B16" s="33" t="s">
        <v>21</v>
      </c>
      <c r="C16" s="130" t="s">
        <v>16</v>
      </c>
      <c r="D16" s="130" t="s">
        <v>17</v>
      </c>
      <c r="E16" s="130" t="s">
        <v>17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16</v>
      </c>
      <c r="R16" s="130" t="s">
        <v>17</v>
      </c>
      <c r="S16" s="130" t="s">
        <v>17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28" t="s">
        <v>7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16</v>
      </c>
      <c r="AF16" s="130" t="s">
        <v>17</v>
      </c>
      <c r="AG16" s="130" t="s">
        <v>17</v>
      </c>
      <c r="AH16"/>
    </row>
    <row r="17" spans="1:34">
      <c r="A17" s="34" t="s">
        <v>12</v>
      </c>
      <c r="B17" s="33" t="s">
        <v>22</v>
      </c>
      <c r="C17" s="28" t="s">
        <v>7</v>
      </c>
      <c r="D17" s="28" t="s">
        <v>7</v>
      </c>
      <c r="E17" s="28" t="s">
        <v>7</v>
      </c>
      <c r="F17" s="130" t="s">
        <v>16</v>
      </c>
      <c r="G17" s="130" t="s">
        <v>16</v>
      </c>
      <c r="H17" s="130" t="s">
        <v>16</v>
      </c>
      <c r="I17" s="130" t="s">
        <v>16</v>
      </c>
      <c r="J17" s="130" t="s">
        <v>16</v>
      </c>
      <c r="K17" s="130" t="s">
        <v>17</v>
      </c>
      <c r="L17" s="130" t="s">
        <v>17</v>
      </c>
      <c r="M17" s="28" t="s">
        <v>7</v>
      </c>
      <c r="N17" s="28" t="s">
        <v>7</v>
      </c>
      <c r="O17" s="28" t="s">
        <v>7</v>
      </c>
      <c r="P17" s="28" t="s">
        <v>7</v>
      </c>
      <c r="Q17" s="28" t="s">
        <v>7</v>
      </c>
      <c r="R17" s="28" t="s">
        <v>7</v>
      </c>
      <c r="S17" s="28" t="s">
        <v>7</v>
      </c>
      <c r="T17" s="130" t="s">
        <v>16</v>
      </c>
      <c r="U17" s="130" t="s">
        <v>16</v>
      </c>
      <c r="V17" s="130" t="s">
        <v>16</v>
      </c>
      <c r="W17" s="130" t="s">
        <v>16</v>
      </c>
      <c r="X17" s="130" t="s">
        <v>16</v>
      </c>
      <c r="Y17" s="130" t="s">
        <v>17</v>
      </c>
      <c r="Z17" s="130" t="s">
        <v>17</v>
      </c>
      <c r="AA17" s="28" t="s">
        <v>7</v>
      </c>
      <c r="AB17" s="28" t="s">
        <v>7</v>
      </c>
      <c r="AC17" s="28" t="s">
        <v>7</v>
      </c>
      <c r="AD17" s="28" t="s">
        <v>7</v>
      </c>
      <c r="AE17" s="28" t="s">
        <v>7</v>
      </c>
      <c r="AF17" s="28" t="s">
        <v>7</v>
      </c>
      <c r="AG17" s="28" t="s">
        <v>7</v>
      </c>
      <c r="AH17"/>
    </row>
    <row r="18" spans="1:34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122"/>
      <c r="U18" s="122"/>
      <c r="V18" s="122"/>
      <c r="W18" s="122"/>
      <c r="X18" s="122"/>
      <c r="Y18" s="50"/>
      <c r="Z18" s="50"/>
      <c r="AA18" s="50"/>
      <c r="AB18" s="50"/>
      <c r="AC18" s="50"/>
      <c r="AD18" s="50"/>
      <c r="AH18"/>
    </row>
    <row r="19" spans="1:34">
      <c r="A19" s="34" t="s">
        <v>28</v>
      </c>
      <c r="B19" s="33" t="s">
        <v>29</v>
      </c>
      <c r="C19" s="28" t="s">
        <v>7</v>
      </c>
      <c r="D19" s="28" t="s">
        <v>7</v>
      </c>
      <c r="E19" s="28" t="s">
        <v>7</v>
      </c>
      <c r="F19" s="145" t="s">
        <v>85</v>
      </c>
      <c r="G19" s="145" t="s">
        <v>85</v>
      </c>
      <c r="H19" s="145" t="s">
        <v>85</v>
      </c>
      <c r="I19" s="145" t="s">
        <v>85</v>
      </c>
      <c r="J19" s="145" t="s">
        <v>85</v>
      </c>
      <c r="K19" s="28" t="s">
        <v>30</v>
      </c>
      <c r="L19" s="28" t="s">
        <v>30</v>
      </c>
      <c r="M19" s="158" t="s">
        <v>11</v>
      </c>
      <c r="N19" s="158" t="s">
        <v>11</v>
      </c>
      <c r="O19" s="158" t="s">
        <v>11</v>
      </c>
      <c r="P19" s="158" t="s">
        <v>11</v>
      </c>
      <c r="Q19" s="28" t="s">
        <v>7</v>
      </c>
      <c r="R19" s="28" t="s">
        <v>7</v>
      </c>
      <c r="S19" s="28" t="s">
        <v>7</v>
      </c>
      <c r="T19" s="145" t="s">
        <v>54</v>
      </c>
      <c r="U19" s="145" t="s">
        <v>54</v>
      </c>
      <c r="V19" s="145" t="s">
        <v>54</v>
      </c>
      <c r="W19" s="145" t="s">
        <v>54</v>
      </c>
      <c r="X19" s="145" t="s">
        <v>54</v>
      </c>
      <c r="Y19" s="28" t="s">
        <v>7</v>
      </c>
      <c r="Z19" s="28" t="s">
        <v>7</v>
      </c>
      <c r="AA19" s="145" t="s">
        <v>85</v>
      </c>
      <c r="AB19" s="145" t="s">
        <v>85</v>
      </c>
      <c r="AC19" s="145" t="s">
        <v>85</v>
      </c>
      <c r="AD19" s="145" t="s">
        <v>85</v>
      </c>
      <c r="AE19" s="145" t="s">
        <v>85</v>
      </c>
      <c r="AF19" s="28" t="s">
        <v>30</v>
      </c>
      <c r="AG19" s="28" t="s">
        <v>30</v>
      </c>
      <c r="AH19"/>
    </row>
    <row r="20" spans="1:34">
      <c r="A20" s="34" t="s">
        <v>28</v>
      </c>
      <c r="B20" s="35" t="s">
        <v>60</v>
      </c>
      <c r="C20" s="28" t="s">
        <v>7</v>
      </c>
      <c r="D20" s="28" t="s">
        <v>7</v>
      </c>
      <c r="E20" s="28" t="s">
        <v>7</v>
      </c>
      <c r="F20" s="145" t="s">
        <v>54</v>
      </c>
      <c r="G20" s="145" t="s">
        <v>54</v>
      </c>
      <c r="H20" s="145" t="s">
        <v>54</v>
      </c>
      <c r="I20" s="145" t="s">
        <v>54</v>
      </c>
      <c r="J20" s="145" t="s">
        <v>54</v>
      </c>
      <c r="K20" s="28" t="s">
        <v>7</v>
      </c>
      <c r="L20" s="28" t="s">
        <v>7</v>
      </c>
      <c r="M20" s="145" t="s">
        <v>85</v>
      </c>
      <c r="N20" s="145" t="s">
        <v>85</v>
      </c>
      <c r="O20" s="145" t="s">
        <v>85</v>
      </c>
      <c r="P20" s="145" t="s">
        <v>85</v>
      </c>
      <c r="Q20" s="28" t="s">
        <v>30</v>
      </c>
      <c r="R20" s="28" t="s">
        <v>30</v>
      </c>
      <c r="S20" s="28" t="s">
        <v>30</v>
      </c>
      <c r="T20" s="158" t="s">
        <v>11</v>
      </c>
      <c r="U20" s="158" t="s">
        <v>11</v>
      </c>
      <c r="V20" s="158" t="s">
        <v>11</v>
      </c>
      <c r="W20" s="158" t="s">
        <v>11</v>
      </c>
      <c r="X20" s="158" t="s">
        <v>11</v>
      </c>
      <c r="Y20" s="28" t="s">
        <v>7</v>
      </c>
      <c r="Z20" s="28" t="s">
        <v>7</v>
      </c>
      <c r="AA20" s="145" t="s">
        <v>54</v>
      </c>
      <c r="AB20" s="145" t="s">
        <v>54</v>
      </c>
      <c r="AC20" s="145" t="s">
        <v>54</v>
      </c>
      <c r="AD20" s="145" t="s">
        <v>54</v>
      </c>
      <c r="AE20" s="145" t="s">
        <v>54</v>
      </c>
      <c r="AF20" s="28" t="s">
        <v>7</v>
      </c>
      <c r="AG20" s="28" t="s">
        <v>7</v>
      </c>
      <c r="AH20"/>
    </row>
    <row r="21" spans="1:34">
      <c r="A21" s="34" t="s">
        <v>28</v>
      </c>
      <c r="B21" s="62" t="s">
        <v>13</v>
      </c>
      <c r="C21" s="28" t="s">
        <v>30</v>
      </c>
      <c r="D21" s="28" t="s">
        <v>30</v>
      </c>
      <c r="E21" s="28" t="s">
        <v>30</v>
      </c>
      <c r="F21" s="158" t="s">
        <v>11</v>
      </c>
      <c r="G21" s="158" t="s">
        <v>11</v>
      </c>
      <c r="H21" s="158" t="s">
        <v>11</v>
      </c>
      <c r="I21" s="158" t="s">
        <v>11</v>
      </c>
      <c r="J21" s="158" t="s">
        <v>11</v>
      </c>
      <c r="K21" s="28" t="s">
        <v>7</v>
      </c>
      <c r="L21" s="28" t="s">
        <v>7</v>
      </c>
      <c r="M21" s="145" t="s">
        <v>54</v>
      </c>
      <c r="N21" s="145" t="s">
        <v>54</v>
      </c>
      <c r="O21" s="145" t="s">
        <v>54</v>
      </c>
      <c r="P21" s="145" t="s">
        <v>54</v>
      </c>
      <c r="Q21" s="28" t="s">
        <v>7</v>
      </c>
      <c r="R21" s="28" t="s">
        <v>7</v>
      </c>
      <c r="S21" s="28" t="s">
        <v>7</v>
      </c>
      <c r="T21" s="145" t="s">
        <v>85</v>
      </c>
      <c r="U21" s="145" t="s">
        <v>85</v>
      </c>
      <c r="V21" s="145" t="s">
        <v>85</v>
      </c>
      <c r="W21" s="145" t="s">
        <v>85</v>
      </c>
      <c r="X21" s="145" t="s">
        <v>85</v>
      </c>
      <c r="Y21" s="28" t="s">
        <v>30</v>
      </c>
      <c r="Z21" s="28" t="s">
        <v>30</v>
      </c>
      <c r="AA21" s="158" t="s">
        <v>11</v>
      </c>
      <c r="AB21" s="158" t="s">
        <v>11</v>
      </c>
      <c r="AC21" s="158" t="s">
        <v>11</v>
      </c>
      <c r="AD21" s="158" t="s">
        <v>11</v>
      </c>
      <c r="AE21" s="158" t="s">
        <v>11</v>
      </c>
      <c r="AF21" s="28" t="s">
        <v>7</v>
      </c>
      <c r="AG21" s="28" t="s">
        <v>7</v>
      </c>
      <c r="AH21"/>
    </row>
    <row r="23" spans="1:34">
      <c r="B23" s="111" t="s">
        <v>89</v>
      </c>
      <c r="C23" s="110">
        <f t="shared" ref="C23:AG23" si="0">SUM(C24:C26)</f>
        <v>4</v>
      </c>
      <c r="D23" s="110">
        <f t="shared" si="0"/>
        <v>4</v>
      </c>
      <c r="E23" s="110">
        <f t="shared" si="0"/>
        <v>4</v>
      </c>
      <c r="F23" s="110">
        <f t="shared" si="0"/>
        <v>7</v>
      </c>
      <c r="G23" s="110">
        <f t="shared" si="0"/>
        <v>7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4</v>
      </c>
      <c r="L23" s="110">
        <f t="shared" si="0"/>
        <v>4</v>
      </c>
      <c r="M23" s="110">
        <f t="shared" si="0"/>
        <v>7</v>
      </c>
      <c r="N23" s="110">
        <f t="shared" si="0"/>
        <v>7</v>
      </c>
      <c r="O23" s="110">
        <f t="shared" si="0"/>
        <v>7</v>
      </c>
      <c r="P23" s="110">
        <f t="shared" si="0"/>
        <v>7</v>
      </c>
      <c r="Q23" s="110">
        <f t="shared" si="0"/>
        <v>4</v>
      </c>
      <c r="R23" s="110">
        <f t="shared" si="0"/>
        <v>4</v>
      </c>
      <c r="S23" s="110">
        <f t="shared" si="0"/>
        <v>4</v>
      </c>
      <c r="T23" s="110">
        <f t="shared" si="0"/>
        <v>7</v>
      </c>
      <c r="U23" s="110">
        <f t="shared" si="0"/>
        <v>7</v>
      </c>
      <c r="V23" s="110">
        <f t="shared" si="0"/>
        <v>7</v>
      </c>
      <c r="W23" s="110">
        <f t="shared" si="0"/>
        <v>7</v>
      </c>
      <c r="X23" s="110">
        <f t="shared" si="0"/>
        <v>7</v>
      </c>
      <c r="Y23" s="110">
        <f t="shared" si="0"/>
        <v>4</v>
      </c>
      <c r="Z23" s="110">
        <f t="shared" si="0"/>
        <v>4</v>
      </c>
      <c r="AA23" s="110">
        <f t="shared" si="0"/>
        <v>7</v>
      </c>
      <c r="AB23" s="110">
        <f t="shared" si="0"/>
        <v>7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4</v>
      </c>
      <c r="AG23" s="110">
        <f t="shared" si="0"/>
        <v>4</v>
      </c>
    </row>
    <row r="24" spans="1:34">
      <c r="B24" s="111" t="s">
        <v>90</v>
      </c>
      <c r="C24" s="112">
        <f t="shared" ref="C24:AG24" si="1">COUNTIF(C4:C21,"T")</f>
        <v>2</v>
      </c>
      <c r="D24" s="112">
        <f t="shared" si="1"/>
        <v>0</v>
      </c>
      <c r="E24" s="112">
        <f t="shared" si="1"/>
        <v>0</v>
      </c>
      <c r="F24" s="112">
        <f t="shared" si="1"/>
        <v>2</v>
      </c>
      <c r="G24" s="112">
        <f t="shared" si="1"/>
        <v>2</v>
      </c>
      <c r="H24" s="112">
        <f t="shared" si="1"/>
        <v>2</v>
      </c>
      <c r="I24" s="112">
        <f t="shared" si="1"/>
        <v>2</v>
      </c>
      <c r="J24" s="112">
        <f t="shared" si="1"/>
        <v>2</v>
      </c>
      <c r="K24" s="112">
        <f t="shared" si="1"/>
        <v>0</v>
      </c>
      <c r="L24" s="112">
        <f t="shared" si="1"/>
        <v>0</v>
      </c>
      <c r="M24" s="112">
        <f t="shared" si="1"/>
        <v>2</v>
      </c>
      <c r="N24" s="112">
        <f t="shared" si="1"/>
        <v>2</v>
      </c>
      <c r="O24" s="112">
        <f t="shared" si="1"/>
        <v>2</v>
      </c>
      <c r="P24" s="112">
        <f t="shared" si="1"/>
        <v>2</v>
      </c>
      <c r="Q24" s="112">
        <f t="shared" si="1"/>
        <v>2</v>
      </c>
      <c r="R24" s="112">
        <f t="shared" si="1"/>
        <v>0</v>
      </c>
      <c r="S24" s="112">
        <f t="shared" si="1"/>
        <v>0</v>
      </c>
      <c r="T24" s="112">
        <f t="shared" si="1"/>
        <v>2</v>
      </c>
      <c r="U24" s="112">
        <f t="shared" si="1"/>
        <v>2</v>
      </c>
      <c r="V24" s="112">
        <f t="shared" si="1"/>
        <v>2</v>
      </c>
      <c r="W24" s="112">
        <f t="shared" si="1"/>
        <v>2</v>
      </c>
      <c r="X24" s="112">
        <f t="shared" si="1"/>
        <v>2</v>
      </c>
      <c r="Y24" s="112">
        <f t="shared" si="1"/>
        <v>0</v>
      </c>
      <c r="Z24" s="112">
        <f t="shared" si="1"/>
        <v>0</v>
      </c>
      <c r="AA24" s="112">
        <f t="shared" si="1"/>
        <v>2</v>
      </c>
      <c r="AB24" s="112">
        <f t="shared" si="1"/>
        <v>2</v>
      </c>
      <c r="AC24" s="112">
        <f t="shared" si="1"/>
        <v>2</v>
      </c>
      <c r="AD24" s="112">
        <f t="shared" si="1"/>
        <v>2</v>
      </c>
      <c r="AE24" s="112">
        <f t="shared" si="1"/>
        <v>2</v>
      </c>
      <c r="AF24" s="112">
        <f t="shared" si="1"/>
        <v>0</v>
      </c>
      <c r="AG24" s="112">
        <f t="shared" si="1"/>
        <v>0</v>
      </c>
    </row>
    <row r="25" spans="1:34">
      <c r="B25" s="111" t="s">
        <v>91</v>
      </c>
      <c r="C25" s="112">
        <f t="shared" ref="C25:AG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>
      <c r="B26" s="111" t="s">
        <v>92</v>
      </c>
      <c r="C26" s="112">
        <f>COUNTIF(C4:C21,"M/F")+COUNTIF(C4:C21,"M1")+COUNTIF(C4:C21,"M3")+COUNTIF(C4:C21,"M3/G")+COUNTIF(C4:C21,"M2")</f>
        <v>0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2</v>
      </c>
      <c r="F26" s="112">
        <f t="shared" ref="F26:AG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2</v>
      </c>
      <c r="L26" s="112">
        <f t="shared" si="3"/>
        <v>2</v>
      </c>
      <c r="M26" s="112">
        <f t="shared" si="3"/>
        <v>3</v>
      </c>
      <c r="N26" s="112">
        <f t="shared" si="3"/>
        <v>3</v>
      </c>
      <c r="O26" s="112">
        <f t="shared" si="3"/>
        <v>3</v>
      </c>
      <c r="P26" s="112">
        <f t="shared" si="3"/>
        <v>3</v>
      </c>
      <c r="Q26" s="112">
        <f t="shared" si="3"/>
        <v>0</v>
      </c>
      <c r="R26" s="112">
        <f t="shared" si="3"/>
        <v>2</v>
      </c>
      <c r="S26" s="112">
        <f t="shared" si="3"/>
        <v>2</v>
      </c>
      <c r="T26" s="112">
        <f t="shared" si="3"/>
        <v>3</v>
      </c>
      <c r="U26" s="112">
        <f t="shared" si="3"/>
        <v>3</v>
      </c>
      <c r="V26" s="112">
        <f t="shared" si="3"/>
        <v>3</v>
      </c>
      <c r="W26" s="112">
        <f t="shared" si="3"/>
        <v>3</v>
      </c>
      <c r="X26" s="112">
        <f t="shared" si="3"/>
        <v>3</v>
      </c>
      <c r="Y26" s="112">
        <f t="shared" si="3"/>
        <v>2</v>
      </c>
      <c r="Z26" s="112">
        <f t="shared" si="3"/>
        <v>2</v>
      </c>
      <c r="AA26" s="112">
        <f t="shared" si="3"/>
        <v>3</v>
      </c>
      <c r="AB26" s="112">
        <f t="shared" si="3"/>
        <v>3</v>
      </c>
      <c r="AC26" s="112">
        <f t="shared" si="3"/>
        <v>3</v>
      </c>
      <c r="AD26" s="112">
        <f t="shared" si="3"/>
        <v>3</v>
      </c>
      <c r="AE26" s="112">
        <f t="shared" si="3"/>
        <v>3</v>
      </c>
      <c r="AF26" s="112">
        <f t="shared" si="3"/>
        <v>2</v>
      </c>
      <c r="AG26" s="112">
        <f t="shared" si="3"/>
        <v>2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0"/>
  <sheetViews>
    <sheetView tabSelected="1" workbookViewId="0">
      <selection activeCell="M16" sqref="M16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67"/>
      <c r="C1" s="168" t="s">
        <v>112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</row>
    <row r="2" spans="1:33">
      <c r="A2" s="6"/>
      <c r="B2" s="167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1" t="s">
        <v>14</v>
      </c>
      <c r="K4" s="1" t="s">
        <v>14</v>
      </c>
      <c r="L4" s="1" t="s">
        <v>14</v>
      </c>
      <c r="M4" s="1" t="s">
        <v>14</v>
      </c>
      <c r="N4" s="1" t="s">
        <v>14</v>
      </c>
      <c r="O4" s="5" t="s">
        <v>15</v>
      </c>
      <c r="P4" s="5" t="s">
        <v>15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7" t="s">
        <v>20</v>
      </c>
      <c r="AA4" s="7" t="s">
        <v>20</v>
      </c>
      <c r="AB4" s="7" t="s">
        <v>20</v>
      </c>
      <c r="AC4" s="28" t="s">
        <v>7</v>
      </c>
      <c r="AD4" s="28" t="s">
        <v>7</v>
      </c>
      <c r="AE4" s="5" t="s">
        <v>14</v>
      </c>
      <c r="AF4" s="5" t="s">
        <v>14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7" t="s">
        <v>20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28" t="s">
        <v>7</v>
      </c>
      <c r="P5" s="28" t="s">
        <v>7</v>
      </c>
      <c r="Q5" s="1" t="s">
        <v>14</v>
      </c>
      <c r="R5" s="1" t="s">
        <v>14</v>
      </c>
      <c r="S5" s="1" t="s">
        <v>14</v>
      </c>
      <c r="T5" s="1" t="s">
        <v>14</v>
      </c>
      <c r="U5" s="1" t="s">
        <v>14</v>
      </c>
      <c r="V5" s="5" t="s">
        <v>15</v>
      </c>
      <c r="W5" s="5" t="s">
        <v>15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/>
    </row>
    <row r="6" spans="1:33">
      <c r="A6" s="34" t="s">
        <v>12</v>
      </c>
      <c r="B6" s="33" t="s">
        <v>59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7" t="s">
        <v>20</v>
      </c>
      <c r="K6" s="7" t="s">
        <v>20</v>
      </c>
      <c r="L6" s="7" t="s">
        <v>20</v>
      </c>
      <c r="M6" s="7" t="s">
        <v>20</v>
      </c>
      <c r="N6" s="7" t="s">
        <v>20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28" t="s">
        <v>7</v>
      </c>
      <c r="W6" s="28" t="s">
        <v>7</v>
      </c>
      <c r="X6" s="1" t="s">
        <v>14</v>
      </c>
      <c r="Y6" s="1" t="s">
        <v>14</v>
      </c>
      <c r="Z6" s="1" t="s">
        <v>14</v>
      </c>
      <c r="AA6" s="1" t="s">
        <v>14</v>
      </c>
      <c r="AB6" s="1" t="s">
        <v>14</v>
      </c>
      <c r="AC6" s="5" t="s">
        <v>15</v>
      </c>
      <c r="AD6" s="5" t="s">
        <v>15</v>
      </c>
      <c r="AE6" s="28" t="s">
        <v>7</v>
      </c>
      <c r="AF6" s="28" t="s">
        <v>7</v>
      </c>
      <c r="AG6"/>
    </row>
    <row r="7" spans="1:33">
      <c r="A7" s="34" t="s">
        <v>12</v>
      </c>
      <c r="B7" s="33" t="s">
        <v>111</v>
      </c>
      <c r="C7" s="1" t="s">
        <v>14</v>
      </c>
      <c r="D7" s="1" t="s">
        <v>14</v>
      </c>
      <c r="E7" s="1" t="s">
        <v>14</v>
      </c>
      <c r="F7" s="1" t="s">
        <v>14</v>
      </c>
      <c r="G7" s="1" t="s">
        <v>14</v>
      </c>
      <c r="H7" s="5" t="s">
        <v>15</v>
      </c>
      <c r="I7" s="5" t="s">
        <v>15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7" t="s">
        <v>20</v>
      </c>
      <c r="R7" s="7" t="s">
        <v>20</v>
      </c>
      <c r="S7" s="7" t="s">
        <v>20</v>
      </c>
      <c r="T7" s="7" t="s">
        <v>20</v>
      </c>
      <c r="U7" s="7" t="s">
        <v>20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28" t="s">
        <v>7</v>
      </c>
      <c r="AD7" s="28" t="s">
        <v>7</v>
      </c>
      <c r="AE7" s="1" t="s">
        <v>14</v>
      </c>
      <c r="AF7" s="1" t="s">
        <v>14</v>
      </c>
      <c r="AG7"/>
    </row>
    <row r="9" spans="1:33">
      <c r="AG9"/>
    </row>
    <row r="10" spans="1:33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3">
      <c r="A11" s="34" t="s">
        <v>12</v>
      </c>
      <c r="B11" s="33" t="s">
        <v>53</v>
      </c>
      <c r="C11" s="125" t="s">
        <v>20</v>
      </c>
      <c r="D11" s="125" t="s">
        <v>20</v>
      </c>
      <c r="E11" s="125" t="s">
        <v>20</v>
      </c>
      <c r="F11" s="125" t="s">
        <v>20</v>
      </c>
      <c r="G11" s="125" t="s">
        <v>20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3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3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3">
      <c r="AG15"/>
    </row>
    <row r="16" spans="1:33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8" t="s">
        <v>11</v>
      </c>
      <c r="D19" s="158" t="s">
        <v>11</v>
      </c>
      <c r="E19" s="158" t="s">
        <v>11</v>
      </c>
      <c r="F19" s="158" t="s">
        <v>11</v>
      </c>
      <c r="G19" s="158" t="s">
        <v>11</v>
      </c>
      <c r="H19" s="28" t="s">
        <v>7</v>
      </c>
      <c r="I19" s="28" t="s">
        <v>7</v>
      </c>
      <c r="J19" s="145" t="s">
        <v>54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28" t="s">
        <v>7</v>
      </c>
      <c r="P19" s="28" t="s">
        <v>7</v>
      </c>
      <c r="Q19" s="145" t="s">
        <v>85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28" t="s">
        <v>30</v>
      </c>
      <c r="W19" s="28" t="s">
        <v>30</v>
      </c>
      <c r="X19" s="158" t="s">
        <v>11</v>
      </c>
      <c r="Y19" s="158" t="s">
        <v>11</v>
      </c>
      <c r="Z19" s="158" t="s">
        <v>11</v>
      </c>
      <c r="AA19" s="158" t="s">
        <v>11</v>
      </c>
      <c r="AB19" s="158" t="s">
        <v>11</v>
      </c>
      <c r="AC19" s="28" t="s">
        <v>7</v>
      </c>
      <c r="AD19" s="28" t="s">
        <v>7</v>
      </c>
      <c r="AE19" s="145" t="s">
        <v>54</v>
      </c>
      <c r="AF19" s="145" t="s">
        <v>54</v>
      </c>
      <c r="AG19"/>
    </row>
    <row r="20" spans="1:33">
      <c r="A20" s="34" t="s">
        <v>28</v>
      </c>
      <c r="B20" s="35" t="s">
        <v>60</v>
      </c>
      <c r="C20" s="145" t="s">
        <v>85</v>
      </c>
      <c r="D20" s="145" t="s">
        <v>85</v>
      </c>
      <c r="E20" s="145" t="s">
        <v>85</v>
      </c>
      <c r="F20" s="145" t="s">
        <v>85</v>
      </c>
      <c r="G20" s="145" t="s">
        <v>85</v>
      </c>
      <c r="H20" s="28" t="s">
        <v>30</v>
      </c>
      <c r="I20" s="28" t="s">
        <v>30</v>
      </c>
      <c r="J20" s="158" t="s">
        <v>11</v>
      </c>
      <c r="K20" s="158" t="s">
        <v>11</v>
      </c>
      <c r="L20" s="158" t="s">
        <v>11</v>
      </c>
      <c r="M20" s="158" t="s">
        <v>11</v>
      </c>
      <c r="N20" s="158" t="s">
        <v>11</v>
      </c>
      <c r="O20" s="28" t="s">
        <v>7</v>
      </c>
      <c r="P20" s="28" t="s">
        <v>7</v>
      </c>
      <c r="Q20" s="145" t="s">
        <v>54</v>
      </c>
      <c r="R20" s="145" t="s">
        <v>54</v>
      </c>
      <c r="S20" s="145" t="s">
        <v>54</v>
      </c>
      <c r="T20" s="145" t="s">
        <v>54</v>
      </c>
      <c r="U20" s="145" t="s">
        <v>54</v>
      </c>
      <c r="V20" s="28" t="s">
        <v>7</v>
      </c>
      <c r="W20" s="28" t="s">
        <v>7</v>
      </c>
      <c r="X20" s="145" t="s">
        <v>85</v>
      </c>
      <c r="Y20" s="145" t="s">
        <v>85</v>
      </c>
      <c r="Z20" s="145" t="s">
        <v>85</v>
      </c>
      <c r="AA20" s="145" t="s">
        <v>85</v>
      </c>
      <c r="AB20" s="145" t="s">
        <v>85</v>
      </c>
      <c r="AC20" s="28" t="s">
        <v>30</v>
      </c>
      <c r="AD20" s="28" t="s">
        <v>30</v>
      </c>
      <c r="AE20" s="158" t="s">
        <v>11</v>
      </c>
      <c r="AF20" s="158" t="s">
        <v>11</v>
      </c>
      <c r="AG20"/>
    </row>
    <row r="21" spans="1:33">
      <c r="A21" s="34" t="s">
        <v>28</v>
      </c>
      <c r="B21" s="37" t="s">
        <v>13</v>
      </c>
      <c r="C21" s="166" t="s">
        <v>54</v>
      </c>
      <c r="D21" s="145" t="s">
        <v>54</v>
      </c>
      <c r="E21" s="145" t="s">
        <v>54</v>
      </c>
      <c r="F21" s="145" t="s">
        <v>54</v>
      </c>
      <c r="G21" s="145" t="s">
        <v>54</v>
      </c>
      <c r="H21" s="28" t="s">
        <v>7</v>
      </c>
      <c r="I21" s="28" t="s">
        <v>7</v>
      </c>
      <c r="J21" s="145" t="s">
        <v>85</v>
      </c>
      <c r="K21" s="145" t="s">
        <v>85</v>
      </c>
      <c r="L21" s="145" t="s">
        <v>85</v>
      </c>
      <c r="M21" s="145" t="s">
        <v>85</v>
      </c>
      <c r="N21" s="145" t="s">
        <v>85</v>
      </c>
      <c r="O21" s="28" t="s">
        <v>30</v>
      </c>
      <c r="P21" s="28" t="s">
        <v>30</v>
      </c>
      <c r="Q21" s="158" t="s">
        <v>11</v>
      </c>
      <c r="R21" s="158" t="s">
        <v>11</v>
      </c>
      <c r="S21" s="158" t="s">
        <v>11</v>
      </c>
      <c r="T21" s="158" t="s">
        <v>11</v>
      </c>
      <c r="U21" s="17" t="s">
        <v>4</v>
      </c>
      <c r="V21" s="28" t="s">
        <v>7</v>
      </c>
      <c r="W21" s="28" t="s">
        <v>7</v>
      </c>
      <c r="X21" s="145" t="s">
        <v>54</v>
      </c>
      <c r="Y21" s="145" t="s">
        <v>54</v>
      </c>
      <c r="Z21" s="145" t="s">
        <v>54</v>
      </c>
      <c r="AA21" s="145" t="s">
        <v>54</v>
      </c>
      <c r="AB21" s="145" t="s">
        <v>54</v>
      </c>
      <c r="AC21" s="28" t="s">
        <v>7</v>
      </c>
      <c r="AD21" s="28" t="s">
        <v>7</v>
      </c>
      <c r="AE21" s="145" t="s">
        <v>85</v>
      </c>
      <c r="AF21" s="145" t="s">
        <v>85</v>
      </c>
      <c r="AG21"/>
    </row>
    <row r="22" spans="1:33">
      <c r="H22" t="s">
        <v>114</v>
      </c>
      <c r="AG22"/>
    </row>
    <row r="23" spans="1:33">
      <c r="B23" s="111" t="s">
        <v>89</v>
      </c>
      <c r="C23" s="110">
        <f t="shared" ref="C23:AF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7</v>
      </c>
      <c r="G23" s="110">
        <f t="shared" si="0"/>
        <v>7</v>
      </c>
      <c r="H23" s="110">
        <f t="shared" si="0"/>
        <v>4</v>
      </c>
      <c r="I23" s="110">
        <f t="shared" si="0"/>
        <v>4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7</v>
      </c>
      <c r="N23" s="110">
        <f t="shared" si="0"/>
        <v>7</v>
      </c>
      <c r="O23" s="110">
        <f t="shared" si="0"/>
        <v>4</v>
      </c>
      <c r="P23" s="110">
        <f t="shared" si="0"/>
        <v>4</v>
      </c>
      <c r="Q23" s="110">
        <f t="shared" si="0"/>
        <v>7</v>
      </c>
      <c r="R23" s="110">
        <f t="shared" si="0"/>
        <v>7</v>
      </c>
      <c r="S23" s="110">
        <f t="shared" si="0"/>
        <v>7</v>
      </c>
      <c r="T23" s="110">
        <f t="shared" si="0"/>
        <v>7</v>
      </c>
      <c r="U23" s="110">
        <f t="shared" si="0"/>
        <v>6</v>
      </c>
      <c r="V23" s="110">
        <f t="shared" si="0"/>
        <v>4</v>
      </c>
      <c r="W23" s="110">
        <f t="shared" si="0"/>
        <v>4</v>
      </c>
      <c r="X23" s="110">
        <f t="shared" si="0"/>
        <v>7</v>
      </c>
      <c r="Y23" s="110">
        <f t="shared" si="0"/>
        <v>7</v>
      </c>
      <c r="Z23" s="110">
        <f t="shared" si="0"/>
        <v>7</v>
      </c>
      <c r="AA23" s="110">
        <f t="shared" si="0"/>
        <v>7</v>
      </c>
      <c r="AB23" s="110">
        <f t="shared" si="0"/>
        <v>7</v>
      </c>
      <c r="AC23" s="110">
        <f t="shared" si="0"/>
        <v>4</v>
      </c>
      <c r="AD23" s="110">
        <f t="shared" si="0"/>
        <v>4</v>
      </c>
      <c r="AE23" s="110">
        <f t="shared" si="0"/>
        <v>7</v>
      </c>
      <c r="AF23" s="110">
        <f t="shared" si="0"/>
        <v>7</v>
      </c>
    </row>
    <row r="24" spans="1:33">
      <c r="B24" s="111" t="s">
        <v>90</v>
      </c>
      <c r="C24" s="112">
        <f t="shared" ref="C24:AF24" si="1">COUNTIF(C4:C21,"T")</f>
        <v>2</v>
      </c>
      <c r="D24" s="112">
        <f t="shared" si="1"/>
        <v>2</v>
      </c>
      <c r="E24" s="112">
        <f t="shared" si="1"/>
        <v>2</v>
      </c>
      <c r="F24" s="112">
        <f t="shared" si="1"/>
        <v>2</v>
      </c>
      <c r="G24" s="112">
        <f t="shared" si="1"/>
        <v>2</v>
      </c>
      <c r="H24" s="112">
        <f t="shared" si="1"/>
        <v>0</v>
      </c>
      <c r="I24" s="112">
        <f t="shared" si="1"/>
        <v>0</v>
      </c>
      <c r="J24" s="112">
        <f t="shared" si="1"/>
        <v>2</v>
      </c>
      <c r="K24" s="112">
        <f t="shared" si="1"/>
        <v>2</v>
      </c>
      <c r="L24" s="112">
        <f t="shared" si="1"/>
        <v>2</v>
      </c>
      <c r="M24" s="112">
        <f t="shared" si="1"/>
        <v>2</v>
      </c>
      <c r="N24" s="112">
        <f t="shared" si="1"/>
        <v>2</v>
      </c>
      <c r="O24" s="112">
        <f t="shared" si="1"/>
        <v>0</v>
      </c>
      <c r="P24" s="112">
        <f t="shared" si="1"/>
        <v>0</v>
      </c>
      <c r="Q24" s="112">
        <f t="shared" si="1"/>
        <v>2</v>
      </c>
      <c r="R24" s="112">
        <f t="shared" si="1"/>
        <v>2</v>
      </c>
      <c r="S24" s="112">
        <f t="shared" si="1"/>
        <v>2</v>
      </c>
      <c r="T24" s="112">
        <f t="shared" si="1"/>
        <v>2</v>
      </c>
      <c r="U24" s="112">
        <f t="shared" si="1"/>
        <v>2</v>
      </c>
      <c r="V24" s="112">
        <f t="shared" si="1"/>
        <v>0</v>
      </c>
      <c r="W24" s="112">
        <f t="shared" si="1"/>
        <v>0</v>
      </c>
      <c r="X24" s="112">
        <f t="shared" si="1"/>
        <v>2</v>
      </c>
      <c r="Y24" s="112">
        <f t="shared" si="1"/>
        <v>2</v>
      </c>
      <c r="Z24" s="112">
        <f t="shared" si="1"/>
        <v>2</v>
      </c>
      <c r="AA24" s="112">
        <f t="shared" si="1"/>
        <v>2</v>
      </c>
      <c r="AB24" s="112">
        <f t="shared" si="1"/>
        <v>2</v>
      </c>
      <c r="AC24" s="112">
        <f t="shared" si="1"/>
        <v>0</v>
      </c>
      <c r="AD24" s="112">
        <f t="shared" si="1"/>
        <v>0</v>
      </c>
      <c r="AE24" s="112">
        <f t="shared" si="1"/>
        <v>2</v>
      </c>
      <c r="AF24" s="112">
        <f t="shared" si="1"/>
        <v>2</v>
      </c>
    </row>
    <row r="25" spans="1:33">
      <c r="B25" s="111" t="s">
        <v>91</v>
      </c>
      <c r="C25" s="112">
        <f t="shared" ref="C25:AF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</row>
    <row r="26" spans="1:33">
      <c r="B26" s="111" t="s">
        <v>92</v>
      </c>
      <c r="C26" s="112">
        <f>COUNTIF(C4:C21,"M/F")+COUNTIF(C4:C21,"M1")+COUNTIF(C4:C21,"M3")+COUNTIF(C4:C21,"M3/G")+COUNTIF(C4:C21,"M2")</f>
        <v>3</v>
      </c>
      <c r="D26" s="112">
        <f>COUNTIF(D4:D21,"M/F")+COUNTIF(D4:D21,"M1")+COUNTIF(D4:D21,"M3")+COUNTIF(D4:D21,"M3/G")+COUNTIF(D4:D21,"M2")</f>
        <v>3</v>
      </c>
      <c r="E26" s="112">
        <f>COUNTIF(E4:E21,"M1")+COUNTIF(E4:E21,"NF")</f>
        <v>1</v>
      </c>
      <c r="F26" s="112">
        <f t="shared" ref="F26:AF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2</v>
      </c>
      <c r="I26" s="112">
        <f t="shared" si="3"/>
        <v>2</v>
      </c>
      <c r="J26" s="112">
        <f t="shared" si="3"/>
        <v>3</v>
      </c>
      <c r="K26" s="112">
        <f t="shared" si="3"/>
        <v>3</v>
      </c>
      <c r="L26" s="112">
        <f t="shared" si="3"/>
        <v>3</v>
      </c>
      <c r="M26" s="112">
        <f t="shared" si="3"/>
        <v>3</v>
      </c>
      <c r="N26" s="112">
        <f t="shared" si="3"/>
        <v>3</v>
      </c>
      <c r="O26" s="112">
        <f t="shared" si="3"/>
        <v>2</v>
      </c>
      <c r="P26" s="112">
        <f t="shared" si="3"/>
        <v>2</v>
      </c>
      <c r="Q26" s="112">
        <f t="shared" si="3"/>
        <v>3</v>
      </c>
      <c r="R26" s="112">
        <f t="shared" si="3"/>
        <v>3</v>
      </c>
      <c r="S26" s="112">
        <f t="shared" si="3"/>
        <v>3</v>
      </c>
      <c r="T26" s="112">
        <f t="shared" si="3"/>
        <v>3</v>
      </c>
      <c r="U26" s="112">
        <f t="shared" si="3"/>
        <v>2</v>
      </c>
      <c r="V26" s="112">
        <f t="shared" si="3"/>
        <v>2</v>
      </c>
      <c r="W26" s="112">
        <f t="shared" si="3"/>
        <v>2</v>
      </c>
      <c r="X26" s="112">
        <f t="shared" si="3"/>
        <v>3</v>
      </c>
      <c r="Y26" s="112">
        <f t="shared" si="3"/>
        <v>3</v>
      </c>
      <c r="Z26" s="112">
        <f t="shared" si="3"/>
        <v>3</v>
      </c>
      <c r="AA26" s="112">
        <f t="shared" si="3"/>
        <v>3</v>
      </c>
      <c r="AB26" s="112">
        <f t="shared" si="3"/>
        <v>3</v>
      </c>
      <c r="AC26" s="112">
        <f t="shared" si="3"/>
        <v>2</v>
      </c>
      <c r="AD26" s="112">
        <f t="shared" si="3"/>
        <v>2</v>
      </c>
      <c r="AE26" s="112">
        <f t="shared" si="3"/>
        <v>3</v>
      </c>
      <c r="AF26" s="112">
        <f t="shared" si="3"/>
        <v>3</v>
      </c>
    </row>
    <row r="28" spans="1:33">
      <c r="B28" t="s">
        <v>65</v>
      </c>
    </row>
    <row r="29" spans="1:33">
      <c r="B29" s="5" t="s">
        <v>66</v>
      </c>
    </row>
    <row r="30" spans="1:33">
      <c r="B30" s="5" t="s">
        <v>67</v>
      </c>
    </row>
    <row r="31" spans="1:33">
      <c r="B31" s="1" t="s">
        <v>68</v>
      </c>
    </row>
    <row r="32" spans="1:33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F1"/>
  </mergeCells>
  <conditionalFormatting sqref="C24:AF26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topLeftCell="A6" workbookViewId="0">
      <selection activeCell="U26" sqref="U26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67"/>
      <c r="C1" s="168" t="s">
        <v>115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</row>
    <row r="2" spans="1:36">
      <c r="A2" s="6"/>
      <c r="B2" s="167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30</v>
      </c>
      <c r="U16" s="28" t="s">
        <v>30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62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30</v>
      </c>
      <c r="N18" s="28" t="s">
        <v>30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6</v>
      </c>
      <c r="P20" s="110">
        <f t="shared" si="0"/>
        <v>6</v>
      </c>
      <c r="Q20" s="110">
        <f t="shared" si="0"/>
        <v>6</v>
      </c>
      <c r="R20" s="110">
        <f t="shared" si="0"/>
        <v>6</v>
      </c>
      <c r="S20" s="110">
        <f t="shared" si="0"/>
        <v>6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7"/>
      <c r="C1" s="168" t="s">
        <v>116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</row>
    <row r="2" spans="1:34">
      <c r="A2" s="6"/>
      <c r="B2" s="167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67"/>
      <c r="C1" s="168" t="s">
        <v>117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/>
    </row>
    <row r="2" spans="1:33">
      <c r="A2" s="6"/>
      <c r="B2" s="167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7"/>
      <c r="C1" s="168" t="s">
        <v>118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</row>
    <row r="2" spans="1:34">
      <c r="A2" s="6"/>
      <c r="B2" s="167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67"/>
      <c r="C1" s="168" t="s">
        <v>119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</row>
    <row r="2" spans="1:33">
      <c r="A2" s="6"/>
      <c r="B2" s="167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67"/>
      <c r="C1" s="168" t="s">
        <v>120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69"/>
      <c r="AD1" s="169"/>
      <c r="AE1" s="169"/>
      <c r="AF1" s="169"/>
      <c r="AG1" s="169"/>
    </row>
    <row r="2" spans="1:34">
      <c r="A2" s="6"/>
      <c r="B2" s="167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67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>COUNTIFS(J85:BJ85,"M1")+COUNTIFS(J85:BJ85,"N")</f>
        <v>6</v>
      </c>
      <c r="BL85" s="107">
        <f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>1800-H86</f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>COUNTIFS(J86:BJ86,"M1")+COUNTIFS(J86:BJ86,"N")</f>
        <v>6</v>
      </c>
      <c r="BL86" s="107">
        <f>COUNTIFS(J86:BJ86,"L")</f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>1800-H87</f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>COUNTIFS(J87:BJ87,"M1")+COUNTIFS(J87:BJ87,"N")</f>
        <v>5</v>
      </c>
      <c r="BL87" s="107">
        <f>COUNTIFS(J87:BJ87,"L")</f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>1800-H88</f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>COUNTIFS(J88:BJ88,"M1")+COUNTIFS(J88:BJ88,"N")</f>
        <v>0</v>
      </c>
      <c r="BL88" s="107">
        <f>COUNTIFS(J88:BJ88,"L")</f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>1800-H89</f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>COUNTIFS(J89:BJ89,"M1")+COUNTIFS(J89:BJ89,"N")</f>
        <v>26</v>
      </c>
      <c r="BL89" s="107">
        <f>COUNTIFS(J89:BJ89,"L")</f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>1800-H90</f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>COUNTIFS(J90:BJ90,"M1")+COUNTIFS(J90:BJ90,"N")</f>
        <v>24</v>
      </c>
      <c r="BL90" s="107">
        <f>COUNTIFS(J90:BJ90,"L")</f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RowHeight="1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1EECE65D-B437-4372-9E5B-6949431F5EBF}"/>
</file>

<file path=customXml/itemProps2.xml><?xml version="1.0" encoding="utf-8"?>
<ds:datastoreItem xmlns:ds="http://schemas.openxmlformats.org/officeDocument/2006/customXml" ds:itemID="{C30E971C-1E23-4A69-8C76-8F8841CEE5F0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Martin Pavon Fernando</cp:lastModifiedBy>
  <cp:revision/>
  <dcterms:created xsi:type="dcterms:W3CDTF">2025-06-10T09:39:58Z</dcterms:created>
  <dcterms:modified xsi:type="dcterms:W3CDTF">2026-04-01T07:44:21Z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