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comments8.xml" ContentType="application/vnd.openxmlformats-officedocument.spreadsheetml.comments+xml"/>
  <Override PartName="/xl/threadedComments/threadedComment5.xml" ContentType="application/vnd.ms-excel.threadedcomments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577" documentId="8_{BF395F17-8A36-4A5B-A61D-48748E8233D4}" xr6:coauthVersionLast="47" xr6:coauthVersionMax="47" xr10:uidLastSave="{DAAA0001-86A9-49D1-85B9-E0A4CFEC442D}"/>
  <bookViews>
    <workbookView xWindow="-110" yWindow="-110" windowWidth="19200" windowHeight="9020" firstSheet="10" activeTab="11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F24" i="32"/>
  <c r="AF23" i="32" s="1"/>
  <c r="AE24" i="32"/>
  <c r="AD24" i="32"/>
  <c r="AC24" i="32"/>
  <c r="AB24" i="32"/>
  <c r="AA24" i="32"/>
  <c r="Z24" i="32"/>
  <c r="Y24" i="32"/>
  <c r="Y23" i="32" s="1"/>
  <c r="X24" i="32"/>
  <c r="X23" i="32" s="1"/>
  <c r="W24" i="32"/>
  <c r="W23" i="32" s="1"/>
  <c r="V24" i="32"/>
  <c r="V23" i="32" s="1"/>
  <c r="U24" i="32"/>
  <c r="U23" i="32" s="1"/>
  <c r="T24" i="32"/>
  <c r="T23" i="32" s="1"/>
  <c r="S24" i="32"/>
  <c r="R24" i="32"/>
  <c r="Q24" i="32"/>
  <c r="P24" i="32"/>
  <c r="O24" i="32"/>
  <c r="N24" i="32"/>
  <c r="M24" i="32"/>
  <c r="M23" i="32" s="1"/>
  <c r="L24" i="32"/>
  <c r="L23" i="32" s="1"/>
  <c r="K24" i="32"/>
  <c r="K23" i="32" s="1"/>
  <c r="J24" i="32"/>
  <c r="J23" i="32" s="1"/>
  <c r="I24" i="32"/>
  <c r="I23" i="32" s="1"/>
  <c r="H24" i="32"/>
  <c r="H23" i="32" s="1"/>
  <c r="G24" i="32"/>
  <c r="F24" i="32"/>
  <c r="E24" i="32"/>
  <c r="D24" i="32"/>
  <c r="C24" i="32"/>
  <c r="AD23" i="32"/>
  <c r="AC23" i="32"/>
  <c r="Z23" i="32"/>
  <c r="R23" i="32"/>
  <c r="O23" i="32"/>
  <c r="N23" i="32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F23" i="31" s="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S23" i="31" s="1"/>
  <c r="R24" i="31"/>
  <c r="R23" i="31" s="1"/>
  <c r="Q24" i="31"/>
  <c r="P24" i="31"/>
  <c r="O24" i="31"/>
  <c r="N24" i="31"/>
  <c r="M24" i="31"/>
  <c r="L24" i="31"/>
  <c r="L23" i="31" s="1"/>
  <c r="K24" i="31"/>
  <c r="J24" i="31"/>
  <c r="I24" i="31"/>
  <c r="H24" i="31"/>
  <c r="G24" i="31"/>
  <c r="G23" i="31" s="1"/>
  <c r="F24" i="31"/>
  <c r="E24" i="31"/>
  <c r="D24" i="31"/>
  <c r="C24" i="31"/>
  <c r="AG23" i="31"/>
  <c r="AA23" i="31"/>
  <c r="Z23" i="31"/>
  <c r="Y23" i="31"/>
  <c r="U23" i="31"/>
  <c r="T23" i="31"/>
  <c r="O23" i="31"/>
  <c r="N23" i="31"/>
  <c r="M23" i="31"/>
  <c r="H23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AE23" i="31" l="1"/>
  <c r="AD23" i="31"/>
  <c r="X23" i="31"/>
  <c r="W23" i="31"/>
  <c r="I23" i="31"/>
  <c r="F23" i="31"/>
  <c r="P23" i="32"/>
  <c r="AE23" i="32"/>
  <c r="AA23" i="32"/>
  <c r="AB23" i="32"/>
  <c r="Q23" i="32"/>
  <c r="S23" i="32"/>
  <c r="C23" i="32"/>
  <c r="D23" i="32"/>
  <c r="E23" i="32"/>
  <c r="F23" i="32"/>
  <c r="G23" i="32"/>
  <c r="K23" i="31"/>
  <c r="Q23" i="31"/>
  <c r="AC23" i="31"/>
  <c r="D23" i="31"/>
  <c r="J23" i="31"/>
  <c r="P23" i="31"/>
  <c r="V23" i="31"/>
  <c r="AB23" i="31"/>
  <c r="O24" i="30"/>
  <c r="E15" i="33"/>
  <c r="E16" i="33"/>
  <c r="H98" i="17"/>
  <c r="H99" i="17"/>
  <c r="C23" i="31"/>
  <c r="E23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tc={145E8B63-2F3F-4A8A-8332-897948033002}</author>
  </authors>
  <commentList>
    <comment ref="U21" authorId="0" shapeId="0" xr:uid="{145E8B63-2F3F-4A8A-8332-897948033002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tc={3F6CDFEE-E51E-446A-83EC-4DF1A16F9A0B}</author>
    <author>tc={529ADF6A-E41D-4D20-A878-FBCD42DD1808}</author>
    <author>tc={C16B8188-35DF-407B-B1EC-479EF0637985}</author>
    <author>tc={8C3D54E1-838F-4164-A2E0-F8649CF1202F}</author>
    <author>tc={14A985D2-D14A-43FC-B5D9-67944DDBB76B}</author>
  </authors>
  <commentList>
    <comment ref="O18" authorId="0" shapeId="0" xr:uid="{3F6CDFEE-E51E-446A-83EC-4DF1A16F9A0B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  <comment ref="P18" authorId="1" shapeId="0" xr:uid="{529ADF6A-E41D-4D20-A878-FBCD42DD1808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  <comment ref="Q18" authorId="2" shapeId="0" xr:uid="{C16B8188-35DF-407B-B1EC-479EF0637985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  <comment ref="R18" authorId="3" shapeId="0" xr:uid="{8C3D54E1-838F-4164-A2E0-F8649CF1202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  <comment ref="S18" authorId="4" shapeId="0" xr:uid="{14A985D2-D14A-43FC-B5D9-67944DDBB76B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sharedStrings.xml><?xml version="1.0" encoding="utf-8"?>
<sst xmlns="http://schemas.openxmlformats.org/spreadsheetml/2006/main" count="11468" uniqueCount="196">
  <si>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</si>
  <si>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</si>
  <si>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</si>
  <si>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</si>
  <si>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</si>
  <si>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</si>
  <si>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</si>
  <si>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</si>
  <si>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</si>
  <si>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</si>
  <si>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</si>
  <si>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</si>
  <si>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</si>
  <si>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</si>
  <si>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</si>
  <si>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</si>
  <si>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</si>
  <si>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</si>
  <si>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</si>
  <si>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</si>
  <si>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</si>
  <si>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</si>
  <si>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</si>
  <si>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</si>
  <si>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</si>
  <si>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</si>
  <si>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</si>
  <si>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</si>
  <si>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</si>
  <si>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</si>
  <si>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</si>
  <si>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</si>
  <si>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</si>
  <si>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</si>
  <si>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</si>
  <si>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</si>
  <si>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</si>
  <si>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</si>
  <si>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</si>
  <si>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</si>
  <si>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</si>
  <si>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</si>
  <si>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</si>
  <si>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</si>
  <si>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</si>
  <si>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</si>
  <si>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</si>
  <si>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</si>
  <si>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</si>
  <si>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</si>
  <si>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</si>
  <si>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</si>
  <si>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</si>
  <si>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</si>
  <si>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</si>
  <si>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</si>
  <si>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</si>
  <si>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</si>
  <si>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</si>
  <si>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</si>
  <si>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</si>
  <si>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</si>
  <si>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</si>
  <si>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</si>
  <si>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</si>
  <si>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</si>
  <si>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</si>
  <si>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</si>
  <si>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</si>
  <si>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</si>
  <si>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</si>
  <si>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</si>
  <si>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</si>
  <si>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</si>
  <si>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</si>
  <si>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</si>
  <si>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</si>
  <si>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</si>
  <si>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</si>
  <si>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</si>
  <si>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</si>
  <si>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</si>
  <si>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</si>
  <si>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</si>
  <si>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</si>
  <si>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</si>
  <si>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</si>
  <si>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</si>
  <si>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</si>
  <si>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</si>
  <si>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</si>
  <si>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</si>
  <si>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</si>
  <si>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</si>
  <si>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</si>
  <si>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</si>
  <si>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</si>
  <si>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</si>
  <si>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</si>
  <si>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</si>
  <si>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</si>
  <si>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</si>
  <si>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</si>
  <si>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</si>
  <si>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</si>
  <si>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</si>
  <si>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</si>
  <si>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</si>
  <si>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</si>
  <si>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Hector  Contreras</t>
  </si>
  <si>
    <t>Mayo</t>
  </si>
  <si>
    <t>Jorge Gonzalez</t>
  </si>
  <si>
    <t>Junio</t>
  </si>
  <si>
    <t>Erik/Jorge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</si>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</sst>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1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U21" dT="2026-03-10T11:21:01.36" personId="{678BB04D-11B0-457D-BCA0-D5F409BCB035}" id="{145E8B63-2F3F-4A8A-8332-897948033002}">
    <text>Pendiente de pedir por parte de Fernando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O18" dT="2026-03-10T11:21:01.36" personId="{678BB04D-11B0-457D-BCA0-D5F409BCB035}" id="{3F6CDFEE-E51E-446A-83EC-4DF1A16F9A0B}">
    <text>Pendiente de pedir por parte de Fernando</text>
  </threadedComment>
  <threadedComment ref="P18" dT="2026-03-10T11:21:01.36" personId="{678BB04D-11B0-457D-BCA0-D5F409BCB035}" id="{529ADF6A-E41D-4D20-A878-FBCD42DD1808}">
    <text>Pendiente de pedir por parte de Fernando</text>
  </threadedComment>
  <threadedComment ref="Q18" dT="2026-03-10T11:21:01.36" personId="{678BB04D-11B0-457D-BCA0-D5F409BCB035}" id="{C16B8188-35DF-407B-B1EC-479EF0637985}">
    <text>Pendiente de pedir por parte de Fernando</text>
  </threadedComment>
  <threadedComment ref="R18" dT="2026-03-10T11:21:01.36" personId="{678BB04D-11B0-457D-BCA0-D5F409BCB035}" id="{8C3D54E1-838F-4164-A2E0-F8649CF1202F}">
    <text>Pendiente de pedir por parte de Fernando</text>
  </threadedComment>
  <threadedComment ref="S18" dT="2026-03-10T11:21:01.36" personId="{678BB04D-11B0-457D-BCA0-D5F409BCB035}" id="{14A985D2-D14A-43FC-B5D9-67944DDBB76B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68"/>
      <c r="E2" s="174" t="s">
        <v>0</v>
      </c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6"/>
    </row>
    <row r="3" spans="1:36" ht="18" customHeight="1">
      <c r="B3" s="32"/>
      <c r="D3" s="168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6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77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78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78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78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78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78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78"/>
      <c r="C11" s="34"/>
      <c r="D11" s="36"/>
      <c r="E11" s="183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  <c r="AG11" s="184"/>
      <c r="AH11" s="184"/>
      <c r="AI11" s="185"/>
      <c r="AJ11" s="91"/>
    </row>
    <row r="12" spans="1:36" ht="18" customHeight="1">
      <c r="A12" s="178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78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78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78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78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78"/>
      <c r="C17" s="34"/>
      <c r="D17" s="33"/>
      <c r="E17" s="183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5"/>
    </row>
    <row r="18" spans="1:36" ht="18" customHeight="1">
      <c r="A18" s="178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78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78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78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78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78"/>
      <c r="C23" s="34"/>
      <c r="D23" s="35"/>
      <c r="E23" s="180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2"/>
    </row>
    <row r="24" spans="1:36" ht="18" customHeight="1">
      <c r="A24" s="179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1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2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2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2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2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3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68"/>
      <c r="E2" s="174" t="s">
        <v>49</v>
      </c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6"/>
    </row>
    <row r="3" spans="1:36">
      <c r="A3" s="6"/>
      <c r="B3" s="32"/>
      <c r="C3" s="6"/>
      <c r="D3" s="168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6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78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78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78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78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78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78"/>
      <c r="B10" s="6"/>
      <c r="C10" s="34"/>
      <c r="D10" s="36"/>
      <c r="E10" s="183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4"/>
      <c r="AG10" s="184"/>
      <c r="AH10" s="184"/>
      <c r="AI10" s="185"/>
    </row>
    <row r="11" spans="1:36">
      <c r="A11" s="178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78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78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78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78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78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78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78"/>
      <c r="B18" s="6"/>
      <c r="C18" s="34"/>
      <c r="D18" s="33"/>
      <c r="E18" s="183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5"/>
    </row>
    <row r="19" spans="1:35">
      <c r="A19" s="178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78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78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78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78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78"/>
      <c r="B24" s="6"/>
      <c r="C24" s="34"/>
      <c r="E24" s="180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2"/>
    </row>
    <row r="25" spans="1:35" ht="15" thickBot="1">
      <c r="A25" s="179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1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2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2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2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2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3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68"/>
      <c r="C1" s="174" t="s">
        <v>57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</row>
    <row r="2" spans="1:33">
      <c r="A2" s="6"/>
      <c r="B2" s="168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4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68"/>
      <c r="C1" s="186" t="s">
        <v>78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8"/>
    </row>
    <row r="2" spans="1:34">
      <c r="A2" s="6"/>
      <c r="B2" s="168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68"/>
      <c r="C1" s="189" t="s">
        <v>81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</row>
    <row r="2" spans="1:34">
      <c r="A2" s="6"/>
      <c r="B2" s="168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68"/>
      <c r="C1" s="189" t="s">
        <v>95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7">
      <c r="A2" s="6"/>
      <c r="B2" s="16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68"/>
      <c r="C1" s="189" t="s">
        <v>97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4">
      <c r="A2" s="6"/>
      <c r="B2" s="168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90" t="s">
        <v>98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</row>
    <row r="2" spans="1:34">
      <c r="A2" s="6"/>
      <c r="B2" s="16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M13" sqref="M13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104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>
      <c r="A3" s="6"/>
      <c r="B3" s="168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topLeftCell="D1" workbookViewId="0">
      <selection activeCell="AF5" sqref="AF5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68"/>
      <c r="C1" s="169" t="s">
        <v>108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4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4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2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0"/>
  <sheetViews>
    <sheetView workbookViewId="0">
      <selection activeCell="AI11" sqref="AI11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68"/>
      <c r="C1" s="169" t="s">
        <v>110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1" t="s">
        <v>14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1" t="s">
        <v>14</v>
      </c>
      <c r="AB4" s="1" t="s">
        <v>14</v>
      </c>
      <c r="AC4" s="1" t="s">
        <v>14</v>
      </c>
      <c r="AD4" s="1" t="s">
        <v>14</v>
      </c>
      <c r="AE4" s="1" t="s">
        <v>14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7" t="s">
        <v>20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7" t="s">
        <v>20</v>
      </c>
      <c r="AB5" s="7" t="s">
        <v>20</v>
      </c>
      <c r="AC5" s="7" t="s">
        <v>20</v>
      </c>
      <c r="AD5" s="7" t="s">
        <v>20</v>
      </c>
      <c r="AE5" s="7" t="s">
        <v>20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109" t="s">
        <v>4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111</v>
      </c>
      <c r="C8" s="118" t="s">
        <v>83</v>
      </c>
      <c r="D8" s="28" t="s">
        <v>7</v>
      </c>
      <c r="E8" s="28" t="s">
        <v>7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14</v>
      </c>
      <c r="K8" s="28" t="s">
        <v>7</v>
      </c>
      <c r="L8" s="28" t="s">
        <v>7</v>
      </c>
      <c r="M8" s="5" t="s">
        <v>14</v>
      </c>
      <c r="N8" s="5" t="s">
        <v>14</v>
      </c>
      <c r="O8" s="5" t="s">
        <v>14</v>
      </c>
      <c r="P8" s="5" t="s">
        <v>14</v>
      </c>
      <c r="Q8" s="5" t="s">
        <v>14</v>
      </c>
      <c r="R8" s="28" t="s">
        <v>7</v>
      </c>
      <c r="S8" s="28" t="s">
        <v>7</v>
      </c>
      <c r="T8" s="5" t="s">
        <v>14</v>
      </c>
      <c r="U8" s="5" t="s">
        <v>14</v>
      </c>
      <c r="V8" s="5" t="s">
        <v>14</v>
      </c>
      <c r="W8" s="5" t="s">
        <v>14</v>
      </c>
      <c r="X8" s="5" t="s">
        <v>14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28" t="s">
        <v>7</v>
      </c>
      <c r="AG8" s="28" t="s">
        <v>7</v>
      </c>
      <c r="AH8"/>
    </row>
    <row r="9" spans="1:34">
      <c r="A9" s="34"/>
      <c r="B9" s="4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28" t="s">
        <v>7</v>
      </c>
      <c r="AG10" s="28" t="s">
        <v>7</v>
      </c>
      <c r="AH10"/>
    </row>
    <row r="11" spans="1:34" ht="1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5" t="s">
        <v>14</v>
      </c>
      <c r="AB11" s="5" t="s">
        <v>14</v>
      </c>
      <c r="AC11" s="5" t="s">
        <v>14</v>
      </c>
      <c r="AD11" s="5" t="s">
        <v>14</v>
      </c>
      <c r="AE11" s="5" t="s">
        <v>14</v>
      </c>
      <c r="AF11" s="5" t="s">
        <v>15</v>
      </c>
      <c r="AG11" s="5" t="s">
        <v>15</v>
      </c>
      <c r="AH11"/>
    </row>
    <row r="12" spans="1:34" ht="1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AA15" s="40"/>
      <c r="AB15" s="40"/>
      <c r="AC15" s="40"/>
      <c r="AD15" s="40"/>
      <c r="AE15" s="40"/>
      <c r="AF15" s="40"/>
      <c r="AG15" s="40"/>
      <c r="AH15"/>
    </row>
    <row r="16" spans="1:34">
      <c r="A16" s="34" t="s">
        <v>12</v>
      </c>
      <c r="B16" s="33" t="s">
        <v>21</v>
      </c>
      <c r="C16" s="130" t="s">
        <v>16</v>
      </c>
      <c r="D16" s="130" t="s">
        <v>17</v>
      </c>
      <c r="E16" s="130" t="s">
        <v>17</v>
      </c>
      <c r="F16" s="28" t="s">
        <v>7</v>
      </c>
      <c r="G16" s="28" t="s">
        <v>7</v>
      </c>
      <c r="H16" s="28" t="s">
        <v>7</v>
      </c>
      <c r="I16" s="28" t="s">
        <v>7</v>
      </c>
      <c r="J16" s="109" t="s">
        <v>4</v>
      </c>
      <c r="K16" s="28" t="s">
        <v>7</v>
      </c>
      <c r="L16" s="28" t="s">
        <v>7</v>
      </c>
      <c r="M16" s="130" t="s">
        <v>16</v>
      </c>
      <c r="N16" s="130" t="s">
        <v>16</v>
      </c>
      <c r="O16" s="130" t="s">
        <v>16</v>
      </c>
      <c r="P16" s="130" t="s">
        <v>16</v>
      </c>
      <c r="Q16" s="130" t="s">
        <v>16</v>
      </c>
      <c r="R16" s="130" t="s">
        <v>17</v>
      </c>
      <c r="S16" s="130" t="s">
        <v>17</v>
      </c>
      <c r="T16" s="28" t="s">
        <v>7</v>
      </c>
      <c r="U16" s="28" t="s">
        <v>7</v>
      </c>
      <c r="V16" s="28" t="s">
        <v>7</v>
      </c>
      <c r="W16" s="28" t="s">
        <v>7</v>
      </c>
      <c r="X16" s="109" t="s">
        <v>4</v>
      </c>
      <c r="Y16" s="28" t="s">
        <v>7</v>
      </c>
      <c r="Z16" s="28" t="s">
        <v>7</v>
      </c>
      <c r="AA16" s="130" t="s">
        <v>16</v>
      </c>
      <c r="AB16" s="130" t="s">
        <v>16</v>
      </c>
      <c r="AC16" s="130" t="s">
        <v>16</v>
      </c>
      <c r="AD16" s="130" t="s">
        <v>16</v>
      </c>
      <c r="AE16" s="130" t="s">
        <v>16</v>
      </c>
      <c r="AF16" s="130" t="s">
        <v>17</v>
      </c>
      <c r="AG16" s="130" t="s">
        <v>17</v>
      </c>
      <c r="AH16"/>
    </row>
    <row r="17" spans="1:34">
      <c r="A17" s="34" t="s">
        <v>12</v>
      </c>
      <c r="B17" s="33" t="s">
        <v>22</v>
      </c>
      <c r="C17" s="109" t="s">
        <v>4</v>
      </c>
      <c r="D17" s="28" t="s">
        <v>7</v>
      </c>
      <c r="E17" s="28" t="s">
        <v>7</v>
      </c>
      <c r="F17" s="130" t="s">
        <v>16</v>
      </c>
      <c r="G17" s="130" t="s">
        <v>16</v>
      </c>
      <c r="H17" s="130" t="s">
        <v>16</v>
      </c>
      <c r="I17" s="130" t="s">
        <v>16</v>
      </c>
      <c r="J17" s="130" t="s">
        <v>16</v>
      </c>
      <c r="K17" s="130" t="s">
        <v>17</v>
      </c>
      <c r="L17" s="130" t="s">
        <v>17</v>
      </c>
      <c r="M17" s="28" t="s">
        <v>7</v>
      </c>
      <c r="N17" s="28" t="s">
        <v>7</v>
      </c>
      <c r="O17" s="28" t="s">
        <v>7</v>
      </c>
      <c r="P17" s="28" t="s">
        <v>7</v>
      </c>
      <c r="Q17" s="109" t="s">
        <v>4</v>
      </c>
      <c r="R17" s="28" t="s">
        <v>7</v>
      </c>
      <c r="S17" s="28" t="s">
        <v>7</v>
      </c>
      <c r="T17" s="130" t="s">
        <v>16</v>
      </c>
      <c r="U17" s="130" t="s">
        <v>16</v>
      </c>
      <c r="V17" s="130" t="s">
        <v>16</v>
      </c>
      <c r="W17" s="130" t="s">
        <v>16</v>
      </c>
      <c r="X17" s="130" t="s">
        <v>16</v>
      </c>
      <c r="Y17" s="130" t="s">
        <v>17</v>
      </c>
      <c r="Z17" s="130" t="s">
        <v>17</v>
      </c>
      <c r="AA17" s="28" t="s">
        <v>7</v>
      </c>
      <c r="AB17" s="28" t="s">
        <v>7</v>
      </c>
      <c r="AC17" s="28" t="s">
        <v>7</v>
      </c>
      <c r="AD17" s="28" t="s">
        <v>7</v>
      </c>
      <c r="AE17" s="109" t="s">
        <v>4</v>
      </c>
      <c r="AF17" s="28" t="s">
        <v>7</v>
      </c>
      <c r="AG17" s="28" t="s">
        <v>7</v>
      </c>
      <c r="AH17"/>
    </row>
    <row r="18" spans="1:34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122"/>
      <c r="U18" s="122"/>
      <c r="V18" s="122"/>
      <c r="W18" s="122"/>
      <c r="X18" s="122"/>
      <c r="Y18" s="50"/>
      <c r="Z18" s="50"/>
      <c r="AA18" s="50"/>
      <c r="AB18" s="50"/>
      <c r="AC18" s="50"/>
      <c r="AD18" s="50"/>
      <c r="AH18"/>
    </row>
    <row r="19" spans="1:34">
      <c r="A19" s="34" t="s">
        <v>28</v>
      </c>
      <c r="B19" s="33" t="s">
        <v>29</v>
      </c>
      <c r="C19" s="28" t="s">
        <v>7</v>
      </c>
      <c r="D19" s="28" t="s">
        <v>7</v>
      </c>
      <c r="E19" s="28" t="s">
        <v>7</v>
      </c>
      <c r="F19" s="167" t="s">
        <v>33</v>
      </c>
      <c r="G19" s="145" t="s">
        <v>85</v>
      </c>
      <c r="H19" s="145" t="s">
        <v>85</v>
      </c>
      <c r="I19" s="145" t="s">
        <v>85</v>
      </c>
      <c r="J19" s="145" t="s">
        <v>85</v>
      </c>
      <c r="K19" s="28" t="s">
        <v>30</v>
      </c>
      <c r="L19" s="28" t="s">
        <v>30</v>
      </c>
      <c r="M19" s="158" t="s">
        <v>11</v>
      </c>
      <c r="N19" s="158" t="s">
        <v>11</v>
      </c>
      <c r="O19" s="158" t="s">
        <v>11</v>
      </c>
      <c r="P19" s="158" t="s">
        <v>11</v>
      </c>
      <c r="Q19" s="28" t="s">
        <v>7</v>
      </c>
      <c r="R19" s="28" t="s">
        <v>7</v>
      </c>
      <c r="S19" s="28" t="s">
        <v>7</v>
      </c>
      <c r="T19" s="145" t="s">
        <v>54</v>
      </c>
      <c r="U19" s="145" t="s">
        <v>54</v>
      </c>
      <c r="V19" s="145" t="s">
        <v>54</v>
      </c>
      <c r="W19" s="145" t="s">
        <v>54</v>
      </c>
      <c r="X19" s="145" t="s">
        <v>54</v>
      </c>
      <c r="Y19" s="28" t="s">
        <v>7</v>
      </c>
      <c r="Z19" s="28" t="s">
        <v>7</v>
      </c>
      <c r="AA19" s="145" t="s">
        <v>85</v>
      </c>
      <c r="AB19" s="145" t="s">
        <v>85</v>
      </c>
      <c r="AC19" s="145" t="s">
        <v>85</v>
      </c>
      <c r="AD19" s="145" t="s">
        <v>85</v>
      </c>
      <c r="AE19" s="145" t="s">
        <v>85</v>
      </c>
      <c r="AF19" s="28" t="s">
        <v>30</v>
      </c>
      <c r="AG19" s="28" t="s">
        <v>30</v>
      </c>
      <c r="AH19"/>
    </row>
    <row r="20" spans="1:34">
      <c r="A20" s="34" t="s">
        <v>28</v>
      </c>
      <c r="B20" s="35" t="s">
        <v>60</v>
      </c>
      <c r="C20" s="28" t="s">
        <v>7</v>
      </c>
      <c r="D20" s="28" t="s">
        <v>7</v>
      </c>
      <c r="E20" s="28" t="s">
        <v>7</v>
      </c>
      <c r="F20" s="17" t="s">
        <v>4</v>
      </c>
      <c r="G20" s="145" t="s">
        <v>54</v>
      </c>
      <c r="H20" s="145" t="s">
        <v>54</v>
      </c>
      <c r="I20" s="145" t="s">
        <v>54</v>
      </c>
      <c r="J20" s="145" t="s">
        <v>54</v>
      </c>
      <c r="K20" s="28" t="s">
        <v>7</v>
      </c>
      <c r="L20" s="28" t="s">
        <v>7</v>
      </c>
      <c r="M20" s="145" t="s">
        <v>85</v>
      </c>
      <c r="N20" s="145" t="s">
        <v>85</v>
      </c>
      <c r="O20" s="145" t="s">
        <v>85</v>
      </c>
      <c r="P20" s="145" t="s">
        <v>85</v>
      </c>
      <c r="Q20" s="28" t="s">
        <v>30</v>
      </c>
      <c r="R20" s="28" t="s">
        <v>30</v>
      </c>
      <c r="S20" s="28" t="s">
        <v>30</v>
      </c>
      <c r="T20" s="158" t="s">
        <v>11</v>
      </c>
      <c r="U20" s="158" t="s">
        <v>11</v>
      </c>
      <c r="V20" s="158" t="s">
        <v>11</v>
      </c>
      <c r="W20" s="158" t="s">
        <v>11</v>
      </c>
      <c r="X20" s="158" t="s">
        <v>11</v>
      </c>
      <c r="Y20" s="28" t="s">
        <v>7</v>
      </c>
      <c r="Z20" s="28" t="s">
        <v>7</v>
      </c>
      <c r="AA20" s="145" t="s">
        <v>54</v>
      </c>
      <c r="AB20" s="145" t="s">
        <v>54</v>
      </c>
      <c r="AC20" s="145" t="s">
        <v>54</v>
      </c>
      <c r="AD20" s="145" t="s">
        <v>54</v>
      </c>
      <c r="AE20" s="145" t="s">
        <v>54</v>
      </c>
      <c r="AF20" s="28" t="s">
        <v>7</v>
      </c>
      <c r="AG20" s="28" t="s">
        <v>7</v>
      </c>
      <c r="AH20"/>
    </row>
    <row r="21" spans="1:34">
      <c r="A21" s="34" t="s">
        <v>28</v>
      </c>
      <c r="B21" s="37" t="s">
        <v>13</v>
      </c>
      <c r="C21" s="28" t="s">
        <v>30</v>
      </c>
      <c r="D21" s="28" t="s">
        <v>30</v>
      </c>
      <c r="E21" s="28" t="s">
        <v>30</v>
      </c>
      <c r="F21" s="158" t="s">
        <v>11</v>
      </c>
      <c r="G21" s="158" t="s">
        <v>11</v>
      </c>
      <c r="H21" s="158" t="s">
        <v>11</v>
      </c>
      <c r="I21" s="158" t="s">
        <v>11</v>
      </c>
      <c r="J21" s="158" t="s">
        <v>11</v>
      </c>
      <c r="K21" s="28" t="s">
        <v>7</v>
      </c>
      <c r="L21" s="28" t="s">
        <v>7</v>
      </c>
      <c r="M21" s="145" t="s">
        <v>54</v>
      </c>
      <c r="N21" s="145" t="s">
        <v>54</v>
      </c>
      <c r="O21" s="145" t="s">
        <v>54</v>
      </c>
      <c r="P21" s="145" t="s">
        <v>54</v>
      </c>
      <c r="Q21" s="28" t="s">
        <v>7</v>
      </c>
      <c r="R21" s="28" t="s">
        <v>7</v>
      </c>
      <c r="S21" s="28" t="s">
        <v>7</v>
      </c>
      <c r="T21" s="145" t="s">
        <v>85</v>
      </c>
      <c r="U21" s="145" t="s">
        <v>85</v>
      </c>
      <c r="V21" s="145" t="s">
        <v>85</v>
      </c>
      <c r="W21" s="145" t="s">
        <v>85</v>
      </c>
      <c r="X21" s="145" t="s">
        <v>85</v>
      </c>
      <c r="Y21" s="28" t="s">
        <v>30</v>
      </c>
      <c r="Z21" s="28" t="s">
        <v>30</v>
      </c>
      <c r="AA21" s="158" t="s">
        <v>11</v>
      </c>
      <c r="AB21" s="158" t="s">
        <v>11</v>
      </c>
      <c r="AC21" s="158" t="s">
        <v>11</v>
      </c>
      <c r="AD21" s="158" t="s">
        <v>11</v>
      </c>
      <c r="AE21" s="158" t="s">
        <v>11</v>
      </c>
      <c r="AF21" s="28" t="s">
        <v>7</v>
      </c>
      <c r="AG21" s="28" t="s">
        <v>7</v>
      </c>
      <c r="AH21"/>
    </row>
    <row r="23" spans="1:34">
      <c r="B23" s="111" t="s">
        <v>89</v>
      </c>
      <c r="C23" s="110">
        <f t="shared" ref="C23:AG23" si="0">SUM(C24:C26)</f>
        <v>4</v>
      </c>
      <c r="D23" s="110">
        <f t="shared" si="0"/>
        <v>4</v>
      </c>
      <c r="E23" s="110">
        <f t="shared" si="0"/>
        <v>4</v>
      </c>
      <c r="F23" s="110">
        <f t="shared" si="0"/>
        <v>5</v>
      </c>
      <c r="G23" s="110">
        <f t="shared" si="0"/>
        <v>7</v>
      </c>
      <c r="H23" s="110">
        <f t="shared" si="0"/>
        <v>7</v>
      </c>
      <c r="I23" s="110">
        <f t="shared" si="0"/>
        <v>7</v>
      </c>
      <c r="J23" s="110">
        <f t="shared" si="0"/>
        <v>7</v>
      </c>
      <c r="K23" s="110">
        <f t="shared" si="0"/>
        <v>4</v>
      </c>
      <c r="L23" s="110">
        <f t="shared" si="0"/>
        <v>4</v>
      </c>
      <c r="M23" s="110">
        <f t="shared" si="0"/>
        <v>7</v>
      </c>
      <c r="N23" s="110">
        <f t="shared" si="0"/>
        <v>7</v>
      </c>
      <c r="O23" s="110">
        <f t="shared" si="0"/>
        <v>7</v>
      </c>
      <c r="P23" s="110">
        <f t="shared" si="0"/>
        <v>7</v>
      </c>
      <c r="Q23" s="110">
        <f t="shared" si="0"/>
        <v>4</v>
      </c>
      <c r="R23" s="110">
        <f t="shared" si="0"/>
        <v>4</v>
      </c>
      <c r="S23" s="110">
        <f t="shared" si="0"/>
        <v>4</v>
      </c>
      <c r="T23" s="110">
        <f t="shared" si="0"/>
        <v>7</v>
      </c>
      <c r="U23" s="110">
        <f t="shared" si="0"/>
        <v>7</v>
      </c>
      <c r="V23" s="110">
        <f t="shared" si="0"/>
        <v>7</v>
      </c>
      <c r="W23" s="110">
        <f t="shared" si="0"/>
        <v>7</v>
      </c>
      <c r="X23" s="110">
        <f t="shared" si="0"/>
        <v>7</v>
      </c>
      <c r="Y23" s="110">
        <f t="shared" si="0"/>
        <v>4</v>
      </c>
      <c r="Z23" s="110">
        <f t="shared" si="0"/>
        <v>4</v>
      </c>
      <c r="AA23" s="110">
        <f t="shared" si="0"/>
        <v>7</v>
      </c>
      <c r="AB23" s="110">
        <f t="shared" si="0"/>
        <v>7</v>
      </c>
      <c r="AC23" s="110">
        <f t="shared" si="0"/>
        <v>7</v>
      </c>
      <c r="AD23" s="110">
        <f t="shared" si="0"/>
        <v>7</v>
      </c>
      <c r="AE23" s="110">
        <f t="shared" si="0"/>
        <v>7</v>
      </c>
      <c r="AF23" s="110">
        <f t="shared" si="0"/>
        <v>4</v>
      </c>
      <c r="AG23" s="110">
        <f t="shared" si="0"/>
        <v>4</v>
      </c>
    </row>
    <row r="24" spans="1:34">
      <c r="B24" s="111" t="s">
        <v>90</v>
      </c>
      <c r="C24" s="112">
        <f t="shared" ref="C24:AG24" si="1">COUNTIF(C4:C21,"T")</f>
        <v>2</v>
      </c>
      <c r="D24" s="112">
        <f t="shared" si="1"/>
        <v>0</v>
      </c>
      <c r="E24" s="112">
        <f t="shared" si="1"/>
        <v>0</v>
      </c>
      <c r="F24" s="112">
        <f t="shared" si="1"/>
        <v>2</v>
      </c>
      <c r="G24" s="112">
        <f t="shared" si="1"/>
        <v>2</v>
      </c>
      <c r="H24" s="112">
        <f t="shared" si="1"/>
        <v>2</v>
      </c>
      <c r="I24" s="112">
        <f t="shared" si="1"/>
        <v>2</v>
      </c>
      <c r="J24" s="112">
        <f t="shared" si="1"/>
        <v>2</v>
      </c>
      <c r="K24" s="112">
        <f t="shared" si="1"/>
        <v>0</v>
      </c>
      <c r="L24" s="112">
        <f t="shared" si="1"/>
        <v>0</v>
      </c>
      <c r="M24" s="112">
        <f t="shared" si="1"/>
        <v>2</v>
      </c>
      <c r="N24" s="112">
        <f t="shared" si="1"/>
        <v>2</v>
      </c>
      <c r="O24" s="112">
        <f t="shared" si="1"/>
        <v>2</v>
      </c>
      <c r="P24" s="112">
        <f t="shared" si="1"/>
        <v>2</v>
      </c>
      <c r="Q24" s="112">
        <f t="shared" si="1"/>
        <v>2</v>
      </c>
      <c r="R24" s="112">
        <f t="shared" si="1"/>
        <v>0</v>
      </c>
      <c r="S24" s="112">
        <f t="shared" si="1"/>
        <v>0</v>
      </c>
      <c r="T24" s="112">
        <f t="shared" si="1"/>
        <v>2</v>
      </c>
      <c r="U24" s="112">
        <f t="shared" si="1"/>
        <v>2</v>
      </c>
      <c r="V24" s="112">
        <f t="shared" si="1"/>
        <v>2</v>
      </c>
      <c r="W24" s="112">
        <f t="shared" si="1"/>
        <v>2</v>
      </c>
      <c r="X24" s="112">
        <f t="shared" si="1"/>
        <v>2</v>
      </c>
      <c r="Y24" s="112">
        <f t="shared" si="1"/>
        <v>0</v>
      </c>
      <c r="Z24" s="112">
        <f t="shared" si="1"/>
        <v>0</v>
      </c>
      <c r="AA24" s="112">
        <f t="shared" si="1"/>
        <v>2</v>
      </c>
      <c r="AB24" s="112">
        <f t="shared" si="1"/>
        <v>2</v>
      </c>
      <c r="AC24" s="112">
        <f t="shared" si="1"/>
        <v>2</v>
      </c>
      <c r="AD24" s="112">
        <f t="shared" si="1"/>
        <v>2</v>
      </c>
      <c r="AE24" s="112">
        <f t="shared" si="1"/>
        <v>2</v>
      </c>
      <c r="AF24" s="112">
        <f t="shared" si="1"/>
        <v>0</v>
      </c>
      <c r="AG24" s="112">
        <f t="shared" si="1"/>
        <v>0</v>
      </c>
    </row>
    <row r="25" spans="1:34">
      <c r="B25" s="111" t="s">
        <v>91</v>
      </c>
      <c r="C25" s="112">
        <f t="shared" ref="C25:AG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>
      <c r="B26" s="111" t="s">
        <v>92</v>
      </c>
      <c r="C26" s="112">
        <f>COUNTIF(C4:C21,"M/F")+COUNTIF(C4:C21,"M1")+COUNTIF(C4:C21,"M3")+COUNTIF(C4:C21,"M3/G")+COUNTIF(C4:C21,"M2")</f>
        <v>0</v>
      </c>
      <c r="D26" s="112">
        <f>COUNTIF(D4:D21,"M/F")+COUNTIF(D4:D21,"M1")+COUNTIF(D4:D21,"M3")+COUNTIF(D4:D21,"M3/G")+COUNTIF(D4:D21,"M2")</f>
        <v>2</v>
      </c>
      <c r="E26" s="112">
        <f>COUNTIF(E4:E21,"M1")+COUNTIF(E4:E21,"NF")</f>
        <v>2</v>
      </c>
      <c r="F26" s="112">
        <f t="shared" ref="F26:AG26" si="3">COUNTIF(F4:F21,"M/F")+COUNTIF(F4:F21,"M1")+COUNTIF(F4:F21,"M3")+COUNTIF(F4:F21,"M3/G")+COUNTIF(F4:F21,"M2")</f>
        <v>1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2</v>
      </c>
      <c r="L26" s="112">
        <f t="shared" si="3"/>
        <v>2</v>
      </c>
      <c r="M26" s="112">
        <f t="shared" si="3"/>
        <v>3</v>
      </c>
      <c r="N26" s="112">
        <f t="shared" si="3"/>
        <v>3</v>
      </c>
      <c r="O26" s="112">
        <f t="shared" si="3"/>
        <v>3</v>
      </c>
      <c r="P26" s="112">
        <f t="shared" si="3"/>
        <v>3</v>
      </c>
      <c r="Q26" s="112">
        <f t="shared" si="3"/>
        <v>0</v>
      </c>
      <c r="R26" s="112">
        <f t="shared" si="3"/>
        <v>2</v>
      </c>
      <c r="S26" s="112">
        <f t="shared" si="3"/>
        <v>2</v>
      </c>
      <c r="T26" s="112">
        <f t="shared" si="3"/>
        <v>3</v>
      </c>
      <c r="U26" s="112">
        <f t="shared" si="3"/>
        <v>3</v>
      </c>
      <c r="V26" s="112">
        <f t="shared" si="3"/>
        <v>3</v>
      </c>
      <c r="W26" s="112">
        <f t="shared" si="3"/>
        <v>3</v>
      </c>
      <c r="X26" s="112">
        <f t="shared" si="3"/>
        <v>3</v>
      </c>
      <c r="Y26" s="112">
        <f t="shared" si="3"/>
        <v>2</v>
      </c>
      <c r="Z26" s="112">
        <f t="shared" si="3"/>
        <v>2</v>
      </c>
      <c r="AA26" s="112">
        <f t="shared" si="3"/>
        <v>3</v>
      </c>
      <c r="AB26" s="112">
        <f t="shared" si="3"/>
        <v>3</v>
      </c>
      <c r="AC26" s="112">
        <f t="shared" si="3"/>
        <v>3</v>
      </c>
      <c r="AD26" s="112">
        <f t="shared" si="3"/>
        <v>3</v>
      </c>
      <c r="AE26" s="112">
        <f t="shared" si="3"/>
        <v>3</v>
      </c>
      <c r="AF26" s="112">
        <f t="shared" si="3"/>
        <v>2</v>
      </c>
      <c r="AG26" s="112">
        <f t="shared" si="3"/>
        <v>2</v>
      </c>
    </row>
    <row r="28" spans="1:34">
      <c r="B28" t="s">
        <v>65</v>
      </c>
    </row>
    <row r="29" spans="1:34">
      <c r="B29" s="5" t="s">
        <v>66</v>
      </c>
    </row>
    <row r="30" spans="1:34">
      <c r="B30" s="5" t="s">
        <v>67</v>
      </c>
    </row>
    <row r="31" spans="1:34">
      <c r="B31" s="1" t="s">
        <v>68</v>
      </c>
    </row>
    <row r="32" spans="1:34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G1"/>
  </mergeCells>
  <conditionalFormatting sqref="C24:AG26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K40"/>
  <sheetViews>
    <sheetView tabSelected="1" workbookViewId="0">
      <selection activeCell="C11" sqref="C11:G11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7" ht="24" customHeight="1">
      <c r="A1" s="6"/>
      <c r="B1" s="168"/>
      <c r="C1" s="169" t="s">
        <v>112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7">
      <c r="A2" s="6"/>
      <c r="B2" s="16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7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7">
      <c r="A4" s="63" t="s">
        <v>12</v>
      </c>
      <c r="B4" s="62" t="s">
        <v>113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7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28" t="s">
        <v>7</v>
      </c>
      <c r="W5" s="28" t="s">
        <v>7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7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1" t="s">
        <v>14</v>
      </c>
      <c r="M6" s="1" t="s">
        <v>14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  <c r="AK6" s="5" t="s">
        <v>15</v>
      </c>
    </row>
    <row r="7" spans="1:37">
      <c r="A7" s="34" t="s">
        <v>12</v>
      </c>
      <c r="B7" s="33" t="s">
        <v>111</v>
      </c>
      <c r="C7" s="118" t="s">
        <v>83</v>
      </c>
      <c r="D7" s="118" t="s">
        <v>83</v>
      </c>
      <c r="E7" s="118" t="s">
        <v>83</v>
      </c>
      <c r="F7" s="118" t="s">
        <v>83</v>
      </c>
      <c r="G7" s="118" t="s">
        <v>83</v>
      </c>
      <c r="H7" s="5" t="s">
        <v>15</v>
      </c>
      <c r="I7" s="5" t="s">
        <v>15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118" t="s">
        <v>83</v>
      </c>
      <c r="R7" s="118" t="s">
        <v>83</v>
      </c>
      <c r="S7" s="118" t="s">
        <v>83</v>
      </c>
      <c r="T7" s="118" t="s">
        <v>83</v>
      </c>
      <c r="U7" s="118" t="s">
        <v>83</v>
      </c>
      <c r="V7" s="28" t="s">
        <v>7</v>
      </c>
      <c r="W7" s="28" t="s">
        <v>7</v>
      </c>
      <c r="X7" s="118" t="s">
        <v>83</v>
      </c>
      <c r="Y7" s="118" t="s">
        <v>83</v>
      </c>
      <c r="Z7" s="118" t="s">
        <v>83</v>
      </c>
      <c r="AA7" s="118" t="s">
        <v>83</v>
      </c>
      <c r="AB7" s="118" t="s">
        <v>83</v>
      </c>
      <c r="AC7" s="28" t="s">
        <v>7</v>
      </c>
      <c r="AD7" s="28" t="s">
        <v>7</v>
      </c>
      <c r="AE7" s="118" t="s">
        <v>83</v>
      </c>
      <c r="AF7" s="118" t="s">
        <v>83</v>
      </c>
      <c r="AG7"/>
    </row>
    <row r="8" spans="1:37">
      <c r="AG8"/>
    </row>
    <row r="9" spans="1:37">
      <c r="AG9"/>
    </row>
    <row r="10" spans="1:37">
      <c r="A10" s="34" t="s">
        <v>12</v>
      </c>
      <c r="B10" s="33" t="s">
        <v>106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5" t="s">
        <v>14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25" t="s">
        <v>20</v>
      </c>
      <c r="AF10" s="125" t="s">
        <v>20</v>
      </c>
      <c r="AG10"/>
    </row>
    <row r="11" spans="1:37" ht="15">
      <c r="A11" s="34" t="s">
        <v>12</v>
      </c>
      <c r="B11" s="33" t="s">
        <v>53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5" t="s">
        <v>14</v>
      </c>
      <c r="Y11" s="5" t="s">
        <v>14</v>
      </c>
      <c r="Z11" s="5" t="s">
        <v>14</v>
      </c>
      <c r="AA11" s="5" t="s">
        <v>14</v>
      </c>
      <c r="AB11" s="5" t="s">
        <v>14</v>
      </c>
      <c r="AC11" s="5" t="s">
        <v>15</v>
      </c>
      <c r="AD11" s="5" t="s">
        <v>15</v>
      </c>
      <c r="AE11" s="28" t="s">
        <v>7</v>
      </c>
      <c r="AF11" s="28" t="s">
        <v>7</v>
      </c>
      <c r="AG11"/>
    </row>
    <row r="12" spans="1:37" ht="15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5" t="s">
        <v>20</v>
      </c>
      <c r="G12" s="125" t="s">
        <v>20</v>
      </c>
      <c r="H12" s="28" t="s">
        <v>7</v>
      </c>
      <c r="I12" s="28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28" t="s">
        <v>7</v>
      </c>
      <c r="P12" s="28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5" t="s">
        <v>14</v>
      </c>
      <c r="AF12" s="5" t="s">
        <v>14</v>
      </c>
      <c r="AG12"/>
    </row>
    <row r="13" spans="1:37">
      <c r="A13" s="34" t="s">
        <v>12</v>
      </c>
      <c r="B13" s="33" t="s">
        <v>84</v>
      </c>
      <c r="C13" s="5" t="s">
        <v>14</v>
      </c>
      <c r="D13" s="5" t="s">
        <v>14</v>
      </c>
      <c r="E13" s="5" t="s">
        <v>14</v>
      </c>
      <c r="F13" s="5" t="s">
        <v>14</v>
      </c>
      <c r="G13" s="5" t="s">
        <v>14</v>
      </c>
      <c r="H13" s="5" t="s">
        <v>15</v>
      </c>
      <c r="I13" s="5" t="s">
        <v>15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28" t="s">
        <v>7</v>
      </c>
      <c r="W13" s="28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28" t="s">
        <v>7</v>
      </c>
      <c r="AF13" s="28" t="s">
        <v>7</v>
      </c>
      <c r="AG13"/>
    </row>
    <row r="14" spans="1:37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5" t="s">
        <v>14</v>
      </c>
      <c r="K14" s="5" t="s">
        <v>14</v>
      </c>
      <c r="L14" s="5" t="s">
        <v>14</v>
      </c>
      <c r="M14" s="5" t="s">
        <v>14</v>
      </c>
      <c r="N14" s="5" t="s">
        <v>14</v>
      </c>
      <c r="O14" s="5" t="s">
        <v>15</v>
      </c>
      <c r="P14" s="5" t="s">
        <v>15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28" t="s">
        <v>7</v>
      </c>
      <c r="AD14" s="28" t="s">
        <v>7</v>
      </c>
      <c r="AE14" s="130" t="s">
        <v>16</v>
      </c>
      <c r="AF14" s="130" t="s">
        <v>16</v>
      </c>
      <c r="AG14"/>
    </row>
    <row r="15" spans="1:37">
      <c r="AG15"/>
    </row>
    <row r="16" spans="1:37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28" t="s">
        <v>7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28" t="s">
        <v>7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>
      <c r="A19" s="34" t="s">
        <v>28</v>
      </c>
      <c r="B19" s="33" t="s">
        <v>29</v>
      </c>
      <c r="C19" s="158" t="s">
        <v>11</v>
      </c>
      <c r="D19" s="158" t="s">
        <v>11</v>
      </c>
      <c r="E19" s="158" t="s">
        <v>11</v>
      </c>
      <c r="F19" s="158" t="s">
        <v>11</v>
      </c>
      <c r="G19" s="158" t="s">
        <v>11</v>
      </c>
      <c r="H19" s="28" t="s">
        <v>7</v>
      </c>
      <c r="I19" s="28" t="s">
        <v>7</v>
      </c>
      <c r="J19" s="145" t="s">
        <v>54</v>
      </c>
      <c r="K19" s="145" t="s">
        <v>54</v>
      </c>
      <c r="L19" s="145" t="s">
        <v>54</v>
      </c>
      <c r="M19" s="145" t="s">
        <v>54</v>
      </c>
      <c r="N19" s="145" t="s">
        <v>54</v>
      </c>
      <c r="O19" s="28" t="s">
        <v>7</v>
      </c>
      <c r="P19" s="28" t="s">
        <v>7</v>
      </c>
      <c r="Q19" s="145" t="s">
        <v>85</v>
      </c>
      <c r="R19" s="145" t="s">
        <v>85</v>
      </c>
      <c r="S19" s="145" t="s">
        <v>85</v>
      </c>
      <c r="T19" s="145" t="s">
        <v>85</v>
      </c>
      <c r="U19" s="145" t="s">
        <v>85</v>
      </c>
      <c r="V19" s="28" t="s">
        <v>30</v>
      </c>
      <c r="W19" s="28" t="s">
        <v>30</v>
      </c>
      <c r="X19" s="158" t="s">
        <v>11</v>
      </c>
      <c r="Y19" s="158" t="s">
        <v>11</v>
      </c>
      <c r="Z19" s="158" t="s">
        <v>11</v>
      </c>
      <c r="AA19" s="158" t="s">
        <v>11</v>
      </c>
      <c r="AB19" s="158" t="s">
        <v>11</v>
      </c>
      <c r="AC19" s="28" t="s">
        <v>7</v>
      </c>
      <c r="AD19" s="28" t="s">
        <v>7</v>
      </c>
      <c r="AE19" s="145" t="s">
        <v>54</v>
      </c>
      <c r="AF19" s="145" t="s">
        <v>54</v>
      </c>
      <c r="AG19"/>
    </row>
    <row r="20" spans="1:33">
      <c r="A20" s="34" t="s">
        <v>28</v>
      </c>
      <c r="B20" s="35" t="s">
        <v>60</v>
      </c>
      <c r="C20" s="145" t="s">
        <v>85</v>
      </c>
      <c r="D20" s="145" t="s">
        <v>85</v>
      </c>
      <c r="E20" s="145" t="s">
        <v>85</v>
      </c>
      <c r="F20" s="145" t="s">
        <v>85</v>
      </c>
      <c r="G20" s="145" t="s">
        <v>85</v>
      </c>
      <c r="H20" s="28" t="s">
        <v>30</v>
      </c>
      <c r="I20" s="28" t="s">
        <v>30</v>
      </c>
      <c r="J20" s="158" t="s">
        <v>11</v>
      </c>
      <c r="K20" s="158" t="s">
        <v>11</v>
      </c>
      <c r="L20" s="158" t="s">
        <v>11</v>
      </c>
      <c r="M20" s="158" t="s">
        <v>11</v>
      </c>
      <c r="N20" s="158" t="s">
        <v>11</v>
      </c>
      <c r="O20" s="28" t="s">
        <v>7</v>
      </c>
      <c r="P20" s="28" t="s">
        <v>7</v>
      </c>
      <c r="Q20" s="145" t="s">
        <v>54</v>
      </c>
      <c r="R20" s="145" t="s">
        <v>54</v>
      </c>
      <c r="S20" s="145" t="s">
        <v>54</v>
      </c>
      <c r="T20" s="145" t="s">
        <v>54</v>
      </c>
      <c r="U20" s="145" t="s">
        <v>54</v>
      </c>
      <c r="V20" s="28" t="s">
        <v>7</v>
      </c>
      <c r="W20" s="28" t="s">
        <v>7</v>
      </c>
      <c r="X20" s="145" t="s">
        <v>85</v>
      </c>
      <c r="Y20" s="145" t="s">
        <v>85</v>
      </c>
      <c r="Z20" s="145" t="s">
        <v>85</v>
      </c>
      <c r="AA20" s="145" t="s">
        <v>85</v>
      </c>
      <c r="AB20" s="145" t="s">
        <v>85</v>
      </c>
      <c r="AC20" s="28" t="s">
        <v>30</v>
      </c>
      <c r="AD20" s="28" t="s">
        <v>30</v>
      </c>
      <c r="AE20" s="158" t="s">
        <v>11</v>
      </c>
      <c r="AF20" s="158" t="s">
        <v>11</v>
      </c>
      <c r="AG20"/>
    </row>
    <row r="21" spans="1:33">
      <c r="A21" s="34" t="s">
        <v>28</v>
      </c>
      <c r="B21" s="37" t="s">
        <v>13</v>
      </c>
      <c r="C21" s="166" t="s">
        <v>54</v>
      </c>
      <c r="D21" s="145" t="s">
        <v>54</v>
      </c>
      <c r="E21" s="145" t="s">
        <v>54</v>
      </c>
      <c r="F21" s="145" t="s">
        <v>54</v>
      </c>
      <c r="G21" s="145" t="s">
        <v>54</v>
      </c>
      <c r="H21" s="28" t="s">
        <v>7</v>
      </c>
      <c r="I21" s="28" t="s">
        <v>7</v>
      </c>
      <c r="J21" s="145" t="s">
        <v>85</v>
      </c>
      <c r="K21" s="145" t="s">
        <v>85</v>
      </c>
      <c r="L21" s="145" t="s">
        <v>85</v>
      </c>
      <c r="M21" s="145" t="s">
        <v>85</v>
      </c>
      <c r="N21" s="145" t="s">
        <v>85</v>
      </c>
      <c r="O21" s="28" t="s">
        <v>30</v>
      </c>
      <c r="P21" s="28" t="s">
        <v>30</v>
      </c>
      <c r="Q21" s="158" t="s">
        <v>11</v>
      </c>
      <c r="R21" s="158" t="s">
        <v>11</v>
      </c>
      <c r="S21" s="158" t="s">
        <v>11</v>
      </c>
      <c r="T21" s="158" t="s">
        <v>11</v>
      </c>
      <c r="U21" s="17" t="s">
        <v>4</v>
      </c>
      <c r="V21" s="28" t="s">
        <v>7</v>
      </c>
      <c r="W21" s="28" t="s">
        <v>7</v>
      </c>
      <c r="X21" s="145" t="s">
        <v>54</v>
      </c>
      <c r="Y21" s="145" t="s">
        <v>54</v>
      </c>
      <c r="Z21" s="145" t="s">
        <v>54</v>
      </c>
      <c r="AA21" s="145" t="s">
        <v>54</v>
      </c>
      <c r="AB21" s="145" t="s">
        <v>54</v>
      </c>
      <c r="AC21" s="28" t="s">
        <v>7</v>
      </c>
      <c r="AD21" s="28" t="s">
        <v>7</v>
      </c>
      <c r="AE21" s="145" t="s">
        <v>85</v>
      </c>
      <c r="AF21" s="145" t="s">
        <v>85</v>
      </c>
      <c r="AG21"/>
    </row>
    <row r="22" spans="1:33">
      <c r="H22" t="s">
        <v>114</v>
      </c>
      <c r="AG22"/>
    </row>
    <row r="23" spans="1:33">
      <c r="B23" s="111" t="s">
        <v>89</v>
      </c>
      <c r="C23" s="110">
        <f t="shared" ref="C23:AF23" si="0">SUM(C24:C26)</f>
        <v>7</v>
      </c>
      <c r="D23" s="110">
        <f t="shared" si="0"/>
        <v>7</v>
      </c>
      <c r="E23" s="110">
        <f t="shared" si="0"/>
        <v>5</v>
      </c>
      <c r="F23" s="110">
        <f t="shared" si="0"/>
        <v>7</v>
      </c>
      <c r="G23" s="110">
        <f t="shared" si="0"/>
        <v>7</v>
      </c>
      <c r="H23" s="110">
        <f t="shared" si="0"/>
        <v>5</v>
      </c>
      <c r="I23" s="110">
        <f t="shared" si="0"/>
        <v>5</v>
      </c>
      <c r="J23" s="110">
        <f t="shared" si="0"/>
        <v>7</v>
      </c>
      <c r="K23" s="110">
        <f t="shared" si="0"/>
        <v>7</v>
      </c>
      <c r="L23" s="110">
        <f t="shared" si="0"/>
        <v>7</v>
      </c>
      <c r="M23" s="110">
        <f t="shared" si="0"/>
        <v>7</v>
      </c>
      <c r="N23" s="110">
        <f t="shared" si="0"/>
        <v>7</v>
      </c>
      <c r="O23" s="110">
        <f t="shared" si="0"/>
        <v>4</v>
      </c>
      <c r="P23" s="110">
        <f t="shared" si="0"/>
        <v>4</v>
      </c>
      <c r="Q23" s="110">
        <f t="shared" si="0"/>
        <v>7</v>
      </c>
      <c r="R23" s="110">
        <f t="shared" si="0"/>
        <v>7</v>
      </c>
      <c r="S23" s="110">
        <f t="shared" si="0"/>
        <v>7</v>
      </c>
      <c r="T23" s="110">
        <f t="shared" si="0"/>
        <v>7</v>
      </c>
      <c r="U23" s="110">
        <f t="shared" si="0"/>
        <v>6</v>
      </c>
      <c r="V23" s="110">
        <f t="shared" si="0"/>
        <v>4</v>
      </c>
      <c r="W23" s="110">
        <f t="shared" si="0"/>
        <v>4</v>
      </c>
      <c r="X23" s="110">
        <f t="shared" si="0"/>
        <v>7</v>
      </c>
      <c r="Y23" s="110">
        <f t="shared" si="0"/>
        <v>7</v>
      </c>
      <c r="Z23" s="110">
        <f t="shared" si="0"/>
        <v>7</v>
      </c>
      <c r="AA23" s="110">
        <f t="shared" si="0"/>
        <v>7</v>
      </c>
      <c r="AB23" s="110">
        <f t="shared" si="0"/>
        <v>7</v>
      </c>
      <c r="AC23" s="110">
        <f t="shared" si="0"/>
        <v>4</v>
      </c>
      <c r="AD23" s="110">
        <f t="shared" si="0"/>
        <v>4</v>
      </c>
      <c r="AE23" s="110">
        <f t="shared" si="0"/>
        <v>7</v>
      </c>
      <c r="AF23" s="110">
        <f t="shared" si="0"/>
        <v>7</v>
      </c>
    </row>
    <row r="24" spans="1:33">
      <c r="B24" s="111" t="s">
        <v>90</v>
      </c>
      <c r="C24" s="112">
        <f t="shared" ref="C24:AF24" si="1">COUNTIF(C4:C21,"T")</f>
        <v>2</v>
      </c>
      <c r="D24" s="112">
        <f t="shared" si="1"/>
        <v>2</v>
      </c>
      <c r="E24" s="112">
        <f t="shared" si="1"/>
        <v>2</v>
      </c>
      <c r="F24" s="112">
        <f t="shared" si="1"/>
        <v>2</v>
      </c>
      <c r="G24" s="112">
        <f t="shared" si="1"/>
        <v>2</v>
      </c>
      <c r="H24" s="112">
        <f t="shared" si="1"/>
        <v>0</v>
      </c>
      <c r="I24" s="112">
        <f t="shared" si="1"/>
        <v>0</v>
      </c>
      <c r="J24" s="112">
        <f t="shared" si="1"/>
        <v>2</v>
      </c>
      <c r="K24" s="112">
        <f t="shared" si="1"/>
        <v>2</v>
      </c>
      <c r="L24" s="112">
        <f t="shared" si="1"/>
        <v>2</v>
      </c>
      <c r="M24" s="112">
        <f t="shared" si="1"/>
        <v>2</v>
      </c>
      <c r="N24" s="112">
        <f t="shared" si="1"/>
        <v>2</v>
      </c>
      <c r="O24" s="112">
        <f t="shared" si="1"/>
        <v>0</v>
      </c>
      <c r="P24" s="112">
        <f t="shared" si="1"/>
        <v>0</v>
      </c>
      <c r="Q24" s="112">
        <f t="shared" si="1"/>
        <v>2</v>
      </c>
      <c r="R24" s="112">
        <f t="shared" si="1"/>
        <v>2</v>
      </c>
      <c r="S24" s="112">
        <f t="shared" si="1"/>
        <v>2</v>
      </c>
      <c r="T24" s="112">
        <f t="shared" si="1"/>
        <v>2</v>
      </c>
      <c r="U24" s="112">
        <f t="shared" si="1"/>
        <v>2</v>
      </c>
      <c r="V24" s="112">
        <f t="shared" si="1"/>
        <v>0</v>
      </c>
      <c r="W24" s="112">
        <f t="shared" si="1"/>
        <v>0</v>
      </c>
      <c r="X24" s="112">
        <f t="shared" si="1"/>
        <v>2</v>
      </c>
      <c r="Y24" s="112">
        <f t="shared" si="1"/>
        <v>2</v>
      </c>
      <c r="Z24" s="112">
        <f t="shared" si="1"/>
        <v>2</v>
      </c>
      <c r="AA24" s="112">
        <f t="shared" si="1"/>
        <v>2</v>
      </c>
      <c r="AB24" s="112">
        <f t="shared" si="1"/>
        <v>2</v>
      </c>
      <c r="AC24" s="112">
        <f t="shared" si="1"/>
        <v>0</v>
      </c>
      <c r="AD24" s="112">
        <f t="shared" si="1"/>
        <v>0</v>
      </c>
      <c r="AE24" s="112">
        <f t="shared" si="1"/>
        <v>2</v>
      </c>
      <c r="AF24" s="112">
        <f t="shared" si="1"/>
        <v>2</v>
      </c>
    </row>
    <row r="25" spans="1:33">
      <c r="B25" s="111" t="s">
        <v>91</v>
      </c>
      <c r="C25" s="112">
        <f t="shared" ref="C25:AF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</row>
    <row r="26" spans="1:33">
      <c r="B26" s="111" t="s">
        <v>92</v>
      </c>
      <c r="C26" s="112">
        <f>COUNTIF(C4:C21,"M/F")+COUNTIF(C4:C21,"M1")+COUNTIF(C4:C21,"M3")+COUNTIF(C4:C21,"M3/G")+COUNTIF(C4:C21,"M2")</f>
        <v>3</v>
      </c>
      <c r="D26" s="112">
        <f>COUNTIF(D4:D21,"M/F")+COUNTIF(D4:D21,"M1")+COUNTIF(D4:D21,"M3")+COUNTIF(D4:D21,"M3/G")+COUNTIF(D4:D21,"M2")</f>
        <v>3</v>
      </c>
      <c r="E26" s="112">
        <f>COUNTIF(E4:E21,"M1")+COUNTIF(E4:E21,"NF")</f>
        <v>1</v>
      </c>
      <c r="F26" s="112">
        <f t="shared" ref="F26:AF26" si="3">COUNTIF(F4:F21,"M/F")+COUNTIF(F4:F21,"M1")+COUNTIF(F4:F21,"M3")+COUNTIF(F4:F21,"M3/G")+COUNTIF(F4:F21,"M2")</f>
        <v>3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3</v>
      </c>
      <c r="L26" s="112">
        <f t="shared" si="3"/>
        <v>3</v>
      </c>
      <c r="M26" s="112">
        <f t="shared" si="3"/>
        <v>3</v>
      </c>
      <c r="N26" s="112">
        <f t="shared" si="3"/>
        <v>3</v>
      </c>
      <c r="O26" s="112">
        <f t="shared" si="3"/>
        <v>2</v>
      </c>
      <c r="P26" s="112">
        <f t="shared" si="3"/>
        <v>2</v>
      </c>
      <c r="Q26" s="112">
        <f t="shared" si="3"/>
        <v>3</v>
      </c>
      <c r="R26" s="112">
        <f t="shared" si="3"/>
        <v>3</v>
      </c>
      <c r="S26" s="112">
        <f t="shared" si="3"/>
        <v>3</v>
      </c>
      <c r="T26" s="112">
        <f t="shared" si="3"/>
        <v>3</v>
      </c>
      <c r="U26" s="112">
        <f t="shared" si="3"/>
        <v>2</v>
      </c>
      <c r="V26" s="112">
        <f t="shared" si="3"/>
        <v>2</v>
      </c>
      <c r="W26" s="112">
        <f t="shared" si="3"/>
        <v>2</v>
      </c>
      <c r="X26" s="112">
        <f t="shared" si="3"/>
        <v>3</v>
      </c>
      <c r="Y26" s="112">
        <f t="shared" si="3"/>
        <v>3</v>
      </c>
      <c r="Z26" s="112">
        <f t="shared" si="3"/>
        <v>3</v>
      </c>
      <c r="AA26" s="112">
        <f t="shared" si="3"/>
        <v>3</v>
      </c>
      <c r="AB26" s="112">
        <f t="shared" si="3"/>
        <v>3</v>
      </c>
      <c r="AC26" s="112">
        <f t="shared" si="3"/>
        <v>2</v>
      </c>
      <c r="AD26" s="112">
        <f t="shared" si="3"/>
        <v>2</v>
      </c>
      <c r="AE26" s="112">
        <f t="shared" si="3"/>
        <v>3</v>
      </c>
      <c r="AF26" s="112">
        <f t="shared" si="3"/>
        <v>3</v>
      </c>
    </row>
    <row r="28" spans="1:33">
      <c r="B28" t="s">
        <v>65</v>
      </c>
    </row>
    <row r="29" spans="1:33">
      <c r="B29" s="5" t="s">
        <v>66</v>
      </c>
    </row>
    <row r="30" spans="1:33">
      <c r="B30" s="5" t="s">
        <v>67</v>
      </c>
    </row>
    <row r="31" spans="1:33">
      <c r="B31" s="1" t="s">
        <v>68</v>
      </c>
    </row>
    <row r="32" spans="1:33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F1"/>
  </mergeCells>
  <conditionalFormatting sqref="C24:AF26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S18" sqref="S1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68"/>
      <c r="C1" s="169" t="s">
        <v>115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6">
      <c r="A2" s="6"/>
      <c r="B2" s="16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30" t="s">
        <v>16</v>
      </c>
      <c r="W10" s="130" t="s">
        <v>16</v>
      </c>
      <c r="X10" s="130" t="s">
        <v>16</v>
      </c>
      <c r="Y10" s="130" t="s">
        <v>16</v>
      </c>
      <c r="Z10" s="130" t="s">
        <v>16</v>
      </c>
      <c r="AA10" s="130" t="s">
        <v>17</v>
      </c>
      <c r="AB10" s="130" t="s">
        <v>17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30" t="s">
        <v>16</v>
      </c>
      <c r="AD11" s="130" t="s">
        <v>16</v>
      </c>
      <c r="AE11" s="130" t="s">
        <v>16</v>
      </c>
      <c r="AF11" s="130" t="s">
        <v>16</v>
      </c>
      <c r="AG11" s="130" t="s">
        <v>16</v>
      </c>
      <c r="AH11"/>
    </row>
    <row r="12" spans="1:36">
      <c r="A12" s="34" t="s">
        <v>12</v>
      </c>
      <c r="B12" s="33" t="s">
        <v>24</v>
      </c>
      <c r="C12" s="130" t="s">
        <v>16</v>
      </c>
      <c r="D12" s="130" t="s">
        <v>16</v>
      </c>
      <c r="E12" s="130" t="s">
        <v>16</v>
      </c>
      <c r="F12" s="130" t="s">
        <v>17</v>
      </c>
      <c r="G12" s="130" t="s">
        <v>17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30" t="s">
        <v>16</v>
      </c>
      <c r="I13" s="130" t="s">
        <v>16</v>
      </c>
      <c r="J13" s="130" t="s">
        <v>16</v>
      </c>
      <c r="K13" s="130" t="s">
        <v>16</v>
      </c>
      <c r="L13" s="130" t="s">
        <v>16</v>
      </c>
      <c r="M13" s="130" t="s">
        <v>17</v>
      </c>
      <c r="N13" s="130" t="s">
        <v>17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30" t="s">
        <v>16</v>
      </c>
      <c r="P14" s="130" t="s">
        <v>16</v>
      </c>
      <c r="Q14" s="130" t="s">
        <v>16</v>
      </c>
      <c r="R14" s="130" t="s">
        <v>16</v>
      </c>
      <c r="S14" s="130" t="s">
        <v>16</v>
      </c>
      <c r="T14" s="130" t="s">
        <v>17</v>
      </c>
      <c r="U14" s="130" t="s">
        <v>17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>
      <c r="A16" s="34" t="s">
        <v>28</v>
      </c>
      <c r="B16" s="37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30</v>
      </c>
      <c r="U16" s="28" t="s">
        <v>30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>
      <c r="A17" s="34" t="s">
        <v>28</v>
      </c>
      <c r="B17" s="37" t="s">
        <v>60</v>
      </c>
      <c r="C17" s="4" t="s">
        <v>85</v>
      </c>
      <c r="D17" s="4" t="s">
        <v>85</v>
      </c>
      <c r="E17" s="4" t="s">
        <v>85</v>
      </c>
      <c r="F17" s="28" t="s">
        <v>30</v>
      </c>
      <c r="G17" s="28" t="s">
        <v>30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>
      <c r="A18" s="34" t="s">
        <v>28</v>
      </c>
      <c r="B18" s="37" t="s">
        <v>13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30</v>
      </c>
      <c r="N18" s="28" t="s">
        <v>30</v>
      </c>
      <c r="O18" s="17" t="s">
        <v>4</v>
      </c>
      <c r="P18" s="17" t="s">
        <v>4</v>
      </c>
      <c r="Q18" s="17" t="s">
        <v>4</v>
      </c>
      <c r="R18" s="17" t="s">
        <v>4</v>
      </c>
      <c r="S18" s="17" t="s">
        <v>4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5</v>
      </c>
      <c r="P20" s="110">
        <f t="shared" si="0"/>
        <v>5</v>
      </c>
      <c r="Q20" s="110">
        <f t="shared" si="0"/>
        <v>5</v>
      </c>
      <c r="R20" s="110">
        <f t="shared" si="0"/>
        <v>5</v>
      </c>
      <c r="S20" s="110">
        <f t="shared" si="0"/>
        <v>5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1</v>
      </c>
      <c r="P23" s="112">
        <f t="shared" si="3"/>
        <v>1</v>
      </c>
      <c r="Q23" s="112">
        <f t="shared" si="3"/>
        <v>1</v>
      </c>
      <c r="R23" s="112">
        <f t="shared" si="3"/>
        <v>1</v>
      </c>
      <c r="S23" s="112">
        <f t="shared" si="3"/>
        <v>1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116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68"/>
      <c r="C1" s="169" t="s">
        <v>117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/>
    </row>
    <row r="2" spans="1:33">
      <c r="A2" s="6"/>
      <c r="B2" s="16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118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68"/>
      <c r="C1" s="169" t="s">
        <v>119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120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55FA03-0D71-42C1-B384-265EE4FF1786}"/>
</file>

<file path=customXml/itemProps2.xml><?xml version="1.0" encoding="utf-8"?>
<ds:datastoreItem xmlns:ds="http://schemas.openxmlformats.org/officeDocument/2006/customXml" ds:itemID="{C30E971C-1E23-4A69-8C76-8F8841CEE5F0}"/>
</file>

<file path=customXml/itemProps3.xml><?xml version="1.0" encoding="utf-8"?>
<ds:datastoreItem xmlns:ds="http://schemas.openxmlformats.org/officeDocument/2006/customXml" ds:itemID="{1EECE65D-B437-4372-9E5B-6949431F5E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Martin Pavon Fernando</cp:lastModifiedBy>
  <cp:revision/>
  <dcterms:created xsi:type="dcterms:W3CDTF">2025-06-10T09:39:58Z</dcterms:created>
  <dcterms:modified xsi:type="dcterms:W3CDTF">2026-05-04T13:51:00Z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