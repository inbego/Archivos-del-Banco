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comments8.xml" ContentType="application/vnd.openxmlformats-officedocument.spreadsheetml.comments+xml"/>
  <Override PartName="/xl/threadedComments/threadedComment5.xml" ContentType="application/vnd.ms-excel.threadedcomments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566" documentId="8_{BF395F17-8A36-4A5B-A61D-48748E8233D4}" xr6:coauthVersionLast="47" xr6:coauthVersionMax="47" xr10:uidLastSave="{780C90CB-28B0-437E-86C3-DE97FA1866AE}"/>
  <bookViews>
    <workbookView xWindow="-110" yWindow="-110" windowWidth="19200" windowHeight="9020" firstSheet="6" activeTab="10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F24" i="32"/>
  <c r="AF23" i="32" s="1"/>
  <c r="AE24" i="32"/>
  <c r="AD24" i="32"/>
  <c r="AC24" i="32"/>
  <c r="AB24" i="32"/>
  <c r="AA24" i="32"/>
  <c r="Z24" i="32"/>
  <c r="Y24" i="32"/>
  <c r="Y23" i="32" s="1"/>
  <c r="X24" i="32"/>
  <c r="X23" i="32" s="1"/>
  <c r="W24" i="32"/>
  <c r="W23" i="32" s="1"/>
  <c r="V24" i="32"/>
  <c r="V23" i="32" s="1"/>
  <c r="U24" i="32"/>
  <c r="U23" i="32" s="1"/>
  <c r="T24" i="32"/>
  <c r="T23" i="32" s="1"/>
  <c r="S24" i="32"/>
  <c r="R24" i="32"/>
  <c r="Q24" i="32"/>
  <c r="P24" i="32"/>
  <c r="O24" i="32"/>
  <c r="N24" i="32"/>
  <c r="M24" i="32"/>
  <c r="M23" i="32" s="1"/>
  <c r="L24" i="32"/>
  <c r="L23" i="32" s="1"/>
  <c r="K24" i="32"/>
  <c r="K23" i="32" s="1"/>
  <c r="J24" i="32"/>
  <c r="J23" i="32" s="1"/>
  <c r="I24" i="32"/>
  <c r="I23" i="32" s="1"/>
  <c r="H24" i="32"/>
  <c r="H23" i="32" s="1"/>
  <c r="G24" i="32"/>
  <c r="F24" i="32"/>
  <c r="E24" i="32"/>
  <c r="D24" i="32"/>
  <c r="C24" i="32"/>
  <c r="AD23" i="32"/>
  <c r="AC23" i="32"/>
  <c r="Z23" i="32"/>
  <c r="R23" i="32"/>
  <c r="O23" i="32"/>
  <c r="N23" i="32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F23" i="31" s="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S23" i="31" s="1"/>
  <c r="R24" i="31"/>
  <c r="R23" i="31" s="1"/>
  <c r="Q24" i="31"/>
  <c r="P24" i="31"/>
  <c r="O24" i="31"/>
  <c r="N24" i="31"/>
  <c r="M24" i="31"/>
  <c r="L24" i="31"/>
  <c r="L23" i="31" s="1"/>
  <c r="K24" i="31"/>
  <c r="J24" i="31"/>
  <c r="I24" i="31"/>
  <c r="H24" i="31"/>
  <c r="G24" i="31"/>
  <c r="G23" i="31" s="1"/>
  <c r="F24" i="31"/>
  <c r="E24" i="31"/>
  <c r="D24" i="31"/>
  <c r="C24" i="31"/>
  <c r="AG23" i="31"/>
  <c r="AA23" i="31"/>
  <c r="Z23" i="31"/>
  <c r="Y23" i="31"/>
  <c r="U23" i="31"/>
  <c r="T23" i="31"/>
  <c r="O23" i="31"/>
  <c r="N23" i="31"/>
  <c r="M23" i="31"/>
  <c r="H23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AE23" i="31" l="1"/>
  <c r="AD23" i="31"/>
  <c r="X23" i="31"/>
  <c r="W23" i="31"/>
  <c r="I23" i="31"/>
  <c r="F23" i="31"/>
  <c r="P23" i="32"/>
  <c r="AE23" i="32"/>
  <c r="AA23" i="32"/>
  <c r="AB23" i="32"/>
  <c r="Q23" i="32"/>
  <c r="S23" i="32"/>
  <c r="C23" i="32"/>
  <c r="D23" i="32"/>
  <c r="E23" i="32"/>
  <c r="F23" i="32"/>
  <c r="G23" i="32"/>
  <c r="K23" i="31"/>
  <c r="Q23" i="31"/>
  <c r="AC23" i="31"/>
  <c r="D23" i="31"/>
  <c r="J23" i="31"/>
  <c r="P23" i="31"/>
  <c r="V23" i="31"/>
  <c r="AB23" i="31"/>
  <c r="O24" i="30"/>
  <c r="E15" i="33"/>
  <c r="E16" i="33"/>
  <c r="H98" i="17"/>
  <c r="H99" i="17"/>
  <c r="C23" i="31"/>
  <c r="E23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1" i="23"/>
  <c r="D21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Q21" i="23"/>
  <c r="R21" i="23"/>
  <c r="S21" i="23"/>
  <c r="T21" i="23"/>
  <c r="U21" i="23"/>
  <c r="V21" i="23"/>
  <c r="W21" i="23"/>
  <c r="X21" i="23"/>
  <c r="Y21" i="23"/>
  <c r="Z21" i="23"/>
  <c r="AA21" i="23"/>
  <c r="AB21" i="23"/>
  <c r="AC21" i="23"/>
  <c r="AD21" i="23"/>
  <c r="AE21" i="23"/>
  <c r="AF21" i="23"/>
  <c r="AG21" i="23"/>
  <c r="C22" i="23"/>
  <c r="D22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Q22" i="23"/>
  <c r="R22" i="23"/>
  <c r="S22" i="23"/>
  <c r="T22" i="23"/>
  <c r="U22" i="23"/>
  <c r="V22" i="23"/>
  <c r="W22" i="23"/>
  <c r="X22" i="23"/>
  <c r="Y22" i="23"/>
  <c r="Z22" i="23"/>
  <c r="AA22" i="23"/>
  <c r="AB22" i="23"/>
  <c r="AC22" i="23"/>
  <c r="AD22" i="23"/>
  <c r="AE22" i="23"/>
  <c r="AF22" i="23"/>
  <c r="AG22" i="23"/>
  <c r="C23" i="23"/>
  <c r="D23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Q23" i="23"/>
  <c r="R23" i="23"/>
  <c r="S23" i="23"/>
  <c r="T23" i="23"/>
  <c r="U23" i="23"/>
  <c r="V23" i="23"/>
  <c r="W23" i="23"/>
  <c r="X23" i="23"/>
  <c r="Y23" i="23"/>
  <c r="Z23" i="23"/>
  <c r="AA23" i="23"/>
  <c r="AB23" i="23"/>
  <c r="AC23" i="23"/>
  <c r="AD23" i="23"/>
  <c r="AE23" i="23"/>
  <c r="AF23" i="23"/>
  <c r="AG23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0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0" i="23"/>
  <c r="M20" i="23"/>
  <c r="AE20" i="23"/>
  <c r="R20" i="23"/>
  <c r="K20" i="23"/>
  <c r="W20" i="23"/>
  <c r="J20" i="23"/>
  <c r="AG20" i="23"/>
  <c r="U20" i="23"/>
  <c r="I20" i="23"/>
  <c r="S20" i="23"/>
  <c r="V20" i="23"/>
  <c r="AD20" i="23"/>
  <c r="Z20" i="23"/>
  <c r="N20" i="23"/>
  <c r="Y20" i="23"/>
  <c r="E20" i="23"/>
  <c r="D20" i="23"/>
  <c r="G20" i="23"/>
  <c r="C20" i="23"/>
  <c r="F20" i="23"/>
  <c r="O20" i="23"/>
  <c r="AC20" i="23"/>
  <c r="AB20" i="23"/>
  <c r="P20" i="23"/>
  <c r="AA20" i="23"/>
  <c r="Q20" i="23"/>
  <c r="AF20" i="23"/>
  <c r="T20" i="23"/>
  <c r="H20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</t>
      </text>
    </comment>
    <comment ref="AB6" authorId="1" shapeId="0" xr:uid="{32F81BC9-05B3-41DD-87AB-020559C479A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Tener en cuenta cambio horario
</t>
      </text>
    </comment>
    <comment ref="AA13" authorId="2" shapeId="0" xr:uid="{A38EE8CA-7E5B-4089-800E-3E4712793E2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Médico a primera hora.</t>
      </text>
    </comment>
    <comment ref="AB20" authorId="1" shapeId="0" xr:uid="{E952243D-2C5F-488D-AE16-22AAF78AEC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Preparacion para prueba medica del dia siguiente</t>
      </text>
    </comment>
    <comment ref="E20" authorId="1" shapeId="0" xr:uid="{4E3C475F-E43B-4DAE-803E-C501BE1E33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tc={145E8B63-2F3F-4A8A-8332-897948033002}</author>
  </authors>
  <commentList>
    <comment ref="U21" authorId="0" shapeId="0" xr:uid="{145E8B63-2F3F-4A8A-8332-8979480330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tc={3F6CDFEE-E51E-446A-83EC-4DF1A16F9A0B}</author>
    <author>tc={529ADF6A-E41D-4D20-A878-FBCD42DD1808}</author>
    <author>tc={C16B8188-35DF-407B-B1EC-479EF0637985}</author>
    <author>tc={8C3D54E1-838F-4164-A2E0-F8649CF1202F}</author>
    <author>tc={14A985D2-D14A-43FC-B5D9-67944DDBB76B}</author>
  </authors>
  <commentList>
    <comment ref="O18" authorId="0" shapeId="0" xr:uid="{3F6CDFEE-E51E-446A-83EC-4DF1A16F9A0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P18" authorId="1" shapeId="0" xr:uid="{529ADF6A-E41D-4D20-A878-FBCD42DD18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Q18" authorId="2" shapeId="0" xr:uid="{C16B8188-35DF-407B-B1EC-479EF063798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R18" authorId="3" shapeId="0" xr:uid="{8C3D54E1-838F-4164-A2E0-F8649CF120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  <comment ref="S18" authorId="4" shapeId="0" xr:uid="{14A985D2-D14A-43FC-B5D9-67944DDBB76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Pendiente de pedir por parte de Fernando</t>
      </text>
    </comment>
  </commentList>
</comments>
</file>

<file path=xl/sharedStrings.xml><?xml version="1.0" encoding="utf-8"?>
<sst xmlns="http://schemas.openxmlformats.org/spreadsheetml/2006/main" count="11468" uniqueCount="196">
  <si>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</si>
  <si>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</si>
  <si>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</si>
  <si>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</si>
  <si>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</si>
  <si>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</si>
  <si>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</si>
  <si>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</si>
  <si>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</si>
  <si>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</si>
  <si>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</si>
  <si>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</si>
  <si>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</si>
  <si>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</si>
  <si>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</si>
  <si>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</si>
  <si>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</si>
  <si>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</si>
  <si>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</si>
  <si>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</si>
  <si>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</si>
  <si>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</si>
  <si>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</si>
  <si>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</si>
  <si>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</si>
  <si>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</si>
  <si>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</si>
  <si>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</si>
  <si>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</si>
  <si>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</si>
  <si>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</si>
  <si>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</si>
  <si>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</si>
  <si>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</si>
  <si>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</si>
  <si>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</si>
  <si>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</si>
  <si>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</si>
  <si>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</si>
  <si>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</si>
  <si>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</si>
  <si>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</si>
  <si>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</si>
  <si>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</si>
  <si>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</si>
  <si>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</si>
  <si>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</si>
  <si>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</si>
  <si>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</si>
  <si>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</si>
  <si>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</si>
  <si>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</si>
  <si>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</si>
  <si>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</si>
  <si>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</si>
  <si>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</si>
  <si>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</si>
  <si>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</si>
  <si>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</si>
  <si>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</si>
  <si>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</si>
  <si>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</si>
  <si>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</si>
  <si>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</si>
  <si>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</si>
  <si>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</si>
  <si>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</si>
  <si>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</si>
  <si>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</si>
  <si>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</si>
  <si>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</si>
  <si>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</si>
  <si>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</si>
  <si>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</si>
  <si>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</si>
  <si>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</si>
  <si>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</si>
  <si>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</si>
  <si>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</si>
  <si>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</si>
  <si>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</si>
  <si>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</si>
  <si>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</si>
  <si>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</si>
  <si>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</si>
  <si>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</si>
  <si>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</si>
  <si>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</si>
  <si>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</si>
  <si>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</si>
  <si>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</si>
  <si>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</si>
  <si>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</si>
  <si>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</si>
  <si>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</si>
  <si>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</si>
  <si>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</si>
  <si>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</si>
  <si>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</si>
  <si>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</si>
  <si>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</si>
  <si>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</si>
  <si>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</si>
  <si>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</si>
  <si>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</si>
  <si>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</si>
  <si>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</si>
  <si>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</si>
  <si>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</si>
  <si>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Hector  Contreras</t>
  </si>
  <si>
    <t>Mayo</t>
  </si>
  <si>
    <t>Jorge Gonzalez</t>
  </si>
  <si>
    <t>Junio</t>
  </si>
  <si>
    <t>Erik/Jorge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</si>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</sst>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1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U21" dT="2026-03-10T11:21:01.36" personId="{678BB04D-11B0-457D-BCA0-D5F409BCB035}" id="{145E8B63-2F3F-4A8A-8332-897948033002}">
    <text>Pendiente de pedir por parte de Fernando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O18" dT="2026-03-10T11:21:01.36" personId="{678BB04D-11B0-457D-BCA0-D5F409BCB035}" id="{3F6CDFEE-E51E-446A-83EC-4DF1A16F9A0B}">
    <text>Pendiente de pedir por parte de Fernando</text>
  </threadedComment>
  <threadedComment ref="P18" dT="2026-03-10T11:21:01.36" personId="{678BB04D-11B0-457D-BCA0-D5F409BCB035}" id="{529ADF6A-E41D-4D20-A878-FBCD42DD1808}">
    <text>Pendiente de pedir por parte de Fernando</text>
  </threadedComment>
  <threadedComment ref="Q18" dT="2026-03-10T11:21:01.36" personId="{678BB04D-11B0-457D-BCA0-D5F409BCB035}" id="{C16B8188-35DF-407B-B1EC-479EF0637985}">
    <text>Pendiente de pedir por parte de Fernando</text>
  </threadedComment>
  <threadedComment ref="R18" dT="2026-03-10T11:21:01.36" personId="{678BB04D-11B0-457D-BCA0-D5F409BCB035}" id="{8C3D54E1-838F-4164-A2E0-F8649CF1202F}">
    <text>Pendiente de pedir por parte de Fernando</text>
  </threadedComment>
  <threadedComment ref="S18" dT="2026-03-10T11:21:01.36" personId="{678BB04D-11B0-457D-BCA0-D5F409BCB035}" id="{14A985D2-D14A-43FC-B5D9-67944DDBB76B}">
    <text>Pendiente de pedir por parte de Fernando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activeCell="A5" sqref="A5"/>
      <selection pane="topRight" activeCell="H8" sqref="H8"/>
    </sheetView>
  </sheetViews>
  <sheetFormatPr baseColWidth="10" defaultColWidth="0" defaultRowHeight="0" customHeight="1" zeroHeight="1" x14ac:dyDescent="0.35"/>
  <cols>
    <col min="1" max="1" width="10.1796875" style="6" bestFit="1" customWidth="1"/>
    <col min="2" max="2" width="3.81640625" style="6" customWidth="1"/>
    <col min="3" max="3" width="6.453125" style="6" bestFit="1" customWidth="1"/>
    <col min="4" max="4" width="22.1796875" style="31" bestFit="1" customWidth="1"/>
    <col min="5" max="35" width="4.54296875" style="6" customWidth="1"/>
    <col min="36" max="36" width="4" style="93" bestFit="1" customWidth="1"/>
    <col min="37" max="16384" width="0" style="6" hidden="1"/>
  </cols>
  <sheetData>
    <row r="1" spans="1:36" ht="18" customHeight="1" x14ac:dyDescent="0.35"/>
    <row r="2" spans="1:36" ht="24" customHeight="1" x14ac:dyDescent="0.35">
      <c r="D2" s="174"/>
      <c r="E2" s="171" t="s">
        <v>0</v>
      </c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3"/>
    </row>
    <row r="3" spans="1:36" ht="18" customHeight="1" x14ac:dyDescent="0.35">
      <c r="B3" s="32"/>
      <c r="D3" s="174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 x14ac:dyDescent="0.35"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 x14ac:dyDescent="0.35">
      <c r="A5" s="175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 x14ac:dyDescent="0.35">
      <c r="A6" s="176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 x14ac:dyDescent="0.35">
      <c r="A7" s="176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 x14ac:dyDescent="0.35">
      <c r="A8" s="176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 x14ac:dyDescent="0.35">
      <c r="A9" s="176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 x14ac:dyDescent="0.35">
      <c r="A10" s="176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 x14ac:dyDescent="0.35">
      <c r="A11" s="176"/>
      <c r="C11" s="34"/>
      <c r="D11" s="36"/>
      <c r="E11" s="181"/>
      <c r="F11" s="182"/>
      <c r="G11" s="182"/>
      <c r="H11" s="182"/>
      <c r="I11" s="182"/>
      <c r="J11" s="182"/>
      <c r="K11" s="182"/>
      <c r="L11" s="182"/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3"/>
      <c r="AJ11" s="91"/>
    </row>
    <row r="12" spans="1:36" ht="18" customHeight="1" x14ac:dyDescent="0.35">
      <c r="A12" s="176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 x14ac:dyDescent="0.35">
      <c r="A13" s="176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 x14ac:dyDescent="0.35">
      <c r="A14" s="176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 x14ac:dyDescent="0.35">
      <c r="A15" s="176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 x14ac:dyDescent="0.35">
      <c r="A16" s="176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 x14ac:dyDescent="0.35">
      <c r="A17" s="176"/>
      <c r="C17" s="34"/>
      <c r="D17" s="33"/>
      <c r="E17" s="181"/>
      <c r="F17" s="182"/>
      <c r="G17" s="182"/>
      <c r="H17" s="182"/>
      <c r="I17" s="182"/>
      <c r="J17" s="182"/>
      <c r="K17" s="182"/>
      <c r="L17" s="182"/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3"/>
    </row>
    <row r="18" spans="1:36" ht="18" customHeight="1" x14ac:dyDescent="0.35">
      <c r="A18" s="176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 x14ac:dyDescent="0.35">
      <c r="A19" s="176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 x14ac:dyDescent="0.35">
      <c r="A20" s="176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 x14ac:dyDescent="0.35">
      <c r="A21" s="176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 x14ac:dyDescent="0.35">
      <c r="A22" s="176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 x14ac:dyDescent="0.35">
      <c r="A23" s="176"/>
      <c r="C23" s="34"/>
      <c r="D23" s="35"/>
      <c r="E23" s="178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80"/>
    </row>
    <row r="24" spans="1:36" ht="18" customHeight="1" x14ac:dyDescent="0.35">
      <c r="A24" s="177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 x14ac:dyDescent="0.35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 x14ac:dyDescent="0.35"/>
    <row r="27" spans="1:36" ht="18" customHeight="1" x14ac:dyDescent="0.35">
      <c r="A27" s="168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 x14ac:dyDescent="0.35">
      <c r="A28" s="169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 x14ac:dyDescent="0.35">
      <c r="A29" s="169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 x14ac:dyDescent="0.35">
      <c r="A30" s="169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 x14ac:dyDescent="0.35">
      <c r="A31" s="169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 x14ac:dyDescent="0.35">
      <c r="A32" s="170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baseColWidth="10" defaultColWidth="8.54296875" defaultRowHeight="14.5" x14ac:dyDescent="0.35"/>
  <cols>
    <col min="1" max="1" width="10.1796875" bestFit="1" customWidth="1"/>
    <col min="2" max="2" width="3.81640625" customWidth="1"/>
    <col min="3" max="3" width="6.453125" bestFit="1" customWidth="1"/>
    <col min="4" max="4" width="27.54296875" customWidth="1"/>
    <col min="5" max="35" width="4.54296875" customWidth="1"/>
    <col min="36" max="36" width="4" bestFit="1" customWidth="1"/>
  </cols>
  <sheetData>
    <row r="1" spans="1:36" ht="15" thickBot="1" x14ac:dyDescent="0.4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 x14ac:dyDescent="0.4">
      <c r="A2" s="6"/>
      <c r="B2" s="6"/>
      <c r="C2" s="6"/>
      <c r="D2" s="174"/>
      <c r="E2" s="171" t="s">
        <v>49</v>
      </c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  <c r="Q2" s="172"/>
      <c r="R2" s="172"/>
      <c r="S2" s="172"/>
      <c r="T2" s="172"/>
      <c r="U2" s="172"/>
      <c r="V2" s="172"/>
      <c r="W2" s="172"/>
      <c r="X2" s="172"/>
      <c r="Y2" s="172"/>
      <c r="Z2" s="172"/>
      <c r="AA2" s="172"/>
      <c r="AB2" s="172"/>
      <c r="AC2" s="172"/>
      <c r="AD2" s="172"/>
      <c r="AE2" s="172"/>
      <c r="AF2" s="172"/>
      <c r="AG2" s="172"/>
      <c r="AH2" s="172"/>
      <c r="AI2" s="173"/>
    </row>
    <row r="3" spans="1:36" x14ac:dyDescent="0.35">
      <c r="A3" s="6"/>
      <c r="B3" s="32"/>
      <c r="C3" s="6"/>
      <c r="D3" s="174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 x14ac:dyDescent="0.35">
      <c r="A4" s="6"/>
      <c r="B4" s="6"/>
      <c r="C4" s="6"/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x14ac:dyDescent="0.35">
      <c r="A5" s="176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 x14ac:dyDescent="0.35">
      <c r="A6" s="176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 x14ac:dyDescent="0.35">
      <c r="A7" s="176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 x14ac:dyDescent="0.35">
      <c r="A8" s="176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 x14ac:dyDescent="0.35">
      <c r="A9" s="176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 x14ac:dyDescent="0.35">
      <c r="A10" s="176"/>
      <c r="B10" s="6"/>
      <c r="C10" s="34"/>
      <c r="D10" s="36"/>
      <c r="E10" s="181"/>
      <c r="F10" s="182"/>
      <c r="G10" s="182"/>
      <c r="H10" s="182"/>
      <c r="I10" s="182"/>
      <c r="J10" s="182"/>
      <c r="K10" s="182"/>
      <c r="L10" s="182"/>
      <c r="M10" s="182"/>
      <c r="N10" s="182"/>
      <c r="O10" s="182"/>
      <c r="P10" s="182"/>
      <c r="Q10" s="182"/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3"/>
    </row>
    <row r="11" spans="1:36" x14ac:dyDescent="0.35">
      <c r="A11" s="176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 x14ac:dyDescent="0.35">
      <c r="A12" s="176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 x14ac:dyDescent="0.4">
      <c r="A13" s="176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 x14ac:dyDescent="0.4">
      <c r="A14" s="176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 x14ac:dyDescent="0.35">
      <c r="A15" s="176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 x14ac:dyDescent="0.35">
      <c r="A16" s="176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 x14ac:dyDescent="0.35">
      <c r="A17" s="176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 x14ac:dyDescent="0.35">
      <c r="A18" s="176"/>
      <c r="B18" s="6"/>
      <c r="C18" s="34"/>
      <c r="D18" s="33"/>
      <c r="E18" s="181"/>
      <c r="F18" s="182"/>
      <c r="G18" s="182"/>
      <c r="H18" s="182"/>
      <c r="I18" s="182"/>
      <c r="J18" s="182"/>
      <c r="K18" s="182"/>
      <c r="L18" s="182"/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3"/>
    </row>
    <row r="19" spans="1:35" x14ac:dyDescent="0.35">
      <c r="A19" s="176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 x14ac:dyDescent="0.35">
      <c r="A20" s="176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 x14ac:dyDescent="0.35">
      <c r="A21" s="176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 x14ac:dyDescent="0.35">
      <c r="A22" s="176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 x14ac:dyDescent="0.35">
      <c r="A23" s="176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 x14ac:dyDescent="0.35">
      <c r="A24" s="176"/>
      <c r="B24" s="6"/>
      <c r="C24" s="34"/>
      <c r="E24" s="178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79"/>
      <c r="T24" s="179"/>
      <c r="U24" s="179"/>
      <c r="V24" s="179"/>
      <c r="W24" s="179"/>
      <c r="X24" s="179"/>
      <c r="Y24" s="179"/>
      <c r="Z24" s="179"/>
      <c r="AA24" s="179"/>
      <c r="AB24" s="179"/>
      <c r="AC24" s="179"/>
      <c r="AD24" s="179"/>
      <c r="AE24" s="179"/>
      <c r="AF24" s="179"/>
      <c r="AG24" s="179"/>
      <c r="AH24" s="179"/>
      <c r="AI24" s="180"/>
    </row>
    <row r="25" spans="1:35" ht="15" thickBot="1" x14ac:dyDescent="0.4">
      <c r="A25" s="177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 x14ac:dyDescent="0.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 x14ac:dyDescent="0.4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9" customHeight="1" x14ac:dyDescent="0.35">
      <c r="A28" s="168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9" customHeight="1" x14ac:dyDescent="0.35">
      <c r="A29" s="169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9" customHeight="1" x14ac:dyDescent="0.35">
      <c r="A30" s="169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9" customHeight="1" x14ac:dyDescent="0.35">
      <c r="A31" s="169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 x14ac:dyDescent="0.35">
      <c r="A32" s="169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 x14ac:dyDescent="0.4">
      <c r="A33" s="170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baseColWidth="10" defaultColWidth="8.5429687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15" customHeight="1" x14ac:dyDescent="0.35">
      <c r="A1" s="6"/>
      <c r="B1" s="174"/>
      <c r="C1" s="171" t="s">
        <v>57</v>
      </c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</row>
    <row r="2" spans="1:33" x14ac:dyDescent="0.35">
      <c r="A2" s="6"/>
      <c r="B2" s="174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 x14ac:dyDescent="0.35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 x14ac:dyDescent="0.35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 x14ac:dyDescent="0.35">
      <c r="A9" s="34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</row>
    <row r="10" spans="1:33" x14ac:dyDescent="0.35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 x14ac:dyDescent="0.35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 x14ac:dyDescent="0.35">
      <c r="A15" s="34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</row>
    <row r="16" spans="1:33" x14ac:dyDescent="0.35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 x14ac:dyDescent="0.35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 x14ac:dyDescent="0.35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 x14ac:dyDescent="0.35">
      <c r="A19" s="34"/>
      <c r="C19" s="182"/>
      <c r="D19" s="182"/>
      <c r="E19" s="182"/>
      <c r="F19" s="182"/>
      <c r="G19" s="182"/>
      <c r="H19" s="182"/>
      <c r="I19" s="182"/>
      <c r="J19" s="182"/>
      <c r="K19" s="182"/>
      <c r="L19" s="182"/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</row>
    <row r="20" spans="1:32" x14ac:dyDescent="0.35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 x14ac:dyDescent="0.35">
      <c r="A21" s="34"/>
      <c r="C21" s="182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  <c r="AD21" s="182"/>
      <c r="AE21" s="182"/>
      <c r="AF21" s="182"/>
    </row>
    <row r="22" spans="1:32" x14ac:dyDescent="0.35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 x14ac:dyDescent="0.35">
      <c r="B24" t="s">
        <v>65</v>
      </c>
    </row>
    <row r="25" spans="1:32" x14ac:dyDescent="0.35">
      <c r="B25" s="5" t="s">
        <v>66</v>
      </c>
    </row>
    <row r="26" spans="1:32" x14ac:dyDescent="0.35">
      <c r="B26" s="5" t="s">
        <v>67</v>
      </c>
    </row>
    <row r="27" spans="1:32" x14ac:dyDescent="0.35">
      <c r="B27" s="1" t="s">
        <v>68</v>
      </c>
    </row>
    <row r="28" spans="1:32" x14ac:dyDescent="0.35">
      <c r="B28" s="7" t="s">
        <v>69</v>
      </c>
    </row>
    <row r="29" spans="1:32" x14ac:dyDescent="0.35">
      <c r="B29" s="3" t="s">
        <v>70</v>
      </c>
    </row>
    <row r="30" spans="1:32" x14ac:dyDescent="0.35">
      <c r="B30" s="5" t="s">
        <v>71</v>
      </c>
    </row>
    <row r="31" spans="1:32" x14ac:dyDescent="0.35">
      <c r="B31" s="3" t="s">
        <v>72</v>
      </c>
    </row>
    <row r="32" spans="1:32" x14ac:dyDescent="0.35">
      <c r="B32" s="4" t="s">
        <v>73</v>
      </c>
    </row>
    <row r="33" spans="2:2" x14ac:dyDescent="0.35">
      <c r="B33" s="25" t="s">
        <v>74</v>
      </c>
    </row>
    <row r="34" spans="2:2" x14ac:dyDescent="0.35">
      <c r="B34" s="4" t="s">
        <v>75</v>
      </c>
    </row>
    <row r="35" spans="2:2" x14ac:dyDescent="0.35">
      <c r="B35" s="28" t="s">
        <v>76</v>
      </c>
    </row>
    <row r="36" spans="2:2" x14ac:dyDescent="0.35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baseColWidth="10" defaultColWidth="8.5429687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15" customHeight="1" x14ac:dyDescent="0.35">
      <c r="A1" s="6"/>
      <c r="B1" s="174"/>
      <c r="C1" s="184" t="s">
        <v>78</v>
      </c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6"/>
    </row>
    <row r="2" spans="1:34" x14ac:dyDescent="0.35">
      <c r="A2" s="6"/>
      <c r="B2" s="174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 x14ac:dyDescent="0.35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 x14ac:dyDescent="0.35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 x14ac:dyDescent="0.35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 x14ac:dyDescent="0.35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 x14ac:dyDescent="0.35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 x14ac:dyDescent="0.35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 x14ac:dyDescent="0.35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 x14ac:dyDescent="0.35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 x14ac:dyDescent="0.35">
      <c r="A15" s="34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</row>
    <row r="16" spans="1:34" x14ac:dyDescent="0.35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 x14ac:dyDescent="0.35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 x14ac:dyDescent="0.35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 x14ac:dyDescent="0.35">
      <c r="AA20" s="86" t="s">
        <v>79</v>
      </c>
      <c r="AB20" s="86"/>
      <c r="AC20" s="86"/>
      <c r="AD20" s="86"/>
      <c r="AE20" s="86"/>
    </row>
    <row r="23" spans="1:33" x14ac:dyDescent="0.35">
      <c r="B23" t="s">
        <v>65</v>
      </c>
    </row>
    <row r="24" spans="1:33" x14ac:dyDescent="0.35">
      <c r="B24" s="5" t="s">
        <v>66</v>
      </c>
    </row>
    <row r="25" spans="1:33" x14ac:dyDescent="0.35">
      <c r="B25" s="5" t="s">
        <v>67</v>
      </c>
    </row>
    <row r="26" spans="1:33" x14ac:dyDescent="0.35">
      <c r="B26" s="1" t="s">
        <v>68</v>
      </c>
    </row>
    <row r="27" spans="1:33" x14ac:dyDescent="0.35">
      <c r="B27" s="7" t="s">
        <v>69</v>
      </c>
    </row>
    <row r="28" spans="1:33" x14ac:dyDescent="0.35">
      <c r="B28" s="3" t="s">
        <v>70</v>
      </c>
    </row>
    <row r="29" spans="1:33" x14ac:dyDescent="0.35">
      <c r="B29" s="5" t="s">
        <v>71</v>
      </c>
    </row>
    <row r="30" spans="1:33" x14ac:dyDescent="0.35">
      <c r="B30" s="3" t="s">
        <v>72</v>
      </c>
    </row>
    <row r="31" spans="1:33" x14ac:dyDescent="0.35">
      <c r="B31" s="4" t="s">
        <v>73</v>
      </c>
    </row>
    <row r="32" spans="1:33" x14ac:dyDescent="0.35">
      <c r="B32" s="25" t="s">
        <v>74</v>
      </c>
    </row>
    <row r="33" spans="2:2" x14ac:dyDescent="0.35">
      <c r="B33" s="4" t="s">
        <v>80</v>
      </c>
    </row>
    <row r="34" spans="2:2" x14ac:dyDescent="0.35">
      <c r="B34" s="28" t="s">
        <v>76</v>
      </c>
    </row>
    <row r="35" spans="2:2" x14ac:dyDescent="0.35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baseColWidth="10" defaultColWidth="8.81640625" defaultRowHeight="14.5" x14ac:dyDescent="0.35"/>
  <cols>
    <col min="2" max="2" width="25.81640625" customWidth="1"/>
    <col min="3" max="32" width="4.54296875" customWidth="1"/>
    <col min="33" max="33" width="4" style="91" bestFit="1" customWidth="1"/>
  </cols>
  <sheetData>
    <row r="1" spans="1:34" x14ac:dyDescent="0.35">
      <c r="A1" s="6"/>
      <c r="B1" s="174"/>
      <c r="C1" s="187" t="s">
        <v>81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</row>
    <row r="2" spans="1:34" x14ac:dyDescent="0.35">
      <c r="A2" s="6"/>
      <c r="B2" s="174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 x14ac:dyDescent="0.35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 x14ac:dyDescent="0.35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 x14ac:dyDescent="0.35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 x14ac:dyDescent="0.35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 x14ac:dyDescent="0.35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 x14ac:dyDescent="0.35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 x14ac:dyDescent="0.35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 x14ac:dyDescent="0.35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 x14ac:dyDescent="0.35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 x14ac:dyDescent="0.35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 x14ac:dyDescent="0.35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 x14ac:dyDescent="0.35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 x14ac:dyDescent="0.35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 x14ac:dyDescent="0.35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 x14ac:dyDescent="0.35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 x14ac:dyDescent="0.35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 x14ac:dyDescent="0.35">
      <c r="B25" t="s">
        <v>65</v>
      </c>
    </row>
    <row r="26" spans="1:32" x14ac:dyDescent="0.35">
      <c r="B26" s="5" t="s">
        <v>66</v>
      </c>
    </row>
    <row r="27" spans="1:32" x14ac:dyDescent="0.35">
      <c r="B27" s="5" t="s">
        <v>67</v>
      </c>
    </row>
    <row r="28" spans="1:32" x14ac:dyDescent="0.35">
      <c r="B28" s="1" t="s">
        <v>68</v>
      </c>
    </row>
    <row r="29" spans="1:32" x14ac:dyDescent="0.35">
      <c r="B29" s="7" t="s">
        <v>69</v>
      </c>
    </row>
    <row r="30" spans="1:32" x14ac:dyDescent="0.35">
      <c r="B30" s="3" t="s">
        <v>70</v>
      </c>
    </row>
    <row r="31" spans="1:32" x14ac:dyDescent="0.35">
      <c r="B31" s="5" t="s">
        <v>71</v>
      </c>
    </row>
    <row r="32" spans="1:32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  <row r="38" spans="2:2" x14ac:dyDescent="0.35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baseColWidth="10" defaultColWidth="8.81640625" defaultRowHeight="14.5" x14ac:dyDescent="0.35"/>
  <cols>
    <col min="2" max="2" width="31.1796875" customWidth="1"/>
    <col min="3" max="33" width="4.54296875" customWidth="1"/>
    <col min="34" max="34" width="8.81640625" style="91" customWidth="1"/>
  </cols>
  <sheetData>
    <row r="1" spans="1:37" ht="15" customHeight="1" x14ac:dyDescent="0.35">
      <c r="A1" s="6"/>
      <c r="B1" s="174"/>
      <c r="C1" s="187" t="s">
        <v>95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</row>
    <row r="2" spans="1:37" x14ac:dyDescent="0.35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 x14ac:dyDescent="0.35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 x14ac:dyDescent="0.35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 x14ac:dyDescent="0.35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 x14ac:dyDescent="0.35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 x14ac:dyDescent="0.35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 x14ac:dyDescent="0.35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 x14ac:dyDescent="0.35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 x14ac:dyDescent="0.35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 x14ac:dyDescent="0.35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 x14ac:dyDescent="0.35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 x14ac:dyDescent="0.35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 x14ac:dyDescent="0.35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 x14ac:dyDescent="0.35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 x14ac:dyDescent="0.35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 x14ac:dyDescent="0.35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 x14ac:dyDescent="0.35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 x14ac:dyDescent="0.35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 x14ac:dyDescent="0.35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 x14ac:dyDescent="0.35">
      <c r="B26" t="s">
        <v>65</v>
      </c>
    </row>
    <row r="27" spans="1:33" x14ac:dyDescent="0.35">
      <c r="B27" s="5" t="s">
        <v>66</v>
      </c>
    </row>
    <row r="28" spans="1:33" x14ac:dyDescent="0.35">
      <c r="B28" s="5" t="s">
        <v>67</v>
      </c>
    </row>
    <row r="29" spans="1:33" x14ac:dyDescent="0.35">
      <c r="B29" s="1" t="s">
        <v>68</v>
      </c>
    </row>
    <row r="30" spans="1:33" x14ac:dyDescent="0.35">
      <c r="B30" s="7" t="s">
        <v>69</v>
      </c>
    </row>
    <row r="31" spans="1:33" x14ac:dyDescent="0.35">
      <c r="B31" s="3" t="s">
        <v>70</v>
      </c>
    </row>
    <row r="32" spans="1:33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7" zoomScaleNormal="100" workbookViewId="0">
      <selection activeCell="N20" sqref="N20:R20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x14ac:dyDescent="0.35">
      <c r="A1" s="6"/>
      <c r="B1" s="174"/>
      <c r="C1" s="187" t="s">
        <v>97</v>
      </c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</row>
    <row r="2" spans="1:34" x14ac:dyDescent="0.35">
      <c r="A2" s="6"/>
      <c r="B2" s="174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 x14ac:dyDescent="0.35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 x14ac:dyDescent="0.35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 x14ac:dyDescent="0.35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 x14ac:dyDescent="0.35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 x14ac:dyDescent="0.35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 x14ac:dyDescent="0.35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 x14ac:dyDescent="0.35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 x14ac:dyDescent="0.35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 x14ac:dyDescent="0.35">
      <c r="A15" s="34"/>
    </row>
    <row r="16" spans="1:34" x14ac:dyDescent="0.35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 x14ac:dyDescent="0.35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 x14ac:dyDescent="0.35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 x14ac:dyDescent="0.35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 x14ac:dyDescent="0.35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 x14ac:dyDescent="0.35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 x14ac:dyDescent="0.35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 x14ac:dyDescent="0.35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 x14ac:dyDescent="0.35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 x14ac:dyDescent="0.35">
      <c r="B27" t="s">
        <v>65</v>
      </c>
    </row>
    <row r="28" spans="1:34" x14ac:dyDescent="0.35">
      <c r="B28" s="5" t="s">
        <v>66</v>
      </c>
    </row>
    <row r="29" spans="1:34" x14ac:dyDescent="0.35">
      <c r="B29" s="5" t="s">
        <v>67</v>
      </c>
    </row>
    <row r="30" spans="1:34" x14ac:dyDescent="0.35">
      <c r="B30" s="1" t="s">
        <v>68</v>
      </c>
    </row>
    <row r="31" spans="1:34" x14ac:dyDescent="0.35">
      <c r="B31" s="7" t="s">
        <v>69</v>
      </c>
    </row>
    <row r="32" spans="1:34" x14ac:dyDescent="0.35">
      <c r="B32" s="3" t="s">
        <v>70</v>
      </c>
    </row>
    <row r="33" spans="2:2" x14ac:dyDescent="0.35">
      <c r="B33" s="5" t="s">
        <v>71</v>
      </c>
    </row>
    <row r="34" spans="2:2" x14ac:dyDescent="0.35">
      <c r="B34" s="3" t="s">
        <v>72</v>
      </c>
    </row>
    <row r="35" spans="2:2" x14ac:dyDescent="0.35">
      <c r="B35" s="4" t="s">
        <v>73</v>
      </c>
    </row>
    <row r="36" spans="2:2" x14ac:dyDescent="0.35">
      <c r="B36" s="25" t="s">
        <v>74</v>
      </c>
    </row>
    <row r="37" spans="2:2" x14ac:dyDescent="0.35">
      <c r="B37" s="4" t="s">
        <v>93</v>
      </c>
    </row>
    <row r="38" spans="2:2" x14ac:dyDescent="0.35">
      <c r="B38" s="28" t="s">
        <v>76</v>
      </c>
    </row>
    <row r="39" spans="2:2" x14ac:dyDescent="0.35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8" t="s">
        <v>98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</row>
    <row r="2" spans="1:34" x14ac:dyDescent="0.35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 x14ac:dyDescent="0.35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 x14ac:dyDescent="0.35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 x14ac:dyDescent="0.35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 x14ac:dyDescent="0.35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 x14ac:dyDescent="0.35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 x14ac:dyDescent="0.35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 x14ac:dyDescent="0.35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 x14ac:dyDescent="0.35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 x14ac:dyDescent="0.35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 x14ac:dyDescent="0.35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 x14ac:dyDescent="0.35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 x14ac:dyDescent="0.35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 x14ac:dyDescent="0.35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 x14ac:dyDescent="0.35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 x14ac:dyDescent="0.35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 x14ac:dyDescent="0.35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 x14ac:dyDescent="0.35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 x14ac:dyDescent="0.35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 x14ac:dyDescent="0.35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 x14ac:dyDescent="0.35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 x14ac:dyDescent="0.35">
      <c r="B29" t="s">
        <v>65</v>
      </c>
    </row>
    <row r="30" spans="1:34" x14ac:dyDescent="0.35">
      <c r="B30" s="5" t="s">
        <v>66</v>
      </c>
    </row>
    <row r="31" spans="1:34" x14ac:dyDescent="0.35">
      <c r="B31" s="5" t="s">
        <v>67</v>
      </c>
    </row>
    <row r="32" spans="1:34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M13" sqref="M13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104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 x14ac:dyDescent="0.35">
      <c r="A3" s="6"/>
      <c r="B3" s="174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 x14ac:dyDescent="0.35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 x14ac:dyDescent="0.35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 x14ac:dyDescent="0.35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 x14ac:dyDescent="0.35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 x14ac:dyDescent="0.35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 x14ac:dyDescent="0.35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 x14ac:dyDescent="0.35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 x14ac:dyDescent="0.35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 x14ac:dyDescent="0.35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 x14ac:dyDescent="0.35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 x14ac:dyDescent="0.35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 x14ac:dyDescent="0.35">
      <c r="AH15"/>
    </row>
    <row r="16" spans="1:34" x14ac:dyDescent="0.35">
      <c r="AH16"/>
    </row>
    <row r="17" spans="1:34" x14ac:dyDescent="0.35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 x14ac:dyDescent="0.35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 x14ac:dyDescent="0.35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 x14ac:dyDescent="0.35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 x14ac:dyDescent="0.35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 x14ac:dyDescent="0.35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 x14ac:dyDescent="0.35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 x14ac:dyDescent="0.35">
      <c r="B26" t="s">
        <v>65</v>
      </c>
    </row>
    <row r="27" spans="1:34" x14ac:dyDescent="0.35">
      <c r="B27" s="5" t="s">
        <v>66</v>
      </c>
    </row>
    <row r="28" spans="1:34" x14ac:dyDescent="0.35">
      <c r="B28" s="5" t="s">
        <v>67</v>
      </c>
    </row>
    <row r="29" spans="1:34" x14ac:dyDescent="0.35">
      <c r="B29" s="1" t="s">
        <v>68</v>
      </c>
    </row>
    <row r="30" spans="1:34" x14ac:dyDescent="0.35">
      <c r="B30" s="7" t="s">
        <v>69</v>
      </c>
    </row>
    <row r="31" spans="1:34" x14ac:dyDescent="0.35">
      <c r="B31" s="3" t="s">
        <v>70</v>
      </c>
    </row>
    <row r="32" spans="1:34" x14ac:dyDescent="0.35">
      <c r="B32" s="5" t="s">
        <v>71</v>
      </c>
    </row>
    <row r="33" spans="2:2" x14ac:dyDescent="0.35">
      <c r="B33" s="3" t="s">
        <v>72</v>
      </c>
    </row>
    <row r="34" spans="2:2" x14ac:dyDescent="0.35">
      <c r="B34" s="4" t="s">
        <v>73</v>
      </c>
    </row>
    <row r="35" spans="2:2" x14ac:dyDescent="0.35">
      <c r="B35" s="25" t="s">
        <v>74</v>
      </c>
    </row>
    <row r="36" spans="2:2" x14ac:dyDescent="0.35">
      <c r="B36" s="4" t="s">
        <v>93</v>
      </c>
    </row>
    <row r="37" spans="2:2" x14ac:dyDescent="0.35">
      <c r="B37" s="28" t="s">
        <v>76</v>
      </c>
    </row>
    <row r="38" spans="2:2" x14ac:dyDescent="0.35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topLeftCell="B3" workbookViewId="0">
      <selection activeCell="AF5" sqref="AF5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3" ht="24" customHeight="1" x14ac:dyDescent="0.35">
      <c r="A1" s="6"/>
      <c r="B1" s="174"/>
      <c r="C1" s="189" t="s">
        <v>108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3" x14ac:dyDescent="0.35">
      <c r="A2" s="6"/>
      <c r="B2" s="174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 x14ac:dyDescent="0.3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4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G7"/>
    </row>
    <row r="8" spans="1:33" x14ac:dyDescent="0.35">
      <c r="A8" s="34" t="s">
        <v>12</v>
      </c>
      <c r="B8" s="33" t="s">
        <v>109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 x14ac:dyDescent="0.35">
      <c r="A9" s="34"/>
      <c r="AG9"/>
    </row>
    <row r="10" spans="1:33" x14ac:dyDescent="0.35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 x14ac:dyDescent="0.35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 x14ac:dyDescent="0.35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 x14ac:dyDescent="0.3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 x14ac:dyDescent="0.35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 x14ac:dyDescent="0.35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 x14ac:dyDescent="0.35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 x14ac:dyDescent="0.35">
      <c r="AG18"/>
    </row>
    <row r="19" spans="1:33" x14ac:dyDescent="0.35">
      <c r="AG19"/>
    </row>
    <row r="20" spans="1:33" x14ac:dyDescent="0.35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 x14ac:dyDescent="0.35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 x14ac:dyDescent="0.35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 x14ac:dyDescent="0.35">
      <c r="AG23"/>
    </row>
    <row r="24" spans="1:33" x14ac:dyDescent="0.35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4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 x14ac:dyDescent="0.35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 x14ac:dyDescent="0.35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 x14ac:dyDescent="0.35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2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 x14ac:dyDescent="0.35">
      <c r="B29" t="s">
        <v>65</v>
      </c>
    </row>
    <row r="30" spans="1:33" x14ac:dyDescent="0.35">
      <c r="B30" s="5" t="s">
        <v>66</v>
      </c>
    </row>
    <row r="31" spans="1:33" x14ac:dyDescent="0.35">
      <c r="B31" s="5" t="s">
        <v>67</v>
      </c>
    </row>
    <row r="32" spans="1:33" x14ac:dyDescent="0.35">
      <c r="B32" s="1" t="s">
        <v>68</v>
      </c>
    </row>
    <row r="33" spans="2:2" x14ac:dyDescent="0.35">
      <c r="B33" s="7" t="s">
        <v>69</v>
      </c>
    </row>
    <row r="34" spans="2:2" x14ac:dyDescent="0.35">
      <c r="B34" s="3" t="s">
        <v>70</v>
      </c>
    </row>
    <row r="35" spans="2:2" x14ac:dyDescent="0.35">
      <c r="B35" s="5" t="s">
        <v>71</v>
      </c>
    </row>
    <row r="36" spans="2:2" x14ac:dyDescent="0.35">
      <c r="B36" s="3" t="s">
        <v>72</v>
      </c>
    </row>
    <row r="37" spans="2:2" x14ac:dyDescent="0.35">
      <c r="B37" s="4" t="s">
        <v>73</v>
      </c>
    </row>
    <row r="38" spans="2:2" x14ac:dyDescent="0.35">
      <c r="B38" s="25" t="s">
        <v>74</v>
      </c>
    </row>
    <row r="39" spans="2:2" x14ac:dyDescent="0.35">
      <c r="B39" s="4" t="s">
        <v>93</v>
      </c>
    </row>
    <row r="40" spans="2:2" x14ac:dyDescent="0.35">
      <c r="B40" s="28" t="s">
        <v>76</v>
      </c>
    </row>
    <row r="41" spans="2:2" x14ac:dyDescent="0.35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0"/>
  <sheetViews>
    <sheetView tabSelected="1" topLeftCell="B6" workbookViewId="0">
      <selection activeCell="K27" sqref="K27"/>
    </sheetView>
  </sheetViews>
  <sheetFormatPr baseColWidth="10" defaultColWidth="8.81640625" defaultRowHeight="14.5" x14ac:dyDescent="0.35"/>
  <cols>
    <col min="2" max="2" width="25.54296875" customWidth="1"/>
    <col min="3" max="33" width="4.726562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1" t="s">
        <v>14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1" t="s">
        <v>14</v>
      </c>
      <c r="AB4" s="1" t="s">
        <v>14</v>
      </c>
      <c r="AC4" s="1" t="s">
        <v>14</v>
      </c>
      <c r="AD4" s="1" t="s">
        <v>14</v>
      </c>
      <c r="AE4" s="1" t="s">
        <v>14</v>
      </c>
      <c r="AF4" s="5" t="s">
        <v>15</v>
      </c>
      <c r="AG4" s="5" t="s">
        <v>15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7" t="s">
        <v>20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7" t="s">
        <v>20</v>
      </c>
      <c r="AB5" s="7" t="s">
        <v>20</v>
      </c>
      <c r="AC5" s="7" t="s">
        <v>20</v>
      </c>
      <c r="AD5" s="7" t="s">
        <v>20</v>
      </c>
      <c r="AE5" s="7" t="s">
        <v>20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H7"/>
    </row>
    <row r="8" spans="1:34" x14ac:dyDescent="0.35">
      <c r="A8" s="34" t="s">
        <v>12</v>
      </c>
      <c r="B8" s="33" t="s">
        <v>111</v>
      </c>
      <c r="C8" s="118" t="s">
        <v>83</v>
      </c>
      <c r="D8" s="28" t="s">
        <v>7</v>
      </c>
      <c r="E8" s="28" t="s">
        <v>7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14</v>
      </c>
      <c r="K8" s="28" t="s">
        <v>7</v>
      </c>
      <c r="L8" s="28" t="s">
        <v>7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28" t="s">
        <v>7</v>
      </c>
      <c r="S8" s="28" t="s">
        <v>7</v>
      </c>
      <c r="T8" s="5" t="s">
        <v>14</v>
      </c>
      <c r="U8" s="5" t="s">
        <v>14</v>
      </c>
      <c r="V8" s="5" t="s">
        <v>14</v>
      </c>
      <c r="W8" s="5" t="s">
        <v>14</v>
      </c>
      <c r="X8" s="5" t="s">
        <v>14</v>
      </c>
      <c r="Y8" s="28" t="s">
        <v>7</v>
      </c>
      <c r="Z8" s="28" t="s">
        <v>7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28" t="s">
        <v>7</v>
      </c>
      <c r="AG8" s="28" t="s">
        <v>7</v>
      </c>
      <c r="AH8"/>
    </row>
    <row r="9" spans="1:34" x14ac:dyDescent="0.35">
      <c r="A9" s="34"/>
      <c r="B9" s="4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125" t="s">
        <v>20</v>
      </c>
      <c r="AB10" s="125" t="s">
        <v>20</v>
      </c>
      <c r="AC10" s="125" t="s">
        <v>20</v>
      </c>
      <c r="AD10" s="125" t="s">
        <v>20</v>
      </c>
      <c r="AE10" s="125" t="s">
        <v>20</v>
      </c>
      <c r="AF10" s="28" t="s">
        <v>7</v>
      </c>
      <c r="AG10" s="28" t="s">
        <v>7</v>
      </c>
      <c r="AH10"/>
    </row>
    <row r="11" spans="1:34" x14ac:dyDescent="0.35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130" t="s">
        <v>16</v>
      </c>
      <c r="G11" s="130" t="s">
        <v>16</v>
      </c>
      <c r="H11" s="130" t="s">
        <v>16</v>
      </c>
      <c r="I11" s="130" t="s">
        <v>16</v>
      </c>
      <c r="J11" s="130" t="s">
        <v>16</v>
      </c>
      <c r="K11" s="130" t="s">
        <v>17</v>
      </c>
      <c r="L11" s="130" t="s">
        <v>17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5" t="s">
        <v>14</v>
      </c>
      <c r="U11" s="5" t="s">
        <v>14</v>
      </c>
      <c r="V11" s="5" t="s">
        <v>14</v>
      </c>
      <c r="W11" s="5" t="s">
        <v>14</v>
      </c>
      <c r="X11" s="5" t="s">
        <v>14</v>
      </c>
      <c r="Y11" s="5" t="s">
        <v>15</v>
      </c>
      <c r="Z11" s="5" t="s">
        <v>15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/>
    </row>
    <row r="12" spans="1:34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25" t="s">
        <v>20</v>
      </c>
      <c r="G12" s="125" t="s">
        <v>20</v>
      </c>
      <c r="H12" s="125" t="s">
        <v>20</v>
      </c>
      <c r="I12" s="125" t="s">
        <v>20</v>
      </c>
      <c r="J12" s="125" t="s">
        <v>20</v>
      </c>
      <c r="K12" s="28" t="s">
        <v>7</v>
      </c>
      <c r="L12" s="28" t="s">
        <v>7</v>
      </c>
      <c r="M12" s="130" t="s">
        <v>16</v>
      </c>
      <c r="N12" s="130" t="s">
        <v>16</v>
      </c>
      <c r="O12" s="130" t="s">
        <v>16</v>
      </c>
      <c r="P12" s="130" t="s">
        <v>16</v>
      </c>
      <c r="Q12" s="130" t="s">
        <v>16</v>
      </c>
      <c r="R12" s="130" t="s">
        <v>17</v>
      </c>
      <c r="S12" s="130" t="s">
        <v>17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5" t="s">
        <v>14</v>
      </c>
      <c r="AB12" s="5" t="s">
        <v>14</v>
      </c>
      <c r="AC12" s="5" t="s">
        <v>14</v>
      </c>
      <c r="AD12" s="5" t="s">
        <v>14</v>
      </c>
      <c r="AE12" s="5" t="s">
        <v>14</v>
      </c>
      <c r="AF12" s="5" t="s">
        <v>15</v>
      </c>
      <c r="AG12" s="5" t="s">
        <v>15</v>
      </c>
      <c r="AH12"/>
    </row>
    <row r="13" spans="1:34" x14ac:dyDescent="0.35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 x14ac:dyDescent="0.35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 x14ac:dyDescent="0.35">
      <c r="A15" s="34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AA15" s="40"/>
      <c r="AB15" s="40"/>
      <c r="AC15" s="40"/>
      <c r="AD15" s="40"/>
      <c r="AE15" s="40"/>
      <c r="AF15" s="40"/>
      <c r="AG15" s="40"/>
      <c r="AH15"/>
    </row>
    <row r="16" spans="1:34" x14ac:dyDescent="0.35">
      <c r="A16" s="34" t="s">
        <v>12</v>
      </c>
      <c r="B16" s="33" t="s">
        <v>21</v>
      </c>
      <c r="C16" s="130" t="s">
        <v>16</v>
      </c>
      <c r="D16" s="130" t="s">
        <v>17</v>
      </c>
      <c r="E16" s="130" t="s">
        <v>17</v>
      </c>
      <c r="F16" s="28" t="s">
        <v>7</v>
      </c>
      <c r="G16" s="28" t="s">
        <v>7</v>
      </c>
      <c r="H16" s="28" t="s">
        <v>7</v>
      </c>
      <c r="I16" s="28" t="s">
        <v>7</v>
      </c>
      <c r="J16" s="109" t="s">
        <v>4</v>
      </c>
      <c r="K16" s="28" t="s">
        <v>7</v>
      </c>
      <c r="L16" s="28" t="s">
        <v>7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16</v>
      </c>
      <c r="R16" s="130" t="s">
        <v>17</v>
      </c>
      <c r="S16" s="130" t="s">
        <v>17</v>
      </c>
      <c r="T16" s="28" t="s">
        <v>7</v>
      </c>
      <c r="U16" s="28" t="s">
        <v>7</v>
      </c>
      <c r="V16" s="28" t="s">
        <v>7</v>
      </c>
      <c r="W16" s="28" t="s">
        <v>7</v>
      </c>
      <c r="X16" s="109" t="s">
        <v>4</v>
      </c>
      <c r="Y16" s="28" t="s">
        <v>7</v>
      </c>
      <c r="Z16" s="28" t="s">
        <v>7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16</v>
      </c>
      <c r="AF16" s="130" t="s">
        <v>17</v>
      </c>
      <c r="AG16" s="130" t="s">
        <v>17</v>
      </c>
      <c r="AH16"/>
    </row>
    <row r="17" spans="1:34" x14ac:dyDescent="0.35">
      <c r="A17" s="34" t="s">
        <v>12</v>
      </c>
      <c r="B17" s="33" t="s">
        <v>22</v>
      </c>
      <c r="C17" s="109" t="s">
        <v>4</v>
      </c>
      <c r="D17" s="28" t="s">
        <v>7</v>
      </c>
      <c r="E17" s="28" t="s">
        <v>7</v>
      </c>
      <c r="F17" s="130" t="s">
        <v>16</v>
      </c>
      <c r="G17" s="130" t="s">
        <v>16</v>
      </c>
      <c r="H17" s="130" t="s">
        <v>16</v>
      </c>
      <c r="I17" s="130" t="s">
        <v>16</v>
      </c>
      <c r="J17" s="130" t="s">
        <v>16</v>
      </c>
      <c r="K17" s="130" t="s">
        <v>17</v>
      </c>
      <c r="L17" s="130" t="s">
        <v>17</v>
      </c>
      <c r="M17" s="28" t="s">
        <v>7</v>
      </c>
      <c r="N17" s="28" t="s">
        <v>7</v>
      </c>
      <c r="O17" s="28" t="s">
        <v>7</v>
      </c>
      <c r="P17" s="28" t="s">
        <v>7</v>
      </c>
      <c r="Q17" s="109" t="s">
        <v>4</v>
      </c>
      <c r="R17" s="28" t="s">
        <v>7</v>
      </c>
      <c r="S17" s="28" t="s">
        <v>7</v>
      </c>
      <c r="T17" s="130" t="s">
        <v>16</v>
      </c>
      <c r="U17" s="130" t="s">
        <v>16</v>
      </c>
      <c r="V17" s="130" t="s">
        <v>16</v>
      </c>
      <c r="W17" s="130" t="s">
        <v>16</v>
      </c>
      <c r="X17" s="130" t="s">
        <v>16</v>
      </c>
      <c r="Y17" s="130" t="s">
        <v>17</v>
      </c>
      <c r="Z17" s="130" t="s">
        <v>17</v>
      </c>
      <c r="AA17" s="28" t="s">
        <v>7</v>
      </c>
      <c r="AB17" s="28" t="s">
        <v>7</v>
      </c>
      <c r="AC17" s="28" t="s">
        <v>7</v>
      </c>
      <c r="AD17" s="28" t="s">
        <v>7</v>
      </c>
      <c r="AE17" s="109" t="s">
        <v>4</v>
      </c>
      <c r="AF17" s="28" t="s">
        <v>7</v>
      </c>
      <c r="AG17" s="28" t="s">
        <v>7</v>
      </c>
      <c r="AH17"/>
    </row>
    <row r="18" spans="1:34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122"/>
      <c r="U18" s="122"/>
      <c r="V18" s="122"/>
      <c r="W18" s="122"/>
      <c r="X18" s="122"/>
      <c r="Y18" s="50"/>
      <c r="Z18" s="50"/>
      <c r="AA18" s="50"/>
      <c r="AB18" s="50"/>
      <c r="AC18" s="50"/>
      <c r="AD18" s="50"/>
      <c r="AH18"/>
    </row>
    <row r="19" spans="1:34" x14ac:dyDescent="0.35">
      <c r="A19" s="34" t="s">
        <v>28</v>
      </c>
      <c r="B19" s="33" t="s">
        <v>29</v>
      </c>
      <c r="C19" s="28" t="s">
        <v>7</v>
      </c>
      <c r="D19" s="28" t="s">
        <v>7</v>
      </c>
      <c r="E19" s="28" t="s">
        <v>7</v>
      </c>
      <c r="F19" s="167" t="s">
        <v>33</v>
      </c>
      <c r="G19" s="145" t="s">
        <v>85</v>
      </c>
      <c r="H19" s="145" t="s">
        <v>85</v>
      </c>
      <c r="I19" s="145" t="s">
        <v>85</v>
      </c>
      <c r="J19" s="145" t="s">
        <v>85</v>
      </c>
      <c r="K19" s="28" t="s">
        <v>30</v>
      </c>
      <c r="L19" s="28" t="s">
        <v>30</v>
      </c>
      <c r="M19" s="158" t="s">
        <v>11</v>
      </c>
      <c r="N19" s="158" t="s">
        <v>11</v>
      </c>
      <c r="O19" s="158" t="s">
        <v>11</v>
      </c>
      <c r="P19" s="158" t="s">
        <v>11</v>
      </c>
      <c r="Q19" s="28" t="s">
        <v>7</v>
      </c>
      <c r="R19" s="28" t="s">
        <v>7</v>
      </c>
      <c r="S19" s="28" t="s">
        <v>7</v>
      </c>
      <c r="T19" s="145" t="s">
        <v>54</v>
      </c>
      <c r="U19" s="145" t="s">
        <v>54</v>
      </c>
      <c r="V19" s="145" t="s">
        <v>54</v>
      </c>
      <c r="W19" s="145" t="s">
        <v>54</v>
      </c>
      <c r="X19" s="145" t="s">
        <v>54</v>
      </c>
      <c r="Y19" s="28" t="s">
        <v>7</v>
      </c>
      <c r="Z19" s="28" t="s">
        <v>7</v>
      </c>
      <c r="AA19" s="145" t="s">
        <v>85</v>
      </c>
      <c r="AB19" s="145" t="s">
        <v>85</v>
      </c>
      <c r="AC19" s="145" t="s">
        <v>85</v>
      </c>
      <c r="AD19" s="145" t="s">
        <v>85</v>
      </c>
      <c r="AE19" s="145" t="s">
        <v>85</v>
      </c>
      <c r="AF19" s="28" t="s">
        <v>30</v>
      </c>
      <c r="AG19" s="28" t="s">
        <v>30</v>
      </c>
      <c r="AH19"/>
    </row>
    <row r="20" spans="1:34" x14ac:dyDescent="0.35">
      <c r="A20" s="34" t="s">
        <v>28</v>
      </c>
      <c r="B20" s="35" t="s">
        <v>60</v>
      </c>
      <c r="C20" s="28" t="s">
        <v>7</v>
      </c>
      <c r="D20" s="28" t="s">
        <v>7</v>
      </c>
      <c r="E20" s="28" t="s">
        <v>7</v>
      </c>
      <c r="F20" s="17" t="s">
        <v>4</v>
      </c>
      <c r="G20" s="145" t="s">
        <v>54</v>
      </c>
      <c r="H20" s="145" t="s">
        <v>54</v>
      </c>
      <c r="I20" s="145" t="s">
        <v>54</v>
      </c>
      <c r="J20" s="145" t="s">
        <v>54</v>
      </c>
      <c r="K20" s="28" t="s">
        <v>7</v>
      </c>
      <c r="L20" s="28" t="s">
        <v>7</v>
      </c>
      <c r="M20" s="145" t="s">
        <v>85</v>
      </c>
      <c r="N20" s="145" t="s">
        <v>85</v>
      </c>
      <c r="O20" s="145" t="s">
        <v>85</v>
      </c>
      <c r="P20" s="145" t="s">
        <v>85</v>
      </c>
      <c r="Q20" s="28" t="s">
        <v>30</v>
      </c>
      <c r="R20" s="28" t="s">
        <v>30</v>
      </c>
      <c r="S20" s="28" t="s">
        <v>30</v>
      </c>
      <c r="T20" s="158" t="s">
        <v>11</v>
      </c>
      <c r="U20" s="158" t="s">
        <v>11</v>
      </c>
      <c r="V20" s="158" t="s">
        <v>11</v>
      </c>
      <c r="W20" s="158" t="s">
        <v>11</v>
      </c>
      <c r="X20" s="158" t="s">
        <v>11</v>
      </c>
      <c r="Y20" s="28" t="s">
        <v>7</v>
      </c>
      <c r="Z20" s="28" t="s">
        <v>7</v>
      </c>
      <c r="AA20" s="145" t="s">
        <v>54</v>
      </c>
      <c r="AB20" s="145" t="s">
        <v>54</v>
      </c>
      <c r="AC20" s="145" t="s">
        <v>54</v>
      </c>
      <c r="AD20" s="145" t="s">
        <v>54</v>
      </c>
      <c r="AE20" s="145" t="s">
        <v>54</v>
      </c>
      <c r="AF20" s="28" t="s">
        <v>7</v>
      </c>
      <c r="AG20" s="28" t="s">
        <v>7</v>
      </c>
      <c r="AH20"/>
    </row>
    <row r="21" spans="1:34" x14ac:dyDescent="0.35">
      <c r="A21" s="34" t="s">
        <v>28</v>
      </c>
      <c r="B21" s="37" t="s">
        <v>13</v>
      </c>
      <c r="C21" s="28" t="s">
        <v>30</v>
      </c>
      <c r="D21" s="28" t="s">
        <v>30</v>
      </c>
      <c r="E21" s="28" t="s">
        <v>30</v>
      </c>
      <c r="F21" s="158" t="s">
        <v>11</v>
      </c>
      <c r="G21" s="158" t="s">
        <v>11</v>
      </c>
      <c r="H21" s="158" t="s">
        <v>11</v>
      </c>
      <c r="I21" s="158" t="s">
        <v>11</v>
      </c>
      <c r="J21" s="158" t="s">
        <v>11</v>
      </c>
      <c r="K21" s="28" t="s">
        <v>7</v>
      </c>
      <c r="L21" s="28" t="s">
        <v>7</v>
      </c>
      <c r="M21" s="145" t="s">
        <v>54</v>
      </c>
      <c r="N21" s="145" t="s">
        <v>54</v>
      </c>
      <c r="O21" s="145" t="s">
        <v>54</v>
      </c>
      <c r="P21" s="145" t="s">
        <v>54</v>
      </c>
      <c r="Q21" s="28" t="s">
        <v>7</v>
      </c>
      <c r="R21" s="28" t="s">
        <v>7</v>
      </c>
      <c r="S21" s="28" t="s">
        <v>7</v>
      </c>
      <c r="T21" s="145" t="s">
        <v>85</v>
      </c>
      <c r="U21" s="145" t="s">
        <v>85</v>
      </c>
      <c r="V21" s="145" t="s">
        <v>85</v>
      </c>
      <c r="W21" s="145" t="s">
        <v>85</v>
      </c>
      <c r="X21" s="145" t="s">
        <v>85</v>
      </c>
      <c r="Y21" s="28" t="s">
        <v>30</v>
      </c>
      <c r="Z21" s="28" t="s">
        <v>30</v>
      </c>
      <c r="AA21" s="158" t="s">
        <v>11</v>
      </c>
      <c r="AB21" s="158" t="s">
        <v>11</v>
      </c>
      <c r="AC21" s="158" t="s">
        <v>11</v>
      </c>
      <c r="AD21" s="158" t="s">
        <v>11</v>
      </c>
      <c r="AE21" s="158" t="s">
        <v>11</v>
      </c>
      <c r="AF21" s="28" t="s">
        <v>7</v>
      </c>
      <c r="AG21" s="28" t="s">
        <v>7</v>
      </c>
      <c r="AH21"/>
    </row>
    <row r="23" spans="1:34" x14ac:dyDescent="0.35">
      <c r="B23" s="111" t="s">
        <v>89</v>
      </c>
      <c r="C23" s="110">
        <f t="shared" ref="C23:AG23" si="0">SUM(C24:C26)</f>
        <v>4</v>
      </c>
      <c r="D23" s="110">
        <f t="shared" si="0"/>
        <v>4</v>
      </c>
      <c r="E23" s="110">
        <f t="shared" si="0"/>
        <v>4</v>
      </c>
      <c r="F23" s="110">
        <f t="shared" si="0"/>
        <v>5</v>
      </c>
      <c r="G23" s="110">
        <f t="shared" si="0"/>
        <v>7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4</v>
      </c>
      <c r="L23" s="110">
        <f t="shared" si="0"/>
        <v>4</v>
      </c>
      <c r="M23" s="110">
        <f t="shared" si="0"/>
        <v>7</v>
      </c>
      <c r="N23" s="110">
        <f t="shared" si="0"/>
        <v>7</v>
      </c>
      <c r="O23" s="110">
        <f t="shared" si="0"/>
        <v>7</v>
      </c>
      <c r="P23" s="110">
        <f t="shared" si="0"/>
        <v>7</v>
      </c>
      <c r="Q23" s="110">
        <f t="shared" si="0"/>
        <v>4</v>
      </c>
      <c r="R23" s="110">
        <f t="shared" si="0"/>
        <v>4</v>
      </c>
      <c r="S23" s="110">
        <f t="shared" si="0"/>
        <v>4</v>
      </c>
      <c r="T23" s="110">
        <f t="shared" si="0"/>
        <v>7</v>
      </c>
      <c r="U23" s="110">
        <f t="shared" si="0"/>
        <v>7</v>
      </c>
      <c r="V23" s="110">
        <f t="shared" si="0"/>
        <v>7</v>
      </c>
      <c r="W23" s="110">
        <f t="shared" si="0"/>
        <v>7</v>
      </c>
      <c r="X23" s="110">
        <f t="shared" si="0"/>
        <v>7</v>
      </c>
      <c r="Y23" s="110">
        <f t="shared" si="0"/>
        <v>4</v>
      </c>
      <c r="Z23" s="110">
        <f t="shared" si="0"/>
        <v>4</v>
      </c>
      <c r="AA23" s="110">
        <f t="shared" si="0"/>
        <v>7</v>
      </c>
      <c r="AB23" s="110">
        <f t="shared" si="0"/>
        <v>7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4</v>
      </c>
      <c r="AG23" s="110">
        <f t="shared" si="0"/>
        <v>4</v>
      </c>
    </row>
    <row r="24" spans="1:34" x14ac:dyDescent="0.35">
      <c r="B24" s="111" t="s">
        <v>90</v>
      </c>
      <c r="C24" s="112">
        <f t="shared" ref="C24:AG24" si="1">COUNTIF(C4:C21,"T")</f>
        <v>2</v>
      </c>
      <c r="D24" s="112">
        <f t="shared" si="1"/>
        <v>0</v>
      </c>
      <c r="E24" s="112">
        <f t="shared" si="1"/>
        <v>0</v>
      </c>
      <c r="F24" s="112">
        <f t="shared" si="1"/>
        <v>2</v>
      </c>
      <c r="G24" s="112">
        <f t="shared" si="1"/>
        <v>2</v>
      </c>
      <c r="H24" s="112">
        <f t="shared" si="1"/>
        <v>2</v>
      </c>
      <c r="I24" s="112">
        <f t="shared" si="1"/>
        <v>2</v>
      </c>
      <c r="J24" s="112">
        <f t="shared" si="1"/>
        <v>2</v>
      </c>
      <c r="K24" s="112">
        <f t="shared" si="1"/>
        <v>0</v>
      </c>
      <c r="L24" s="112">
        <f t="shared" si="1"/>
        <v>0</v>
      </c>
      <c r="M24" s="112">
        <f t="shared" si="1"/>
        <v>2</v>
      </c>
      <c r="N24" s="112">
        <f t="shared" si="1"/>
        <v>2</v>
      </c>
      <c r="O24" s="112">
        <f t="shared" si="1"/>
        <v>2</v>
      </c>
      <c r="P24" s="112">
        <f t="shared" si="1"/>
        <v>2</v>
      </c>
      <c r="Q24" s="112">
        <f t="shared" si="1"/>
        <v>2</v>
      </c>
      <c r="R24" s="112">
        <f t="shared" si="1"/>
        <v>0</v>
      </c>
      <c r="S24" s="112">
        <f t="shared" si="1"/>
        <v>0</v>
      </c>
      <c r="T24" s="112">
        <f t="shared" si="1"/>
        <v>2</v>
      </c>
      <c r="U24" s="112">
        <f t="shared" si="1"/>
        <v>2</v>
      </c>
      <c r="V24" s="112">
        <f t="shared" si="1"/>
        <v>2</v>
      </c>
      <c r="W24" s="112">
        <f t="shared" si="1"/>
        <v>2</v>
      </c>
      <c r="X24" s="112">
        <f t="shared" si="1"/>
        <v>2</v>
      </c>
      <c r="Y24" s="112">
        <f t="shared" si="1"/>
        <v>0</v>
      </c>
      <c r="Z24" s="112">
        <f t="shared" si="1"/>
        <v>0</v>
      </c>
      <c r="AA24" s="112">
        <f t="shared" si="1"/>
        <v>2</v>
      </c>
      <c r="AB24" s="112">
        <f t="shared" si="1"/>
        <v>2</v>
      </c>
      <c r="AC24" s="112">
        <f t="shared" si="1"/>
        <v>2</v>
      </c>
      <c r="AD24" s="112">
        <f t="shared" si="1"/>
        <v>2</v>
      </c>
      <c r="AE24" s="112">
        <f t="shared" si="1"/>
        <v>2</v>
      </c>
      <c r="AF24" s="112">
        <f t="shared" si="1"/>
        <v>0</v>
      </c>
      <c r="AG24" s="112">
        <f t="shared" si="1"/>
        <v>0</v>
      </c>
    </row>
    <row r="25" spans="1:34" x14ac:dyDescent="0.35">
      <c r="B25" s="111" t="s">
        <v>91</v>
      </c>
      <c r="C25" s="112">
        <f t="shared" ref="C25:AG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 x14ac:dyDescent="0.35">
      <c r="B26" s="111" t="s">
        <v>92</v>
      </c>
      <c r="C26" s="112">
        <f>COUNTIF(C4:C21,"M/F")+COUNTIF(C4:C21,"M1")+COUNTIF(C4:C21,"M3")+COUNTIF(C4:C21,"M3/G")+COUNTIF(C4:C21,"M2")</f>
        <v>0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2</v>
      </c>
      <c r="F26" s="112">
        <f t="shared" ref="F26:AG26" si="3">COUNTIF(F4:F21,"M/F")+COUNTIF(F4:F21,"M1")+COUNTIF(F4:F21,"M3")+COUNTIF(F4:F21,"M3/G")+COUNTIF(F4:F21,"M2")</f>
        <v>1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2</v>
      </c>
      <c r="L26" s="112">
        <f t="shared" si="3"/>
        <v>2</v>
      </c>
      <c r="M26" s="112">
        <f t="shared" si="3"/>
        <v>3</v>
      </c>
      <c r="N26" s="112">
        <f t="shared" si="3"/>
        <v>3</v>
      </c>
      <c r="O26" s="112">
        <f t="shared" si="3"/>
        <v>3</v>
      </c>
      <c r="P26" s="112">
        <f t="shared" si="3"/>
        <v>3</v>
      </c>
      <c r="Q26" s="112">
        <f t="shared" si="3"/>
        <v>0</v>
      </c>
      <c r="R26" s="112">
        <f t="shared" si="3"/>
        <v>2</v>
      </c>
      <c r="S26" s="112">
        <f t="shared" si="3"/>
        <v>2</v>
      </c>
      <c r="T26" s="112">
        <f t="shared" si="3"/>
        <v>3</v>
      </c>
      <c r="U26" s="112">
        <f t="shared" si="3"/>
        <v>3</v>
      </c>
      <c r="V26" s="112">
        <f t="shared" si="3"/>
        <v>3</v>
      </c>
      <c r="W26" s="112">
        <f t="shared" si="3"/>
        <v>3</v>
      </c>
      <c r="X26" s="112">
        <f t="shared" si="3"/>
        <v>3</v>
      </c>
      <c r="Y26" s="112">
        <f t="shared" si="3"/>
        <v>2</v>
      </c>
      <c r="Z26" s="112">
        <f t="shared" si="3"/>
        <v>2</v>
      </c>
      <c r="AA26" s="112">
        <f t="shared" si="3"/>
        <v>3</v>
      </c>
      <c r="AB26" s="112">
        <f t="shared" si="3"/>
        <v>3</v>
      </c>
      <c r="AC26" s="112">
        <f t="shared" si="3"/>
        <v>3</v>
      </c>
      <c r="AD26" s="112">
        <f t="shared" si="3"/>
        <v>3</v>
      </c>
      <c r="AE26" s="112">
        <f t="shared" si="3"/>
        <v>3</v>
      </c>
      <c r="AF26" s="112">
        <f t="shared" si="3"/>
        <v>2</v>
      </c>
      <c r="AG26" s="112">
        <f t="shared" si="3"/>
        <v>2</v>
      </c>
    </row>
    <row r="28" spans="1:34" x14ac:dyDescent="0.35">
      <c r="B28" t="s">
        <v>65</v>
      </c>
    </row>
    <row r="29" spans="1:34" x14ac:dyDescent="0.35">
      <c r="B29" s="5" t="s">
        <v>66</v>
      </c>
    </row>
    <row r="30" spans="1:34" x14ac:dyDescent="0.35">
      <c r="B30" s="5" t="s">
        <v>67</v>
      </c>
    </row>
    <row r="31" spans="1:34" x14ac:dyDescent="0.35">
      <c r="B31" s="1" t="s">
        <v>68</v>
      </c>
    </row>
    <row r="32" spans="1:34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G1"/>
  </mergeCells>
  <conditionalFormatting sqref="C24:AG26">
    <cfRule type="cellIs" dxfId="7" priority="1" operator="equal">
      <formula>1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K40"/>
  <sheetViews>
    <sheetView topLeftCell="B3" workbookViewId="0">
      <selection activeCell="U21" sqref="U21"/>
    </sheetView>
  </sheetViews>
  <sheetFormatPr baseColWidth="10" defaultColWidth="8.81640625" defaultRowHeight="14.5" x14ac:dyDescent="0.35"/>
  <cols>
    <col min="2" max="2" width="25.54296875" customWidth="1"/>
    <col min="3" max="32" width="4.7265625" customWidth="1"/>
    <col min="33" max="33" width="4" style="91" bestFit="1" customWidth="1"/>
  </cols>
  <sheetData>
    <row r="1" spans="1:37" ht="24" customHeight="1" x14ac:dyDescent="0.35">
      <c r="A1" s="6"/>
      <c r="B1" s="174"/>
      <c r="C1" s="189" t="s">
        <v>112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7" x14ac:dyDescent="0.35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7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7" x14ac:dyDescent="0.35">
      <c r="A4" s="63" t="s">
        <v>12</v>
      </c>
      <c r="B4" s="62" t="s">
        <v>113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7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7" x14ac:dyDescent="0.3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1" t="s">
        <v>14</v>
      </c>
      <c r="M6" s="1" t="s">
        <v>14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  <c r="AK6" s="5" t="s">
        <v>15</v>
      </c>
    </row>
    <row r="7" spans="1:37" x14ac:dyDescent="0.35">
      <c r="A7" s="34" t="s">
        <v>12</v>
      </c>
      <c r="B7" s="33" t="s">
        <v>111</v>
      </c>
      <c r="C7" s="118" t="s">
        <v>83</v>
      </c>
      <c r="D7" s="118" t="s">
        <v>83</v>
      </c>
      <c r="E7" s="118" t="s">
        <v>83</v>
      </c>
      <c r="F7" s="118" t="s">
        <v>83</v>
      </c>
      <c r="G7" s="118" t="s">
        <v>83</v>
      </c>
      <c r="H7" s="5" t="s">
        <v>15</v>
      </c>
      <c r="I7" s="5" t="s">
        <v>15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118" t="s">
        <v>83</v>
      </c>
      <c r="R7" s="118" t="s">
        <v>83</v>
      </c>
      <c r="S7" s="118" t="s">
        <v>83</v>
      </c>
      <c r="T7" s="118" t="s">
        <v>83</v>
      </c>
      <c r="U7" s="118" t="s">
        <v>83</v>
      </c>
      <c r="V7" s="28" t="s">
        <v>7</v>
      </c>
      <c r="W7" s="28" t="s">
        <v>7</v>
      </c>
      <c r="X7" s="118" t="s">
        <v>83</v>
      </c>
      <c r="Y7" s="118" t="s">
        <v>83</v>
      </c>
      <c r="Z7" s="118" t="s">
        <v>83</v>
      </c>
      <c r="AA7" s="118" t="s">
        <v>83</v>
      </c>
      <c r="AB7" s="118" t="s">
        <v>83</v>
      </c>
      <c r="AC7" s="28" t="s">
        <v>7</v>
      </c>
      <c r="AD7" s="28" t="s">
        <v>7</v>
      </c>
      <c r="AE7" s="118" t="s">
        <v>83</v>
      </c>
      <c r="AF7" s="118" t="s">
        <v>83</v>
      </c>
      <c r="AG7"/>
    </row>
    <row r="8" spans="1:37" x14ac:dyDescent="0.35">
      <c r="AG8"/>
    </row>
    <row r="9" spans="1:37" x14ac:dyDescent="0.35">
      <c r="AG9"/>
    </row>
    <row r="10" spans="1:37" x14ac:dyDescent="0.35">
      <c r="A10" s="34" t="s">
        <v>12</v>
      </c>
      <c r="B10" s="33" t="s">
        <v>106</v>
      </c>
      <c r="C10" s="130" t="s">
        <v>16</v>
      </c>
      <c r="D10" s="130" t="s">
        <v>16</v>
      </c>
      <c r="E10" s="130" t="s">
        <v>16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5" t="s">
        <v>14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25" t="s">
        <v>20</v>
      </c>
      <c r="AF10" s="125" t="s">
        <v>20</v>
      </c>
      <c r="AG10"/>
    </row>
    <row r="11" spans="1:37" x14ac:dyDescent="0.35">
      <c r="A11" s="34" t="s">
        <v>12</v>
      </c>
      <c r="B11" s="33" t="s">
        <v>53</v>
      </c>
      <c r="C11" s="125" t="s">
        <v>20</v>
      </c>
      <c r="D11" s="125" t="s">
        <v>20</v>
      </c>
      <c r="E11" s="125" t="s">
        <v>20</v>
      </c>
      <c r="F11" s="125" t="s">
        <v>20</v>
      </c>
      <c r="G11" s="125" t="s">
        <v>20</v>
      </c>
      <c r="H11" s="28" t="s">
        <v>7</v>
      </c>
      <c r="I11" s="28" t="s">
        <v>7</v>
      </c>
      <c r="J11" s="130" t="s">
        <v>16</v>
      </c>
      <c r="K11" s="130" t="s">
        <v>16</v>
      </c>
      <c r="L11" s="130" t="s">
        <v>16</v>
      </c>
      <c r="M11" s="130" t="s">
        <v>16</v>
      </c>
      <c r="N11" s="130" t="s">
        <v>16</v>
      </c>
      <c r="O11" s="130" t="s">
        <v>17</v>
      </c>
      <c r="P11" s="130" t="s">
        <v>17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5" t="s">
        <v>14</v>
      </c>
      <c r="Y11" s="5" t="s">
        <v>14</v>
      </c>
      <c r="Z11" s="5" t="s">
        <v>14</v>
      </c>
      <c r="AA11" s="5" t="s">
        <v>14</v>
      </c>
      <c r="AB11" s="5" t="s">
        <v>14</v>
      </c>
      <c r="AC11" s="5" t="s">
        <v>15</v>
      </c>
      <c r="AD11" s="5" t="s">
        <v>15</v>
      </c>
      <c r="AE11" s="28" t="s">
        <v>7</v>
      </c>
      <c r="AF11" s="28" t="s">
        <v>7</v>
      </c>
      <c r="AG11"/>
    </row>
    <row r="12" spans="1:37" x14ac:dyDescent="0.35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125" t="s">
        <v>20</v>
      </c>
      <c r="K12" s="125" t="s">
        <v>20</v>
      </c>
      <c r="L12" s="125" t="s">
        <v>20</v>
      </c>
      <c r="M12" s="125" t="s">
        <v>20</v>
      </c>
      <c r="N12" s="125" t="s">
        <v>20</v>
      </c>
      <c r="O12" s="28" t="s">
        <v>7</v>
      </c>
      <c r="P12" s="28" t="s">
        <v>7</v>
      </c>
      <c r="Q12" s="130" t="s">
        <v>16</v>
      </c>
      <c r="R12" s="130" t="s">
        <v>16</v>
      </c>
      <c r="S12" s="130" t="s">
        <v>16</v>
      </c>
      <c r="T12" s="130" t="s">
        <v>16</v>
      </c>
      <c r="U12" s="130" t="s">
        <v>16</v>
      </c>
      <c r="V12" s="130" t="s">
        <v>17</v>
      </c>
      <c r="W12" s="130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5" t="s">
        <v>14</v>
      </c>
      <c r="AF12" s="5" t="s">
        <v>14</v>
      </c>
      <c r="AG12"/>
    </row>
    <row r="13" spans="1:37" x14ac:dyDescent="0.35">
      <c r="A13" s="34" t="s">
        <v>12</v>
      </c>
      <c r="B13" s="33" t="s">
        <v>84</v>
      </c>
      <c r="C13" s="5" t="s">
        <v>14</v>
      </c>
      <c r="D13" s="5" t="s">
        <v>14</v>
      </c>
      <c r="E13" s="5" t="s">
        <v>14</v>
      </c>
      <c r="F13" s="5" t="s">
        <v>14</v>
      </c>
      <c r="G13" s="5" t="s">
        <v>14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25" t="s">
        <v>20</v>
      </c>
      <c r="R13" s="125" t="s">
        <v>20</v>
      </c>
      <c r="S13" s="125" t="s">
        <v>20</v>
      </c>
      <c r="T13" s="125" t="s">
        <v>20</v>
      </c>
      <c r="U13" s="125" t="s">
        <v>20</v>
      </c>
      <c r="V13" s="28" t="s">
        <v>7</v>
      </c>
      <c r="W13" s="28" t="s">
        <v>7</v>
      </c>
      <c r="X13" s="130" t="s">
        <v>16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17</v>
      </c>
      <c r="AD13" s="130" t="s">
        <v>17</v>
      </c>
      <c r="AE13" s="28" t="s">
        <v>7</v>
      </c>
      <c r="AF13" s="28" t="s">
        <v>7</v>
      </c>
      <c r="AG13"/>
    </row>
    <row r="14" spans="1:37" x14ac:dyDescent="0.35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28" t="s">
        <v>7</v>
      </c>
      <c r="G14" s="28" t="s">
        <v>7</v>
      </c>
      <c r="H14" s="28" t="s">
        <v>7</v>
      </c>
      <c r="I14" s="28" t="s">
        <v>7</v>
      </c>
      <c r="J14" s="5" t="s">
        <v>14</v>
      </c>
      <c r="K14" s="5" t="s">
        <v>14</v>
      </c>
      <c r="L14" s="5" t="s">
        <v>14</v>
      </c>
      <c r="M14" s="5" t="s">
        <v>14</v>
      </c>
      <c r="N14" s="5" t="s">
        <v>14</v>
      </c>
      <c r="O14" s="5" t="s">
        <v>15</v>
      </c>
      <c r="P14" s="5" t="s">
        <v>15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125" t="s">
        <v>20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28" t="s">
        <v>7</v>
      </c>
      <c r="AD14" s="28" t="s">
        <v>7</v>
      </c>
      <c r="AE14" s="130" t="s">
        <v>16</v>
      </c>
      <c r="AF14" s="130" t="s">
        <v>16</v>
      </c>
      <c r="AG14"/>
    </row>
    <row r="15" spans="1:37" x14ac:dyDescent="0.35">
      <c r="AG15"/>
    </row>
    <row r="16" spans="1:37" x14ac:dyDescent="0.35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 x14ac:dyDescent="0.35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 x14ac:dyDescent="0.35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 x14ac:dyDescent="0.35">
      <c r="A19" s="34" t="s">
        <v>28</v>
      </c>
      <c r="B19" s="33" t="s">
        <v>29</v>
      </c>
      <c r="C19" s="158" t="s">
        <v>11</v>
      </c>
      <c r="D19" s="158" t="s">
        <v>11</v>
      </c>
      <c r="E19" s="158" t="s">
        <v>11</v>
      </c>
      <c r="F19" s="158" t="s">
        <v>11</v>
      </c>
      <c r="G19" s="158" t="s">
        <v>11</v>
      </c>
      <c r="H19" s="28" t="s">
        <v>7</v>
      </c>
      <c r="I19" s="28" t="s">
        <v>7</v>
      </c>
      <c r="J19" s="145" t="s">
        <v>54</v>
      </c>
      <c r="K19" s="145" t="s">
        <v>54</v>
      </c>
      <c r="L19" s="145" t="s">
        <v>54</v>
      </c>
      <c r="M19" s="145" t="s">
        <v>54</v>
      </c>
      <c r="N19" s="145" t="s">
        <v>54</v>
      </c>
      <c r="O19" s="28" t="s">
        <v>7</v>
      </c>
      <c r="P19" s="28" t="s">
        <v>7</v>
      </c>
      <c r="Q19" s="145" t="s">
        <v>85</v>
      </c>
      <c r="R19" s="145" t="s">
        <v>85</v>
      </c>
      <c r="S19" s="145" t="s">
        <v>85</v>
      </c>
      <c r="T19" s="145" t="s">
        <v>85</v>
      </c>
      <c r="U19" s="145" t="s">
        <v>85</v>
      </c>
      <c r="V19" s="28" t="s">
        <v>30</v>
      </c>
      <c r="W19" s="28" t="s">
        <v>30</v>
      </c>
      <c r="X19" s="158" t="s">
        <v>11</v>
      </c>
      <c r="Y19" s="158" t="s">
        <v>11</v>
      </c>
      <c r="Z19" s="158" t="s">
        <v>11</v>
      </c>
      <c r="AA19" s="158" t="s">
        <v>11</v>
      </c>
      <c r="AB19" s="158" t="s">
        <v>11</v>
      </c>
      <c r="AC19" s="28" t="s">
        <v>7</v>
      </c>
      <c r="AD19" s="28" t="s">
        <v>7</v>
      </c>
      <c r="AE19" s="145" t="s">
        <v>54</v>
      </c>
      <c r="AF19" s="145" t="s">
        <v>54</v>
      </c>
      <c r="AG19"/>
    </row>
    <row r="20" spans="1:33" x14ac:dyDescent="0.35">
      <c r="A20" s="34" t="s">
        <v>28</v>
      </c>
      <c r="B20" s="35" t="s">
        <v>60</v>
      </c>
      <c r="C20" s="145" t="s">
        <v>85</v>
      </c>
      <c r="D20" s="145" t="s">
        <v>85</v>
      </c>
      <c r="E20" s="145" t="s">
        <v>85</v>
      </c>
      <c r="F20" s="145" t="s">
        <v>85</v>
      </c>
      <c r="G20" s="145" t="s">
        <v>85</v>
      </c>
      <c r="H20" s="28" t="s">
        <v>30</v>
      </c>
      <c r="I20" s="28" t="s">
        <v>30</v>
      </c>
      <c r="J20" s="158" t="s">
        <v>11</v>
      </c>
      <c r="K20" s="158" t="s">
        <v>11</v>
      </c>
      <c r="L20" s="158" t="s">
        <v>11</v>
      </c>
      <c r="M20" s="158" t="s">
        <v>11</v>
      </c>
      <c r="N20" s="158" t="s">
        <v>11</v>
      </c>
      <c r="O20" s="28" t="s">
        <v>7</v>
      </c>
      <c r="P20" s="28" t="s">
        <v>7</v>
      </c>
      <c r="Q20" s="145" t="s">
        <v>54</v>
      </c>
      <c r="R20" s="145" t="s">
        <v>54</v>
      </c>
      <c r="S20" s="145" t="s">
        <v>54</v>
      </c>
      <c r="T20" s="145" t="s">
        <v>54</v>
      </c>
      <c r="U20" s="145" t="s">
        <v>54</v>
      </c>
      <c r="V20" s="28" t="s">
        <v>7</v>
      </c>
      <c r="W20" s="28" t="s">
        <v>7</v>
      </c>
      <c r="X20" s="145" t="s">
        <v>85</v>
      </c>
      <c r="Y20" s="145" t="s">
        <v>85</v>
      </c>
      <c r="Z20" s="145" t="s">
        <v>85</v>
      </c>
      <c r="AA20" s="145" t="s">
        <v>85</v>
      </c>
      <c r="AB20" s="145" t="s">
        <v>85</v>
      </c>
      <c r="AC20" s="28" t="s">
        <v>30</v>
      </c>
      <c r="AD20" s="28" t="s">
        <v>30</v>
      </c>
      <c r="AE20" s="158" t="s">
        <v>11</v>
      </c>
      <c r="AF20" s="158" t="s">
        <v>11</v>
      </c>
      <c r="AG20"/>
    </row>
    <row r="21" spans="1:33" x14ac:dyDescent="0.35">
      <c r="A21" s="34" t="s">
        <v>28</v>
      </c>
      <c r="B21" s="37" t="s">
        <v>13</v>
      </c>
      <c r="C21" s="166" t="s">
        <v>54</v>
      </c>
      <c r="D21" s="145" t="s">
        <v>54</v>
      </c>
      <c r="E21" s="145" t="s">
        <v>54</v>
      </c>
      <c r="F21" s="145" t="s">
        <v>54</v>
      </c>
      <c r="G21" s="145" t="s">
        <v>54</v>
      </c>
      <c r="H21" s="28" t="s">
        <v>7</v>
      </c>
      <c r="I21" s="28" t="s">
        <v>7</v>
      </c>
      <c r="J21" s="145" t="s">
        <v>85</v>
      </c>
      <c r="K21" s="145" t="s">
        <v>85</v>
      </c>
      <c r="L21" s="145" t="s">
        <v>85</v>
      </c>
      <c r="M21" s="145" t="s">
        <v>85</v>
      </c>
      <c r="N21" s="145" t="s">
        <v>85</v>
      </c>
      <c r="O21" s="28" t="s">
        <v>30</v>
      </c>
      <c r="P21" s="28" t="s">
        <v>30</v>
      </c>
      <c r="Q21" s="158" t="s">
        <v>11</v>
      </c>
      <c r="R21" s="158" t="s">
        <v>11</v>
      </c>
      <c r="S21" s="158" t="s">
        <v>11</v>
      </c>
      <c r="T21" s="158" t="s">
        <v>11</v>
      </c>
      <c r="U21" s="17" t="s">
        <v>4</v>
      </c>
      <c r="V21" s="28" t="s">
        <v>7</v>
      </c>
      <c r="W21" s="28" t="s">
        <v>7</v>
      </c>
      <c r="X21" s="145" t="s">
        <v>54</v>
      </c>
      <c r="Y21" s="145" t="s">
        <v>54</v>
      </c>
      <c r="Z21" s="145" t="s">
        <v>54</v>
      </c>
      <c r="AA21" s="145" t="s">
        <v>54</v>
      </c>
      <c r="AB21" s="145" t="s">
        <v>54</v>
      </c>
      <c r="AC21" s="28" t="s">
        <v>7</v>
      </c>
      <c r="AD21" s="28" t="s">
        <v>7</v>
      </c>
      <c r="AE21" s="145" t="s">
        <v>85</v>
      </c>
      <c r="AF21" s="145" t="s">
        <v>85</v>
      </c>
      <c r="AG21"/>
    </row>
    <row r="22" spans="1:33" x14ac:dyDescent="0.35">
      <c r="H22" t="s">
        <v>114</v>
      </c>
      <c r="AG22"/>
    </row>
    <row r="23" spans="1:33" x14ac:dyDescent="0.35">
      <c r="B23" s="111" t="s">
        <v>89</v>
      </c>
      <c r="C23" s="110">
        <f t="shared" ref="C23:AF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7</v>
      </c>
      <c r="G23" s="110">
        <f t="shared" si="0"/>
        <v>7</v>
      </c>
      <c r="H23" s="110">
        <f t="shared" si="0"/>
        <v>5</v>
      </c>
      <c r="I23" s="110">
        <f t="shared" si="0"/>
        <v>5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7</v>
      </c>
      <c r="N23" s="110">
        <f t="shared" si="0"/>
        <v>7</v>
      </c>
      <c r="O23" s="110">
        <f t="shared" si="0"/>
        <v>4</v>
      </c>
      <c r="P23" s="110">
        <f t="shared" si="0"/>
        <v>4</v>
      </c>
      <c r="Q23" s="110">
        <f t="shared" si="0"/>
        <v>7</v>
      </c>
      <c r="R23" s="110">
        <f t="shared" si="0"/>
        <v>7</v>
      </c>
      <c r="S23" s="110">
        <f t="shared" si="0"/>
        <v>7</v>
      </c>
      <c r="T23" s="110">
        <f t="shared" si="0"/>
        <v>7</v>
      </c>
      <c r="U23" s="110">
        <f t="shared" si="0"/>
        <v>6</v>
      </c>
      <c r="V23" s="110">
        <f t="shared" si="0"/>
        <v>4</v>
      </c>
      <c r="W23" s="110">
        <f t="shared" si="0"/>
        <v>4</v>
      </c>
      <c r="X23" s="110">
        <f t="shared" si="0"/>
        <v>7</v>
      </c>
      <c r="Y23" s="110">
        <f t="shared" si="0"/>
        <v>7</v>
      </c>
      <c r="Z23" s="110">
        <f t="shared" si="0"/>
        <v>7</v>
      </c>
      <c r="AA23" s="110">
        <f t="shared" si="0"/>
        <v>7</v>
      </c>
      <c r="AB23" s="110">
        <f t="shared" si="0"/>
        <v>7</v>
      </c>
      <c r="AC23" s="110">
        <f t="shared" si="0"/>
        <v>4</v>
      </c>
      <c r="AD23" s="110">
        <f t="shared" si="0"/>
        <v>4</v>
      </c>
      <c r="AE23" s="110">
        <f t="shared" si="0"/>
        <v>7</v>
      </c>
      <c r="AF23" s="110">
        <f t="shared" si="0"/>
        <v>7</v>
      </c>
    </row>
    <row r="24" spans="1:33" x14ac:dyDescent="0.35">
      <c r="B24" s="111" t="s">
        <v>90</v>
      </c>
      <c r="C24" s="112">
        <f t="shared" ref="C24:AF24" si="1">COUNTIF(C4:C21,"T")</f>
        <v>2</v>
      </c>
      <c r="D24" s="112">
        <f t="shared" si="1"/>
        <v>2</v>
      </c>
      <c r="E24" s="112">
        <f t="shared" si="1"/>
        <v>2</v>
      </c>
      <c r="F24" s="112">
        <f t="shared" si="1"/>
        <v>2</v>
      </c>
      <c r="G24" s="112">
        <f t="shared" si="1"/>
        <v>2</v>
      </c>
      <c r="H24" s="112">
        <f t="shared" si="1"/>
        <v>0</v>
      </c>
      <c r="I24" s="112">
        <f t="shared" si="1"/>
        <v>0</v>
      </c>
      <c r="J24" s="112">
        <f t="shared" si="1"/>
        <v>2</v>
      </c>
      <c r="K24" s="112">
        <f t="shared" si="1"/>
        <v>2</v>
      </c>
      <c r="L24" s="112">
        <f t="shared" si="1"/>
        <v>2</v>
      </c>
      <c r="M24" s="112">
        <f t="shared" si="1"/>
        <v>2</v>
      </c>
      <c r="N24" s="112">
        <f t="shared" si="1"/>
        <v>2</v>
      </c>
      <c r="O24" s="112">
        <f t="shared" si="1"/>
        <v>0</v>
      </c>
      <c r="P24" s="112">
        <f t="shared" si="1"/>
        <v>0</v>
      </c>
      <c r="Q24" s="112">
        <f t="shared" si="1"/>
        <v>2</v>
      </c>
      <c r="R24" s="112">
        <f t="shared" si="1"/>
        <v>2</v>
      </c>
      <c r="S24" s="112">
        <f t="shared" si="1"/>
        <v>2</v>
      </c>
      <c r="T24" s="112">
        <f t="shared" si="1"/>
        <v>2</v>
      </c>
      <c r="U24" s="112">
        <f t="shared" si="1"/>
        <v>2</v>
      </c>
      <c r="V24" s="112">
        <f t="shared" si="1"/>
        <v>0</v>
      </c>
      <c r="W24" s="112">
        <f t="shared" si="1"/>
        <v>0</v>
      </c>
      <c r="X24" s="112">
        <f t="shared" si="1"/>
        <v>2</v>
      </c>
      <c r="Y24" s="112">
        <f t="shared" si="1"/>
        <v>2</v>
      </c>
      <c r="Z24" s="112">
        <f t="shared" si="1"/>
        <v>2</v>
      </c>
      <c r="AA24" s="112">
        <f t="shared" si="1"/>
        <v>2</v>
      </c>
      <c r="AB24" s="112">
        <f t="shared" si="1"/>
        <v>2</v>
      </c>
      <c r="AC24" s="112">
        <f t="shared" si="1"/>
        <v>0</v>
      </c>
      <c r="AD24" s="112">
        <f t="shared" si="1"/>
        <v>0</v>
      </c>
      <c r="AE24" s="112">
        <f t="shared" si="1"/>
        <v>2</v>
      </c>
      <c r="AF24" s="112">
        <f t="shared" si="1"/>
        <v>2</v>
      </c>
    </row>
    <row r="25" spans="1:33" x14ac:dyDescent="0.35">
      <c r="B25" s="111" t="s">
        <v>91</v>
      </c>
      <c r="C25" s="112">
        <f t="shared" ref="C25:AF25" si="2">COUNTIF(C4:C21,"N")+COUNTIF(C4:C21,"NF")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2</v>
      </c>
      <c r="I25" s="112">
        <f t="shared" si="2"/>
        <v>2</v>
      </c>
      <c r="J25" s="112">
        <f t="shared" si="2"/>
        <v>2</v>
      </c>
      <c r="K25" s="112">
        <f t="shared" si="2"/>
        <v>2</v>
      </c>
      <c r="L25" s="112">
        <f t="shared" si="2"/>
        <v>2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2</v>
      </c>
      <c r="W25" s="112">
        <f t="shared" si="2"/>
        <v>2</v>
      </c>
      <c r="X25" s="112">
        <f t="shared" si="2"/>
        <v>2</v>
      </c>
      <c r="Y25" s="112">
        <f t="shared" si="2"/>
        <v>2</v>
      </c>
      <c r="Z25" s="112">
        <f t="shared" si="2"/>
        <v>2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</row>
    <row r="26" spans="1:33" x14ac:dyDescent="0.35">
      <c r="B26" s="111" t="s">
        <v>92</v>
      </c>
      <c r="C26" s="112">
        <f>COUNTIF(C4:C21,"M/F")+COUNTIF(C4:C21,"M1")+COUNTIF(C4:C21,"M3")+COUNTIF(C4:C21,"M3/G")+COUNTIF(C4:C21,"M2")</f>
        <v>3</v>
      </c>
      <c r="D26" s="112">
        <f>COUNTIF(D4:D21,"M/F")+COUNTIF(D4:D21,"M1")+COUNTIF(D4:D21,"M3")+COUNTIF(D4:D21,"M3/G")+COUNTIF(D4:D21,"M2")</f>
        <v>3</v>
      </c>
      <c r="E26" s="112">
        <f>COUNTIF(E4:E21,"M1")+COUNTIF(E4:E21,"NF")</f>
        <v>1</v>
      </c>
      <c r="F26" s="112">
        <f t="shared" ref="F26:AF26" si="3">COUNTIF(F4:F21,"M/F")+COUNTIF(F4:F21,"M1")+COUNTIF(F4:F21,"M3")+COUNTIF(F4:F21,"M3/G")+COUNTIF(F4:F21,"M2")</f>
        <v>3</v>
      </c>
      <c r="G26" s="112">
        <f t="shared" si="3"/>
        <v>3</v>
      </c>
      <c r="H26" s="112">
        <f t="shared" si="3"/>
        <v>3</v>
      </c>
      <c r="I26" s="112">
        <f t="shared" si="3"/>
        <v>3</v>
      </c>
      <c r="J26" s="112">
        <f t="shared" si="3"/>
        <v>3</v>
      </c>
      <c r="K26" s="112">
        <f t="shared" si="3"/>
        <v>3</v>
      </c>
      <c r="L26" s="112">
        <f t="shared" si="3"/>
        <v>3</v>
      </c>
      <c r="M26" s="112">
        <f t="shared" si="3"/>
        <v>3</v>
      </c>
      <c r="N26" s="112">
        <f t="shared" si="3"/>
        <v>3</v>
      </c>
      <c r="O26" s="112">
        <f t="shared" si="3"/>
        <v>2</v>
      </c>
      <c r="P26" s="112">
        <f t="shared" si="3"/>
        <v>2</v>
      </c>
      <c r="Q26" s="112">
        <f t="shared" si="3"/>
        <v>3</v>
      </c>
      <c r="R26" s="112">
        <f t="shared" si="3"/>
        <v>3</v>
      </c>
      <c r="S26" s="112">
        <f t="shared" si="3"/>
        <v>3</v>
      </c>
      <c r="T26" s="112">
        <f t="shared" si="3"/>
        <v>3</v>
      </c>
      <c r="U26" s="112">
        <f t="shared" si="3"/>
        <v>2</v>
      </c>
      <c r="V26" s="112">
        <f t="shared" si="3"/>
        <v>2</v>
      </c>
      <c r="W26" s="112">
        <f t="shared" si="3"/>
        <v>2</v>
      </c>
      <c r="X26" s="112">
        <f t="shared" si="3"/>
        <v>3</v>
      </c>
      <c r="Y26" s="112">
        <f t="shared" si="3"/>
        <v>3</v>
      </c>
      <c r="Z26" s="112">
        <f t="shared" si="3"/>
        <v>3</v>
      </c>
      <c r="AA26" s="112">
        <f t="shared" si="3"/>
        <v>3</v>
      </c>
      <c r="AB26" s="112">
        <f t="shared" si="3"/>
        <v>3</v>
      </c>
      <c r="AC26" s="112">
        <f t="shared" si="3"/>
        <v>2</v>
      </c>
      <c r="AD26" s="112">
        <f t="shared" si="3"/>
        <v>2</v>
      </c>
      <c r="AE26" s="112">
        <f t="shared" si="3"/>
        <v>3</v>
      </c>
      <c r="AF26" s="112">
        <f t="shared" si="3"/>
        <v>3</v>
      </c>
    </row>
    <row r="28" spans="1:33" x14ac:dyDescent="0.35">
      <c r="B28" t="s">
        <v>65</v>
      </c>
    </row>
    <row r="29" spans="1:33" x14ac:dyDescent="0.35">
      <c r="B29" s="5" t="s">
        <v>66</v>
      </c>
    </row>
    <row r="30" spans="1:33" x14ac:dyDescent="0.35">
      <c r="B30" s="5" t="s">
        <v>67</v>
      </c>
    </row>
    <row r="31" spans="1:33" x14ac:dyDescent="0.35">
      <c r="B31" s="1" t="s">
        <v>68</v>
      </c>
    </row>
    <row r="32" spans="1:33" x14ac:dyDescent="0.35">
      <c r="B32" s="7" t="s">
        <v>69</v>
      </c>
    </row>
    <row r="33" spans="2:2" x14ac:dyDescent="0.35">
      <c r="B33" s="3" t="s">
        <v>70</v>
      </c>
    </row>
    <row r="34" spans="2:2" x14ac:dyDescent="0.35">
      <c r="B34" s="5" t="s">
        <v>71</v>
      </c>
    </row>
    <row r="35" spans="2:2" x14ac:dyDescent="0.35">
      <c r="B35" s="3" t="s">
        <v>72</v>
      </c>
    </row>
    <row r="36" spans="2:2" x14ac:dyDescent="0.35">
      <c r="B36" s="4" t="s">
        <v>73</v>
      </c>
    </row>
    <row r="37" spans="2:2" x14ac:dyDescent="0.35">
      <c r="B37" s="25" t="s">
        <v>74</v>
      </c>
    </row>
    <row r="38" spans="2:2" x14ac:dyDescent="0.35">
      <c r="B38" s="4" t="s">
        <v>93</v>
      </c>
    </row>
    <row r="39" spans="2:2" x14ac:dyDescent="0.35">
      <c r="B39" s="28" t="s">
        <v>76</v>
      </c>
    </row>
    <row r="40" spans="2:2" x14ac:dyDescent="0.35">
      <c r="B40" s="17" t="s">
        <v>77</v>
      </c>
    </row>
  </sheetData>
  <mergeCells count="2">
    <mergeCell ref="B1:B3"/>
    <mergeCell ref="C1:AF1"/>
  </mergeCells>
  <conditionalFormatting sqref="C24:AF26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37"/>
  <sheetViews>
    <sheetView topLeftCell="B3" workbookViewId="0">
      <selection activeCell="S18" sqref="S18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6" ht="24" customHeight="1" x14ac:dyDescent="0.35">
      <c r="A1" s="6"/>
      <c r="B1" s="174"/>
      <c r="C1" s="189" t="s">
        <v>115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6" x14ac:dyDescent="0.35">
      <c r="A2" s="6"/>
      <c r="B2" s="174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5" t="s">
        <v>14</v>
      </c>
      <c r="I4" s="5" t="s">
        <v>14</v>
      </c>
      <c r="J4" s="5" t="s">
        <v>14</v>
      </c>
      <c r="K4" s="5" t="s">
        <v>14</v>
      </c>
      <c r="L4" s="5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 x14ac:dyDescent="0.35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5" t="s">
        <v>14</v>
      </c>
      <c r="P5" s="5" t="s">
        <v>14</v>
      </c>
      <c r="Q5" s="5" t="s">
        <v>14</v>
      </c>
      <c r="R5" s="5" t="s">
        <v>14</v>
      </c>
      <c r="S5" s="5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 x14ac:dyDescent="0.35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 t="s">
        <v>15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5" t="s">
        <v>14</v>
      </c>
      <c r="W6" s="5" t="s">
        <v>14</v>
      </c>
      <c r="X6" s="5" t="s">
        <v>14</v>
      </c>
      <c r="Y6" s="5" t="s">
        <v>14</v>
      </c>
      <c r="Z6" s="5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7" t="s">
        <v>20</v>
      </c>
      <c r="I7" s="7" t="s">
        <v>20</v>
      </c>
      <c r="J7" s="7" t="s">
        <v>20</v>
      </c>
      <c r="K7" s="7" t="s">
        <v>20</v>
      </c>
      <c r="L7" s="7" t="s">
        <v>20</v>
      </c>
      <c r="M7" s="28" t="s">
        <v>7</v>
      </c>
      <c r="N7" s="28" t="s">
        <v>7</v>
      </c>
      <c r="O7" s="1" t="s">
        <v>14</v>
      </c>
      <c r="P7" s="1" t="s">
        <v>14</v>
      </c>
      <c r="Q7" s="1" t="s">
        <v>14</v>
      </c>
      <c r="R7" s="1" t="s">
        <v>14</v>
      </c>
      <c r="S7" s="1" t="s">
        <v>14</v>
      </c>
      <c r="T7" s="5" t="s">
        <v>15</v>
      </c>
      <c r="U7" s="5" t="s">
        <v>15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5" t="s">
        <v>14</v>
      </c>
      <c r="AD7" s="5" t="s">
        <v>14</v>
      </c>
      <c r="AE7" s="5" t="s">
        <v>14</v>
      </c>
      <c r="AF7" s="5" t="s">
        <v>14</v>
      </c>
      <c r="AG7" s="5" t="s">
        <v>14</v>
      </c>
      <c r="AH7"/>
    </row>
    <row r="8" spans="1:36" x14ac:dyDescent="0.35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15</v>
      </c>
      <c r="G8" s="5" t="s">
        <v>15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28" t="s">
        <v>7</v>
      </c>
      <c r="O8" s="7" t="s">
        <v>20</v>
      </c>
      <c r="P8" s="7" t="s">
        <v>20</v>
      </c>
      <c r="Q8" s="7" t="s">
        <v>20</v>
      </c>
      <c r="R8" s="7" t="s">
        <v>20</v>
      </c>
      <c r="S8" s="7" t="s">
        <v>20</v>
      </c>
      <c r="T8" s="28" t="s">
        <v>7</v>
      </c>
      <c r="U8" s="28" t="s">
        <v>7</v>
      </c>
      <c r="V8" s="1" t="s">
        <v>14</v>
      </c>
      <c r="W8" s="1" t="s">
        <v>14</v>
      </c>
      <c r="X8" s="1" t="s">
        <v>14</v>
      </c>
      <c r="Y8" s="1" t="s">
        <v>14</v>
      </c>
      <c r="Z8" s="1" t="s">
        <v>14</v>
      </c>
      <c r="AA8" s="5" t="s">
        <v>15</v>
      </c>
      <c r="AB8" s="5" t="s">
        <v>15</v>
      </c>
      <c r="AC8" s="28" t="s">
        <v>7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6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6" x14ac:dyDescent="0.35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30" t="s">
        <v>16</v>
      </c>
      <c r="W10" s="130" t="s">
        <v>16</v>
      </c>
      <c r="X10" s="130" t="s">
        <v>16</v>
      </c>
      <c r="Y10" s="130" t="s">
        <v>16</v>
      </c>
      <c r="Z10" s="130" t="s">
        <v>16</v>
      </c>
      <c r="AA10" s="130" t="s">
        <v>17</v>
      </c>
      <c r="AB10" s="130" t="s">
        <v>17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 x14ac:dyDescent="0.35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30" t="s">
        <v>16</v>
      </c>
      <c r="AD11" s="130" t="s">
        <v>16</v>
      </c>
      <c r="AE11" s="130" t="s">
        <v>16</v>
      </c>
      <c r="AF11" s="130" t="s">
        <v>16</v>
      </c>
      <c r="AG11" s="130" t="s">
        <v>16</v>
      </c>
      <c r="AH11"/>
    </row>
    <row r="12" spans="1:36" x14ac:dyDescent="0.35">
      <c r="A12" s="34" t="s">
        <v>12</v>
      </c>
      <c r="B12" s="33" t="s">
        <v>24</v>
      </c>
      <c r="C12" s="130" t="s">
        <v>16</v>
      </c>
      <c r="D12" s="130" t="s">
        <v>16</v>
      </c>
      <c r="E12" s="130" t="s">
        <v>16</v>
      </c>
      <c r="F12" s="130" t="s">
        <v>17</v>
      </c>
      <c r="G12" s="130" t="s">
        <v>17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 x14ac:dyDescent="0.35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30" t="s">
        <v>16</v>
      </c>
      <c r="I13" s="130" t="s">
        <v>16</v>
      </c>
      <c r="J13" s="130" t="s">
        <v>16</v>
      </c>
      <c r="K13" s="130" t="s">
        <v>16</v>
      </c>
      <c r="L13" s="130" t="s">
        <v>16</v>
      </c>
      <c r="M13" s="130" t="s">
        <v>17</v>
      </c>
      <c r="N13" s="130" t="s">
        <v>17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 x14ac:dyDescent="0.35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30" t="s">
        <v>16</v>
      </c>
      <c r="P14" s="130" t="s">
        <v>16</v>
      </c>
      <c r="Q14" s="130" t="s">
        <v>16</v>
      </c>
      <c r="R14" s="130" t="s">
        <v>16</v>
      </c>
      <c r="S14" s="130" t="s">
        <v>16</v>
      </c>
      <c r="T14" s="130" t="s">
        <v>17</v>
      </c>
      <c r="U14" s="130" t="s">
        <v>17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6" x14ac:dyDescent="0.35">
      <c r="A16" s="34" t="s">
        <v>28</v>
      </c>
      <c r="B16" s="37" t="s">
        <v>29</v>
      </c>
      <c r="C16" s="25" t="s">
        <v>11</v>
      </c>
      <c r="D16" s="25" t="s">
        <v>11</v>
      </c>
      <c r="E16" s="25" t="s">
        <v>11</v>
      </c>
      <c r="F16" s="28" t="s">
        <v>7</v>
      </c>
      <c r="G16" s="28" t="s">
        <v>7</v>
      </c>
      <c r="H16" s="4" t="s">
        <v>14</v>
      </c>
      <c r="I16" s="4" t="s">
        <v>14</v>
      </c>
      <c r="J16" s="4" t="s">
        <v>14</v>
      </c>
      <c r="K16" s="4" t="s">
        <v>14</v>
      </c>
      <c r="L16" s="4" t="s">
        <v>14</v>
      </c>
      <c r="M16" s="28" t="s">
        <v>7</v>
      </c>
      <c r="N16" s="28" t="s">
        <v>7</v>
      </c>
      <c r="O16" s="4" t="s">
        <v>85</v>
      </c>
      <c r="P16" s="4" t="s">
        <v>85</v>
      </c>
      <c r="Q16" s="4" t="s">
        <v>85</v>
      </c>
      <c r="R16" s="4" t="s">
        <v>85</v>
      </c>
      <c r="S16" s="4" t="s">
        <v>85</v>
      </c>
      <c r="T16" s="28" t="s">
        <v>30</v>
      </c>
      <c r="U16" s="28" t="s">
        <v>30</v>
      </c>
      <c r="V16" s="25" t="s">
        <v>11</v>
      </c>
      <c r="W16" s="25" t="s">
        <v>11</v>
      </c>
      <c r="X16" s="25" t="s">
        <v>11</v>
      </c>
      <c r="Y16" s="25" t="s">
        <v>11</v>
      </c>
      <c r="Z16" s="25" t="s">
        <v>11</v>
      </c>
      <c r="AA16" s="28" t="s">
        <v>7</v>
      </c>
      <c r="AB16" s="28" t="s">
        <v>7</v>
      </c>
      <c r="AC16" s="4" t="s">
        <v>14</v>
      </c>
      <c r="AD16" s="4" t="s">
        <v>14</v>
      </c>
      <c r="AE16" s="4" t="s">
        <v>14</v>
      </c>
      <c r="AF16" s="4" t="s">
        <v>14</v>
      </c>
      <c r="AG16" s="4" t="s">
        <v>14</v>
      </c>
      <c r="AH16"/>
    </row>
    <row r="17" spans="1:34" x14ac:dyDescent="0.35">
      <c r="A17" s="34" t="s">
        <v>28</v>
      </c>
      <c r="B17" s="37" t="s">
        <v>60</v>
      </c>
      <c r="C17" s="4" t="s">
        <v>85</v>
      </c>
      <c r="D17" s="4" t="s">
        <v>85</v>
      </c>
      <c r="E17" s="4" t="s">
        <v>85</v>
      </c>
      <c r="F17" s="28" t="s">
        <v>30</v>
      </c>
      <c r="G17" s="28" t="s">
        <v>30</v>
      </c>
      <c r="H17" s="25" t="s">
        <v>11</v>
      </c>
      <c r="I17" s="25" t="s">
        <v>11</v>
      </c>
      <c r="J17" s="25" t="s">
        <v>11</v>
      </c>
      <c r="K17" s="25" t="s">
        <v>11</v>
      </c>
      <c r="L17" s="25" t="s">
        <v>11</v>
      </c>
      <c r="M17" s="28" t="s">
        <v>7</v>
      </c>
      <c r="N17" s="28" t="s">
        <v>7</v>
      </c>
      <c r="O17" s="4" t="s">
        <v>14</v>
      </c>
      <c r="P17" s="4" t="s">
        <v>14</v>
      </c>
      <c r="Q17" s="4" t="s">
        <v>14</v>
      </c>
      <c r="R17" s="4" t="s">
        <v>14</v>
      </c>
      <c r="S17" s="4" t="s">
        <v>14</v>
      </c>
      <c r="T17" s="28" t="s">
        <v>7</v>
      </c>
      <c r="U17" s="28" t="s">
        <v>7</v>
      </c>
      <c r="V17" s="4" t="s">
        <v>85</v>
      </c>
      <c r="W17" s="4" t="s">
        <v>85</v>
      </c>
      <c r="X17" s="4" t="s">
        <v>85</v>
      </c>
      <c r="Y17" s="4" t="s">
        <v>85</v>
      </c>
      <c r="Z17" s="4" t="s">
        <v>85</v>
      </c>
      <c r="AA17" s="28" t="s">
        <v>30</v>
      </c>
      <c r="AB17" s="28" t="s">
        <v>30</v>
      </c>
      <c r="AC17" s="25" t="s">
        <v>11</v>
      </c>
      <c r="AD17" s="25" t="s">
        <v>11</v>
      </c>
      <c r="AE17" s="25" t="s">
        <v>11</v>
      </c>
      <c r="AF17" s="25" t="s">
        <v>11</v>
      </c>
      <c r="AG17" s="25" t="s">
        <v>11</v>
      </c>
      <c r="AH17"/>
    </row>
    <row r="18" spans="1:34" x14ac:dyDescent="0.35">
      <c r="A18" s="34" t="s">
        <v>28</v>
      </c>
      <c r="B18" s="37" t="s">
        <v>13</v>
      </c>
      <c r="C18" s="4" t="s">
        <v>14</v>
      </c>
      <c r="D18" s="4" t="s">
        <v>14</v>
      </c>
      <c r="E18" s="4" t="s">
        <v>14</v>
      </c>
      <c r="F18" s="28" t="s">
        <v>7</v>
      </c>
      <c r="G18" s="28" t="s">
        <v>7</v>
      </c>
      <c r="H18" s="4" t="s">
        <v>85</v>
      </c>
      <c r="I18" s="4" t="s">
        <v>85</v>
      </c>
      <c r="J18" s="4" t="s">
        <v>85</v>
      </c>
      <c r="K18" s="4" t="s">
        <v>85</v>
      </c>
      <c r="L18" s="4" t="s">
        <v>85</v>
      </c>
      <c r="M18" s="28" t="s">
        <v>30</v>
      </c>
      <c r="N18" s="28" t="s">
        <v>30</v>
      </c>
      <c r="O18" s="17" t="s">
        <v>4</v>
      </c>
      <c r="P18" s="17" t="s">
        <v>4</v>
      </c>
      <c r="Q18" s="17" t="s">
        <v>4</v>
      </c>
      <c r="R18" s="17" t="s">
        <v>4</v>
      </c>
      <c r="S18" s="17" t="s">
        <v>4</v>
      </c>
      <c r="T18" s="28" t="s">
        <v>7</v>
      </c>
      <c r="U18" s="28" t="s">
        <v>7</v>
      </c>
      <c r="V18" s="4" t="s">
        <v>14</v>
      </c>
      <c r="W18" s="4" t="s">
        <v>14</v>
      </c>
      <c r="X18" s="4" t="s">
        <v>14</v>
      </c>
      <c r="Y18" s="4" t="s">
        <v>14</v>
      </c>
      <c r="Z18" s="4" t="s">
        <v>14</v>
      </c>
      <c r="AA18" s="28" t="s">
        <v>7</v>
      </c>
      <c r="AB18" s="28" t="s">
        <v>7</v>
      </c>
      <c r="AC18" s="4" t="s">
        <v>85</v>
      </c>
      <c r="AD18" s="4" t="s">
        <v>85</v>
      </c>
      <c r="AE18" s="4" t="s">
        <v>85</v>
      </c>
      <c r="AF18" s="4" t="s">
        <v>85</v>
      </c>
      <c r="AG18" s="4" t="s">
        <v>85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6</v>
      </c>
      <c r="D20" s="110">
        <f t="shared" si="0"/>
        <v>6</v>
      </c>
      <c r="E20" s="110">
        <f t="shared" si="0"/>
        <v>4</v>
      </c>
      <c r="F20" s="110">
        <f t="shared" si="0"/>
        <v>4</v>
      </c>
      <c r="G20" s="110">
        <f t="shared" si="0"/>
        <v>4</v>
      </c>
      <c r="H20" s="110">
        <f t="shared" si="0"/>
        <v>6</v>
      </c>
      <c r="I20" s="110">
        <f t="shared" si="0"/>
        <v>6</v>
      </c>
      <c r="J20" s="110">
        <f t="shared" si="0"/>
        <v>6</v>
      </c>
      <c r="K20" s="110">
        <f t="shared" si="0"/>
        <v>6</v>
      </c>
      <c r="L20" s="110">
        <f t="shared" si="0"/>
        <v>6</v>
      </c>
      <c r="M20" s="110">
        <f t="shared" si="0"/>
        <v>4</v>
      </c>
      <c r="N20" s="110">
        <f t="shared" si="0"/>
        <v>4</v>
      </c>
      <c r="O20" s="110">
        <f t="shared" si="0"/>
        <v>5</v>
      </c>
      <c r="P20" s="110">
        <f t="shared" si="0"/>
        <v>5</v>
      </c>
      <c r="Q20" s="110">
        <f t="shared" si="0"/>
        <v>5</v>
      </c>
      <c r="R20" s="110">
        <f t="shared" si="0"/>
        <v>5</v>
      </c>
      <c r="S20" s="110">
        <f t="shared" si="0"/>
        <v>5</v>
      </c>
      <c r="T20" s="110">
        <f t="shared" si="0"/>
        <v>4</v>
      </c>
      <c r="U20" s="110">
        <f t="shared" si="0"/>
        <v>4</v>
      </c>
      <c r="V20" s="110">
        <f t="shared" si="0"/>
        <v>6</v>
      </c>
      <c r="W20" s="110">
        <f t="shared" si="0"/>
        <v>6</v>
      </c>
      <c r="X20" s="110">
        <f t="shared" si="0"/>
        <v>6</v>
      </c>
      <c r="Y20" s="110">
        <f t="shared" si="0"/>
        <v>6</v>
      </c>
      <c r="Z20" s="110">
        <f t="shared" si="0"/>
        <v>6</v>
      </c>
      <c r="AA20" s="110">
        <f t="shared" si="0"/>
        <v>4</v>
      </c>
      <c r="AB20" s="110">
        <f t="shared" si="0"/>
        <v>4</v>
      </c>
      <c r="AC20" s="110">
        <f t="shared" si="0"/>
        <v>6</v>
      </c>
      <c r="AD20" s="110">
        <f t="shared" si="0"/>
        <v>6</v>
      </c>
      <c r="AE20" s="110">
        <f t="shared" si="0"/>
        <v>6</v>
      </c>
      <c r="AF20" s="110">
        <f t="shared" si="0"/>
        <v>6</v>
      </c>
      <c r="AG20" s="110">
        <f t="shared" si="0"/>
        <v>6</v>
      </c>
    </row>
    <row r="21" spans="1:34" x14ac:dyDescent="0.35">
      <c r="B21" s="111" t="s">
        <v>90</v>
      </c>
      <c r="C21" s="112">
        <f t="shared" ref="C21:AG21" si="1">COUNTIF(C4:C18,"T")</f>
        <v>2</v>
      </c>
      <c r="D21" s="112">
        <f t="shared" si="1"/>
        <v>2</v>
      </c>
      <c r="E21" s="112">
        <f t="shared" si="1"/>
        <v>2</v>
      </c>
      <c r="F21" s="112">
        <f t="shared" si="1"/>
        <v>0</v>
      </c>
      <c r="G21" s="112">
        <f t="shared" si="1"/>
        <v>0</v>
      </c>
      <c r="H21" s="112">
        <f t="shared" si="1"/>
        <v>2</v>
      </c>
      <c r="I21" s="112">
        <f t="shared" si="1"/>
        <v>2</v>
      </c>
      <c r="J21" s="112">
        <f t="shared" si="1"/>
        <v>2</v>
      </c>
      <c r="K21" s="112">
        <f t="shared" si="1"/>
        <v>2</v>
      </c>
      <c r="L21" s="112">
        <f t="shared" si="1"/>
        <v>2</v>
      </c>
      <c r="M21" s="112">
        <f t="shared" si="1"/>
        <v>0</v>
      </c>
      <c r="N21" s="112">
        <f t="shared" si="1"/>
        <v>0</v>
      </c>
      <c r="O21" s="112">
        <f t="shared" si="1"/>
        <v>2</v>
      </c>
      <c r="P21" s="112">
        <f t="shared" si="1"/>
        <v>2</v>
      </c>
      <c r="Q21" s="112">
        <f t="shared" si="1"/>
        <v>2</v>
      </c>
      <c r="R21" s="112">
        <f t="shared" si="1"/>
        <v>2</v>
      </c>
      <c r="S21" s="112">
        <f t="shared" si="1"/>
        <v>2</v>
      </c>
      <c r="T21" s="112">
        <f t="shared" si="1"/>
        <v>0</v>
      </c>
      <c r="U21" s="112">
        <f t="shared" si="1"/>
        <v>0</v>
      </c>
      <c r="V21" s="112">
        <f t="shared" si="1"/>
        <v>2</v>
      </c>
      <c r="W21" s="112">
        <f t="shared" si="1"/>
        <v>2</v>
      </c>
      <c r="X21" s="112">
        <f t="shared" si="1"/>
        <v>2</v>
      </c>
      <c r="Y21" s="112">
        <f t="shared" si="1"/>
        <v>2</v>
      </c>
      <c r="Z21" s="112">
        <f t="shared" si="1"/>
        <v>2</v>
      </c>
      <c r="AA21" s="112">
        <f t="shared" si="1"/>
        <v>0</v>
      </c>
      <c r="AB21" s="112">
        <f t="shared" si="1"/>
        <v>0</v>
      </c>
      <c r="AC21" s="112">
        <f t="shared" si="1"/>
        <v>2</v>
      </c>
      <c r="AD21" s="112">
        <f t="shared" si="1"/>
        <v>2</v>
      </c>
      <c r="AE21" s="112">
        <f t="shared" si="1"/>
        <v>2</v>
      </c>
      <c r="AF21" s="112">
        <f t="shared" si="1"/>
        <v>2</v>
      </c>
      <c r="AG21" s="112">
        <f t="shared" si="1"/>
        <v>2</v>
      </c>
    </row>
    <row r="22" spans="1:34" x14ac:dyDescent="0.35">
      <c r="B22" s="111" t="s">
        <v>91</v>
      </c>
      <c r="C22" s="112">
        <f t="shared" ref="C22:AG22" si="2">COUNTIF(C4:C18,"N")+COUNTIF(C4:C18,"NF")</f>
        <v>2</v>
      </c>
      <c r="D22" s="112">
        <f t="shared" si="2"/>
        <v>2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1</v>
      </c>
      <c r="P23" s="112">
        <f t="shared" si="3"/>
        <v>1</v>
      </c>
      <c r="Q23" s="112">
        <f t="shared" si="3"/>
        <v>1</v>
      </c>
      <c r="R23" s="112">
        <f t="shared" si="3"/>
        <v>1</v>
      </c>
      <c r="S23" s="112">
        <f t="shared" si="3"/>
        <v>1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5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116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 x14ac:dyDescent="0.35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 x14ac:dyDescent="0.35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 x14ac:dyDescent="0.35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 x14ac:dyDescent="0.35">
      <c r="AH19"/>
    </row>
    <row r="20" spans="1:34" x14ac:dyDescent="0.35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9.54296875" style="91" customWidth="1"/>
  </cols>
  <sheetData>
    <row r="1" spans="1:33" ht="24" customHeight="1" x14ac:dyDescent="0.35">
      <c r="A1" s="6"/>
      <c r="B1" s="174"/>
      <c r="C1" s="189" t="s">
        <v>117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/>
    </row>
    <row r="2" spans="1:33" x14ac:dyDescent="0.35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 x14ac:dyDescent="0.35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 x14ac:dyDescent="0.35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 x14ac:dyDescent="0.35">
      <c r="AG19"/>
    </row>
    <row r="20" spans="1:33" x14ac:dyDescent="0.35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118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 x14ac:dyDescent="0.35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 x14ac:dyDescent="0.35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 x14ac:dyDescent="0.35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 x14ac:dyDescent="0.35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2" width="4.54296875" customWidth="1"/>
    <col min="33" max="33" width="4" style="91" bestFit="1" customWidth="1"/>
  </cols>
  <sheetData>
    <row r="1" spans="1:33" ht="24" customHeight="1" x14ac:dyDescent="0.35">
      <c r="A1" s="6"/>
      <c r="B1" s="174"/>
      <c r="C1" s="189" t="s">
        <v>119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</row>
    <row r="2" spans="1:33" x14ac:dyDescent="0.35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 x14ac:dyDescent="0.35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 x14ac:dyDescent="0.35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 x14ac:dyDescent="0.35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 x14ac:dyDescent="0.35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 x14ac:dyDescent="0.35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 x14ac:dyDescent="0.35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 x14ac:dyDescent="0.35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 x14ac:dyDescent="0.35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 x14ac:dyDescent="0.35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 x14ac:dyDescent="0.35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 x14ac:dyDescent="0.35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 x14ac:dyDescent="0.35">
      <c r="B25" t="s">
        <v>65</v>
      </c>
    </row>
    <row r="26" spans="1:33" x14ac:dyDescent="0.35">
      <c r="B26" s="5" t="s">
        <v>66</v>
      </c>
    </row>
    <row r="27" spans="1:33" x14ac:dyDescent="0.35">
      <c r="B27" s="5" t="s">
        <v>67</v>
      </c>
    </row>
    <row r="28" spans="1:33" x14ac:dyDescent="0.35">
      <c r="B28" s="1" t="s">
        <v>68</v>
      </c>
    </row>
    <row r="29" spans="1:33" x14ac:dyDescent="0.35">
      <c r="B29" s="7" t="s">
        <v>69</v>
      </c>
    </row>
    <row r="30" spans="1:33" x14ac:dyDescent="0.35">
      <c r="B30" s="3" t="s">
        <v>70</v>
      </c>
    </row>
    <row r="31" spans="1:33" x14ac:dyDescent="0.35">
      <c r="B31" s="5" t="s">
        <v>71</v>
      </c>
    </row>
    <row r="32" spans="1:33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baseColWidth="10" defaultColWidth="8.81640625" defaultRowHeight="14.5" x14ac:dyDescent="0.35"/>
  <cols>
    <col min="2" max="2" width="25.54296875" customWidth="1"/>
    <col min="3" max="33" width="4.54296875" customWidth="1"/>
    <col min="34" max="34" width="4" style="91" bestFit="1" customWidth="1"/>
  </cols>
  <sheetData>
    <row r="1" spans="1:34" ht="24" customHeight="1" x14ac:dyDescent="0.35">
      <c r="A1" s="6"/>
      <c r="B1" s="174"/>
      <c r="C1" s="189" t="s">
        <v>120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</row>
    <row r="2" spans="1:34" x14ac:dyDescent="0.35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 x14ac:dyDescent="0.35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 x14ac:dyDescent="0.35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 x14ac:dyDescent="0.35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 x14ac:dyDescent="0.35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 x14ac:dyDescent="0.35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 x14ac:dyDescent="0.35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 x14ac:dyDescent="0.35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 x14ac:dyDescent="0.35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 x14ac:dyDescent="0.35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 x14ac:dyDescent="0.35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 x14ac:dyDescent="0.35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 x14ac:dyDescent="0.35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 x14ac:dyDescent="0.35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 x14ac:dyDescent="0.35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 x14ac:dyDescent="0.35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 x14ac:dyDescent="0.35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 x14ac:dyDescent="0.35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 x14ac:dyDescent="0.35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 x14ac:dyDescent="0.35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 x14ac:dyDescent="0.35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 x14ac:dyDescent="0.35">
      <c r="B25" t="s">
        <v>65</v>
      </c>
    </row>
    <row r="26" spans="1:34" x14ac:dyDescent="0.35">
      <c r="B26" s="5" t="s">
        <v>66</v>
      </c>
    </row>
    <row r="27" spans="1:34" x14ac:dyDescent="0.35">
      <c r="B27" s="5" t="s">
        <v>67</v>
      </c>
    </row>
    <row r="28" spans="1:34" x14ac:dyDescent="0.35">
      <c r="B28" s="1" t="s">
        <v>68</v>
      </c>
    </row>
    <row r="29" spans="1:34" x14ac:dyDescent="0.35">
      <c r="B29" s="7" t="s">
        <v>69</v>
      </c>
    </row>
    <row r="30" spans="1:34" x14ac:dyDescent="0.35">
      <c r="B30" s="3" t="s">
        <v>70</v>
      </c>
    </row>
    <row r="31" spans="1:34" x14ac:dyDescent="0.35">
      <c r="B31" s="5" t="s">
        <v>71</v>
      </c>
    </row>
    <row r="32" spans="1:34" x14ac:dyDescent="0.35">
      <c r="B32" s="3" t="s">
        <v>72</v>
      </c>
    </row>
    <row r="33" spans="2:2" x14ac:dyDescent="0.35">
      <c r="B33" s="4" t="s">
        <v>73</v>
      </c>
    </row>
    <row r="34" spans="2:2" x14ac:dyDescent="0.35">
      <c r="B34" s="25" t="s">
        <v>74</v>
      </c>
    </row>
    <row r="35" spans="2:2" x14ac:dyDescent="0.35">
      <c r="B35" s="4" t="s">
        <v>93</v>
      </c>
    </row>
    <row r="36" spans="2:2" x14ac:dyDescent="0.35">
      <c r="B36" s="28" t="s">
        <v>76</v>
      </c>
    </row>
    <row r="37" spans="2:2" x14ac:dyDescent="0.35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baseColWidth="10" defaultColWidth="11.453125" defaultRowHeight="14.5" x14ac:dyDescent="0.35"/>
  <cols>
    <col min="1" max="1" width="1.81640625" customWidth="1"/>
    <col min="2" max="3" width="2.81640625" customWidth="1"/>
    <col min="4" max="4" width="10.453125" customWidth="1"/>
    <col min="5" max="5" width="3.54296875" customWidth="1"/>
    <col min="6" max="6" width="3.453125" customWidth="1"/>
    <col min="7" max="7" width="8.54296875" bestFit="1" customWidth="1"/>
    <col min="8" max="8" width="7.54296875" customWidth="1"/>
    <col min="9" max="9" width="8.453125" customWidth="1"/>
    <col min="10" max="62" width="3.54296875" customWidth="1"/>
    <col min="63" max="63" width="5" customWidth="1"/>
    <col min="64" max="64" width="4.1796875" customWidth="1"/>
  </cols>
  <sheetData>
    <row r="2" spans="4:64" x14ac:dyDescent="0.35">
      <c r="G2" s="101" t="s">
        <v>121</v>
      </c>
      <c r="I2" s="102">
        <f>1800*10</f>
        <v>18000</v>
      </c>
    </row>
    <row r="3" spans="4:64" x14ac:dyDescent="0.35">
      <c r="G3" s="101" t="s">
        <v>122</v>
      </c>
      <c r="I3" s="102">
        <f>366*6*8</f>
        <v>17568</v>
      </c>
    </row>
    <row r="6" spans="4:64" x14ac:dyDescent="0.35">
      <c r="F6" s="95"/>
    </row>
    <row r="7" spans="4:64" x14ac:dyDescent="0.35">
      <c r="D7" s="102"/>
      <c r="E7" s="102"/>
      <c r="F7" s="95"/>
    </row>
    <row r="8" spans="4:64" x14ac:dyDescent="0.35">
      <c r="D8" s="102"/>
      <c r="E8" s="102"/>
      <c r="F8" s="95"/>
    </row>
    <row r="9" spans="4:64" x14ac:dyDescent="0.35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 x14ac:dyDescent="0.35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 x14ac:dyDescent="0.35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 x14ac:dyDescent="0.35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 x14ac:dyDescent="0.35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 x14ac:dyDescent="0.35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 x14ac:dyDescent="0.35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 x14ac:dyDescent="0.35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 x14ac:dyDescent="0.35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 x14ac:dyDescent="0.35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 x14ac:dyDescent="0.35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 x14ac:dyDescent="0.35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 x14ac:dyDescent="0.35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 x14ac:dyDescent="0.35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 x14ac:dyDescent="0.35">
      <c r="G23" s="101" t="s">
        <v>192</v>
      </c>
      <c r="H23">
        <f>AVERAGE(H10:H20)</f>
        <v>849.6</v>
      </c>
    </row>
    <row r="27" spans="7:64" x14ac:dyDescent="0.35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 x14ac:dyDescent="0.35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 x14ac:dyDescent="0.35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 x14ac:dyDescent="0.35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 x14ac:dyDescent="0.35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 x14ac:dyDescent="0.35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 x14ac:dyDescent="0.35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 x14ac:dyDescent="0.35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 x14ac:dyDescent="0.35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 x14ac:dyDescent="0.35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 x14ac:dyDescent="0.35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 x14ac:dyDescent="0.35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 x14ac:dyDescent="0.35">
      <c r="G40" s="101" t="s">
        <v>191</v>
      </c>
      <c r="H40">
        <f>SUM(H28:H38)</f>
        <v>17424</v>
      </c>
    </row>
    <row r="41" spans="7:64" x14ac:dyDescent="0.35">
      <c r="G41" s="101" t="s">
        <v>192</v>
      </c>
      <c r="H41">
        <f>AVERAGE(H28:H38)</f>
        <v>1742.4</v>
      </c>
      <c r="K41" s="104" t="s">
        <v>193</v>
      </c>
    </row>
    <row r="48" spans="7:64" x14ac:dyDescent="0.35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 x14ac:dyDescent="0.35">
      <c r="I71">
        <f>23*10</f>
        <v>230</v>
      </c>
    </row>
    <row r="72" spans="9:11" x14ac:dyDescent="0.35">
      <c r="I72">
        <f>8*52</f>
        <v>416</v>
      </c>
    </row>
    <row r="74" spans="9:11" x14ac:dyDescent="0.35">
      <c r="I74">
        <f>I72-I71</f>
        <v>186</v>
      </c>
      <c r="K74" s="116">
        <f>I74/10</f>
        <v>18.600000000000001</v>
      </c>
    </row>
    <row r="84" spans="7:64" x14ac:dyDescent="0.35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 x14ac:dyDescent="0.35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 x14ac:dyDescent="0.35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 x14ac:dyDescent="0.35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 x14ac:dyDescent="0.35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 x14ac:dyDescent="0.35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 x14ac:dyDescent="0.35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 x14ac:dyDescent="0.35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 x14ac:dyDescent="0.35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 x14ac:dyDescent="0.35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 x14ac:dyDescent="0.35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 x14ac:dyDescent="0.35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 x14ac:dyDescent="0.35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 x14ac:dyDescent="0.35">
      <c r="G98" s="101" t="s">
        <v>191</v>
      </c>
      <c r="H98">
        <f>SUM(H85:H96)</f>
        <v>6880</v>
      </c>
    </row>
    <row r="99" spans="7:11" x14ac:dyDescent="0.35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baseColWidth="10" defaultColWidth="8.7265625" defaultRowHeight="14.5" x14ac:dyDescent="0.35"/>
  <cols>
    <col min="4" max="4" width="9.1796875" bestFit="1" customWidth="1"/>
  </cols>
  <sheetData>
    <row r="2" spans="4:61" x14ac:dyDescent="0.35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 x14ac:dyDescent="0.35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 x14ac:dyDescent="0.35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 x14ac:dyDescent="0.35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 x14ac:dyDescent="0.35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 x14ac:dyDescent="0.35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 x14ac:dyDescent="0.35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 x14ac:dyDescent="0.35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 x14ac:dyDescent="0.35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 x14ac:dyDescent="0.35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 x14ac:dyDescent="0.35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 x14ac:dyDescent="0.35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 x14ac:dyDescent="0.35">
      <c r="D15" s="101" t="s">
        <v>191</v>
      </c>
      <c r="E15">
        <f>SUM(E3:E13)</f>
        <v>17424</v>
      </c>
    </row>
    <row r="16" spans="4:61" x14ac:dyDescent="0.35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1EECE65D-B437-4372-9E5B-6949431F5EB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30E971C-1E23-4A69-8C76-8F8841CEE5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d69cfc-9e5e-49f5-89c5-c4254f1df494"/>
    <ds:schemaRef ds:uri="c4ea02d4-fa21-4b0d-ae81-62618081dd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555FA03-0D71-42C1-B384-265EE4FF1786}">
  <ds:schemaRefs>
    <ds:schemaRef ds:uri="http://schemas.microsoft.com/office/2006/metadata/properties"/>
    <ds:schemaRef ds:uri="http://schemas.microsoft.com/office/infopath/2007/PartnerControls"/>
    <ds:schemaRef ds:uri="f2d69cfc-9e5e-49f5-89c5-c4254f1df494"/>
    <ds:schemaRef ds:uri="c4ea02d4-fa21-4b0d-ae81-62618081dde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Julio</vt:lpstr>
      <vt:lpstr>Agosto </vt:lpstr>
      <vt:lpstr>Septiembre</vt:lpstr>
      <vt:lpstr>Octubre</vt:lpstr>
      <vt:lpstr>Noviembre </vt:lpstr>
      <vt:lpstr>Diciembre</vt:lpstr>
      <vt:lpstr>Enero-2026</vt:lpstr>
      <vt:lpstr>Febrero-2026</vt:lpstr>
      <vt:lpstr>Marzo-2026</vt:lpstr>
      <vt:lpstr>Abril-2026</vt:lpstr>
      <vt:lpstr>Mayo-2026</vt:lpstr>
      <vt:lpstr>Junio-2026</vt:lpstr>
      <vt:lpstr>Julio-2026</vt:lpstr>
      <vt:lpstr>Agosto-2026</vt:lpstr>
      <vt:lpstr>Septiembre-2026</vt:lpstr>
      <vt:lpstr>Octubre-2026</vt:lpstr>
      <vt:lpstr>Noviembre-2026</vt:lpstr>
      <vt:lpstr>Diciembre-2026</vt:lpstr>
      <vt:lpstr>Análisis Cuadrante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2026-05-04T07:01:38Z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