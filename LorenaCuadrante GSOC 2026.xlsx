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Cuadrante Turnos/"/>
    </mc:Choice>
  </mc:AlternateContent>
  <xr:revisionPtr revIDLastSave="2949" documentId="8_{BF395F17-8A36-4A5B-A61D-48748E8233D4}" xr6:coauthVersionLast="47" xr6:coauthVersionMax="47" xr10:uidLastSave="{B35C30CA-E71F-40B0-887E-D36A1415A600}"/>
  <bookViews>
    <workbookView xWindow="38280" yWindow="-120" windowWidth="38640" windowHeight="21120" firstSheet="11" activeTab="11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Abril-2026" sheetId="30" r:id="rId7"/>
    <sheet name="Enero-2026" sheetId="15" r:id="rId8"/>
    <sheet name="Febrero-2026" sheetId="18" r:id="rId9"/>
    <sheet name="Marzo-2026" sheetId="19" r:id="rId10"/>
    <sheet name="Mayo-2026" sheetId="31" r:id="rId11"/>
    <sheet name="Junio-2026" sheetId="3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  <sheet name="Hoja1" sheetId="33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32" l="1"/>
  <c r="X27" i="32"/>
  <c r="X28" i="32"/>
  <c r="H88" i="17"/>
  <c r="I88" i="17"/>
  <c r="BK88" i="17"/>
  <c r="BL88" i="17"/>
  <c r="H92" i="17"/>
  <c r="I92" i="17"/>
  <c r="BK92" i="17"/>
  <c r="BL92" i="17"/>
  <c r="H93" i="17"/>
  <c r="I93" i="17"/>
  <c r="BK93" i="17"/>
  <c r="BL93" i="17"/>
  <c r="H94" i="17"/>
  <c r="I94" i="17"/>
  <c r="BK94" i="17"/>
  <c r="BL94" i="17"/>
  <c r="H95" i="17"/>
  <c r="I95" i="17"/>
  <c r="BK95" i="17"/>
  <c r="BL95" i="17"/>
  <c r="H96" i="17"/>
  <c r="I96" i="17"/>
  <c r="BK96" i="17"/>
  <c r="BL96" i="17"/>
  <c r="H85" i="17"/>
  <c r="I85" i="17"/>
  <c r="BK85" i="17"/>
  <c r="BL85" i="17"/>
  <c r="H86" i="17"/>
  <c r="I86" i="17"/>
  <c r="BK86" i="17"/>
  <c r="BL86" i="17"/>
  <c r="H87" i="17"/>
  <c r="I87" i="17"/>
  <c r="BK87" i="17"/>
  <c r="BL87" i="17"/>
  <c r="H89" i="17"/>
  <c r="I89" i="17"/>
  <c r="BK89" i="17"/>
  <c r="BL89" i="17"/>
  <c r="H90" i="17"/>
  <c r="I90" i="17"/>
  <c r="BK90" i="17"/>
  <c r="BL90" i="17"/>
  <c r="E9" i="33"/>
  <c r="F9" i="33"/>
  <c r="BH9" i="33"/>
  <c r="BI9" i="33"/>
  <c r="E10" i="33"/>
  <c r="F10" i="33"/>
  <c r="BH10" i="33"/>
  <c r="BI10" i="33"/>
  <c r="E11" i="33"/>
  <c r="F11" i="33"/>
  <c r="BH11" i="33"/>
  <c r="BI11" i="33"/>
  <c r="E12" i="33"/>
  <c r="F12" i="33"/>
  <c r="BH12" i="33"/>
  <c r="BI12" i="33"/>
  <c r="E13" i="33"/>
  <c r="F13" i="33"/>
  <c r="BH13" i="33"/>
  <c r="BI13" i="33"/>
  <c r="E3" i="33"/>
  <c r="F3" i="33"/>
  <c r="BH3" i="33"/>
  <c r="BI3" i="33"/>
  <c r="E4" i="33"/>
  <c r="F4" i="33"/>
  <c r="BH4" i="33"/>
  <c r="BI4" i="33"/>
  <c r="E5" i="33"/>
  <c r="F5" i="33"/>
  <c r="BH5" i="33"/>
  <c r="BI5" i="33"/>
  <c r="E6" i="33"/>
  <c r="F6" i="33"/>
  <c r="BH6" i="33"/>
  <c r="BI6" i="33"/>
  <c r="E7" i="33"/>
  <c r="F7" i="33"/>
  <c r="BH7" i="33"/>
  <c r="BI7" i="33"/>
  <c r="AF28" i="32"/>
  <c r="AE28" i="32"/>
  <c r="AD28" i="32"/>
  <c r="AC28" i="32"/>
  <c r="AB28" i="32"/>
  <c r="AA28" i="32"/>
  <c r="Z28" i="32"/>
  <c r="Y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F27" i="32"/>
  <c r="AE27" i="32"/>
  <c r="AD27" i="32"/>
  <c r="AC27" i="32"/>
  <c r="AB27" i="32"/>
  <c r="AA27" i="32"/>
  <c r="Z27" i="32"/>
  <c r="Y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F26" i="32"/>
  <c r="AF25" i="32" s="1"/>
  <c r="AE26" i="32"/>
  <c r="AD26" i="32"/>
  <c r="AC26" i="32"/>
  <c r="AB26" i="32"/>
  <c r="AA26" i="32"/>
  <c r="Z26" i="32"/>
  <c r="Y26" i="32"/>
  <c r="W26" i="32"/>
  <c r="V26" i="32"/>
  <c r="U26" i="32"/>
  <c r="T26" i="32"/>
  <c r="T25" i="32" s="1"/>
  <c r="S26" i="32"/>
  <c r="R26" i="32"/>
  <c r="R25" i="32" s="1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Z25" i="32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F25" i="31" s="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S25" i="31" s="1"/>
  <c r="R26" i="31"/>
  <c r="R25" i="31" s="1"/>
  <c r="Q26" i="31"/>
  <c r="P26" i="31"/>
  <c r="O26" i="31"/>
  <c r="N26" i="31"/>
  <c r="M26" i="31"/>
  <c r="L26" i="31"/>
  <c r="L25" i="31" s="1"/>
  <c r="K26" i="31"/>
  <c r="J26" i="31"/>
  <c r="I26" i="31"/>
  <c r="H26" i="31"/>
  <c r="G26" i="31"/>
  <c r="G25" i="31" s="1"/>
  <c r="F26" i="31"/>
  <c r="E26" i="31"/>
  <c r="D26" i="31"/>
  <c r="C26" i="31"/>
  <c r="AG25" i="31"/>
  <c r="AA25" i="31"/>
  <c r="Z25" i="31"/>
  <c r="Y25" i="31"/>
  <c r="U25" i="31"/>
  <c r="T25" i="31"/>
  <c r="O25" i="31"/>
  <c r="N25" i="31"/>
  <c r="M25" i="31"/>
  <c r="H25" i="31"/>
  <c r="AF27" i="30"/>
  <c r="AE27" i="30"/>
  <c r="AD27" i="30"/>
  <c r="AC27" i="30"/>
  <c r="AB27" i="30"/>
  <c r="AA27" i="30"/>
  <c r="Z27" i="30"/>
  <c r="Y27" i="30"/>
  <c r="Y24" i="30" s="1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F25" i="30"/>
  <c r="AF24" i="30" s="1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S24" i="30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E24" i="30"/>
  <c r="AD24" i="30"/>
  <c r="AC24" i="30"/>
  <c r="AB24" i="30"/>
  <c r="AA24" i="30"/>
  <c r="Z24" i="30"/>
  <c r="X24" i="30"/>
  <c r="W24" i="30"/>
  <c r="V24" i="30"/>
  <c r="U24" i="30"/>
  <c r="T24" i="30"/>
  <c r="R24" i="30"/>
  <c r="Q24" i="30"/>
  <c r="P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X25" i="32" l="1"/>
  <c r="O25" i="32"/>
  <c r="AC25" i="32"/>
  <c r="AD25" i="32"/>
  <c r="N25" i="32"/>
  <c r="W25" i="32"/>
  <c r="U25" i="32"/>
  <c r="Y25" i="32"/>
  <c r="L25" i="32"/>
  <c r="J25" i="32"/>
  <c r="V25" i="32"/>
  <c r="K25" i="32"/>
  <c r="M25" i="32"/>
  <c r="I25" i="32"/>
  <c r="H25" i="32"/>
  <c r="AE25" i="31"/>
  <c r="AD25" i="31"/>
  <c r="X25" i="31"/>
  <c r="W25" i="31"/>
  <c r="I25" i="31"/>
  <c r="F25" i="31"/>
  <c r="P25" i="32"/>
  <c r="AE25" i="32"/>
  <c r="AA25" i="32"/>
  <c r="AB25" i="32"/>
  <c r="Q25" i="32"/>
  <c r="S25" i="32"/>
  <c r="C25" i="32"/>
  <c r="D25" i="32"/>
  <c r="E25" i="32"/>
  <c r="F25" i="32"/>
  <c r="G25" i="32"/>
  <c r="K25" i="31"/>
  <c r="Q25" i="31"/>
  <c r="AC25" i="31"/>
  <c r="D25" i="31"/>
  <c r="J25" i="31"/>
  <c r="P25" i="31"/>
  <c r="V25" i="31"/>
  <c r="AB25" i="31"/>
  <c r="O24" i="30"/>
  <c r="E15" i="33"/>
  <c r="E16" i="33"/>
  <c r="H98" i="17"/>
  <c r="H99" i="17"/>
  <c r="C25" i="31"/>
  <c r="E25" i="31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4" i="23"/>
  <c r="D24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G24" i="23"/>
  <c r="C25" i="23"/>
  <c r="D25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G25" i="23"/>
  <c r="C26" i="23"/>
  <c r="D26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G26" i="23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3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3" i="23"/>
  <c r="M23" i="23"/>
  <c r="AE23" i="23"/>
  <c r="R23" i="23"/>
  <c r="K23" i="23"/>
  <c r="W23" i="23"/>
  <c r="J23" i="23"/>
  <c r="AG23" i="23"/>
  <c r="U23" i="23"/>
  <c r="I23" i="23"/>
  <c r="S23" i="23"/>
  <c r="V23" i="23"/>
  <c r="AD23" i="23"/>
  <c r="Z23" i="23"/>
  <c r="N23" i="23"/>
  <c r="Y23" i="23"/>
  <c r="E23" i="23"/>
  <c r="D23" i="23"/>
  <c r="G23" i="23"/>
  <c r="C23" i="23"/>
  <c r="F23" i="23"/>
  <c r="O23" i="23"/>
  <c r="AC23" i="23"/>
  <c r="AB23" i="23"/>
  <c r="P23" i="23"/>
  <c r="AA23" i="23"/>
  <c r="Q23" i="23"/>
  <c r="AF23" i="23"/>
  <c r="T23" i="23"/>
  <c r="H23" i="23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H28" i="17"/>
  <c r="I28" i="17" s="1"/>
  <c r="E24" i="14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I19" i="17" s="1"/>
  <c r="H18" i="17"/>
  <c r="I18" i="17" s="1"/>
  <c r="H17" i="17"/>
  <c r="I17" i="17" s="1"/>
  <c r="H12" i="17"/>
  <c r="I12" i="17" s="1"/>
  <c r="H14" i="17"/>
  <c r="I14" i="17" s="1"/>
  <c r="H16" i="17"/>
  <c r="I16" i="17" s="1"/>
  <c r="H13" i="17"/>
  <c r="I13" i="17" s="1"/>
  <c r="H11" i="17"/>
  <c r="I11" i="17" s="1"/>
  <c r="H10" i="17"/>
  <c r="I10" i="17" s="1"/>
  <c r="H20" i="17"/>
  <c r="I20" i="17" s="1"/>
  <c r="H37" i="17"/>
  <c r="I37" i="17" s="1"/>
  <c r="H31" i="17"/>
  <c r="I31" i="17" s="1"/>
  <c r="H35" i="17"/>
  <c r="I35" i="17" s="1"/>
  <c r="H34" i="17"/>
  <c r="I34" i="17" s="1"/>
  <c r="H30" i="17"/>
  <c r="I30" i="17" s="1"/>
  <c r="H29" i="17"/>
  <c r="I29" i="17" s="1"/>
  <c r="H32" i="17"/>
  <c r="I32" i="17" s="1"/>
  <c r="H36" i="17"/>
  <c r="I36" i="17" s="1"/>
  <c r="H38" i="17"/>
  <c r="I38" i="17" s="1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I74" i="17" l="1"/>
  <c r="K74" i="17" s="1"/>
  <c r="AE22" i="15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</t>
      </text>
    </comment>
    <comment ref="AB6" authorId="1" shapeId="0" xr:uid="{32F81BC9-05B3-41DD-87AB-020559C47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Tener en cuenta cambio horario
</t>
      </text>
    </comment>
    <comment ref="AA13" authorId="2" shapeId="0" xr:uid="{A38EE8CA-7E5B-4089-800E-3E4712793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[Threaded comment]
Your version of Excel allows you to read this threaded comment; however, any edits to it will get removed if the file is opened in a newer version of Excel. Learn more: https://go.microsoft.com/fwlink/?linkid=870924
Comment:
    Médico a primera hora.</t>
      </text>
    </comment>
    <comment ref="AB20" authorId="1" shapeId="0" xr:uid="{E952243D-2C5F-488D-AE16-22AAF78AE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Preparacion para prueba medica del dia siguiente</t>
      </text>
    </comment>
    <comment ref="E20" authorId="1" shapeId="0" xr:uid="{4E3C475F-E43B-4DAE-803E-C501BE1E3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 MEDICA A 1º HORA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AC18" authorId="0" shapeId="0" xr:uid="{E6985B6C-66A6-49D2-850E-A3683A2EF84B}">
      <text>
        <r>
          <rPr>
            <sz val="11"/>
            <color theme="1"/>
            <rFont val="Aptos Narrow"/>
            <family val="2"/>
            <scheme val="minor"/>
          </rPr>
          <t>Benitez Gonzalez Inmaculada:
Gabriel</t>
        </r>
      </text>
    </comment>
    <comment ref="AD18" authorId="0" shapeId="0" xr:uid="{893CE274-2383-422A-B221-32319980D51B}">
      <text>
        <r>
          <rPr>
            <sz val="11"/>
            <color theme="1"/>
            <rFont val="Aptos Narrow"/>
            <family val="2"/>
            <scheme val="minor"/>
          </rPr>
          <t xml:space="preserve">Benitez Gonzalez Inmaculada:
Gabriel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Muñoz Valle Adrian</author>
    <author>Benitez Gonzalez Inmaculada</author>
  </authors>
  <commentList>
    <comment ref="E19" authorId="0" shapeId="0" xr:uid="{F3EA61B9-9902-4C89-9BCB-788946D08F72}">
      <text>
        <r>
          <rPr>
            <sz val="11"/>
            <color theme="1"/>
            <rFont val="Aptos Narrow"/>
            <family val="2"/>
            <scheme val="minor"/>
          </rPr>
          <t>Muñoz Valle Adrian:
Medico</t>
        </r>
      </text>
    </comment>
    <comment ref="X19" authorId="1" shapeId="0" xr:uid="{D46B916F-918F-4B5F-9FFF-AC5FB38DCA78}">
      <text>
        <r>
          <rPr>
            <sz val="11"/>
            <color theme="1"/>
            <rFont val="Aptos Narrow"/>
            <family val="2"/>
            <scheme val="minor"/>
          </rPr>
          <t>Benitez Gonzalez Inmaculada:
Medico Adri</t>
        </r>
      </text>
    </comment>
  </commentList>
</comments>
</file>

<file path=xl/sharedStrings.xml><?xml version="1.0" encoding="utf-8"?>
<sst xmlns="http://schemas.openxmlformats.org/spreadsheetml/2006/main" count="11563" uniqueCount="196">
  <si>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</si>
  <si>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</si>
  <si>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</si>
  <si>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</si>
  <si>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</si>
  <si>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</si>
  <si>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</si>
  <si>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</si>
  <si>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</si>
  <si>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</si>
  <si>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</si>
  <si>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</si>
  <si>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</si>
  <si>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</si>
  <si>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</si>
  <si>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</si>
  <si>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</si>
  <si>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</si>
  <si>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</si>
  <si>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</si>
  <si>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</si>
  <si>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</si>
  <si>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</si>
  <si>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</si>
  <si>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</si>
  <si>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</si>
  <si>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</si>
  <si>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</si>
  <si>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</si>
  <si>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</si>
  <si>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</si>
  <si>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</si>
  <si>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</si>
  <si>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</si>
  <si>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</si>
  <si>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</si>
  <si>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</si>
  <si>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</si>
  <si>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</si>
  <si>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</si>
  <si>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</si>
  <si>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</si>
  <si>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</si>
  <si>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</si>
  <si>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</si>
  <si>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</si>
  <si>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</si>
  <si>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</si>
  <si>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</si>
  <si>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</si>
  <si>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</si>
  <si>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</si>
  <si>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</si>
  <si>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</si>
  <si>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</si>
  <si>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</si>
  <si>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</si>
  <si>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</si>
  <si>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</si>
  <si>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</si>
  <si>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</si>
  <si>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</si>
  <si>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</si>
  <si>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</si>
  <si>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</si>
  <si>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</si>
  <si>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</si>
  <si>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</si>
  <si>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</si>
  <si>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</si>
  <si>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</si>
  <si>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</si>
  <si>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</si>
  <si>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</si>
  <si>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</si>
  <si>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</si>
  <si>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</si>
  <si>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</si>
  <si>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</si>
  <si>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</si>
  <si>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</si>
  <si>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</si>
  <si>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</si>
  <si>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</si>
  <si>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</si>
  <si>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</si>
  <si>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</si>
  <si>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</si>
  <si>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</si>
  <si>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</si>
  <si>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</si>
  <si>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</si>
  <si>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</si>
  <si>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</si>
  <si>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</si>
  <si>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</si>
  <si>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</si>
  <si>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ABRIL</t>
  </si>
  <si>
    <t>Erik</t>
  </si>
  <si>
    <t>p,</t>
  </si>
  <si>
    <t>Hector  Contreras</t>
  </si>
  <si>
    <t>Jared Orta</t>
  </si>
  <si>
    <t>Cesar</t>
  </si>
  <si>
    <t>ENERO</t>
  </si>
  <si>
    <t>FEBRERO</t>
  </si>
  <si>
    <t>x</t>
  </si>
  <si>
    <t xml:space="preserve">Jared Orta/Cesar  </t>
  </si>
  <si>
    <t>V/G</t>
  </si>
  <si>
    <t>?</t>
  </si>
  <si>
    <t>Marzo</t>
  </si>
  <si>
    <t>Erik Castillo</t>
  </si>
  <si>
    <t>Mayo</t>
  </si>
  <si>
    <t>Edgar Rendon Soto</t>
  </si>
  <si>
    <t>Junio</t>
  </si>
  <si>
    <t>Alvaro  Cerrato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</si>
  <si>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</si>
  <si>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</si>
  <si>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</si>
  <si>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</si>
  <si>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</si>
  <si>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</si>
  <si>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</si>
  <si>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</si>
  <si>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</si>
  <si>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</si>
  <si>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</si>
  <si>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</si>
  <si>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</si>
  <si>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</si>
  <si>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</si>
  <si>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</si>
  <si>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</si>
  <si>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</si>
  <si>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</si>
  <si>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</si>
  <si>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</si>
  <si>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</si>
  <si>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</si>
  <si>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</si>
  <si>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</si>
  <si>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</si>
  <si>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</si>
  <si>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</si>
  <si>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</si>
  <si>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</si>
  <si>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</si>
  <si>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</si>
  <si>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</si>
  <si>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</si>
  <si>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</si>
  <si>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</si>
  <si>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</si>
  <si>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</si>
  <si>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</si>
  <si>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</si>
  <si>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</si>
  <si>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</si>
  <si>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</si>
  <si>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</si>
  <si>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</si>
  <si>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</si>
  <si>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</si>
  <si>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</si>
  <si>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</si>
  <si>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</si>
  <si>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</si>
  <si>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</si>
  <si>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</si>
  <si>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</si>
  <si>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</si>
  <si>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</si>
  <si>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</si>
  <si>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</si>
  <si>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</si>
  <si>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</si>
  <si>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</si>
  <si>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</si>
  <si>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</si>
  <si>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</si>
  <si>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</si>
  <si>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</si>
  <si>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</si>
  <si>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</si>
  <si>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</si>
  <si>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</si>
  <si>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</si>
  <si>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</si>
  <si>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</si>
  <si>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</si>
  <si>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</si>
  <si>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</si>
  <si>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</si>
  <si>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</si>
  <si>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</si>
  <si>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>T1 - N</t>
  </si>
  <si>
    <t>T2 -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</si>
</sst>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</fonts>
  <fills count="4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18" borderId="20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18" borderId="21" xfId="0" applyFont="1" applyFill="1" applyBorder="1" applyAlignment="1">
      <alignment horizontal="center"/>
    </xf>
    <xf numFmtId="0" fontId="4" fillId="39" borderId="20" xfId="0" applyFont="1" applyFill="1" applyBorder="1" applyAlignment="1">
      <alignment horizontal="left" vertical="center"/>
    </xf>
    <xf numFmtId="0" fontId="11" fillId="18" borderId="19" xfId="0" applyFont="1" applyFill="1" applyBorder="1" applyAlignment="1">
      <alignment horizontal="center"/>
    </xf>
    <xf numFmtId="0" fontId="22" fillId="35" borderId="19" xfId="0" applyFont="1" applyFill="1" applyBorder="1" applyAlignment="1">
      <alignment horizontal="center"/>
    </xf>
    <xf numFmtId="0" fontId="10" fillId="18" borderId="19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9292E7-8475-4996-BF31-5BF80291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8019F-6B52-47E4-BBAE-44C551192AC0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50C2F4-FF73-4940-AADE-E7E4868B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93EB1-FA1B-4CDF-8019-B8BD01C9624E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52DAC7-CC89-405B-BA91-1FA10BDD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B48D93-250D-497D-8F0A-C54669A97183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  <xdr:oneCellAnchor>
    <xdr:from>
      <xdr:col>7</xdr:col>
      <xdr:colOff>0</xdr:colOff>
      <xdr:row>81</xdr:row>
      <xdr:rowOff>47625</xdr:rowOff>
    </xdr:from>
    <xdr:ext cx="2947858" cy="342851"/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D56BA37E-49A2-4564-A55F-82F60E9C96B7}"/>
            </a:ext>
            <a:ext uri="{147F2762-F138-4A5C-976F-8EAC2B608ADB}">
              <a16:predDERef xmlns:a16="http://schemas.microsoft.com/office/drawing/2014/main" pred="{0B918E7F-AC50-43D3-A8FB-D6DD1F08AB34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6D4C8B8-9E46-4150-8D2B-31727BE1FE22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pane="topRight" activeCell="H8" sqref="H8"/>
      <selection activeCell="A5" sqref="A5"/>
    </sheetView>
  </sheetViews>
  <sheetFormatPr defaultColWidth="0" defaultRowHeight="0" customHeight="1" zeroHeight="1"/>
  <cols>
    <col min="1" max="1" width="10.140625" style="6" bestFit="1" customWidth="1"/>
    <col min="2" max="2" width="3.85546875" style="6" customWidth="1"/>
    <col min="3" max="3" width="6.42578125" style="6" bestFit="1" customWidth="1"/>
    <col min="4" max="4" width="22.140625" style="31" bestFit="1" customWidth="1"/>
    <col min="5" max="35" width="4.5703125" style="6" customWidth="1"/>
    <col min="36" max="36" width="4" style="93" bestFit="1" customWidth="1"/>
    <col min="37" max="16384" width="0" style="6" hidden="1"/>
  </cols>
  <sheetData>
    <row r="1" spans="1:36" ht="18" customHeight="1"/>
    <row r="2" spans="1:36" ht="24" customHeight="1">
      <c r="D2" s="171"/>
      <c r="E2" s="177" t="s">
        <v>0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9"/>
    </row>
    <row r="3" spans="1:36" ht="18" customHeight="1">
      <c r="B3" s="32"/>
      <c r="D3" s="171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>
      <c r="D4" s="171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>
      <c r="A5" s="180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>
      <c r="A6" s="181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>
      <c r="A7" s="181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>
      <c r="A8" s="181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>
      <c r="A9" s="181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>
      <c r="A10" s="181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>
      <c r="A11" s="181"/>
      <c r="C11" s="34"/>
      <c r="D11" s="36"/>
      <c r="E11" s="186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8"/>
      <c r="AJ11" s="91"/>
    </row>
    <row r="12" spans="1:36" ht="18" customHeight="1">
      <c r="A12" s="181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>
      <c r="A13" s="181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>
      <c r="A14" s="181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>
      <c r="A15" s="181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>
      <c r="A16" s="181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>
      <c r="A17" s="181"/>
      <c r="C17" s="34"/>
      <c r="D17" s="33"/>
      <c r="E17" s="186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8"/>
    </row>
    <row r="18" spans="1:36" ht="18" customHeight="1">
      <c r="A18" s="181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>
      <c r="A19" s="181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>
      <c r="A20" s="181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>
      <c r="A21" s="181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>
      <c r="A22" s="181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>
      <c r="A23" s="181"/>
      <c r="C23" s="34"/>
      <c r="D23" s="35"/>
      <c r="E23" s="183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5"/>
    </row>
    <row r="24" spans="1:36" ht="18" customHeight="1">
      <c r="A24" s="182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/>
    <row r="27" spans="1:36" ht="18" customHeight="1">
      <c r="A27" s="174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>
      <c r="A28" s="175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>
      <c r="A29" s="175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>
      <c r="A30" s="175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>
      <c r="A31" s="175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>
      <c r="A32" s="176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defaultColWidth="8.5703125" defaultRowHeight="15"/>
  <cols>
    <col min="1" max="1" width="10.140625" bestFit="1" customWidth="1"/>
    <col min="2" max="2" width="3.85546875" customWidth="1"/>
    <col min="3" max="3" width="6.42578125" bestFit="1" customWidth="1"/>
    <col min="4" max="4" width="27.5703125" customWidth="1"/>
    <col min="5" max="35" width="4.5703125" customWidth="1"/>
    <col min="36" max="36" width="4" bestFit="1" customWidth="1"/>
  </cols>
  <sheetData>
    <row r="1" spans="1:36" ht="15.75" thickBot="1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.75" thickBot="1">
      <c r="A2" s="6"/>
      <c r="B2" s="6"/>
      <c r="C2" s="6"/>
      <c r="D2" s="171"/>
      <c r="E2" s="177" t="s">
        <v>49</v>
      </c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9"/>
    </row>
    <row r="3" spans="1:36">
      <c r="A3" s="6"/>
      <c r="B3" s="32"/>
      <c r="C3" s="6"/>
      <c r="D3" s="171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>
      <c r="A4" s="6"/>
      <c r="B4" s="6"/>
      <c r="C4" s="6"/>
      <c r="D4" s="171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>
      <c r="A5" s="181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>
      <c r="A6" s="181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>
      <c r="A7" s="181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>
      <c r="A8" s="181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>
      <c r="A9" s="181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>
      <c r="A10" s="181"/>
      <c r="B10" s="6"/>
      <c r="C10" s="34"/>
      <c r="D10" s="36"/>
      <c r="E10" s="186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8"/>
    </row>
    <row r="11" spans="1:36">
      <c r="A11" s="181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>
      <c r="A12" s="181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.75" thickBot="1">
      <c r="A13" s="181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.75" thickBot="1">
      <c r="A14" s="181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>
      <c r="A15" s="181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>
      <c r="A16" s="181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>
      <c r="A17" s="181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>
      <c r="A18" s="181"/>
      <c r="B18" s="6"/>
      <c r="C18" s="34"/>
      <c r="D18" s="33"/>
      <c r="E18" s="186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8"/>
    </row>
    <row r="19" spans="1:35">
      <c r="A19" s="181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>
      <c r="A20" s="181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>
      <c r="A21" s="181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>
      <c r="A22" s="181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>
      <c r="A23" s="181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>
      <c r="A24" s="181"/>
      <c r="B24" s="6"/>
      <c r="C24" s="34"/>
      <c r="E24" s="183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5"/>
    </row>
    <row r="25" spans="1:35" ht="15.75" thickBot="1">
      <c r="A25" s="182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.75" thickBot="1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85" customHeight="1">
      <c r="A28" s="174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85" customHeight="1">
      <c r="A29" s="175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85" customHeight="1">
      <c r="A30" s="175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85" customHeight="1">
      <c r="A31" s="175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>
      <c r="A32" s="175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.75" thickBot="1">
      <c r="A33" s="176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defaultColWidth="8.5703125" defaultRowHeight="15"/>
  <cols>
    <col min="2" max="2" width="25.5703125" customWidth="1"/>
    <col min="3" max="32" width="4.5703125" customWidth="1"/>
    <col min="33" max="33" width="4" style="91" bestFit="1" customWidth="1"/>
  </cols>
  <sheetData>
    <row r="1" spans="1:33" ht="15" customHeight="1">
      <c r="A1" s="6"/>
      <c r="B1" s="171"/>
      <c r="C1" s="177" t="s">
        <v>57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</row>
    <row r="2" spans="1:33">
      <c r="A2" s="6"/>
      <c r="B2" s="171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>
      <c r="A9" s="34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</row>
    <row r="10" spans="1:33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>
      <c r="A15" s="34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 spans="1:33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>
      <c r="A19" s="34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</row>
    <row r="20" spans="1:32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>
      <c r="A21" s="34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</row>
    <row r="22" spans="1:32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75</v>
      </c>
    </row>
    <row r="35" spans="2:2">
      <c r="B35" s="28" t="s">
        <v>76</v>
      </c>
    </row>
    <row r="36" spans="2:2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AC6" sqref="AC6"/>
    </sheetView>
  </sheetViews>
  <sheetFormatPr defaultColWidth="8.570312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15" customHeight="1">
      <c r="A1" s="6"/>
      <c r="B1" s="171"/>
      <c r="C1" s="189" t="s">
        <v>78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1"/>
    </row>
    <row r="2" spans="1:34">
      <c r="A2" s="6"/>
      <c r="B2" s="171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>
      <c r="A15" s="34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 spans="1:34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>
      <c r="AA20" s="86" t="s">
        <v>79</v>
      </c>
      <c r="AB20" s="86"/>
      <c r="AC20" s="86"/>
      <c r="AD20" s="86"/>
      <c r="AE20" s="86"/>
    </row>
    <row r="23" spans="1:33">
      <c r="B23" t="s">
        <v>65</v>
      </c>
    </row>
    <row r="24" spans="1:33">
      <c r="B24" s="5" t="s">
        <v>66</v>
      </c>
    </row>
    <row r="25" spans="1:33">
      <c r="B25" s="5" t="s">
        <v>67</v>
      </c>
    </row>
    <row r="26" spans="1:33">
      <c r="B26" s="1" t="s">
        <v>68</v>
      </c>
    </row>
    <row r="27" spans="1:33">
      <c r="B27" s="7" t="s">
        <v>69</v>
      </c>
    </row>
    <row r="28" spans="1:33">
      <c r="B28" s="3" t="s">
        <v>70</v>
      </c>
    </row>
    <row r="29" spans="1:33">
      <c r="B29" s="5" t="s">
        <v>71</v>
      </c>
    </row>
    <row r="30" spans="1:33">
      <c r="B30" s="3" t="s">
        <v>72</v>
      </c>
    </row>
    <row r="31" spans="1:33">
      <c r="B31" s="4" t="s">
        <v>73</v>
      </c>
    </row>
    <row r="32" spans="1:33">
      <c r="B32" s="25" t="s">
        <v>74</v>
      </c>
    </row>
    <row r="33" spans="2:2">
      <c r="B33" s="4" t="s">
        <v>80</v>
      </c>
    </row>
    <row r="34" spans="2:2">
      <c r="B34" s="28" t="s">
        <v>76</v>
      </c>
    </row>
    <row r="35" spans="2:2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defaultColWidth="8.85546875" defaultRowHeight="15"/>
  <cols>
    <col min="2" max="2" width="25.85546875" customWidth="1"/>
    <col min="3" max="32" width="4.5703125" customWidth="1"/>
    <col min="33" max="33" width="4" style="91" bestFit="1" customWidth="1"/>
  </cols>
  <sheetData>
    <row r="1" spans="1:34">
      <c r="A1" s="6"/>
      <c r="B1" s="171"/>
      <c r="C1" s="192" t="s">
        <v>81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</row>
    <row r="2" spans="1:34">
      <c r="A2" s="6"/>
      <c r="B2" s="171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>
      <c r="B25" t="s">
        <v>65</v>
      </c>
    </row>
    <row r="26" spans="1:32">
      <c r="B26" s="5" t="s">
        <v>66</v>
      </c>
    </row>
    <row r="27" spans="1:32">
      <c r="B27" s="5" t="s">
        <v>67</v>
      </c>
    </row>
    <row r="28" spans="1:32">
      <c r="B28" s="1" t="s">
        <v>68</v>
      </c>
    </row>
    <row r="29" spans="1:32">
      <c r="B29" s="7" t="s">
        <v>69</v>
      </c>
    </row>
    <row r="30" spans="1:32">
      <c r="B30" s="3" t="s">
        <v>70</v>
      </c>
    </row>
    <row r="31" spans="1:32">
      <c r="B31" s="5" t="s">
        <v>71</v>
      </c>
    </row>
    <row r="32" spans="1:32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  <row r="38" spans="2:2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topLeftCell="A11" workbookViewId="0">
      <selection activeCell="C19" sqref="C19"/>
    </sheetView>
  </sheetViews>
  <sheetFormatPr defaultColWidth="8.85546875" defaultRowHeight="15"/>
  <cols>
    <col min="2" max="2" width="31.140625" customWidth="1"/>
    <col min="3" max="33" width="4.5703125" customWidth="1"/>
    <col min="34" max="34" width="8.85546875" style="91" customWidth="1"/>
  </cols>
  <sheetData>
    <row r="1" spans="1:37" ht="15" customHeight="1">
      <c r="A1" s="6"/>
      <c r="B1" s="171"/>
      <c r="C1" s="192" t="s">
        <v>95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7">
      <c r="A2" s="6"/>
      <c r="B2" s="171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>
      <c r="B26" t="s">
        <v>65</v>
      </c>
    </row>
    <row r="27" spans="1:33">
      <c r="B27" s="5" t="s">
        <v>66</v>
      </c>
    </row>
    <row r="28" spans="1:33">
      <c r="B28" s="5" t="s">
        <v>67</v>
      </c>
    </row>
    <row r="29" spans="1:33">
      <c r="B29" s="1" t="s">
        <v>68</v>
      </c>
    </row>
    <row r="30" spans="1:33">
      <c r="B30" s="7" t="s">
        <v>69</v>
      </c>
    </row>
    <row r="31" spans="1:33">
      <c r="B31" s="3" t="s">
        <v>70</v>
      </c>
    </row>
    <row r="32" spans="1:33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F06B-7A72-4B92-A78A-A30E4A816CDF}">
  <dimension ref="A1:AG41"/>
  <sheetViews>
    <sheetView workbookViewId="0">
      <selection activeCell="M6" sqref="M6"/>
    </sheetView>
  </sheetViews>
  <sheetFormatPr defaultColWidth="8.85546875" defaultRowHeight="1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1"/>
      <c r="C1" s="172" t="s">
        <v>97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</row>
    <row r="2" spans="1:33">
      <c r="A2" s="6"/>
      <c r="B2" s="171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98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109" t="s">
        <v>4</v>
      </c>
      <c r="Z4" s="28" t="s">
        <v>7</v>
      </c>
      <c r="AA4" s="28" t="s">
        <v>7</v>
      </c>
      <c r="AB4" s="28" t="s">
        <v>7</v>
      </c>
      <c r="AC4" s="7" t="s">
        <v>20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109" t="s">
        <v>4</v>
      </c>
      <c r="AG5"/>
    </row>
    <row r="6" spans="1:33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>
        <v>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109" t="s">
        <v>99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5" t="s">
        <v>14</v>
      </c>
      <c r="AD6" s="5" t="s">
        <v>14</v>
      </c>
      <c r="AE6" s="5" t="s">
        <v>14</v>
      </c>
      <c r="AF6" s="5" t="s">
        <v>14</v>
      </c>
      <c r="AG6"/>
    </row>
    <row r="7" spans="1:33">
      <c r="AG7"/>
    </row>
    <row r="8" spans="1:33">
      <c r="A8" s="34" t="s">
        <v>12</v>
      </c>
      <c r="B8" s="33" t="s">
        <v>100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28" t="s">
        <v>7</v>
      </c>
      <c r="AB8" s="28" t="s">
        <v>7</v>
      </c>
      <c r="AC8" s="118" t="s">
        <v>83</v>
      </c>
      <c r="AD8" s="118" t="s">
        <v>83</v>
      </c>
      <c r="AE8" s="118" t="s">
        <v>83</v>
      </c>
      <c r="AF8" s="118" t="s">
        <v>83</v>
      </c>
      <c r="AG8"/>
    </row>
    <row r="9" spans="1:33">
      <c r="A9" s="34"/>
      <c r="AG9"/>
    </row>
    <row r="10" spans="1:33">
      <c r="A10" s="34" t="s">
        <v>12</v>
      </c>
      <c r="B10" s="33" t="s">
        <v>101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15</v>
      </c>
      <c r="N10" s="5" t="s">
        <v>15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5" t="s">
        <v>20</v>
      </c>
      <c r="W10" s="125" t="s">
        <v>20</v>
      </c>
      <c r="X10" s="125" t="s">
        <v>20</v>
      </c>
      <c r="Y10" s="125" t="s">
        <v>20</v>
      </c>
      <c r="Z10" s="125" t="s">
        <v>20</v>
      </c>
      <c r="AA10" s="124" t="s">
        <v>7</v>
      </c>
      <c r="AB10" s="124" t="s">
        <v>7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/>
    </row>
    <row r="11" spans="1:33">
      <c r="A11" s="34" t="s">
        <v>12</v>
      </c>
      <c r="B11" s="33" t="s">
        <v>53</v>
      </c>
      <c r="C11" s="130" t="s">
        <v>16</v>
      </c>
      <c r="D11" s="130" t="s">
        <v>16</v>
      </c>
      <c r="E11" s="130" t="s">
        <v>16</v>
      </c>
      <c r="F11" s="130" t="s">
        <v>17</v>
      </c>
      <c r="G11" s="130" t="s">
        <v>17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5" t="s">
        <v>14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15</v>
      </c>
      <c r="U11" s="5" t="s">
        <v>15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5" t="s">
        <v>20</v>
      </c>
      <c r="AD11" s="125" t="s">
        <v>20</v>
      </c>
      <c r="AE11" s="125" t="s">
        <v>20</v>
      </c>
      <c r="AF11" s="125" t="s">
        <v>20</v>
      </c>
      <c r="AG11"/>
    </row>
    <row r="12" spans="1:33">
      <c r="A12" s="34" t="s">
        <v>12</v>
      </c>
      <c r="B12" s="33" t="s">
        <v>24</v>
      </c>
      <c r="C12" s="125" t="s">
        <v>20</v>
      </c>
      <c r="D12" s="125" t="s">
        <v>20</v>
      </c>
      <c r="E12" s="125" t="s">
        <v>20</v>
      </c>
      <c r="F12" s="124" t="s">
        <v>7</v>
      </c>
      <c r="G12" s="124" t="s">
        <v>7</v>
      </c>
      <c r="H12" s="130" t="s">
        <v>16</v>
      </c>
      <c r="I12" s="130" t="s">
        <v>16</v>
      </c>
      <c r="J12" s="130" t="s">
        <v>16</v>
      </c>
      <c r="K12" s="130" t="s">
        <v>16</v>
      </c>
      <c r="L12" s="130" t="s">
        <v>16</v>
      </c>
      <c r="M12" s="130" t="s">
        <v>17</v>
      </c>
      <c r="N12" s="130" t="s">
        <v>17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5" t="s">
        <v>14</v>
      </c>
      <c r="W12" s="5" t="s">
        <v>14</v>
      </c>
      <c r="X12" s="5" t="s">
        <v>14</v>
      </c>
      <c r="Y12" s="5" t="s">
        <v>14</v>
      </c>
      <c r="Z12" s="5" t="s">
        <v>14</v>
      </c>
      <c r="AA12" s="5" t="s">
        <v>15</v>
      </c>
      <c r="AB12" s="5" t="s">
        <v>15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5" t="s">
        <v>20</v>
      </c>
      <c r="I13" s="125" t="s">
        <v>20</v>
      </c>
      <c r="J13" s="125" t="s">
        <v>20</v>
      </c>
      <c r="K13" s="125" t="s">
        <v>20</v>
      </c>
      <c r="L13" s="125" t="s">
        <v>20</v>
      </c>
      <c r="M13" s="124" t="s">
        <v>7</v>
      </c>
      <c r="N13" s="124" t="s">
        <v>7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16</v>
      </c>
      <c r="T13" s="130" t="s">
        <v>17</v>
      </c>
      <c r="U13" s="130" t="s">
        <v>17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5" t="s">
        <v>14</v>
      </c>
      <c r="AD13" s="5" t="s">
        <v>14</v>
      </c>
      <c r="AE13" s="5" t="s">
        <v>14</v>
      </c>
      <c r="AF13" s="5" t="s">
        <v>14</v>
      </c>
      <c r="AG13"/>
    </row>
    <row r="14" spans="1:33">
      <c r="A14" s="34" t="s">
        <v>12</v>
      </c>
      <c r="B14" s="33" t="s">
        <v>102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124" t="s">
        <v>7</v>
      </c>
      <c r="U14" s="124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130" t="s">
        <v>17</v>
      </c>
      <c r="AB14" s="130" t="s">
        <v>17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>
      <c r="A15" s="34"/>
      <c r="B15" s="33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/>
    </row>
    <row r="16" spans="1:33">
      <c r="A16" s="34" t="s">
        <v>12</v>
      </c>
      <c r="B16" s="33" t="s">
        <v>21</v>
      </c>
      <c r="C16" s="28" t="s">
        <v>7</v>
      </c>
      <c r="D16" s="5" t="s">
        <v>14</v>
      </c>
      <c r="E16" s="5" t="s">
        <v>14</v>
      </c>
      <c r="F16" s="5" t="s">
        <v>15</v>
      </c>
      <c r="G16" s="5" t="s">
        <v>15</v>
      </c>
      <c r="H16" s="28" t="s">
        <v>7</v>
      </c>
      <c r="I16" s="28" t="s">
        <v>7</v>
      </c>
      <c r="J16" s="28" t="s">
        <v>7</v>
      </c>
      <c r="K16" s="28" t="s">
        <v>7</v>
      </c>
      <c r="L16" s="109" t="s">
        <v>4</v>
      </c>
      <c r="M16" s="28" t="s">
        <v>7</v>
      </c>
      <c r="N16" s="28" t="s">
        <v>7</v>
      </c>
      <c r="O16" s="130" t="s">
        <v>16</v>
      </c>
      <c r="P16" s="130" t="s">
        <v>16</v>
      </c>
      <c r="Q16" s="130" t="s">
        <v>16</v>
      </c>
      <c r="R16" s="130" t="s">
        <v>16</v>
      </c>
      <c r="S16" s="130" t="s">
        <v>16</v>
      </c>
      <c r="T16" s="130" t="s">
        <v>17</v>
      </c>
      <c r="U16" s="130" t="s">
        <v>17</v>
      </c>
      <c r="V16" s="28" t="s">
        <v>7</v>
      </c>
      <c r="W16" s="28" t="s">
        <v>7</v>
      </c>
      <c r="X16" s="28" t="s">
        <v>7</v>
      </c>
      <c r="Y16" s="28" t="s">
        <v>7</v>
      </c>
      <c r="Z16" s="109" t="s">
        <v>4</v>
      </c>
      <c r="AA16" s="28" t="s">
        <v>7</v>
      </c>
      <c r="AB16" s="28" t="s">
        <v>7</v>
      </c>
      <c r="AC16" s="130" t="s">
        <v>16</v>
      </c>
      <c r="AD16" s="130" t="s">
        <v>16</v>
      </c>
      <c r="AE16" s="130" t="s">
        <v>16</v>
      </c>
      <c r="AF16" s="130" t="s">
        <v>16</v>
      </c>
      <c r="AG16"/>
    </row>
    <row r="17" spans="1:33">
      <c r="A17" s="34" t="s">
        <v>12</v>
      </c>
      <c r="B17" s="33" t="s">
        <v>22</v>
      </c>
      <c r="C17" s="1" t="s">
        <v>14</v>
      </c>
      <c r="D17" s="109" t="s">
        <v>4</v>
      </c>
      <c r="E17" s="28" t="s">
        <v>7</v>
      </c>
      <c r="F17" s="28" t="s">
        <v>7</v>
      </c>
      <c r="G17" s="28" t="s">
        <v>7</v>
      </c>
      <c r="H17" s="130" t="s">
        <v>16</v>
      </c>
      <c r="I17" s="130" t="s">
        <v>16</v>
      </c>
      <c r="J17" s="130" t="s">
        <v>16</v>
      </c>
      <c r="K17" s="130" t="s">
        <v>16</v>
      </c>
      <c r="L17" s="130" t="s">
        <v>16</v>
      </c>
      <c r="M17" s="130" t="s">
        <v>17</v>
      </c>
      <c r="N17" s="130" t="s">
        <v>17</v>
      </c>
      <c r="O17" s="28" t="s">
        <v>7</v>
      </c>
      <c r="P17" s="28" t="s">
        <v>7</v>
      </c>
      <c r="Q17" s="28" t="s">
        <v>7</v>
      </c>
      <c r="R17" s="28" t="s">
        <v>7</v>
      </c>
      <c r="S17" s="109" t="s">
        <v>4</v>
      </c>
      <c r="T17" s="28" t="s">
        <v>7</v>
      </c>
      <c r="U17" s="28" t="s">
        <v>7</v>
      </c>
      <c r="V17" s="130" t="s">
        <v>16</v>
      </c>
      <c r="W17" s="130" t="s">
        <v>16</v>
      </c>
      <c r="X17" s="130" t="s">
        <v>16</v>
      </c>
      <c r="Y17" s="130" t="s">
        <v>16</v>
      </c>
      <c r="Z17" s="130" t="s">
        <v>16</v>
      </c>
      <c r="AA17" s="130" t="s">
        <v>17</v>
      </c>
      <c r="AB17" s="130" t="s">
        <v>17</v>
      </c>
      <c r="AC17" s="28" t="s">
        <v>7</v>
      </c>
      <c r="AD17" s="28" t="s">
        <v>7</v>
      </c>
      <c r="AE17" s="28" t="s">
        <v>7</v>
      </c>
      <c r="AF17" s="28" t="s">
        <v>7</v>
      </c>
      <c r="AG17"/>
    </row>
    <row r="18" spans="1:33">
      <c r="AG18"/>
    </row>
    <row r="19" spans="1:33">
      <c r="AG19"/>
    </row>
    <row r="20" spans="1:33">
      <c r="A20" s="34" t="s">
        <v>28</v>
      </c>
      <c r="B20" s="37" t="s">
        <v>29</v>
      </c>
      <c r="C20" s="160" t="s">
        <v>11</v>
      </c>
      <c r="D20" s="28" t="s">
        <v>7</v>
      </c>
      <c r="E20" s="28" t="s">
        <v>7</v>
      </c>
      <c r="F20" s="28" t="s">
        <v>7</v>
      </c>
      <c r="G20" s="28" t="s">
        <v>7</v>
      </c>
      <c r="H20" s="144" t="s">
        <v>54</v>
      </c>
      <c r="I20" s="144" t="s">
        <v>54</v>
      </c>
      <c r="J20" s="144" t="s">
        <v>54</v>
      </c>
      <c r="K20" s="144" t="s">
        <v>54</v>
      </c>
      <c r="L20" s="144" t="s">
        <v>54</v>
      </c>
      <c r="M20" s="28" t="s">
        <v>7</v>
      </c>
      <c r="N20" s="28" t="s">
        <v>7</v>
      </c>
      <c r="O20" s="162" t="s">
        <v>33</v>
      </c>
      <c r="P20" s="144" t="s">
        <v>85</v>
      </c>
      <c r="Q20" s="144" t="s">
        <v>85</v>
      </c>
      <c r="R20" s="144" t="s">
        <v>85</v>
      </c>
      <c r="S20" s="144" t="s">
        <v>85</v>
      </c>
      <c r="T20" s="28" t="s">
        <v>30</v>
      </c>
      <c r="U20" s="28" t="s">
        <v>30</v>
      </c>
      <c r="V20" s="157" t="s">
        <v>11</v>
      </c>
      <c r="W20" s="157" t="s">
        <v>11</v>
      </c>
      <c r="X20" s="157" t="s">
        <v>11</v>
      </c>
      <c r="Y20" s="157" t="s">
        <v>11</v>
      </c>
      <c r="Z20" s="157" t="s">
        <v>11</v>
      </c>
      <c r="AA20" s="28" t="s">
        <v>7</v>
      </c>
      <c r="AB20" s="28" t="s">
        <v>7</v>
      </c>
      <c r="AC20" s="144" t="s">
        <v>54</v>
      </c>
      <c r="AD20" s="144" t="s">
        <v>54</v>
      </c>
      <c r="AE20" s="144" t="s">
        <v>54</v>
      </c>
      <c r="AF20" s="144" t="s">
        <v>54</v>
      </c>
      <c r="AG20"/>
    </row>
    <row r="21" spans="1:33">
      <c r="A21" s="34" t="s">
        <v>28</v>
      </c>
      <c r="B21" s="37" t="s">
        <v>60</v>
      </c>
      <c r="C21" s="161" t="s">
        <v>85</v>
      </c>
      <c r="D21" s="28" t="s">
        <v>30</v>
      </c>
      <c r="E21" s="28" t="s">
        <v>30</v>
      </c>
      <c r="F21" s="28" t="s">
        <v>30</v>
      </c>
      <c r="G21" s="28" t="s">
        <v>30</v>
      </c>
      <c r="H21" s="157" t="s">
        <v>11</v>
      </c>
      <c r="I21" s="157" t="s">
        <v>11</v>
      </c>
      <c r="J21" s="157" t="s">
        <v>11</v>
      </c>
      <c r="K21" s="157" t="s">
        <v>11</v>
      </c>
      <c r="L21" s="157" t="s">
        <v>11</v>
      </c>
      <c r="M21" s="28" t="s">
        <v>7</v>
      </c>
      <c r="N21" s="28" t="s">
        <v>7</v>
      </c>
      <c r="O21" s="17" t="s">
        <v>4</v>
      </c>
      <c r="P21" s="144" t="s">
        <v>54</v>
      </c>
      <c r="Q21" s="144" t="s">
        <v>54</v>
      </c>
      <c r="R21" s="144" t="s">
        <v>54</v>
      </c>
      <c r="S21" s="144" t="s">
        <v>54</v>
      </c>
      <c r="T21" s="28" t="s">
        <v>7</v>
      </c>
      <c r="U21" s="28" t="s">
        <v>7</v>
      </c>
      <c r="V21" s="144" t="s">
        <v>85</v>
      </c>
      <c r="W21" s="144" t="s">
        <v>85</v>
      </c>
      <c r="X21" s="144" t="s">
        <v>85</v>
      </c>
      <c r="Y21" s="144" t="s">
        <v>85</v>
      </c>
      <c r="Z21" s="144" t="s">
        <v>85</v>
      </c>
      <c r="AA21" s="28" t="s">
        <v>30</v>
      </c>
      <c r="AB21" s="28" t="s">
        <v>30</v>
      </c>
      <c r="AC21" s="157" t="s">
        <v>11</v>
      </c>
      <c r="AD21" s="157" t="s">
        <v>11</v>
      </c>
      <c r="AE21" s="157" t="s">
        <v>11</v>
      </c>
      <c r="AF21" s="157" t="s">
        <v>11</v>
      </c>
      <c r="AG21"/>
    </row>
    <row r="22" spans="1:33">
      <c r="A22" s="34" t="s">
        <v>28</v>
      </c>
      <c r="B22" s="37" t="s">
        <v>13</v>
      </c>
      <c r="C22" s="161" t="s">
        <v>54</v>
      </c>
      <c r="D22" s="28" t="s">
        <v>7</v>
      </c>
      <c r="E22" s="28" t="s">
        <v>7</v>
      </c>
      <c r="F22" s="28" t="s">
        <v>7</v>
      </c>
      <c r="G22" s="28" t="s">
        <v>7</v>
      </c>
      <c r="H22" s="144" t="s">
        <v>85</v>
      </c>
      <c r="I22" s="144" t="s">
        <v>85</v>
      </c>
      <c r="J22" s="144" t="s">
        <v>85</v>
      </c>
      <c r="K22" s="144" t="s">
        <v>85</v>
      </c>
      <c r="L22" s="144" t="s">
        <v>85</v>
      </c>
      <c r="M22" s="28" t="s">
        <v>30</v>
      </c>
      <c r="N22" s="28" t="s">
        <v>30</v>
      </c>
      <c r="O22" s="157" t="s">
        <v>11</v>
      </c>
      <c r="P22" s="157" t="s">
        <v>11</v>
      </c>
      <c r="Q22" s="157" t="s">
        <v>11</v>
      </c>
      <c r="R22" s="157" t="s">
        <v>11</v>
      </c>
      <c r="S22" s="17" t="s">
        <v>4</v>
      </c>
      <c r="T22" s="28" t="s">
        <v>7</v>
      </c>
      <c r="U22" s="28" t="s">
        <v>7</v>
      </c>
      <c r="V22" s="144" t="s">
        <v>54</v>
      </c>
      <c r="W22" s="144" t="s">
        <v>54</v>
      </c>
      <c r="X22" s="144" t="s">
        <v>54</v>
      </c>
      <c r="Y22" s="144" t="s">
        <v>54</v>
      </c>
      <c r="Z22" s="144" t="s">
        <v>54</v>
      </c>
      <c r="AA22" s="28" t="s">
        <v>7</v>
      </c>
      <c r="AB22" s="28" t="s">
        <v>7</v>
      </c>
      <c r="AC22" s="144" t="s">
        <v>85</v>
      </c>
      <c r="AD22" s="144" t="s">
        <v>85</v>
      </c>
      <c r="AE22" s="144" t="s">
        <v>85</v>
      </c>
      <c r="AF22" s="144" t="s">
        <v>85</v>
      </c>
      <c r="AG22"/>
    </row>
    <row r="23" spans="1:33">
      <c r="AG23"/>
    </row>
    <row r="24" spans="1:33">
      <c r="B24" s="111" t="s">
        <v>89</v>
      </c>
      <c r="C24" s="110">
        <f t="shared" ref="C24:AF24" si="0">SUM(C25:C27)</f>
        <v>7</v>
      </c>
      <c r="D24" s="110">
        <f t="shared" si="0"/>
        <v>4</v>
      </c>
      <c r="E24" s="110">
        <f t="shared" si="0"/>
        <v>4</v>
      </c>
      <c r="F24" s="110">
        <f t="shared" si="0"/>
        <v>4</v>
      </c>
      <c r="G24" s="110">
        <f t="shared" si="0"/>
        <v>4</v>
      </c>
      <c r="H24" s="110">
        <f t="shared" si="0"/>
        <v>7</v>
      </c>
      <c r="I24" s="110">
        <f t="shared" si="0"/>
        <v>7</v>
      </c>
      <c r="J24" s="110">
        <f t="shared" si="0"/>
        <v>7</v>
      </c>
      <c r="K24" s="110">
        <f t="shared" si="0"/>
        <v>7</v>
      </c>
      <c r="L24" s="110">
        <f t="shared" si="0"/>
        <v>7</v>
      </c>
      <c r="M24" s="110">
        <f t="shared" si="0"/>
        <v>3</v>
      </c>
      <c r="N24" s="110">
        <f t="shared" si="0"/>
        <v>4</v>
      </c>
      <c r="O24" s="110">
        <f t="shared" si="0"/>
        <v>5</v>
      </c>
      <c r="P24" s="110">
        <f t="shared" si="0"/>
        <v>7</v>
      </c>
      <c r="Q24" s="110">
        <f t="shared" si="0"/>
        <v>7</v>
      </c>
      <c r="R24" s="110">
        <f t="shared" si="0"/>
        <v>7</v>
      </c>
      <c r="S24" s="110">
        <f t="shared" si="0"/>
        <v>6</v>
      </c>
      <c r="T24" s="110">
        <f t="shared" si="0"/>
        <v>4</v>
      </c>
      <c r="U24" s="110">
        <f t="shared" si="0"/>
        <v>4</v>
      </c>
      <c r="V24" s="110">
        <f t="shared" si="0"/>
        <v>7</v>
      </c>
      <c r="W24" s="110">
        <f t="shared" si="0"/>
        <v>7</v>
      </c>
      <c r="X24" s="110">
        <f t="shared" si="0"/>
        <v>7</v>
      </c>
      <c r="Y24" s="110">
        <f t="shared" si="0"/>
        <v>7</v>
      </c>
      <c r="Z24" s="110">
        <f t="shared" si="0"/>
        <v>7</v>
      </c>
      <c r="AA24" s="110">
        <f t="shared" si="0"/>
        <v>4</v>
      </c>
      <c r="AB24" s="110">
        <f t="shared" si="0"/>
        <v>4</v>
      </c>
      <c r="AC24" s="110">
        <f t="shared" si="0"/>
        <v>7</v>
      </c>
      <c r="AD24" s="110">
        <f t="shared" si="0"/>
        <v>7</v>
      </c>
      <c r="AE24" s="110">
        <f t="shared" si="0"/>
        <v>7</v>
      </c>
      <c r="AF24" s="110">
        <f t="shared" si="0"/>
        <v>7</v>
      </c>
    </row>
    <row r="25" spans="1:33">
      <c r="B25" s="111" t="s">
        <v>90</v>
      </c>
      <c r="C25" s="112">
        <f t="shared" ref="C25:AF25" si="1">COUNTIF(C4:C22,"T")</f>
        <v>2</v>
      </c>
      <c r="D25" s="112">
        <f t="shared" si="1"/>
        <v>2</v>
      </c>
      <c r="E25" s="112">
        <f t="shared" si="1"/>
        <v>2</v>
      </c>
      <c r="F25" s="112">
        <f t="shared" si="1"/>
        <v>0</v>
      </c>
      <c r="G25" s="112">
        <f t="shared" si="1"/>
        <v>0</v>
      </c>
      <c r="H25" s="112">
        <f t="shared" si="1"/>
        <v>2</v>
      </c>
      <c r="I25" s="112">
        <f t="shared" si="1"/>
        <v>2</v>
      </c>
      <c r="J25" s="112">
        <f t="shared" si="1"/>
        <v>2</v>
      </c>
      <c r="K25" s="112">
        <f t="shared" si="1"/>
        <v>2</v>
      </c>
      <c r="L25" s="112">
        <f t="shared" si="1"/>
        <v>2</v>
      </c>
      <c r="M25" s="112">
        <f t="shared" si="1"/>
        <v>0</v>
      </c>
      <c r="N25" s="112">
        <f t="shared" si="1"/>
        <v>0</v>
      </c>
      <c r="O25" s="112">
        <f t="shared" si="1"/>
        <v>2</v>
      </c>
      <c r="P25" s="112">
        <f t="shared" si="1"/>
        <v>2</v>
      </c>
      <c r="Q25" s="112">
        <f t="shared" si="1"/>
        <v>2</v>
      </c>
      <c r="R25" s="112">
        <f t="shared" si="1"/>
        <v>2</v>
      </c>
      <c r="S25" s="112">
        <f t="shared" si="1"/>
        <v>2</v>
      </c>
      <c r="T25" s="112">
        <f t="shared" si="1"/>
        <v>0</v>
      </c>
      <c r="U25" s="112">
        <f t="shared" si="1"/>
        <v>0</v>
      </c>
      <c r="V25" s="112">
        <f t="shared" si="1"/>
        <v>2</v>
      </c>
      <c r="W25" s="112">
        <f t="shared" si="1"/>
        <v>2</v>
      </c>
      <c r="X25" s="112">
        <f t="shared" si="1"/>
        <v>2</v>
      </c>
      <c r="Y25" s="112">
        <f t="shared" si="1"/>
        <v>2</v>
      </c>
      <c r="Z25" s="112">
        <f t="shared" si="1"/>
        <v>2</v>
      </c>
      <c r="AA25" s="112">
        <f t="shared" si="1"/>
        <v>0</v>
      </c>
      <c r="AB25" s="112">
        <f t="shared" si="1"/>
        <v>0</v>
      </c>
      <c r="AC25" s="112">
        <f t="shared" si="1"/>
        <v>2</v>
      </c>
      <c r="AD25" s="112">
        <f t="shared" si="1"/>
        <v>2</v>
      </c>
      <c r="AE25" s="112">
        <f t="shared" si="1"/>
        <v>2</v>
      </c>
      <c r="AF25" s="112">
        <f t="shared" si="1"/>
        <v>2</v>
      </c>
    </row>
    <row r="26" spans="1:33">
      <c r="B26" s="111" t="s">
        <v>91</v>
      </c>
      <c r="C26" s="112">
        <f t="shared" ref="C26:AF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2</v>
      </c>
      <c r="L26" s="112">
        <f t="shared" si="2"/>
        <v>2</v>
      </c>
      <c r="M26" s="112">
        <f t="shared" si="2"/>
        <v>2</v>
      </c>
      <c r="N26" s="112">
        <f t="shared" si="2"/>
        <v>2</v>
      </c>
      <c r="O26" s="112">
        <f t="shared" si="2"/>
        <v>2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2</v>
      </c>
      <c r="Z26" s="112">
        <f t="shared" si="2"/>
        <v>2</v>
      </c>
      <c r="AA26" s="112">
        <f t="shared" si="2"/>
        <v>2</v>
      </c>
      <c r="AB26" s="112">
        <f t="shared" si="2"/>
        <v>2</v>
      </c>
      <c r="AC26" s="112">
        <f t="shared" si="2"/>
        <v>2</v>
      </c>
      <c r="AD26" s="112">
        <f t="shared" si="2"/>
        <v>2</v>
      </c>
      <c r="AE26" s="112">
        <f t="shared" si="2"/>
        <v>2</v>
      </c>
      <c r="AF26" s="112">
        <f t="shared" si="2"/>
        <v>2</v>
      </c>
    </row>
    <row r="27" spans="1:33">
      <c r="B27" s="111" t="s">
        <v>92</v>
      </c>
      <c r="C27" s="112">
        <f>COUNTIF(C4:C22,"M/F")+COUNTIF(C4:C22,"M1")+COUNTIF(C4:C22,"M3")+COUNTIF(C4:C22,"M3/G")+COUNTIF(C4:C22,"M2")</f>
        <v>3</v>
      </c>
      <c r="D27" s="112">
        <f>COUNTIF(D4:D22,"M/F")+COUNTIF(D4:D22,"M1")+COUNTIF(D4:D22,"M3")+COUNTIF(D4:D22,"M3/G")+COUNTIF(D4:D22,"M2")</f>
        <v>0</v>
      </c>
      <c r="E27" s="112">
        <f>COUNTIF(E4:E22,"M1")+COUNTIF(E4:E22,"NF")</f>
        <v>0</v>
      </c>
      <c r="F27" s="112">
        <f t="shared" ref="F27:AF27" si="3">COUNTIF(F4:F22,"M/F")+COUNTIF(F4:F22,"M1")+COUNTIF(F4:F22,"M3")+COUNTIF(F4:F22,"M3/G")+COUNTIF(F4:F22,"M2")</f>
        <v>2</v>
      </c>
      <c r="G27" s="112">
        <f t="shared" si="3"/>
        <v>2</v>
      </c>
      <c r="H27" s="112">
        <f t="shared" si="3"/>
        <v>3</v>
      </c>
      <c r="I27" s="112">
        <f t="shared" si="3"/>
        <v>3</v>
      </c>
      <c r="J27" s="112">
        <f t="shared" si="3"/>
        <v>3</v>
      </c>
      <c r="K27" s="112">
        <f t="shared" si="3"/>
        <v>3</v>
      </c>
      <c r="L27" s="112">
        <f t="shared" si="3"/>
        <v>3</v>
      </c>
      <c r="M27" s="112">
        <f t="shared" si="3"/>
        <v>1</v>
      </c>
      <c r="N27" s="112">
        <f t="shared" si="3"/>
        <v>2</v>
      </c>
      <c r="O27" s="112">
        <f t="shared" si="3"/>
        <v>1</v>
      </c>
      <c r="P27" s="112">
        <f t="shared" si="3"/>
        <v>3</v>
      </c>
      <c r="Q27" s="112">
        <f t="shared" si="3"/>
        <v>3</v>
      </c>
      <c r="R27" s="112">
        <f t="shared" si="3"/>
        <v>3</v>
      </c>
      <c r="S27" s="112">
        <f t="shared" si="3"/>
        <v>2</v>
      </c>
      <c r="T27" s="112">
        <f t="shared" si="3"/>
        <v>2</v>
      </c>
      <c r="U27" s="112">
        <f t="shared" si="3"/>
        <v>2</v>
      </c>
      <c r="V27" s="112">
        <f t="shared" si="3"/>
        <v>3</v>
      </c>
      <c r="W27" s="112">
        <f t="shared" si="3"/>
        <v>3</v>
      </c>
      <c r="X27" s="112">
        <f t="shared" si="3"/>
        <v>3</v>
      </c>
      <c r="Y27" s="112">
        <f t="shared" si="3"/>
        <v>3</v>
      </c>
      <c r="Z27" s="112">
        <f t="shared" si="3"/>
        <v>3</v>
      </c>
      <c r="AA27" s="112">
        <f t="shared" si="3"/>
        <v>2</v>
      </c>
      <c r="AB27" s="112">
        <f t="shared" si="3"/>
        <v>2</v>
      </c>
      <c r="AC27" s="112">
        <f t="shared" si="3"/>
        <v>3</v>
      </c>
      <c r="AD27" s="112">
        <f t="shared" si="3"/>
        <v>3</v>
      </c>
      <c r="AE27" s="112">
        <f t="shared" si="3"/>
        <v>3</v>
      </c>
      <c r="AF27" s="112">
        <f t="shared" si="3"/>
        <v>3</v>
      </c>
    </row>
    <row r="29" spans="1:33">
      <c r="B29" t="s">
        <v>65</v>
      </c>
    </row>
    <row r="30" spans="1:33">
      <c r="B30" s="5" t="s">
        <v>66</v>
      </c>
    </row>
    <row r="31" spans="1:33">
      <c r="B31" s="5" t="s">
        <v>67</v>
      </c>
    </row>
    <row r="32" spans="1:33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F1"/>
  </mergeCells>
  <conditionalFormatting sqref="C25:AF27">
    <cfRule type="cellIs" dxfId="11" priority="1" operator="equal">
      <formula>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topLeftCell="B1" zoomScaleNormal="100" workbookViewId="0">
      <selection activeCell="N20" sqref="N20:R20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>
      <c r="A1" s="6"/>
      <c r="B1" s="171"/>
      <c r="C1" s="192" t="s">
        <v>103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</row>
    <row r="2" spans="1:34">
      <c r="A2" s="6"/>
      <c r="B2" s="171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33" t="s">
        <v>23</v>
      </c>
      <c r="C10" s="123" t="s">
        <v>7</v>
      </c>
      <c r="D10" s="124" t="s">
        <v>7</v>
      </c>
      <c r="E10" s="124" t="s">
        <v>7</v>
      </c>
      <c r="F10" s="124" t="s">
        <v>7</v>
      </c>
      <c r="G10" s="125" t="s">
        <v>20</v>
      </c>
      <c r="H10" s="125" t="s">
        <v>20</v>
      </c>
      <c r="I10" s="125" t="s">
        <v>20</v>
      </c>
      <c r="J10" s="125" t="s">
        <v>20</v>
      </c>
      <c r="K10" s="125" t="s">
        <v>20</v>
      </c>
      <c r="L10" s="124" t="s">
        <v>7</v>
      </c>
      <c r="M10" s="124" t="s">
        <v>7</v>
      </c>
      <c r="N10" s="130" t="s">
        <v>16</v>
      </c>
      <c r="O10" s="130" t="s">
        <v>16</v>
      </c>
      <c r="P10" s="130" t="s">
        <v>16</v>
      </c>
      <c r="Q10" s="130" t="s">
        <v>16</v>
      </c>
      <c r="R10" s="130" t="s">
        <v>16</v>
      </c>
      <c r="S10" s="130" t="s">
        <v>17</v>
      </c>
      <c r="T10" s="130" t="s">
        <v>17</v>
      </c>
      <c r="U10" s="128" t="s">
        <v>7</v>
      </c>
      <c r="V10" s="128" t="s">
        <v>7</v>
      </c>
      <c r="W10" s="128" t="s">
        <v>7</v>
      </c>
      <c r="X10" s="128" t="s">
        <v>7</v>
      </c>
      <c r="Y10" s="128" t="s">
        <v>7</v>
      </c>
      <c r="Z10" s="128" t="s">
        <v>7</v>
      </c>
      <c r="AA10" s="128" t="s">
        <v>7</v>
      </c>
      <c r="AB10" s="130" t="s">
        <v>16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 s="130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>
      <c r="A11" s="34" t="s">
        <v>12</v>
      </c>
      <c r="B11" s="33" t="s">
        <v>52</v>
      </c>
      <c r="C11" s="126" t="s">
        <v>54</v>
      </c>
      <c r="D11" s="127" t="s">
        <v>14</v>
      </c>
      <c r="E11" s="127" t="s">
        <v>15</v>
      </c>
      <c r="F11" s="127" t="s">
        <v>15</v>
      </c>
      <c r="G11" s="128" t="s">
        <v>7</v>
      </c>
      <c r="H11" s="128" t="s">
        <v>7</v>
      </c>
      <c r="I11" s="129" t="s">
        <v>4</v>
      </c>
      <c r="J11" s="128" t="s">
        <v>7</v>
      </c>
      <c r="K11" s="128" t="s">
        <v>7</v>
      </c>
      <c r="L11" s="128" t="s">
        <v>7</v>
      </c>
      <c r="M11" s="128" t="s">
        <v>7</v>
      </c>
      <c r="N11" s="125" t="s">
        <v>20</v>
      </c>
      <c r="O11" s="125" t="s">
        <v>20</v>
      </c>
      <c r="P11" s="125" t="s">
        <v>20</v>
      </c>
      <c r="Q11" s="125" t="s">
        <v>20</v>
      </c>
      <c r="R11" s="125" t="s">
        <v>20</v>
      </c>
      <c r="S11" s="128" t="s">
        <v>7</v>
      </c>
      <c r="T11" s="128" t="s">
        <v>7</v>
      </c>
      <c r="U11" s="130" t="s">
        <v>16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17</v>
      </c>
      <c r="AA11" s="130" t="s">
        <v>17</v>
      </c>
      <c r="AB11" s="128" t="s">
        <v>7</v>
      </c>
      <c r="AC11" s="128" t="s">
        <v>7</v>
      </c>
      <c r="AD11" s="128" t="s">
        <v>7</v>
      </c>
      <c r="AE11" s="128" t="s">
        <v>7</v>
      </c>
      <c r="AF11" s="128" t="s">
        <v>7</v>
      </c>
      <c r="AG11" s="128" t="s">
        <v>7</v>
      </c>
      <c r="AH11" s="91">
        <f t="shared" si="0"/>
        <v>144</v>
      </c>
    </row>
    <row r="12" spans="1:34">
      <c r="A12" s="34" t="s">
        <v>12</v>
      </c>
      <c r="B12" s="33" t="s">
        <v>24</v>
      </c>
      <c r="C12" s="131" t="s">
        <v>4</v>
      </c>
      <c r="D12" s="128" t="s">
        <v>7</v>
      </c>
      <c r="E12" s="128" t="s">
        <v>7</v>
      </c>
      <c r="F12" s="128" t="s">
        <v>7</v>
      </c>
      <c r="G12" s="127" t="s">
        <v>14</v>
      </c>
      <c r="H12" s="127" t="s">
        <v>54</v>
      </c>
      <c r="I12" s="127" t="s">
        <v>14</v>
      </c>
      <c r="J12" s="127" t="s">
        <v>14</v>
      </c>
      <c r="K12" s="127" t="s">
        <v>14</v>
      </c>
      <c r="L12" s="127" t="s">
        <v>15</v>
      </c>
      <c r="M12" s="127" t="s">
        <v>15</v>
      </c>
      <c r="N12" s="128" t="s">
        <v>7</v>
      </c>
      <c r="O12" s="128" t="s">
        <v>7</v>
      </c>
      <c r="P12" s="128" t="s">
        <v>7</v>
      </c>
      <c r="Q12" s="128" t="s">
        <v>7</v>
      </c>
      <c r="R12" s="128" t="s">
        <v>7</v>
      </c>
      <c r="S12" s="128" t="s">
        <v>7</v>
      </c>
      <c r="T12" s="128" t="s">
        <v>7</v>
      </c>
      <c r="U12" s="125" t="s">
        <v>20</v>
      </c>
      <c r="V12" s="125" t="s">
        <v>20</v>
      </c>
      <c r="W12" s="125" t="s">
        <v>20</v>
      </c>
      <c r="X12" s="125" t="s">
        <v>20</v>
      </c>
      <c r="Y12" s="125" t="s">
        <v>20</v>
      </c>
      <c r="Z12" s="128" t="s">
        <v>7</v>
      </c>
      <c r="AA12" s="128" t="s">
        <v>7</v>
      </c>
      <c r="AB12" s="130" t="s">
        <v>16</v>
      </c>
      <c r="AC12" s="130" t="s">
        <v>16</v>
      </c>
      <c r="AD12" s="130" t="s">
        <v>16</v>
      </c>
      <c r="AE12" s="130" t="s">
        <v>16</v>
      </c>
      <c r="AF12" s="130" t="s">
        <v>16</v>
      </c>
      <c r="AG12" s="130" t="s">
        <v>17</v>
      </c>
      <c r="AH12" s="91">
        <f t="shared" si="0"/>
        <v>156</v>
      </c>
    </row>
    <row r="13" spans="1:34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17</v>
      </c>
      <c r="F13" s="130" t="s">
        <v>17</v>
      </c>
      <c r="G13" s="128" t="s">
        <v>7</v>
      </c>
      <c r="H13" s="128" t="s">
        <v>7</v>
      </c>
      <c r="I13" s="128" t="s">
        <v>7</v>
      </c>
      <c r="J13" s="129" t="s">
        <v>4</v>
      </c>
      <c r="K13" s="128" t="s">
        <v>7</v>
      </c>
      <c r="L13" s="128" t="s">
        <v>7</v>
      </c>
      <c r="M13" s="128" t="s">
        <v>7</v>
      </c>
      <c r="N13" s="130" t="s">
        <v>16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17</v>
      </c>
      <c r="T13" s="130" t="s">
        <v>17</v>
      </c>
      <c r="U13" s="128" t="s">
        <v>7</v>
      </c>
      <c r="V13" s="128" t="s">
        <v>7</v>
      </c>
      <c r="W13" s="128" t="s">
        <v>7</v>
      </c>
      <c r="X13" s="128" t="s">
        <v>7</v>
      </c>
      <c r="Y13" s="128" t="s">
        <v>7</v>
      </c>
      <c r="Z13" s="128" t="s">
        <v>7</v>
      </c>
      <c r="AA13" s="128" t="s">
        <v>7</v>
      </c>
      <c r="AB13" s="125" t="s">
        <v>20</v>
      </c>
      <c r="AC13" s="125" t="s">
        <v>20</v>
      </c>
      <c r="AD13" s="125" t="s">
        <v>20</v>
      </c>
      <c r="AE13" s="125" t="s">
        <v>20</v>
      </c>
      <c r="AF13" s="125" t="s">
        <v>20</v>
      </c>
      <c r="AG13" s="128" t="s">
        <v>7</v>
      </c>
      <c r="AH13" s="91">
        <f t="shared" si="0"/>
        <v>144</v>
      </c>
    </row>
    <row r="14" spans="1:34">
      <c r="A14" s="34" t="s">
        <v>12</v>
      </c>
      <c r="B14" s="33" t="s">
        <v>53</v>
      </c>
      <c r="C14" s="133" t="s">
        <v>20</v>
      </c>
      <c r="D14" s="132" t="s">
        <v>20</v>
      </c>
      <c r="E14" s="128" t="s">
        <v>7</v>
      </c>
      <c r="F14" s="128" t="s">
        <v>7</v>
      </c>
      <c r="G14" s="130" t="s">
        <v>16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17</v>
      </c>
      <c r="M14" s="130" t="s">
        <v>17</v>
      </c>
      <c r="N14" s="128" t="s">
        <v>7</v>
      </c>
      <c r="O14" s="128" t="s">
        <v>7</v>
      </c>
      <c r="P14" s="128" t="s">
        <v>7</v>
      </c>
      <c r="Q14" s="128" t="s">
        <v>7</v>
      </c>
      <c r="R14" s="128" t="s">
        <v>7</v>
      </c>
      <c r="S14" s="128" t="s">
        <v>7</v>
      </c>
      <c r="T14" s="128" t="s">
        <v>7</v>
      </c>
      <c r="U14" s="130" t="s">
        <v>16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17</v>
      </c>
      <c r="AA14" s="130" t="s">
        <v>17</v>
      </c>
      <c r="AB14" s="128" t="s">
        <v>7</v>
      </c>
      <c r="AC14" s="128" t="s">
        <v>7</v>
      </c>
      <c r="AD14" s="128" t="s">
        <v>7</v>
      </c>
      <c r="AE14" s="128" t="s">
        <v>7</v>
      </c>
      <c r="AF14" s="128" t="s">
        <v>7</v>
      </c>
      <c r="AG14" s="128" t="s">
        <v>7</v>
      </c>
      <c r="AH14" s="91">
        <f t="shared" si="0"/>
        <v>144</v>
      </c>
    </row>
    <row r="15" spans="1:34">
      <c r="A15" s="34"/>
    </row>
    <row r="16" spans="1:34">
      <c r="A16" s="34" t="s">
        <v>12</v>
      </c>
      <c r="B16" s="52" t="s">
        <v>96</v>
      </c>
      <c r="C16" s="135" t="s">
        <v>7</v>
      </c>
      <c r="D16" s="135" t="s">
        <v>7</v>
      </c>
      <c r="E16" s="136" t="s">
        <v>7</v>
      </c>
      <c r="F16" s="136" t="s">
        <v>7</v>
      </c>
      <c r="G16" s="137" t="s">
        <v>54</v>
      </c>
      <c r="H16" s="137" t="s">
        <v>54</v>
      </c>
      <c r="I16" s="137" t="s">
        <v>54</v>
      </c>
      <c r="J16" s="137" t="s">
        <v>54</v>
      </c>
      <c r="K16" s="137" t="s">
        <v>54</v>
      </c>
      <c r="L16" s="136" t="s">
        <v>7</v>
      </c>
      <c r="M16" s="136" t="s">
        <v>7</v>
      </c>
      <c r="N16" s="137" t="s">
        <v>54</v>
      </c>
      <c r="O16" s="137" t="s">
        <v>54</v>
      </c>
      <c r="P16" s="137" t="s">
        <v>54</v>
      </c>
      <c r="Q16" s="137" t="s">
        <v>54</v>
      </c>
      <c r="R16" s="137" t="s">
        <v>54</v>
      </c>
      <c r="S16" s="136" t="s">
        <v>7</v>
      </c>
      <c r="T16" s="136" t="s">
        <v>7</v>
      </c>
      <c r="U16" s="137" t="s">
        <v>54</v>
      </c>
      <c r="V16" s="137" t="s">
        <v>54</v>
      </c>
      <c r="W16" s="137" t="s">
        <v>54</v>
      </c>
      <c r="X16" s="137" t="s">
        <v>54</v>
      </c>
      <c r="Y16" s="137" t="s">
        <v>54</v>
      </c>
      <c r="Z16" s="136" t="s">
        <v>7</v>
      </c>
      <c r="AA16" s="136" t="s">
        <v>7</v>
      </c>
      <c r="AB16" s="137" t="s">
        <v>54</v>
      </c>
      <c r="AC16" s="137" t="s">
        <v>54</v>
      </c>
      <c r="AD16" s="137" t="s">
        <v>54</v>
      </c>
      <c r="AE16" s="137" t="s">
        <v>54</v>
      </c>
      <c r="AF16" s="137" t="s">
        <v>54</v>
      </c>
      <c r="AG16" s="136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>
      <c r="A17" s="34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spans="1:34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8"/>
      <c r="V20" s="138"/>
      <c r="W20" s="138"/>
      <c r="X20" s="138"/>
      <c r="Y20" s="138"/>
      <c r="Z20" s="139"/>
      <c r="AA20" s="139"/>
      <c r="AB20" s="140"/>
      <c r="AC20" s="140"/>
      <c r="AD20" s="140"/>
      <c r="AE20" s="140"/>
      <c r="AF20" s="140"/>
      <c r="AG20" s="139"/>
    </row>
    <row r="22" spans="1:34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>
      <c r="B27" t="s">
        <v>65</v>
      </c>
    </row>
    <row r="28" spans="1:34">
      <c r="B28" s="5" t="s">
        <v>66</v>
      </c>
    </row>
    <row r="29" spans="1:34">
      <c r="B29" s="5" t="s">
        <v>67</v>
      </c>
    </row>
    <row r="30" spans="1:34">
      <c r="B30" s="1" t="s">
        <v>68</v>
      </c>
    </row>
    <row r="31" spans="1:34">
      <c r="B31" s="7" t="s">
        <v>69</v>
      </c>
    </row>
    <row r="32" spans="1:34">
      <c r="B32" s="3" t="s">
        <v>70</v>
      </c>
    </row>
    <row r="33" spans="2:2">
      <c r="B33" s="5" t="s">
        <v>71</v>
      </c>
    </row>
    <row r="34" spans="2:2">
      <c r="B34" s="3" t="s">
        <v>72</v>
      </c>
    </row>
    <row r="35" spans="2:2">
      <c r="B35" s="4" t="s">
        <v>73</v>
      </c>
    </row>
    <row r="36" spans="2:2">
      <c r="B36" s="25" t="s">
        <v>74</v>
      </c>
    </row>
    <row r="37" spans="2:2">
      <c r="B37" s="4" t="s">
        <v>93</v>
      </c>
    </row>
    <row r="38" spans="2:2">
      <c r="B38" s="28" t="s">
        <v>76</v>
      </c>
    </row>
    <row r="39" spans="2:2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workbookViewId="0">
      <selection activeCell="AC9" sqref="AC9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1"/>
      <c r="C1" s="193" t="s">
        <v>104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</row>
    <row r="2" spans="1:34">
      <c r="A2" s="6"/>
      <c r="B2" s="171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105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>
      <c r="A9" s="34" t="s">
        <v>12</v>
      </c>
      <c r="B9" s="33" t="s">
        <v>98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>
      <c r="A12" s="34" t="s">
        <v>12</v>
      </c>
      <c r="B12" s="33" t="s">
        <v>106</v>
      </c>
      <c r="C12" s="130" t="s">
        <v>17</v>
      </c>
      <c r="D12" s="124" t="s">
        <v>7</v>
      </c>
      <c r="E12" s="124" t="s">
        <v>7</v>
      </c>
      <c r="F12" s="124" t="s">
        <v>7</v>
      </c>
      <c r="G12" s="109" t="s">
        <v>4</v>
      </c>
      <c r="H12" s="124" t="s">
        <v>7</v>
      </c>
      <c r="I12" s="124" t="s">
        <v>7</v>
      </c>
      <c r="J12" s="124" t="s">
        <v>7</v>
      </c>
      <c r="K12" s="125" t="s">
        <v>20</v>
      </c>
      <c r="L12" s="141" t="s">
        <v>16</v>
      </c>
      <c r="M12" s="125" t="s">
        <v>20</v>
      </c>
      <c r="N12" s="125" t="s">
        <v>20</v>
      </c>
      <c r="O12" s="125" t="s">
        <v>20</v>
      </c>
      <c r="P12" s="124" t="s">
        <v>7</v>
      </c>
      <c r="Q12" s="124" t="s">
        <v>7</v>
      </c>
      <c r="R12" s="141" t="s">
        <v>20</v>
      </c>
      <c r="S12" s="141" t="s">
        <v>20</v>
      </c>
      <c r="T12" s="141" t="s">
        <v>20</v>
      </c>
      <c r="U12" s="141" t="s">
        <v>20</v>
      </c>
      <c r="V12" s="141" t="s">
        <v>20</v>
      </c>
      <c r="W12" s="130" t="s">
        <v>17</v>
      </c>
      <c r="X12" s="130" t="s">
        <v>17</v>
      </c>
      <c r="Y12" s="124" t="s">
        <v>7</v>
      </c>
      <c r="Z12" s="124" t="s">
        <v>7</v>
      </c>
      <c r="AA12" s="124" t="s">
        <v>7</v>
      </c>
      <c r="AB12" s="109" t="s">
        <v>4</v>
      </c>
      <c r="AC12" s="124" t="s">
        <v>7</v>
      </c>
      <c r="AD12" s="124" t="s">
        <v>7</v>
      </c>
      <c r="AH12"/>
    </row>
    <row r="13" spans="1:34">
      <c r="A13" s="34" t="s">
        <v>12</v>
      </c>
      <c r="B13" s="33" t="s">
        <v>52</v>
      </c>
      <c r="C13" s="124" t="s">
        <v>7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16</v>
      </c>
      <c r="I13" s="130" t="s">
        <v>17</v>
      </c>
      <c r="J13" s="130" t="s">
        <v>17</v>
      </c>
      <c r="K13" s="124" t="s">
        <v>7</v>
      </c>
      <c r="L13" s="124" t="s">
        <v>7</v>
      </c>
      <c r="M13" s="124" t="s">
        <v>7</v>
      </c>
      <c r="N13" s="109" t="s">
        <v>4</v>
      </c>
      <c r="O13" s="124" t="s">
        <v>7</v>
      </c>
      <c r="P13" s="124" t="s">
        <v>7</v>
      </c>
      <c r="Q13" s="124" t="s">
        <v>7</v>
      </c>
      <c r="R13" s="142" t="s">
        <v>16</v>
      </c>
      <c r="S13" s="142" t="s">
        <v>16</v>
      </c>
      <c r="T13" s="142" t="s">
        <v>16</v>
      </c>
      <c r="U13" s="142" t="s">
        <v>16</v>
      </c>
      <c r="V13" s="142" t="s">
        <v>16</v>
      </c>
      <c r="W13" s="124" t="s">
        <v>7</v>
      </c>
      <c r="X13" s="124" t="s">
        <v>7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16</v>
      </c>
      <c r="AD13" s="130" t="s">
        <v>17</v>
      </c>
      <c r="AH13"/>
    </row>
    <row r="14" spans="1:34">
      <c r="A14" s="34" t="s">
        <v>12</v>
      </c>
      <c r="B14" s="33" t="s">
        <v>24</v>
      </c>
      <c r="C14" s="130" t="s">
        <v>17</v>
      </c>
      <c r="D14" s="124" t="s">
        <v>7</v>
      </c>
      <c r="E14" s="124" t="s">
        <v>7</v>
      </c>
      <c r="F14" s="124" t="s">
        <v>7</v>
      </c>
      <c r="G14" s="124" t="s">
        <v>7</v>
      </c>
      <c r="H14" s="109" t="s">
        <v>4</v>
      </c>
      <c r="I14" s="124" t="s">
        <v>7</v>
      </c>
      <c r="J14" s="124" t="s">
        <v>7</v>
      </c>
      <c r="K14" s="130" t="s">
        <v>16</v>
      </c>
      <c r="L14" s="142" t="s">
        <v>20</v>
      </c>
      <c r="M14" s="130" t="s">
        <v>16</v>
      </c>
      <c r="N14" s="130" t="s">
        <v>16</v>
      </c>
      <c r="O14" s="130" t="s">
        <v>16</v>
      </c>
      <c r="P14" s="130" t="s">
        <v>17</v>
      </c>
      <c r="Q14" s="130" t="s">
        <v>17</v>
      </c>
      <c r="R14" s="124" t="s">
        <v>7</v>
      </c>
      <c r="S14" s="124" t="s">
        <v>7</v>
      </c>
      <c r="T14" s="124" t="s">
        <v>7</v>
      </c>
      <c r="U14" s="109" t="s">
        <v>4</v>
      </c>
      <c r="V14" s="124" t="s">
        <v>7</v>
      </c>
      <c r="W14" s="124" t="s">
        <v>7</v>
      </c>
      <c r="X14" s="124" t="s">
        <v>7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5" t="s">
        <v>20</v>
      </c>
      <c r="AD14" s="124" t="s">
        <v>7</v>
      </c>
      <c r="AH14"/>
    </row>
    <row r="15" spans="1:34">
      <c r="A15" s="34" t="s">
        <v>12</v>
      </c>
      <c r="B15" s="33" t="s">
        <v>84</v>
      </c>
      <c r="C15" s="124" t="s">
        <v>7</v>
      </c>
      <c r="D15" s="130" t="s">
        <v>16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17</v>
      </c>
      <c r="J15" s="130" t="s">
        <v>17</v>
      </c>
      <c r="K15" s="124" t="s">
        <v>7</v>
      </c>
      <c r="L15" s="124" t="s">
        <v>7</v>
      </c>
      <c r="M15" s="124" t="s">
        <v>7</v>
      </c>
      <c r="N15" s="124" t="s">
        <v>7</v>
      </c>
      <c r="O15" s="109" t="s">
        <v>4</v>
      </c>
      <c r="P15" s="124" t="s">
        <v>7</v>
      </c>
      <c r="Q15" s="124" t="s">
        <v>7</v>
      </c>
      <c r="R15" s="130" t="s">
        <v>16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17</v>
      </c>
      <c r="X15" s="130" t="s">
        <v>17</v>
      </c>
      <c r="Y15" s="124" t="s">
        <v>7</v>
      </c>
      <c r="Z15" s="124" t="s">
        <v>7</v>
      </c>
      <c r="AA15" s="124" t="s">
        <v>7</v>
      </c>
      <c r="AB15" s="124" t="s">
        <v>7</v>
      </c>
      <c r="AC15" s="109" t="s">
        <v>4</v>
      </c>
      <c r="AD15" s="124" t="s">
        <v>7</v>
      </c>
      <c r="AH15"/>
    </row>
    <row r="16" spans="1:34">
      <c r="A16" s="34" t="s">
        <v>12</v>
      </c>
      <c r="B16" s="33" t="s">
        <v>53</v>
      </c>
      <c r="C16" s="124" t="s">
        <v>7</v>
      </c>
      <c r="D16" s="125" t="s">
        <v>20</v>
      </c>
      <c r="E16" s="125" t="s">
        <v>20</v>
      </c>
      <c r="F16" s="125" t="s">
        <v>20</v>
      </c>
      <c r="G16" s="125" t="s">
        <v>20</v>
      </c>
      <c r="H16" s="125" t="s">
        <v>20</v>
      </c>
      <c r="I16" s="124" t="s">
        <v>7</v>
      </c>
      <c r="J16" s="124" t="s">
        <v>7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17</v>
      </c>
      <c r="Q16" s="130" t="s">
        <v>17</v>
      </c>
      <c r="R16" s="124" t="s">
        <v>7</v>
      </c>
      <c r="S16" s="124" t="s">
        <v>7</v>
      </c>
      <c r="T16" s="124" t="s">
        <v>7</v>
      </c>
      <c r="U16" s="124" t="s">
        <v>7</v>
      </c>
      <c r="V16" s="109" t="s">
        <v>4</v>
      </c>
      <c r="W16" s="124" t="s">
        <v>7</v>
      </c>
      <c r="X16" s="124" t="s">
        <v>7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17</v>
      </c>
      <c r="AH16"/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>
      <c r="A18" s="34"/>
      <c r="B18" s="52" t="s">
        <v>96</v>
      </c>
      <c r="C18" s="136" t="s">
        <v>7</v>
      </c>
      <c r="D18" s="125" t="s">
        <v>20</v>
      </c>
      <c r="E18" s="125" t="s">
        <v>20</v>
      </c>
      <c r="F18" s="125" t="s">
        <v>20</v>
      </c>
      <c r="G18" s="125" t="s">
        <v>20</v>
      </c>
      <c r="H18" s="125" t="s">
        <v>20</v>
      </c>
      <c r="I18" s="136" t="s">
        <v>7</v>
      </c>
      <c r="J18" s="136" t="s">
        <v>7</v>
      </c>
      <c r="K18" s="130" t="s">
        <v>16</v>
      </c>
      <c r="L18" s="130" t="s">
        <v>16</v>
      </c>
      <c r="M18" s="130" t="s">
        <v>16</v>
      </c>
      <c r="N18" s="130" t="s">
        <v>16</v>
      </c>
      <c r="O18" s="130" t="s">
        <v>16</v>
      </c>
      <c r="P18" s="136" t="s">
        <v>7</v>
      </c>
      <c r="Q18" s="136" t="s">
        <v>7</v>
      </c>
      <c r="R18" s="125" t="s">
        <v>20</v>
      </c>
      <c r="S18" s="125" t="s">
        <v>20</v>
      </c>
      <c r="T18" s="125" t="s">
        <v>20</v>
      </c>
      <c r="U18" s="125" t="s">
        <v>20</v>
      </c>
      <c r="V18" s="125" t="s">
        <v>20</v>
      </c>
      <c r="W18" s="136" t="s">
        <v>7</v>
      </c>
      <c r="X18" s="136" t="s">
        <v>7</v>
      </c>
      <c r="Y18" s="130" t="s">
        <v>16</v>
      </c>
      <c r="Z18" s="130" t="s">
        <v>16</v>
      </c>
      <c r="AA18" s="130" t="s">
        <v>16</v>
      </c>
      <c r="AB18" s="130" t="s">
        <v>16</v>
      </c>
      <c r="AC18" s="130" t="s">
        <v>16</v>
      </c>
      <c r="AD18" s="136" t="s">
        <v>7</v>
      </c>
      <c r="AH18"/>
    </row>
    <row r="19" spans="1:34">
      <c r="A19" s="34"/>
      <c r="E19" s="122"/>
      <c r="F19" s="122"/>
      <c r="G19" s="122"/>
      <c r="H19" s="12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2"/>
      <c r="Z19" s="122"/>
      <c r="AA19" s="122"/>
      <c r="AB19" s="122"/>
      <c r="AC19" s="122"/>
      <c r="AD19" s="50"/>
      <c r="AH19"/>
    </row>
    <row r="20" spans="1:34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107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>
      <c r="A22" s="34" t="s">
        <v>28</v>
      </c>
      <c r="B22" s="35" t="s">
        <v>108</v>
      </c>
      <c r="C22" s="136" t="s">
        <v>7</v>
      </c>
      <c r="D22" s="136" t="s">
        <v>7</v>
      </c>
      <c r="E22" s="136" t="s">
        <v>7</v>
      </c>
      <c r="F22" s="136" t="s">
        <v>7</v>
      </c>
      <c r="G22" s="136" t="s">
        <v>7</v>
      </c>
      <c r="H22" s="136" t="s">
        <v>7</v>
      </c>
      <c r="I22" s="136" t="s">
        <v>7</v>
      </c>
      <c r="J22" s="136" t="s">
        <v>7</v>
      </c>
      <c r="K22" s="136" t="s">
        <v>7</v>
      </c>
      <c r="L22" s="136" t="s">
        <v>7</v>
      </c>
      <c r="M22" s="136" t="s">
        <v>7</v>
      </c>
      <c r="N22" s="136" t="s">
        <v>7</v>
      </c>
      <c r="O22" s="136" t="s">
        <v>7</v>
      </c>
      <c r="P22" s="136" t="s">
        <v>7</v>
      </c>
      <c r="Q22" s="136" t="s">
        <v>7</v>
      </c>
      <c r="R22" s="136" t="s">
        <v>7</v>
      </c>
      <c r="S22" s="136" t="s">
        <v>7</v>
      </c>
      <c r="T22" s="136" t="s">
        <v>7</v>
      </c>
      <c r="U22" s="136" t="s">
        <v>7</v>
      </c>
      <c r="V22" s="136" t="s">
        <v>7</v>
      </c>
      <c r="W22" s="136" t="s">
        <v>7</v>
      </c>
      <c r="X22" s="136" t="s">
        <v>7</v>
      </c>
      <c r="Y22" s="136" t="s">
        <v>7</v>
      </c>
      <c r="Z22" s="136" t="s">
        <v>7</v>
      </c>
      <c r="AA22" s="136" t="s">
        <v>7</v>
      </c>
      <c r="AB22" s="136" t="s">
        <v>7</v>
      </c>
      <c r="AC22" s="136" t="s">
        <v>7</v>
      </c>
      <c r="AD22" s="136" t="s">
        <v>7</v>
      </c>
      <c r="AH22"/>
    </row>
    <row r="24" spans="1:34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6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1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>
      <c r="B29" t="s">
        <v>65</v>
      </c>
    </row>
    <row r="30" spans="1:34">
      <c r="B30" s="5" t="s">
        <v>66</v>
      </c>
    </row>
    <row r="31" spans="1:34">
      <c r="B31" s="5" t="s">
        <v>67</v>
      </c>
    </row>
    <row r="32" spans="1:34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D1"/>
  </mergeCells>
  <conditionalFormatting sqref="C25:AD27">
    <cfRule type="cellIs" dxfId="9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workbookViewId="0">
      <selection activeCell="L15" sqref="L15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1"/>
      <c r="C1" s="172" t="s">
        <v>109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4">
      <c r="A2" s="6"/>
      <c r="B2" s="171"/>
      <c r="C2" s="145" t="s">
        <v>6</v>
      </c>
      <c r="D2" s="146" t="s">
        <v>7</v>
      </c>
      <c r="E2" s="146" t="s">
        <v>1</v>
      </c>
      <c r="F2" s="147" t="s">
        <v>2</v>
      </c>
      <c r="G2" s="147" t="s">
        <v>3</v>
      </c>
      <c r="H2" s="147" t="s">
        <v>4</v>
      </c>
      <c r="I2" s="145" t="s">
        <v>5</v>
      </c>
      <c r="J2" s="145" t="s">
        <v>6</v>
      </c>
      <c r="K2" s="146" t="s">
        <v>7</v>
      </c>
      <c r="L2" s="146" t="s">
        <v>1</v>
      </c>
      <c r="M2" s="147" t="s">
        <v>2</v>
      </c>
      <c r="N2" s="147" t="s">
        <v>3</v>
      </c>
      <c r="O2" s="147" t="s">
        <v>4</v>
      </c>
      <c r="P2" s="145" t="s">
        <v>5</v>
      </c>
      <c r="Q2" s="145" t="s">
        <v>6</v>
      </c>
      <c r="R2" s="146" t="s">
        <v>7</v>
      </c>
      <c r="S2" s="146" t="s">
        <v>1</v>
      </c>
      <c r="T2" s="147" t="s">
        <v>2</v>
      </c>
      <c r="U2" s="147" t="s">
        <v>3</v>
      </c>
      <c r="V2" s="147" t="s">
        <v>4</v>
      </c>
      <c r="W2" s="145" t="s">
        <v>5</v>
      </c>
      <c r="X2" s="145" t="s">
        <v>6</v>
      </c>
      <c r="Y2" s="146" t="s">
        <v>7</v>
      </c>
      <c r="Z2" s="146" t="s">
        <v>1</v>
      </c>
      <c r="AA2" s="147" t="s">
        <v>2</v>
      </c>
      <c r="AB2" s="147" t="s">
        <v>3</v>
      </c>
      <c r="AC2" s="147" t="s">
        <v>4</v>
      </c>
      <c r="AD2" s="145" t="s">
        <v>5</v>
      </c>
      <c r="AE2" s="145" t="s">
        <v>6</v>
      </c>
      <c r="AF2" s="146" t="s">
        <v>7</v>
      </c>
      <c r="AG2" s="146" t="s">
        <v>1</v>
      </c>
      <c r="AH2"/>
    </row>
    <row r="3" spans="1:34">
      <c r="A3" s="6"/>
      <c r="B3" s="171"/>
      <c r="C3" s="148">
        <v>1</v>
      </c>
      <c r="D3" s="148">
        <v>2</v>
      </c>
      <c r="E3" s="148">
        <v>3</v>
      </c>
      <c r="F3" s="148">
        <v>4</v>
      </c>
      <c r="G3" s="148">
        <v>5</v>
      </c>
      <c r="H3" s="148">
        <v>6</v>
      </c>
      <c r="I3" s="148">
        <v>7</v>
      </c>
      <c r="J3" s="148">
        <v>8</v>
      </c>
      <c r="K3" s="148">
        <v>9</v>
      </c>
      <c r="L3" s="148">
        <v>10</v>
      </c>
      <c r="M3" s="148">
        <v>11</v>
      </c>
      <c r="N3" s="148">
        <v>12</v>
      </c>
      <c r="O3" s="148">
        <v>13</v>
      </c>
      <c r="P3" s="148">
        <v>14</v>
      </c>
      <c r="Q3" s="148">
        <v>15</v>
      </c>
      <c r="R3" s="148">
        <v>16</v>
      </c>
      <c r="S3" s="148">
        <v>17</v>
      </c>
      <c r="T3" s="148">
        <v>18</v>
      </c>
      <c r="U3" s="148">
        <v>19</v>
      </c>
      <c r="V3" s="148">
        <v>20</v>
      </c>
      <c r="W3" s="148">
        <v>21</v>
      </c>
      <c r="X3" s="148">
        <v>22</v>
      </c>
      <c r="Y3" s="148">
        <v>23</v>
      </c>
      <c r="Z3" s="148">
        <v>24</v>
      </c>
      <c r="AA3" s="148">
        <v>25</v>
      </c>
      <c r="AB3" s="148">
        <v>26</v>
      </c>
      <c r="AC3" s="148">
        <v>27</v>
      </c>
      <c r="AD3" s="148">
        <v>28</v>
      </c>
      <c r="AE3" s="148">
        <v>29</v>
      </c>
      <c r="AF3" s="148">
        <v>30</v>
      </c>
      <c r="AG3" s="148">
        <v>31</v>
      </c>
      <c r="AH3"/>
    </row>
    <row r="4" spans="1:34">
      <c r="A4" s="63" t="s">
        <v>12</v>
      </c>
      <c r="B4" s="62" t="s">
        <v>110</v>
      </c>
      <c r="C4" s="143" t="s">
        <v>7</v>
      </c>
      <c r="D4" s="137" t="s">
        <v>14</v>
      </c>
      <c r="E4" s="137" t="s">
        <v>14</v>
      </c>
      <c r="F4" s="137" t="s">
        <v>14</v>
      </c>
      <c r="G4" s="137" t="s">
        <v>14</v>
      </c>
      <c r="H4" s="137" t="s">
        <v>14</v>
      </c>
      <c r="I4" s="143" t="s">
        <v>7</v>
      </c>
      <c r="J4" s="143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7" t="s">
        <v>15</v>
      </c>
      <c r="Q4" s="137" t="s">
        <v>15</v>
      </c>
      <c r="R4" s="143" t="s">
        <v>7</v>
      </c>
      <c r="S4" s="143" t="s">
        <v>7</v>
      </c>
      <c r="T4" s="143" t="s">
        <v>7</v>
      </c>
      <c r="U4" s="143" t="s">
        <v>7</v>
      </c>
      <c r="V4" s="109" t="s">
        <v>4</v>
      </c>
      <c r="W4" s="143" t="s">
        <v>7</v>
      </c>
      <c r="X4" s="143" t="s">
        <v>7</v>
      </c>
      <c r="Y4" s="137" t="s">
        <v>14</v>
      </c>
      <c r="Z4" s="137" t="s">
        <v>14</v>
      </c>
      <c r="AA4" s="137" t="s">
        <v>14</v>
      </c>
      <c r="AB4" s="137" t="s">
        <v>14</v>
      </c>
      <c r="AC4" s="137" t="s">
        <v>14</v>
      </c>
      <c r="AD4" s="137" t="s">
        <v>15</v>
      </c>
      <c r="AE4" s="137" t="s">
        <v>15</v>
      </c>
      <c r="AF4" s="143" t="s">
        <v>7</v>
      </c>
      <c r="AG4" s="143" t="s">
        <v>7</v>
      </c>
      <c r="AH4"/>
    </row>
    <row r="5" spans="1:34">
      <c r="A5" s="34" t="s">
        <v>12</v>
      </c>
      <c r="B5" s="33" t="s">
        <v>19</v>
      </c>
      <c r="C5" s="137" t="s">
        <v>15</v>
      </c>
      <c r="D5" s="143" t="s">
        <v>7</v>
      </c>
      <c r="E5" s="143" t="s">
        <v>7</v>
      </c>
      <c r="F5" s="143" t="s">
        <v>7</v>
      </c>
      <c r="G5" s="109" t="s">
        <v>4</v>
      </c>
      <c r="H5" s="143" t="s">
        <v>7</v>
      </c>
      <c r="I5" s="143" t="s">
        <v>7</v>
      </c>
      <c r="J5" s="143" t="s">
        <v>7</v>
      </c>
      <c r="K5" s="149" t="s">
        <v>20</v>
      </c>
      <c r="L5" s="149" t="s">
        <v>20</v>
      </c>
      <c r="M5" s="149" t="s">
        <v>20</v>
      </c>
      <c r="N5" s="149" t="s">
        <v>20</v>
      </c>
      <c r="O5" s="149" t="s">
        <v>20</v>
      </c>
      <c r="P5" s="143" t="s">
        <v>7</v>
      </c>
      <c r="Q5" s="143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7" t="s">
        <v>15</v>
      </c>
      <c r="X5" s="137" t="s">
        <v>15</v>
      </c>
      <c r="Y5" s="143" t="s">
        <v>7</v>
      </c>
      <c r="Z5" s="143" t="s">
        <v>7</v>
      </c>
      <c r="AA5" s="143" t="s">
        <v>7</v>
      </c>
      <c r="AB5" s="143" t="s">
        <v>7</v>
      </c>
      <c r="AC5" s="109" t="s">
        <v>4</v>
      </c>
      <c r="AD5" s="143" t="s">
        <v>7</v>
      </c>
      <c r="AE5" s="143" t="s">
        <v>7</v>
      </c>
      <c r="AF5" s="137" t="s">
        <v>14</v>
      </c>
      <c r="AG5" s="137" t="s">
        <v>14</v>
      </c>
      <c r="AH5"/>
    </row>
    <row r="6" spans="1:34">
      <c r="A6" s="34" t="s">
        <v>12</v>
      </c>
      <c r="B6" s="33" t="s">
        <v>21</v>
      </c>
      <c r="C6" s="143" t="s">
        <v>7</v>
      </c>
      <c r="D6" s="149" t="s">
        <v>20</v>
      </c>
      <c r="E6" s="149" t="s">
        <v>20</v>
      </c>
      <c r="F6" s="149" t="s">
        <v>20</v>
      </c>
      <c r="G6" s="149" t="s">
        <v>20</v>
      </c>
      <c r="H6" s="149" t="s">
        <v>20</v>
      </c>
      <c r="I6" s="137" t="s">
        <v>15</v>
      </c>
      <c r="J6" s="137" t="s">
        <v>15</v>
      </c>
      <c r="K6" s="143" t="s">
        <v>7</v>
      </c>
      <c r="L6" s="143" t="s">
        <v>7</v>
      </c>
      <c r="M6" s="143" t="s">
        <v>7</v>
      </c>
      <c r="N6" s="143" t="s">
        <v>7</v>
      </c>
      <c r="O6" s="109" t="s">
        <v>4</v>
      </c>
      <c r="P6" s="143" t="s">
        <v>7</v>
      </c>
      <c r="Q6" s="143" t="s">
        <v>7</v>
      </c>
      <c r="R6" s="149" t="s">
        <v>20</v>
      </c>
      <c r="S6" s="149" t="s">
        <v>20</v>
      </c>
      <c r="T6" s="149" t="s">
        <v>20</v>
      </c>
      <c r="U6" s="149" t="s">
        <v>20</v>
      </c>
      <c r="V6" s="149" t="s">
        <v>20</v>
      </c>
      <c r="W6" s="143" t="s">
        <v>7</v>
      </c>
      <c r="X6" s="143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7" t="s">
        <v>15</v>
      </c>
      <c r="AE6" s="137" t="s">
        <v>15</v>
      </c>
      <c r="AF6" s="143" t="s">
        <v>7</v>
      </c>
      <c r="AG6" s="143" t="s">
        <v>7</v>
      </c>
      <c r="AH6"/>
    </row>
    <row r="7" spans="1:34">
      <c r="A7" s="34" t="s">
        <v>12</v>
      </c>
      <c r="B7" s="33" t="s">
        <v>22</v>
      </c>
      <c r="C7" s="137" t="s">
        <v>15</v>
      </c>
      <c r="D7" s="143" t="s">
        <v>7</v>
      </c>
      <c r="E7" s="143" t="s">
        <v>7</v>
      </c>
      <c r="F7" s="143" t="s">
        <v>7</v>
      </c>
      <c r="G7" s="143" t="s">
        <v>7</v>
      </c>
      <c r="H7" s="109" t="s">
        <v>4</v>
      </c>
      <c r="I7" s="143" t="s">
        <v>7</v>
      </c>
      <c r="J7" s="143" t="s">
        <v>7</v>
      </c>
      <c r="K7" s="137" t="s">
        <v>14</v>
      </c>
      <c r="L7" s="137" t="s">
        <v>14</v>
      </c>
      <c r="M7" s="137" t="s">
        <v>14</v>
      </c>
      <c r="N7" s="137" t="s">
        <v>14</v>
      </c>
      <c r="O7" s="137" t="s">
        <v>14</v>
      </c>
      <c r="P7" s="137" t="s">
        <v>15</v>
      </c>
      <c r="Q7" s="137" t="s">
        <v>15</v>
      </c>
      <c r="R7" s="143" t="s">
        <v>7</v>
      </c>
      <c r="S7" s="143" t="s">
        <v>7</v>
      </c>
      <c r="T7" s="143" t="s">
        <v>7</v>
      </c>
      <c r="U7" s="109" t="s">
        <v>4</v>
      </c>
      <c r="V7" s="143" t="s">
        <v>7</v>
      </c>
      <c r="W7" s="143" t="s">
        <v>7</v>
      </c>
      <c r="X7" s="143" t="s">
        <v>7</v>
      </c>
      <c r="Y7" s="149" t="s">
        <v>20</v>
      </c>
      <c r="Z7" s="149" t="s">
        <v>20</v>
      </c>
      <c r="AA7" s="149" t="s">
        <v>20</v>
      </c>
      <c r="AB7" s="149" t="s">
        <v>20</v>
      </c>
      <c r="AC7" s="149" t="s">
        <v>20</v>
      </c>
      <c r="AD7" s="143" t="s">
        <v>7</v>
      </c>
      <c r="AE7" s="143" t="s">
        <v>7</v>
      </c>
      <c r="AF7" s="121" t="s">
        <v>14</v>
      </c>
      <c r="AG7" s="121" t="s">
        <v>14</v>
      </c>
      <c r="AH7"/>
    </row>
    <row r="8" spans="1:34">
      <c r="A8" s="34" t="s">
        <v>12</v>
      </c>
      <c r="B8" s="33" t="s">
        <v>59</v>
      </c>
      <c r="C8" s="143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7" t="s">
        <v>15</v>
      </c>
      <c r="J8" s="137" t="s">
        <v>15</v>
      </c>
      <c r="K8" s="143" t="s">
        <v>7</v>
      </c>
      <c r="L8" s="143" t="s">
        <v>7</v>
      </c>
      <c r="M8" s="143" t="s">
        <v>7</v>
      </c>
      <c r="N8" s="109" t="s">
        <v>4</v>
      </c>
      <c r="O8" s="143" t="s">
        <v>7</v>
      </c>
      <c r="P8" s="143" t="s">
        <v>7</v>
      </c>
      <c r="Q8" s="143" t="s">
        <v>7</v>
      </c>
      <c r="R8" s="137" t="s">
        <v>14</v>
      </c>
      <c r="S8" s="137" t="s">
        <v>14</v>
      </c>
      <c r="T8" s="137" t="s">
        <v>14</v>
      </c>
      <c r="U8" s="137" t="s">
        <v>14</v>
      </c>
      <c r="V8" s="137" t="s">
        <v>14</v>
      </c>
      <c r="W8" s="137" t="s">
        <v>15</v>
      </c>
      <c r="X8" s="137" t="s">
        <v>15</v>
      </c>
      <c r="Y8" s="143" t="s">
        <v>7</v>
      </c>
      <c r="Z8" s="143" t="s">
        <v>7</v>
      </c>
      <c r="AA8" s="143" t="s">
        <v>7</v>
      </c>
      <c r="AB8" s="109" t="s">
        <v>4</v>
      </c>
      <c r="AC8" s="143" t="s">
        <v>7</v>
      </c>
      <c r="AD8" s="143" t="s">
        <v>7</v>
      </c>
      <c r="AE8" s="143" t="s">
        <v>7</v>
      </c>
      <c r="AF8" s="149" t="s">
        <v>20</v>
      </c>
      <c r="AG8" s="149" t="s">
        <v>20</v>
      </c>
      <c r="AH8"/>
    </row>
    <row r="9" spans="1:34">
      <c r="A9" s="34"/>
      <c r="C9" s="150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0"/>
      <c r="AF9" s="150"/>
      <c r="AG9" s="150"/>
      <c r="AH9"/>
    </row>
    <row r="10" spans="1:34">
      <c r="A10" s="34" t="s">
        <v>12</v>
      </c>
      <c r="B10" s="33" t="s">
        <v>101</v>
      </c>
      <c r="C10" s="136" t="s">
        <v>7</v>
      </c>
      <c r="D10" s="152" t="s">
        <v>16</v>
      </c>
      <c r="E10" s="152" t="s">
        <v>16</v>
      </c>
      <c r="F10" s="152" t="s">
        <v>16</v>
      </c>
      <c r="G10" s="152" t="s">
        <v>16</v>
      </c>
      <c r="H10" s="152" t="s">
        <v>16</v>
      </c>
      <c r="I10" s="152" t="s">
        <v>17</v>
      </c>
      <c r="J10" s="152" t="s">
        <v>17</v>
      </c>
      <c r="K10" s="136" t="s">
        <v>7</v>
      </c>
      <c r="L10" s="136" t="s">
        <v>7</v>
      </c>
      <c r="M10" s="136" t="s">
        <v>7</v>
      </c>
      <c r="N10" s="136" t="s">
        <v>7</v>
      </c>
      <c r="O10" s="136" t="s">
        <v>7</v>
      </c>
      <c r="P10" s="158" t="s">
        <v>17</v>
      </c>
      <c r="Q10" s="158" t="s">
        <v>17</v>
      </c>
      <c r="R10" s="153" t="s">
        <v>20</v>
      </c>
      <c r="S10" s="153" t="s">
        <v>20</v>
      </c>
      <c r="T10" s="153" t="s">
        <v>20</v>
      </c>
      <c r="U10" s="153" t="s">
        <v>20</v>
      </c>
      <c r="V10" s="158" t="s">
        <v>16</v>
      </c>
      <c r="W10" s="136" t="s">
        <v>7</v>
      </c>
      <c r="X10" s="136" t="s">
        <v>7</v>
      </c>
      <c r="Y10" s="158" t="s">
        <v>20</v>
      </c>
      <c r="Z10" s="158" t="s">
        <v>20</v>
      </c>
      <c r="AA10" s="158" t="s">
        <v>20</v>
      </c>
      <c r="AB10" s="158" t="s">
        <v>20</v>
      </c>
      <c r="AC10" s="158" t="s">
        <v>20</v>
      </c>
      <c r="AD10" s="159" t="s">
        <v>7</v>
      </c>
      <c r="AE10" s="159" t="s">
        <v>7</v>
      </c>
      <c r="AF10" s="136" t="s">
        <v>7</v>
      </c>
      <c r="AG10" s="136" t="s">
        <v>7</v>
      </c>
      <c r="AH10"/>
    </row>
    <row r="11" spans="1:34">
      <c r="A11" s="34" t="s">
        <v>12</v>
      </c>
      <c r="B11" s="33" t="s">
        <v>53</v>
      </c>
      <c r="C11" s="152" t="s">
        <v>17</v>
      </c>
      <c r="D11" s="136" t="s">
        <v>7</v>
      </c>
      <c r="E11" s="136" t="s">
        <v>7</v>
      </c>
      <c r="F11" s="136" t="s">
        <v>7</v>
      </c>
      <c r="G11" s="136" t="s">
        <v>7</v>
      </c>
      <c r="H11" s="136" t="s">
        <v>7</v>
      </c>
      <c r="I11" s="136" t="s">
        <v>7</v>
      </c>
      <c r="J11" s="136" t="s">
        <v>7</v>
      </c>
      <c r="K11" s="152" t="s">
        <v>16</v>
      </c>
      <c r="L11" s="152" t="s">
        <v>16</v>
      </c>
      <c r="M11" s="152" t="s">
        <v>16</v>
      </c>
      <c r="N11" s="152" t="s">
        <v>16</v>
      </c>
      <c r="O11" s="152" t="s">
        <v>16</v>
      </c>
      <c r="P11" s="136" t="s">
        <v>7</v>
      </c>
      <c r="Q11" s="136" t="s">
        <v>7</v>
      </c>
      <c r="R11" s="136" t="s">
        <v>7</v>
      </c>
      <c r="S11" s="136" t="s">
        <v>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58" t="s">
        <v>16</v>
      </c>
      <c r="Z11" s="158" t="s">
        <v>16</v>
      </c>
      <c r="AA11" s="158" t="s">
        <v>16</v>
      </c>
      <c r="AB11" s="158" t="s">
        <v>16</v>
      </c>
      <c r="AC11" s="158" t="s">
        <v>16</v>
      </c>
      <c r="AD11" s="158" t="s">
        <v>17</v>
      </c>
      <c r="AE11" s="158" t="s">
        <v>17</v>
      </c>
      <c r="AF11" s="152" t="s">
        <v>16</v>
      </c>
      <c r="AG11" s="152" t="s">
        <v>16</v>
      </c>
      <c r="AH11"/>
    </row>
    <row r="12" spans="1:34">
      <c r="A12" s="34" t="s">
        <v>12</v>
      </c>
      <c r="B12" s="33" t="s">
        <v>24</v>
      </c>
      <c r="C12" s="136" t="s">
        <v>7</v>
      </c>
      <c r="D12" s="152" t="s">
        <v>16</v>
      </c>
      <c r="E12" s="152" t="s">
        <v>16</v>
      </c>
      <c r="F12" s="152" t="s">
        <v>16</v>
      </c>
      <c r="G12" s="152" t="s">
        <v>16</v>
      </c>
      <c r="H12" s="152" t="s">
        <v>16</v>
      </c>
      <c r="I12" s="152" t="s">
        <v>17</v>
      </c>
      <c r="J12" s="152" t="s">
        <v>17</v>
      </c>
      <c r="K12" s="136" t="s">
        <v>7</v>
      </c>
      <c r="L12" s="136" t="s">
        <v>7</v>
      </c>
      <c r="M12" s="136" t="s">
        <v>7</v>
      </c>
      <c r="N12" s="136" t="s">
        <v>7</v>
      </c>
      <c r="O12" s="136" t="s">
        <v>7</v>
      </c>
      <c r="P12" s="136" t="s">
        <v>7</v>
      </c>
      <c r="Q12" s="136" t="s">
        <v>7</v>
      </c>
      <c r="R12" s="152" t="s">
        <v>16</v>
      </c>
      <c r="S12" s="152" t="s">
        <v>16</v>
      </c>
      <c r="T12" s="152" t="s">
        <v>16</v>
      </c>
      <c r="U12" s="152" t="s">
        <v>16</v>
      </c>
      <c r="V12" s="158" t="s">
        <v>20</v>
      </c>
      <c r="W12" s="152" t="s">
        <v>17</v>
      </c>
      <c r="X12" s="152" t="s">
        <v>17</v>
      </c>
      <c r="Y12" s="136" t="s">
        <v>7</v>
      </c>
      <c r="Z12" s="136" t="s">
        <v>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53" t="s">
        <v>20</v>
      </c>
      <c r="AG12" s="153" t="s">
        <v>20</v>
      </c>
      <c r="AH12"/>
    </row>
    <row r="13" spans="1:34">
      <c r="A13" s="34" t="s">
        <v>12</v>
      </c>
      <c r="B13" s="33" t="s">
        <v>84</v>
      </c>
      <c r="C13" s="136" t="s">
        <v>7</v>
      </c>
      <c r="D13" s="153" t="s">
        <v>20</v>
      </c>
      <c r="E13" s="153" t="s">
        <v>20</v>
      </c>
      <c r="F13" s="153" t="s">
        <v>20</v>
      </c>
      <c r="G13" s="153" t="s">
        <v>20</v>
      </c>
      <c r="H13" s="153" t="s">
        <v>20</v>
      </c>
      <c r="I13" s="136" t="s">
        <v>7</v>
      </c>
      <c r="J13" s="136" t="s">
        <v>7</v>
      </c>
      <c r="K13" s="152" t="s">
        <v>16</v>
      </c>
      <c r="L13" s="152" t="s">
        <v>16</v>
      </c>
      <c r="M13" s="152" t="s">
        <v>16</v>
      </c>
      <c r="N13" s="152" t="s">
        <v>16</v>
      </c>
      <c r="O13" s="152" t="s">
        <v>16</v>
      </c>
      <c r="P13" s="152" t="s">
        <v>17</v>
      </c>
      <c r="Q13" s="152" t="s">
        <v>17</v>
      </c>
      <c r="R13" s="136" t="s">
        <v>7</v>
      </c>
      <c r="S13" s="136" t="s">
        <v>7</v>
      </c>
      <c r="T13" s="136" t="s">
        <v>7</v>
      </c>
      <c r="U13" s="136" t="s">
        <v>7</v>
      </c>
      <c r="V13" s="136" t="s">
        <v>7</v>
      </c>
      <c r="W13" s="136" t="s">
        <v>7</v>
      </c>
      <c r="X13" s="136" t="s">
        <v>7</v>
      </c>
      <c r="Y13" s="152" t="s">
        <v>16</v>
      </c>
      <c r="Z13" s="152" t="s">
        <v>16</v>
      </c>
      <c r="AA13" s="152" t="s">
        <v>16</v>
      </c>
      <c r="AB13" s="152" t="s">
        <v>16</v>
      </c>
      <c r="AC13" s="152" t="s">
        <v>16</v>
      </c>
      <c r="AD13" s="152" t="s">
        <v>17</v>
      </c>
      <c r="AE13" s="152" t="s">
        <v>17</v>
      </c>
      <c r="AF13" s="136" t="s">
        <v>7</v>
      </c>
      <c r="AG13" s="136" t="s">
        <v>7</v>
      </c>
      <c r="AH13"/>
    </row>
    <row r="14" spans="1:34">
      <c r="A14" s="34" t="s">
        <v>12</v>
      </c>
      <c r="B14" s="33" t="s">
        <v>102</v>
      </c>
      <c r="C14" s="136" t="s">
        <v>7</v>
      </c>
      <c r="D14" s="153" t="s">
        <v>20</v>
      </c>
      <c r="E14" s="153" t="s">
        <v>20</v>
      </c>
      <c r="F14" s="153" t="s">
        <v>20</v>
      </c>
      <c r="G14" s="153" t="s">
        <v>20</v>
      </c>
      <c r="H14" s="153" t="s">
        <v>20</v>
      </c>
      <c r="I14" s="155" t="s">
        <v>7</v>
      </c>
      <c r="J14" s="155" t="s">
        <v>7</v>
      </c>
      <c r="K14" s="156" t="s">
        <v>20</v>
      </c>
      <c r="L14" s="156" t="s">
        <v>20</v>
      </c>
      <c r="M14" s="156" t="s">
        <v>20</v>
      </c>
      <c r="N14" s="156" t="s">
        <v>20</v>
      </c>
      <c r="O14" s="156" t="s">
        <v>20</v>
      </c>
      <c r="P14" s="155" t="s">
        <v>7</v>
      </c>
      <c r="Q14" s="155" t="s">
        <v>7</v>
      </c>
      <c r="R14" s="154" t="s">
        <v>16</v>
      </c>
      <c r="S14" s="154" t="s">
        <v>16</v>
      </c>
      <c r="T14" s="154" t="s">
        <v>16</v>
      </c>
      <c r="U14" s="154" t="s">
        <v>16</v>
      </c>
      <c r="V14" s="154" t="s">
        <v>16</v>
      </c>
      <c r="W14" s="152" t="s">
        <v>17</v>
      </c>
      <c r="X14" s="152" t="s">
        <v>17</v>
      </c>
      <c r="Y14" s="155" t="s">
        <v>7</v>
      </c>
      <c r="Z14" s="155" t="s">
        <v>7</v>
      </c>
      <c r="AA14" s="155" t="s">
        <v>7</v>
      </c>
      <c r="AB14" s="155" t="s">
        <v>7</v>
      </c>
      <c r="AC14" s="155" t="s">
        <v>7</v>
      </c>
      <c r="AD14" s="155" t="s">
        <v>7</v>
      </c>
      <c r="AE14" s="155" t="s">
        <v>7</v>
      </c>
      <c r="AF14" s="154" t="s">
        <v>16</v>
      </c>
      <c r="AG14" s="154" t="s">
        <v>16</v>
      </c>
      <c r="AH14"/>
    </row>
    <row r="15" spans="1:34">
      <c r="AH15"/>
    </row>
    <row r="16" spans="1:34">
      <c r="AH16"/>
    </row>
    <row r="17" spans="1:34">
      <c r="A17" s="34" t="s">
        <v>28</v>
      </c>
      <c r="B17" s="37" t="s">
        <v>29</v>
      </c>
      <c r="C17" s="28" t="s">
        <v>30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9" t="s">
        <v>30</v>
      </c>
      <c r="J17" s="9" t="s">
        <v>30</v>
      </c>
      <c r="K17" s="4" t="s">
        <v>61</v>
      </c>
      <c r="L17" s="1" t="s">
        <v>11</v>
      </c>
      <c r="M17" s="1" t="s">
        <v>11</v>
      </c>
      <c r="N17" s="1" t="s">
        <v>11</v>
      </c>
      <c r="O17" s="1" t="s">
        <v>11</v>
      </c>
      <c r="P17" s="28" t="s">
        <v>7</v>
      </c>
      <c r="Q17" s="28" t="s">
        <v>7</v>
      </c>
      <c r="R17" s="1" t="s">
        <v>54</v>
      </c>
      <c r="S17" s="4" t="s">
        <v>54</v>
      </c>
      <c r="T17" s="4" t="s">
        <v>54</v>
      </c>
      <c r="U17" s="4" t="s">
        <v>54</v>
      </c>
      <c r="V17" s="4" t="s">
        <v>54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9" t="s">
        <v>30</v>
      </c>
      <c r="AE17" s="9" t="s">
        <v>30</v>
      </c>
      <c r="AF17" s="1" t="s">
        <v>11</v>
      </c>
      <c r="AG17" s="1" t="s">
        <v>11</v>
      </c>
      <c r="AH17"/>
    </row>
    <row r="18" spans="1:34">
      <c r="A18" s="34" t="s">
        <v>28</v>
      </c>
      <c r="B18" s="37" t="s">
        <v>60</v>
      </c>
      <c r="C18" s="28" t="s">
        <v>7</v>
      </c>
      <c r="D18" s="4" t="s">
        <v>54</v>
      </c>
      <c r="E18" s="4" t="s">
        <v>54</v>
      </c>
      <c r="F18" s="4" t="s">
        <v>54</v>
      </c>
      <c r="G18" s="4" t="s">
        <v>54</v>
      </c>
      <c r="H18" s="4" t="s">
        <v>54</v>
      </c>
      <c r="I18" s="28" t="s">
        <v>7</v>
      </c>
      <c r="J18" s="28" t="s">
        <v>7</v>
      </c>
      <c r="K18" s="1" t="s">
        <v>32</v>
      </c>
      <c r="L18" s="4" t="s">
        <v>85</v>
      </c>
      <c r="M18" s="4" t="s">
        <v>85</v>
      </c>
      <c r="N18" s="4" t="s">
        <v>85</v>
      </c>
      <c r="O18" s="4" t="s">
        <v>85</v>
      </c>
      <c r="P18" s="9" t="s">
        <v>30</v>
      </c>
      <c r="Q18" s="9" t="s">
        <v>30</v>
      </c>
      <c r="R18" s="4" t="s">
        <v>11</v>
      </c>
      <c r="S18" s="1" t="s">
        <v>11</v>
      </c>
      <c r="T18" s="1" t="s">
        <v>11</v>
      </c>
      <c r="U18" s="1" t="s">
        <v>11</v>
      </c>
      <c r="V18" s="1" t="s">
        <v>11</v>
      </c>
      <c r="W18" s="28" t="s">
        <v>7</v>
      </c>
      <c r="X18" s="28" t="s">
        <v>7</v>
      </c>
      <c r="Y18" s="4" t="s">
        <v>54</v>
      </c>
      <c r="Z18" s="4" t="s">
        <v>54</v>
      </c>
      <c r="AA18" s="4" t="s">
        <v>54</v>
      </c>
      <c r="AB18" s="4" t="s">
        <v>54</v>
      </c>
      <c r="AC18" s="4" t="s">
        <v>54</v>
      </c>
      <c r="AD18" s="28" t="s">
        <v>7</v>
      </c>
      <c r="AE18" s="28" t="s">
        <v>7</v>
      </c>
      <c r="AF18" s="4" t="s">
        <v>85</v>
      </c>
      <c r="AG18" s="4" t="s">
        <v>85</v>
      </c>
      <c r="AH18"/>
    </row>
    <row r="19" spans="1:34">
      <c r="A19" s="34" t="s">
        <v>28</v>
      </c>
      <c r="B19" s="37" t="s">
        <v>13</v>
      </c>
      <c r="C19" s="28" t="s">
        <v>7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54</v>
      </c>
      <c r="L19" s="4" t="s">
        <v>54</v>
      </c>
      <c r="M19" s="4" t="s">
        <v>54</v>
      </c>
      <c r="N19" s="4" t="s">
        <v>54</v>
      </c>
      <c r="O19" s="4" t="s">
        <v>54</v>
      </c>
      <c r="P19" s="28" t="s">
        <v>7</v>
      </c>
      <c r="Q19" s="28" t="s">
        <v>7</v>
      </c>
      <c r="R19" s="4" t="s">
        <v>85</v>
      </c>
      <c r="S19" s="4" t="s">
        <v>85</v>
      </c>
      <c r="T19" s="4" t="s">
        <v>85</v>
      </c>
      <c r="U19" s="4" t="s">
        <v>85</v>
      </c>
      <c r="V19" s="4" t="s">
        <v>85</v>
      </c>
      <c r="W19" s="9" t="s">
        <v>30</v>
      </c>
      <c r="X19" s="9" t="s">
        <v>30</v>
      </c>
      <c r="Y19" s="1" t="s">
        <v>11</v>
      </c>
      <c r="Z19" s="1" t="s">
        <v>11</v>
      </c>
      <c r="AA19" s="1" t="s">
        <v>11</v>
      </c>
      <c r="AB19" s="1" t="s">
        <v>11</v>
      </c>
      <c r="AC19" s="1" t="s">
        <v>11</v>
      </c>
      <c r="AD19" s="28" t="s">
        <v>7</v>
      </c>
      <c r="AE19" s="28" t="s">
        <v>7</v>
      </c>
      <c r="AF19" s="4" t="s">
        <v>54</v>
      </c>
      <c r="AG19" s="4" t="s">
        <v>54</v>
      </c>
      <c r="AH19"/>
    </row>
    <row r="21" spans="1:34">
      <c r="B21" s="111" t="s">
        <v>89</v>
      </c>
      <c r="C21" s="110">
        <f t="shared" ref="C21:AG21" si="0">SUM(C22:C24)</f>
        <v>3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>
      <c r="B23" s="111" t="s">
        <v>91</v>
      </c>
      <c r="C23" s="112">
        <f t="shared" ref="C23:AG23" si="2">COUNTIF(C4:C19,"N")+COUNTIF(C4:C19,"NF")</f>
        <v>1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>
      <c r="B26" t="s">
        <v>65</v>
      </c>
    </row>
    <row r="27" spans="1:34">
      <c r="B27" s="5" t="s">
        <v>66</v>
      </c>
    </row>
    <row r="28" spans="1:34">
      <c r="B28" s="5" t="s">
        <v>67</v>
      </c>
    </row>
    <row r="29" spans="1:34">
      <c r="B29" s="1" t="s">
        <v>68</v>
      </c>
    </row>
    <row r="30" spans="1:34">
      <c r="B30" s="7" t="s">
        <v>69</v>
      </c>
    </row>
    <row r="31" spans="1:34">
      <c r="B31" s="3" t="s">
        <v>70</v>
      </c>
    </row>
    <row r="32" spans="1:34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8" priority="1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7027-4E2C-404E-807A-E0A3F9193804}">
  <dimension ref="A1:AH42"/>
  <sheetViews>
    <sheetView workbookViewId="0">
      <selection activeCell="AG2" sqref="B1:AG28"/>
    </sheetView>
  </sheetViews>
  <sheetFormatPr defaultColWidth="8.85546875" defaultRowHeight="1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71"/>
      <c r="C1" s="172" t="s">
        <v>111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4">
      <c r="A2" s="6"/>
      <c r="B2" s="171"/>
      <c r="C2" s="83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3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98</v>
      </c>
      <c r="C4" s="7" t="s">
        <v>20</v>
      </c>
      <c r="D4" s="28" t="s">
        <v>7</v>
      </c>
      <c r="E4" s="28" t="s">
        <v>7</v>
      </c>
      <c r="F4" s="47" t="s">
        <v>20</v>
      </c>
      <c r="G4" s="1" t="s">
        <v>14</v>
      </c>
      <c r="H4" s="1" t="s">
        <v>14</v>
      </c>
      <c r="I4" s="47" t="s">
        <v>20</v>
      </c>
      <c r="J4" s="1" t="s">
        <v>14</v>
      </c>
      <c r="K4" s="5" t="s">
        <v>15</v>
      </c>
      <c r="L4" s="5" t="s">
        <v>15</v>
      </c>
      <c r="M4" s="28" t="s">
        <v>7</v>
      </c>
      <c r="N4" s="28" t="s">
        <v>7</v>
      </c>
      <c r="O4" s="28" t="s">
        <v>7</v>
      </c>
      <c r="P4" s="109" t="s">
        <v>4</v>
      </c>
      <c r="Q4" s="28" t="s">
        <v>7</v>
      </c>
      <c r="R4" s="28" t="s">
        <v>7</v>
      </c>
      <c r="S4" s="28" t="s">
        <v>7</v>
      </c>
      <c r="T4" s="7" t="s">
        <v>20</v>
      </c>
      <c r="U4" s="7" t="s">
        <v>20</v>
      </c>
      <c r="V4" s="7" t="s">
        <v>20</v>
      </c>
      <c r="W4" s="7" t="s">
        <v>20</v>
      </c>
      <c r="X4" s="7" t="s">
        <v>20</v>
      </c>
      <c r="Y4" s="28" t="s">
        <v>7</v>
      </c>
      <c r="Z4" s="28" t="s">
        <v>7</v>
      </c>
      <c r="AA4" s="7" t="s">
        <v>20</v>
      </c>
      <c r="AB4" s="1" t="s">
        <v>14</v>
      </c>
      <c r="AC4" s="1" t="s">
        <v>14</v>
      </c>
      <c r="AD4" s="7" t="s">
        <v>20</v>
      </c>
      <c r="AE4" s="7" t="s">
        <v>20</v>
      </c>
      <c r="AF4" s="5" t="s">
        <v>15</v>
      </c>
      <c r="AG4" s="5" t="s">
        <v>15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47" t="s">
        <v>14</v>
      </c>
      <c r="G5" s="7" t="s">
        <v>20</v>
      </c>
      <c r="H5" s="7" t="s">
        <v>20</v>
      </c>
      <c r="I5" s="47" t="s">
        <v>14</v>
      </c>
      <c r="J5" s="7" t="s">
        <v>20</v>
      </c>
      <c r="K5" s="28" t="s">
        <v>7</v>
      </c>
      <c r="L5" s="28" t="s">
        <v>7</v>
      </c>
      <c r="M5" s="1" t="s">
        <v>14</v>
      </c>
      <c r="N5" s="1" t="s">
        <v>14</v>
      </c>
      <c r="O5" s="1" t="s">
        <v>14</v>
      </c>
      <c r="P5" s="1" t="s">
        <v>14</v>
      </c>
      <c r="Q5" s="5" t="s">
        <v>14</v>
      </c>
      <c r="R5" s="5" t="s">
        <v>15</v>
      </c>
      <c r="S5" s="5" t="s">
        <v>15</v>
      </c>
      <c r="T5" s="28" t="s">
        <v>7</v>
      </c>
      <c r="U5" s="28" t="s">
        <v>7</v>
      </c>
      <c r="V5" s="28" t="s">
        <v>7</v>
      </c>
      <c r="W5" s="109" t="s">
        <v>4</v>
      </c>
      <c r="X5" s="28" t="s">
        <v>7</v>
      </c>
      <c r="Y5" s="28" t="s">
        <v>7</v>
      </c>
      <c r="Z5" s="28" t="s">
        <v>7</v>
      </c>
      <c r="AA5" s="1" t="s">
        <v>14</v>
      </c>
      <c r="AB5" s="7" t="s">
        <v>20</v>
      </c>
      <c r="AC5" s="7" t="s">
        <v>20</v>
      </c>
      <c r="AD5" s="1" t="s">
        <v>14</v>
      </c>
      <c r="AE5" s="1" t="s">
        <v>14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59</v>
      </c>
      <c r="C6" s="5" t="s">
        <v>14</v>
      </c>
      <c r="D6" s="5" t="s">
        <v>15</v>
      </c>
      <c r="E6" s="5" t="s">
        <v>15</v>
      </c>
      <c r="F6" s="28" t="s">
        <v>7</v>
      </c>
      <c r="G6" s="28" t="s">
        <v>7</v>
      </c>
      <c r="H6" s="28" t="s">
        <v>7</v>
      </c>
      <c r="I6" s="109" t="s">
        <v>4</v>
      </c>
      <c r="J6" s="28" t="s">
        <v>7</v>
      </c>
      <c r="K6" s="28" t="s">
        <v>7</v>
      </c>
      <c r="L6" s="28" t="s">
        <v>7</v>
      </c>
      <c r="M6" s="7" t="s">
        <v>20</v>
      </c>
      <c r="N6" s="7" t="s">
        <v>20</v>
      </c>
      <c r="O6" s="7" t="s">
        <v>20</v>
      </c>
      <c r="P6" s="7" t="s">
        <v>20</v>
      </c>
      <c r="Q6" s="7" t="s">
        <v>20</v>
      </c>
      <c r="R6" s="28" t="s">
        <v>7</v>
      </c>
      <c r="S6" s="28" t="s">
        <v>7</v>
      </c>
      <c r="T6" s="1" t="s">
        <v>14</v>
      </c>
      <c r="U6" s="1" t="s">
        <v>14</v>
      </c>
      <c r="V6" s="1" t="s">
        <v>14</v>
      </c>
      <c r="W6" s="1" t="s">
        <v>14</v>
      </c>
      <c r="X6" s="1" t="s">
        <v>14</v>
      </c>
      <c r="Y6" s="5" t="s">
        <v>15</v>
      </c>
      <c r="Z6" s="5" t="s">
        <v>15</v>
      </c>
      <c r="AA6" s="28" t="s">
        <v>7</v>
      </c>
      <c r="AB6" s="28" t="s">
        <v>7</v>
      </c>
      <c r="AC6" s="166" t="s">
        <v>16</v>
      </c>
      <c r="AD6" s="166" t="s">
        <v>16</v>
      </c>
      <c r="AE6" s="28" t="s">
        <v>7</v>
      </c>
      <c r="AF6" s="28" t="s">
        <v>7</v>
      </c>
      <c r="AG6" s="28" t="s">
        <v>7</v>
      </c>
      <c r="AH6"/>
    </row>
    <row r="7" spans="1:34">
      <c r="AH7"/>
    </row>
    <row r="8" spans="1:34">
      <c r="A8" s="34" t="s">
        <v>12</v>
      </c>
      <c r="B8" s="33" t="s">
        <v>46</v>
      </c>
      <c r="C8" s="162" t="s">
        <v>83</v>
      </c>
      <c r="D8" s="143" t="s">
        <v>7</v>
      </c>
      <c r="E8" s="143" t="s">
        <v>7</v>
      </c>
      <c r="F8" s="162" t="s">
        <v>83</v>
      </c>
      <c r="G8" s="162" t="s">
        <v>83</v>
      </c>
      <c r="H8" s="162" t="s">
        <v>83</v>
      </c>
      <c r="I8" s="162" t="s">
        <v>83</v>
      </c>
      <c r="J8" s="162" t="s">
        <v>83</v>
      </c>
      <c r="K8" s="143" t="s">
        <v>7</v>
      </c>
      <c r="L8" s="143" t="s">
        <v>7</v>
      </c>
      <c r="M8" s="162" t="s">
        <v>83</v>
      </c>
      <c r="N8" s="162" t="s">
        <v>83</v>
      </c>
      <c r="O8" s="162" t="s">
        <v>83</v>
      </c>
      <c r="P8" s="162" t="s">
        <v>83</v>
      </c>
      <c r="Q8" s="162" t="s">
        <v>83</v>
      </c>
      <c r="R8" s="143" t="s">
        <v>7</v>
      </c>
      <c r="S8" s="143" t="s">
        <v>7</v>
      </c>
      <c r="T8" s="162" t="s">
        <v>83</v>
      </c>
      <c r="U8" s="162" t="s">
        <v>83</v>
      </c>
      <c r="V8" s="162" t="s">
        <v>83</v>
      </c>
      <c r="W8" s="162" t="s">
        <v>83</v>
      </c>
      <c r="X8" s="162" t="s">
        <v>83</v>
      </c>
      <c r="Y8" s="143" t="s">
        <v>7</v>
      </c>
      <c r="Z8" s="143" t="s">
        <v>7</v>
      </c>
      <c r="AA8" s="162" t="s">
        <v>83</v>
      </c>
      <c r="AB8" s="162" t="s">
        <v>83</v>
      </c>
      <c r="AC8" s="162" t="s">
        <v>83</v>
      </c>
      <c r="AD8" s="162" t="s">
        <v>83</v>
      </c>
      <c r="AE8" s="162" t="s">
        <v>83</v>
      </c>
      <c r="AF8" s="163" t="s">
        <v>7</v>
      </c>
      <c r="AG8" s="28" t="s">
        <v>7</v>
      </c>
      <c r="AH8"/>
    </row>
    <row r="9" spans="1:34">
      <c r="A9" s="34"/>
      <c r="B9" s="40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H9"/>
    </row>
    <row r="10" spans="1:34">
      <c r="A10" s="34" t="s">
        <v>12</v>
      </c>
      <c r="B10" s="33" t="s">
        <v>101</v>
      </c>
      <c r="C10" s="130" t="s">
        <v>16</v>
      </c>
      <c r="D10" s="130" t="s">
        <v>17</v>
      </c>
      <c r="E10" s="130" t="s">
        <v>17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28" t="s">
        <v>7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15</v>
      </c>
      <c r="S10" s="5" t="s">
        <v>15</v>
      </c>
      <c r="T10" s="118" t="s">
        <v>83</v>
      </c>
      <c r="U10" s="118" t="s">
        <v>83</v>
      </c>
      <c r="V10" s="118" t="s">
        <v>83</v>
      </c>
      <c r="W10" s="118" t="s">
        <v>83</v>
      </c>
      <c r="X10" s="118" t="s">
        <v>83</v>
      </c>
      <c r="Y10" s="28" t="s">
        <v>7</v>
      </c>
      <c r="Z10" s="28" t="s">
        <v>7</v>
      </c>
      <c r="AA10" s="118" t="s">
        <v>83</v>
      </c>
      <c r="AB10" s="118" t="s">
        <v>83</v>
      </c>
      <c r="AC10" s="118" t="s">
        <v>83</v>
      </c>
      <c r="AD10" s="164" t="s">
        <v>83</v>
      </c>
      <c r="AE10" s="162" t="s">
        <v>83</v>
      </c>
      <c r="AF10" s="163" t="s">
        <v>7</v>
      </c>
      <c r="AG10" s="28" t="s">
        <v>7</v>
      </c>
      <c r="AH10"/>
    </row>
    <row r="11" spans="1:34">
      <c r="A11" s="34" t="s">
        <v>12</v>
      </c>
      <c r="B11" s="33" t="s">
        <v>53</v>
      </c>
      <c r="C11" s="125" t="s">
        <v>20</v>
      </c>
      <c r="D11" s="28" t="s">
        <v>7</v>
      </c>
      <c r="E11" s="28" t="s">
        <v>7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28" t="s">
        <v>7</v>
      </c>
      <c r="L11" s="28" t="s">
        <v>7</v>
      </c>
      <c r="M11" s="130" t="s">
        <v>16</v>
      </c>
      <c r="N11" s="130" t="s">
        <v>16</v>
      </c>
      <c r="O11" s="130" t="s">
        <v>16</v>
      </c>
      <c r="P11" s="130" t="s">
        <v>16</v>
      </c>
      <c r="Q11" s="130" t="s">
        <v>16</v>
      </c>
      <c r="R11" s="130" t="s">
        <v>17</v>
      </c>
      <c r="S11" s="130" t="s">
        <v>17</v>
      </c>
      <c r="T11" s="28" t="s">
        <v>7</v>
      </c>
      <c r="U11" s="28" t="s">
        <v>7</v>
      </c>
      <c r="V11" s="28" t="s">
        <v>7</v>
      </c>
      <c r="W11" s="28" t="s">
        <v>7</v>
      </c>
      <c r="X11" s="28" t="s">
        <v>7</v>
      </c>
      <c r="Y11" s="28" t="s">
        <v>7</v>
      </c>
      <c r="Z11" s="28" t="s">
        <v>7</v>
      </c>
      <c r="AA11" s="125" t="s">
        <v>20</v>
      </c>
      <c r="AB11" s="125" t="s">
        <v>20</v>
      </c>
      <c r="AC11" s="125" t="s">
        <v>20</v>
      </c>
      <c r="AD11" s="125" t="s">
        <v>20</v>
      </c>
      <c r="AE11" s="132" t="s">
        <v>20</v>
      </c>
      <c r="AF11" s="5" t="s">
        <v>15</v>
      </c>
      <c r="AG11" s="5" t="s">
        <v>15</v>
      </c>
      <c r="AH11"/>
    </row>
    <row r="12" spans="1:34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130" t="s">
        <v>16</v>
      </c>
      <c r="G12" s="130" t="s">
        <v>16</v>
      </c>
      <c r="H12" s="130" t="s">
        <v>16</v>
      </c>
      <c r="I12" s="130" t="s">
        <v>16</v>
      </c>
      <c r="J12" s="130" t="s">
        <v>16</v>
      </c>
      <c r="K12" s="130" t="s">
        <v>17</v>
      </c>
      <c r="L12" s="130" t="s">
        <v>17</v>
      </c>
      <c r="M12" s="28" t="s">
        <v>7</v>
      </c>
      <c r="N12" s="28" t="s">
        <v>7</v>
      </c>
      <c r="O12" s="28" t="s">
        <v>7</v>
      </c>
      <c r="P12" s="28" t="s">
        <v>7</v>
      </c>
      <c r="Q12" s="28" t="s">
        <v>7</v>
      </c>
      <c r="R12" s="28" t="s">
        <v>7</v>
      </c>
      <c r="S12" s="28" t="s">
        <v>7</v>
      </c>
      <c r="T12" s="5" t="s">
        <v>14</v>
      </c>
      <c r="U12" s="5" t="s">
        <v>14</v>
      </c>
      <c r="V12" s="5" t="s">
        <v>14</v>
      </c>
      <c r="W12" s="5" t="s">
        <v>14</v>
      </c>
      <c r="X12" s="5" t="s">
        <v>14</v>
      </c>
      <c r="Y12" s="5" t="s">
        <v>15</v>
      </c>
      <c r="Z12" s="5" t="s">
        <v>15</v>
      </c>
      <c r="AA12" s="28" t="s">
        <v>7</v>
      </c>
      <c r="AB12" s="28" t="s">
        <v>7</v>
      </c>
      <c r="AC12" s="28" t="s">
        <v>7</v>
      </c>
      <c r="AD12" s="28" t="s">
        <v>7</v>
      </c>
      <c r="AE12" s="28" t="s">
        <v>7</v>
      </c>
      <c r="AF12" s="28" t="s">
        <v>7</v>
      </c>
      <c r="AG12" s="28" t="s">
        <v>7</v>
      </c>
      <c r="AH12"/>
    </row>
    <row r="13" spans="1:34">
      <c r="A13" s="34" t="s">
        <v>12</v>
      </c>
      <c r="B13" s="33" t="s">
        <v>84</v>
      </c>
      <c r="C13" s="5" t="s">
        <v>14</v>
      </c>
      <c r="D13" s="5" t="s">
        <v>15</v>
      </c>
      <c r="E13" s="5" t="s">
        <v>15</v>
      </c>
      <c r="F13" s="28" t="s">
        <v>7</v>
      </c>
      <c r="G13" s="28" t="s">
        <v>7</v>
      </c>
      <c r="H13" s="28" t="s">
        <v>7</v>
      </c>
      <c r="I13" s="28" t="s">
        <v>7</v>
      </c>
      <c r="J13" s="28" t="s">
        <v>7</v>
      </c>
      <c r="K13" s="28" t="s">
        <v>7</v>
      </c>
      <c r="L13" s="28" t="s">
        <v>7</v>
      </c>
      <c r="M13" s="125" t="s">
        <v>20</v>
      </c>
      <c r="N13" s="125" t="s">
        <v>20</v>
      </c>
      <c r="O13" s="125" t="s">
        <v>20</v>
      </c>
      <c r="P13" s="125" t="s">
        <v>20</v>
      </c>
      <c r="Q13" s="125" t="s">
        <v>20</v>
      </c>
      <c r="R13" s="28" t="s">
        <v>7</v>
      </c>
      <c r="S13" s="28" t="s">
        <v>7</v>
      </c>
      <c r="T13" s="130" t="s">
        <v>16</v>
      </c>
      <c r="U13" s="130" t="s">
        <v>16</v>
      </c>
      <c r="V13" s="130" t="s">
        <v>16</v>
      </c>
      <c r="W13" s="130" t="s">
        <v>16</v>
      </c>
      <c r="X13" s="130" t="s">
        <v>16</v>
      </c>
      <c r="Y13" s="130" t="s">
        <v>17</v>
      </c>
      <c r="Z13" s="130" t="s">
        <v>17</v>
      </c>
      <c r="AA13" s="28" t="s">
        <v>7</v>
      </c>
      <c r="AB13" s="28" t="s">
        <v>7</v>
      </c>
      <c r="AC13" s="28" t="s">
        <v>7</v>
      </c>
      <c r="AD13" s="28" t="s">
        <v>7</v>
      </c>
      <c r="AE13" s="28" t="s">
        <v>7</v>
      </c>
      <c r="AF13" s="28" t="s">
        <v>7</v>
      </c>
      <c r="AG13" s="28" t="s">
        <v>7</v>
      </c>
      <c r="AH13"/>
    </row>
    <row r="14" spans="1:34" ht="14.25" customHeight="1">
      <c r="A14" s="34" t="s">
        <v>12</v>
      </c>
      <c r="B14" s="33" t="s">
        <v>102</v>
      </c>
      <c r="C14" s="28" t="s">
        <v>7</v>
      </c>
      <c r="D14" s="28" t="s">
        <v>7</v>
      </c>
      <c r="E14" s="28" t="s">
        <v>7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15</v>
      </c>
      <c r="L14" s="5" t="s">
        <v>15</v>
      </c>
      <c r="M14" s="28" t="s">
        <v>7</v>
      </c>
      <c r="N14" s="28" t="s">
        <v>7</v>
      </c>
      <c r="O14" s="28" t="s">
        <v>7</v>
      </c>
      <c r="P14" s="28" t="s">
        <v>7</v>
      </c>
      <c r="Q14" s="28" t="s">
        <v>7</v>
      </c>
      <c r="R14" s="28" t="s">
        <v>7</v>
      </c>
      <c r="S14" s="28" t="s">
        <v>7</v>
      </c>
      <c r="T14" s="125" t="s">
        <v>20</v>
      </c>
      <c r="U14" s="125" t="s">
        <v>20</v>
      </c>
      <c r="V14" s="125" t="s">
        <v>20</v>
      </c>
      <c r="W14" s="125" t="s">
        <v>20</v>
      </c>
      <c r="X14" s="125" t="s">
        <v>20</v>
      </c>
      <c r="Y14" s="28" t="s">
        <v>7</v>
      </c>
      <c r="Z14" s="28" t="s">
        <v>7</v>
      </c>
      <c r="AA14" s="130" t="s">
        <v>16</v>
      </c>
      <c r="AB14" s="130" t="s">
        <v>16</v>
      </c>
      <c r="AC14" s="130" t="s">
        <v>16</v>
      </c>
      <c r="AD14" s="130" t="s">
        <v>16</v>
      </c>
      <c r="AE14" s="130" t="s">
        <v>16</v>
      </c>
      <c r="AF14" s="130" t="s">
        <v>17</v>
      </c>
      <c r="AG14" s="130" t="s">
        <v>17</v>
      </c>
      <c r="AH14"/>
    </row>
    <row r="15" spans="1:34" ht="14.25" customHeight="1">
      <c r="AH15"/>
    </row>
    <row r="16" spans="1:34" ht="14.25" customHeight="1">
      <c r="A16" s="34" t="s">
        <v>12</v>
      </c>
      <c r="B16" s="33" t="s">
        <v>112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28" t="s">
        <v>7</v>
      </c>
      <c r="K16" s="28" t="s">
        <v>7</v>
      </c>
      <c r="L16" s="28" t="s">
        <v>7</v>
      </c>
      <c r="M16" s="28" t="s">
        <v>7</v>
      </c>
      <c r="N16" s="28" t="s">
        <v>7</v>
      </c>
      <c r="O16" s="28" t="s">
        <v>7</v>
      </c>
      <c r="P16" s="5" t="s">
        <v>14</v>
      </c>
      <c r="Q16" s="5" t="s">
        <v>14</v>
      </c>
      <c r="R16" s="28" t="s">
        <v>7</v>
      </c>
      <c r="S16" s="28" t="s">
        <v>7</v>
      </c>
      <c r="T16" s="5" t="s">
        <v>14</v>
      </c>
      <c r="U16" s="5" t="s">
        <v>14</v>
      </c>
      <c r="V16" s="5" t="s">
        <v>14</v>
      </c>
      <c r="W16" s="5" t="s">
        <v>14</v>
      </c>
      <c r="X16" s="5" t="s">
        <v>14</v>
      </c>
      <c r="Y16" s="28" t="s">
        <v>7</v>
      </c>
      <c r="Z16" s="28" t="s">
        <v>7</v>
      </c>
      <c r="AA16" s="5" t="s">
        <v>14</v>
      </c>
      <c r="AB16" s="5" t="s">
        <v>14</v>
      </c>
      <c r="AC16" s="5" t="s">
        <v>14</v>
      </c>
      <c r="AD16" s="5" t="s">
        <v>14</v>
      </c>
      <c r="AE16" s="5" t="s">
        <v>14</v>
      </c>
      <c r="AF16" s="28" t="s">
        <v>7</v>
      </c>
      <c r="AG16" s="28" t="s">
        <v>7</v>
      </c>
      <c r="AH16"/>
    </row>
    <row r="17" spans="1:34" ht="14.25" customHeight="1">
      <c r="AH17"/>
    </row>
    <row r="18" spans="1:34">
      <c r="A18" s="34" t="s">
        <v>12</v>
      </c>
      <c r="B18" s="33" t="s">
        <v>21</v>
      </c>
      <c r="C18" s="130" t="s">
        <v>16</v>
      </c>
      <c r="D18" s="130" t="s">
        <v>17</v>
      </c>
      <c r="E18" s="130" t="s">
        <v>17</v>
      </c>
      <c r="F18" s="28" t="s">
        <v>7</v>
      </c>
      <c r="G18" s="28" t="s">
        <v>7</v>
      </c>
      <c r="H18" s="28" t="s">
        <v>7</v>
      </c>
      <c r="I18" s="28" t="s">
        <v>7</v>
      </c>
      <c r="J18" s="109" t="s">
        <v>4</v>
      </c>
      <c r="K18" s="28" t="s">
        <v>7</v>
      </c>
      <c r="L18" s="28" t="s">
        <v>7</v>
      </c>
      <c r="M18" s="130" t="s">
        <v>16</v>
      </c>
      <c r="N18" s="130" t="s">
        <v>16</v>
      </c>
      <c r="O18" s="130" t="s">
        <v>16</v>
      </c>
      <c r="P18" s="130" t="s">
        <v>16</v>
      </c>
      <c r="Q18" s="130" t="s">
        <v>16</v>
      </c>
      <c r="R18" s="130" t="s">
        <v>17</v>
      </c>
      <c r="S18" s="130" t="s">
        <v>17</v>
      </c>
      <c r="T18" s="28" t="s">
        <v>7</v>
      </c>
      <c r="U18" s="28" t="s">
        <v>7</v>
      </c>
      <c r="V18" s="28" t="s">
        <v>7</v>
      </c>
      <c r="W18" s="28" t="s">
        <v>7</v>
      </c>
      <c r="X18" s="109" t="s">
        <v>4</v>
      </c>
      <c r="Y18" s="28" t="s">
        <v>7</v>
      </c>
      <c r="Z18" s="28" t="s">
        <v>7</v>
      </c>
      <c r="AA18" s="130" t="s">
        <v>16</v>
      </c>
      <c r="AB18" s="130" t="s">
        <v>16</v>
      </c>
      <c r="AC18" s="166" t="s">
        <v>83</v>
      </c>
      <c r="AD18" s="166" t="s">
        <v>83</v>
      </c>
      <c r="AE18" s="130" t="s">
        <v>16</v>
      </c>
      <c r="AF18" s="130" t="s">
        <v>17</v>
      </c>
      <c r="AG18" s="130" t="s">
        <v>17</v>
      </c>
      <c r="AH18"/>
    </row>
    <row r="19" spans="1:34">
      <c r="A19" s="34" t="s">
        <v>12</v>
      </c>
      <c r="B19" s="33" t="s">
        <v>22</v>
      </c>
      <c r="C19" s="109" t="s">
        <v>4</v>
      </c>
      <c r="D19" s="28" t="s">
        <v>7</v>
      </c>
      <c r="E19" s="28" t="s">
        <v>7</v>
      </c>
      <c r="F19" s="130" t="s">
        <v>16</v>
      </c>
      <c r="G19" s="130" t="s">
        <v>16</v>
      </c>
      <c r="H19" s="130" t="s">
        <v>16</v>
      </c>
      <c r="I19" s="130" t="s">
        <v>16</v>
      </c>
      <c r="J19" s="130" t="s">
        <v>16</v>
      </c>
      <c r="K19" s="130" t="s">
        <v>17</v>
      </c>
      <c r="L19" s="130" t="s">
        <v>17</v>
      </c>
      <c r="M19" s="28" t="s">
        <v>7</v>
      </c>
      <c r="N19" s="28" t="s">
        <v>7</v>
      </c>
      <c r="O19" s="28" t="s">
        <v>7</v>
      </c>
      <c r="P19" s="28" t="s">
        <v>7</v>
      </c>
      <c r="Q19" s="109" t="s">
        <v>4</v>
      </c>
      <c r="R19" s="28" t="s">
        <v>7</v>
      </c>
      <c r="S19" s="28" t="s">
        <v>7</v>
      </c>
      <c r="T19" s="130" t="s">
        <v>16</v>
      </c>
      <c r="U19" s="130" t="s">
        <v>16</v>
      </c>
      <c r="V19" s="130" t="s">
        <v>16</v>
      </c>
      <c r="W19" s="130" t="s">
        <v>16</v>
      </c>
      <c r="X19" s="130" t="s">
        <v>16</v>
      </c>
      <c r="Y19" s="130" t="s">
        <v>17</v>
      </c>
      <c r="Z19" s="130" t="s">
        <v>17</v>
      </c>
      <c r="AA19" s="28" t="s">
        <v>7</v>
      </c>
      <c r="AB19" s="28" t="s">
        <v>7</v>
      </c>
      <c r="AC19" s="28" t="s">
        <v>7</v>
      </c>
      <c r="AD19" s="28" t="s">
        <v>7</v>
      </c>
      <c r="AE19" s="109" t="s">
        <v>4</v>
      </c>
      <c r="AF19" s="28" t="s">
        <v>7</v>
      </c>
      <c r="AG19" s="28" t="s">
        <v>7</v>
      </c>
      <c r="AH19"/>
    </row>
    <row r="20" spans="1:34">
      <c r="A20" s="34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122"/>
      <c r="U20" s="122"/>
      <c r="V20" s="122"/>
      <c r="W20" s="122"/>
      <c r="X20" s="122"/>
      <c r="Y20" s="50"/>
      <c r="Z20" s="50"/>
      <c r="AA20" s="50"/>
      <c r="AB20" s="50"/>
      <c r="AC20" s="50"/>
      <c r="AD20" s="50"/>
      <c r="AH20"/>
    </row>
    <row r="21" spans="1:34">
      <c r="A21" s="34" t="s">
        <v>28</v>
      </c>
      <c r="B21" s="33" t="s">
        <v>29</v>
      </c>
      <c r="C21" s="28" t="s">
        <v>7</v>
      </c>
      <c r="D21" s="28" t="s">
        <v>7</v>
      </c>
      <c r="E21" s="28" t="s">
        <v>7</v>
      </c>
      <c r="F21" s="162" t="s">
        <v>33</v>
      </c>
      <c r="G21" s="144" t="s">
        <v>85</v>
      </c>
      <c r="H21" s="144" t="s">
        <v>85</v>
      </c>
      <c r="I21" s="144" t="s">
        <v>85</v>
      </c>
      <c r="J21" s="144" t="s">
        <v>85</v>
      </c>
      <c r="K21" s="28" t="s">
        <v>30</v>
      </c>
      <c r="L21" s="28" t="s">
        <v>30</v>
      </c>
      <c r="M21" s="157" t="s">
        <v>11</v>
      </c>
      <c r="N21" s="157" t="s">
        <v>11</v>
      </c>
      <c r="O21" s="157" t="s">
        <v>11</v>
      </c>
      <c r="P21" s="17" t="s">
        <v>4</v>
      </c>
      <c r="Q21" s="28" t="s">
        <v>7</v>
      </c>
      <c r="R21" s="28" t="s">
        <v>7</v>
      </c>
      <c r="S21" s="28" t="s">
        <v>7</v>
      </c>
      <c r="T21" s="144" t="s">
        <v>54</v>
      </c>
      <c r="U21" s="144" t="s">
        <v>54</v>
      </c>
      <c r="V21" s="144" t="s">
        <v>54</v>
      </c>
      <c r="W21" s="144" t="s">
        <v>54</v>
      </c>
      <c r="X21" s="144" t="s">
        <v>54</v>
      </c>
      <c r="Y21" s="28" t="s">
        <v>7</v>
      </c>
      <c r="Z21" s="28" t="s">
        <v>7</v>
      </c>
      <c r="AA21" s="144" t="s">
        <v>85</v>
      </c>
      <c r="AB21" s="144" t="s">
        <v>85</v>
      </c>
      <c r="AC21" s="144" t="s">
        <v>85</v>
      </c>
      <c r="AD21" s="144" t="s">
        <v>85</v>
      </c>
      <c r="AE21" s="144" t="s">
        <v>85</v>
      </c>
      <c r="AF21" s="28" t="s">
        <v>30</v>
      </c>
      <c r="AG21" s="28" t="s">
        <v>30</v>
      </c>
      <c r="AH21"/>
    </row>
    <row r="22" spans="1:34">
      <c r="A22" s="34" t="s">
        <v>28</v>
      </c>
      <c r="B22" s="35" t="s">
        <v>60</v>
      </c>
      <c r="C22" s="28" t="s">
        <v>7</v>
      </c>
      <c r="D22" s="28" t="s">
        <v>7</v>
      </c>
      <c r="E22" s="28" t="s">
        <v>7</v>
      </c>
      <c r="F22" s="17" t="s">
        <v>4</v>
      </c>
      <c r="G22" s="144" t="s">
        <v>54</v>
      </c>
      <c r="H22" s="144" t="s">
        <v>54</v>
      </c>
      <c r="I22" s="144" t="s">
        <v>54</v>
      </c>
      <c r="J22" s="144" t="s">
        <v>54</v>
      </c>
      <c r="K22" s="28" t="s">
        <v>7</v>
      </c>
      <c r="L22" s="28" t="s">
        <v>7</v>
      </c>
      <c r="M22" s="144" t="s">
        <v>85</v>
      </c>
      <c r="N22" s="144" t="s">
        <v>85</v>
      </c>
      <c r="O22" s="144" t="s">
        <v>85</v>
      </c>
      <c r="P22" s="157" t="s">
        <v>85</v>
      </c>
      <c r="Q22" s="28" t="s">
        <v>30</v>
      </c>
      <c r="R22" s="28" t="s">
        <v>30</v>
      </c>
      <c r="S22" s="28" t="s">
        <v>30</v>
      </c>
      <c r="T22" s="157" t="s">
        <v>11</v>
      </c>
      <c r="U22" s="157" t="s">
        <v>11</v>
      </c>
      <c r="V22" s="157" t="s">
        <v>11</v>
      </c>
      <c r="W22" s="157" t="s">
        <v>11</v>
      </c>
      <c r="X22" s="157" t="s">
        <v>11</v>
      </c>
      <c r="Y22" s="28" t="s">
        <v>7</v>
      </c>
      <c r="Z22" s="28" t="s">
        <v>7</v>
      </c>
      <c r="AA22" s="144" t="s">
        <v>54</v>
      </c>
      <c r="AB22" s="144" t="s">
        <v>54</v>
      </c>
      <c r="AC22" s="144" t="s">
        <v>54</v>
      </c>
      <c r="AD22" s="144" t="s">
        <v>54</v>
      </c>
      <c r="AE22" s="144" t="s">
        <v>54</v>
      </c>
      <c r="AF22" s="28" t="s">
        <v>7</v>
      </c>
      <c r="AG22" s="28" t="s">
        <v>7</v>
      </c>
      <c r="AH22"/>
    </row>
    <row r="23" spans="1:34">
      <c r="A23" s="34" t="s">
        <v>28</v>
      </c>
      <c r="B23" s="37" t="s">
        <v>13</v>
      </c>
      <c r="C23" s="28" t="s">
        <v>30</v>
      </c>
      <c r="D23" s="28" t="s">
        <v>30</v>
      </c>
      <c r="E23" s="28" t="s">
        <v>30</v>
      </c>
      <c r="F23" s="157" t="s">
        <v>11</v>
      </c>
      <c r="G23" s="157" t="s">
        <v>11</v>
      </c>
      <c r="H23" s="157" t="s">
        <v>11</v>
      </c>
      <c r="I23" s="157" t="s">
        <v>11</v>
      </c>
      <c r="J23" s="157" t="s">
        <v>11</v>
      </c>
      <c r="K23" s="28" t="s">
        <v>7</v>
      </c>
      <c r="L23" s="28" t="s">
        <v>7</v>
      </c>
      <c r="M23" s="144" t="s">
        <v>54</v>
      </c>
      <c r="N23" s="144" t="s">
        <v>54</v>
      </c>
      <c r="O23" s="144" t="s">
        <v>54</v>
      </c>
      <c r="P23" s="144" t="s">
        <v>54</v>
      </c>
      <c r="Q23" s="28" t="s">
        <v>7</v>
      </c>
      <c r="R23" s="28" t="s">
        <v>7</v>
      </c>
      <c r="S23" s="28" t="s">
        <v>7</v>
      </c>
      <c r="T23" s="144" t="s">
        <v>85</v>
      </c>
      <c r="U23" s="144" t="s">
        <v>85</v>
      </c>
      <c r="V23" s="144" t="s">
        <v>85</v>
      </c>
      <c r="W23" s="144" t="s">
        <v>85</v>
      </c>
      <c r="X23" s="144" t="s">
        <v>85</v>
      </c>
      <c r="Y23" s="28" t="s">
        <v>30</v>
      </c>
      <c r="Z23" s="28" t="s">
        <v>30</v>
      </c>
      <c r="AA23" s="157" t="s">
        <v>11</v>
      </c>
      <c r="AB23" s="157" t="s">
        <v>11</v>
      </c>
      <c r="AC23" s="157" t="s">
        <v>11</v>
      </c>
      <c r="AD23" s="157" t="s">
        <v>11</v>
      </c>
      <c r="AE23" s="157" t="s">
        <v>11</v>
      </c>
      <c r="AF23" s="28" t="s">
        <v>7</v>
      </c>
      <c r="AG23" s="28" t="s">
        <v>7</v>
      </c>
      <c r="AH23"/>
    </row>
    <row r="25" spans="1:34">
      <c r="B25" s="111" t="s">
        <v>89</v>
      </c>
      <c r="C25" s="110">
        <f t="shared" ref="C25:AG25" si="0">SUM(C26:C28)</f>
        <v>4</v>
      </c>
      <c r="D25" s="110">
        <f t="shared" si="0"/>
        <v>4</v>
      </c>
      <c r="E25" s="110">
        <f t="shared" si="0"/>
        <v>4</v>
      </c>
      <c r="F25" s="110">
        <f t="shared" si="0"/>
        <v>5</v>
      </c>
      <c r="G25" s="110">
        <f t="shared" si="0"/>
        <v>7</v>
      </c>
      <c r="H25" s="110">
        <f t="shared" si="0"/>
        <v>7</v>
      </c>
      <c r="I25" s="110">
        <f t="shared" si="0"/>
        <v>7</v>
      </c>
      <c r="J25" s="110">
        <f t="shared" si="0"/>
        <v>7</v>
      </c>
      <c r="K25" s="110">
        <f t="shared" si="0"/>
        <v>4</v>
      </c>
      <c r="L25" s="110">
        <f t="shared" si="0"/>
        <v>4</v>
      </c>
      <c r="M25" s="110">
        <f t="shared" si="0"/>
        <v>7</v>
      </c>
      <c r="N25" s="110">
        <f t="shared" si="0"/>
        <v>7</v>
      </c>
      <c r="O25" s="110">
        <f t="shared" si="0"/>
        <v>7</v>
      </c>
      <c r="P25" s="110">
        <f t="shared" si="0"/>
        <v>6</v>
      </c>
      <c r="Q25" s="110">
        <f t="shared" si="0"/>
        <v>4</v>
      </c>
      <c r="R25" s="110">
        <f t="shared" si="0"/>
        <v>4</v>
      </c>
      <c r="S25" s="110">
        <f t="shared" si="0"/>
        <v>4</v>
      </c>
      <c r="T25" s="110">
        <f t="shared" si="0"/>
        <v>7</v>
      </c>
      <c r="U25" s="110">
        <f t="shared" si="0"/>
        <v>7</v>
      </c>
      <c r="V25" s="110">
        <f t="shared" si="0"/>
        <v>7</v>
      </c>
      <c r="W25" s="110">
        <f t="shared" si="0"/>
        <v>7</v>
      </c>
      <c r="X25" s="110">
        <f t="shared" si="0"/>
        <v>7</v>
      </c>
      <c r="Y25" s="110">
        <f t="shared" si="0"/>
        <v>4</v>
      </c>
      <c r="Z25" s="110">
        <f t="shared" si="0"/>
        <v>4</v>
      </c>
      <c r="AA25" s="110">
        <f t="shared" si="0"/>
        <v>7</v>
      </c>
      <c r="AB25" s="110">
        <f t="shared" si="0"/>
        <v>7</v>
      </c>
      <c r="AC25" s="110">
        <f t="shared" si="0"/>
        <v>7</v>
      </c>
      <c r="AD25" s="110">
        <f t="shared" si="0"/>
        <v>7</v>
      </c>
      <c r="AE25" s="110">
        <f t="shared" si="0"/>
        <v>7</v>
      </c>
      <c r="AF25" s="110">
        <f t="shared" si="0"/>
        <v>4</v>
      </c>
      <c r="AG25" s="110">
        <f t="shared" si="0"/>
        <v>4</v>
      </c>
    </row>
    <row r="26" spans="1:34">
      <c r="B26" s="111" t="s">
        <v>90</v>
      </c>
      <c r="C26" s="112">
        <f t="shared" ref="C26:AG26" si="1">COUNTIF(C4:C23,"T")</f>
        <v>2</v>
      </c>
      <c r="D26" s="112">
        <f t="shared" si="1"/>
        <v>0</v>
      </c>
      <c r="E26" s="112">
        <f t="shared" si="1"/>
        <v>0</v>
      </c>
      <c r="F26" s="112">
        <f t="shared" si="1"/>
        <v>2</v>
      </c>
      <c r="G26" s="112">
        <f t="shared" si="1"/>
        <v>2</v>
      </c>
      <c r="H26" s="112">
        <f t="shared" si="1"/>
        <v>2</v>
      </c>
      <c r="I26" s="112">
        <f t="shared" si="1"/>
        <v>2</v>
      </c>
      <c r="J26" s="112">
        <f t="shared" si="1"/>
        <v>2</v>
      </c>
      <c r="K26" s="112">
        <f t="shared" si="1"/>
        <v>0</v>
      </c>
      <c r="L26" s="112">
        <f t="shared" si="1"/>
        <v>0</v>
      </c>
      <c r="M26" s="112">
        <f t="shared" si="1"/>
        <v>2</v>
      </c>
      <c r="N26" s="112">
        <f t="shared" si="1"/>
        <v>2</v>
      </c>
      <c r="O26" s="112">
        <f t="shared" si="1"/>
        <v>2</v>
      </c>
      <c r="P26" s="112">
        <f t="shared" si="1"/>
        <v>2</v>
      </c>
      <c r="Q26" s="112">
        <f t="shared" si="1"/>
        <v>2</v>
      </c>
      <c r="R26" s="112">
        <f t="shared" si="1"/>
        <v>0</v>
      </c>
      <c r="S26" s="112">
        <f t="shared" si="1"/>
        <v>0</v>
      </c>
      <c r="T26" s="112">
        <f t="shared" si="1"/>
        <v>2</v>
      </c>
      <c r="U26" s="112">
        <f t="shared" si="1"/>
        <v>2</v>
      </c>
      <c r="V26" s="112">
        <f t="shared" si="1"/>
        <v>2</v>
      </c>
      <c r="W26" s="112">
        <f t="shared" si="1"/>
        <v>2</v>
      </c>
      <c r="X26" s="112">
        <f t="shared" si="1"/>
        <v>2</v>
      </c>
      <c r="Y26" s="112">
        <f t="shared" si="1"/>
        <v>0</v>
      </c>
      <c r="Z26" s="112">
        <f t="shared" si="1"/>
        <v>0</v>
      </c>
      <c r="AA26" s="112">
        <f t="shared" si="1"/>
        <v>2</v>
      </c>
      <c r="AB26" s="112">
        <f t="shared" si="1"/>
        <v>2</v>
      </c>
      <c r="AC26" s="112">
        <f t="shared" si="1"/>
        <v>2</v>
      </c>
      <c r="AD26" s="112">
        <f t="shared" si="1"/>
        <v>2</v>
      </c>
      <c r="AE26" s="112">
        <f t="shared" si="1"/>
        <v>2</v>
      </c>
      <c r="AF26" s="112">
        <f t="shared" si="1"/>
        <v>0</v>
      </c>
      <c r="AG26" s="112">
        <f t="shared" si="1"/>
        <v>0</v>
      </c>
    </row>
    <row r="27" spans="1:34">
      <c r="B27" s="111" t="s">
        <v>91</v>
      </c>
      <c r="C27" s="112">
        <f t="shared" ref="C27:AG27" si="2">COUNTIF(C4:C23,"N")+COUNTIF(C4:C23,"NF")</f>
        <v>2</v>
      </c>
      <c r="D27" s="112">
        <f t="shared" si="2"/>
        <v>2</v>
      </c>
      <c r="E27" s="112">
        <f t="shared" si="2"/>
        <v>2</v>
      </c>
      <c r="F27" s="112">
        <f t="shared" si="2"/>
        <v>2</v>
      </c>
      <c r="G27" s="112">
        <f t="shared" si="2"/>
        <v>2</v>
      </c>
      <c r="H27" s="112">
        <f t="shared" si="2"/>
        <v>2</v>
      </c>
      <c r="I27" s="112">
        <f t="shared" si="2"/>
        <v>2</v>
      </c>
      <c r="J27" s="112">
        <f t="shared" si="2"/>
        <v>2</v>
      </c>
      <c r="K27" s="112">
        <f t="shared" si="2"/>
        <v>2</v>
      </c>
      <c r="L27" s="112">
        <f t="shared" si="2"/>
        <v>2</v>
      </c>
      <c r="M27" s="112">
        <f t="shared" si="2"/>
        <v>2</v>
      </c>
      <c r="N27" s="112">
        <f t="shared" si="2"/>
        <v>2</v>
      </c>
      <c r="O27" s="112">
        <f t="shared" si="2"/>
        <v>2</v>
      </c>
      <c r="P27" s="112">
        <f t="shared" si="2"/>
        <v>2</v>
      </c>
      <c r="Q27" s="112">
        <f t="shared" si="2"/>
        <v>2</v>
      </c>
      <c r="R27" s="112">
        <f t="shared" si="2"/>
        <v>2</v>
      </c>
      <c r="S27" s="112">
        <f t="shared" si="2"/>
        <v>2</v>
      </c>
      <c r="T27" s="112">
        <f t="shared" si="2"/>
        <v>2</v>
      </c>
      <c r="U27" s="112">
        <f t="shared" si="2"/>
        <v>2</v>
      </c>
      <c r="V27" s="112">
        <f t="shared" si="2"/>
        <v>2</v>
      </c>
      <c r="W27" s="112">
        <f t="shared" si="2"/>
        <v>2</v>
      </c>
      <c r="X27" s="112">
        <f t="shared" si="2"/>
        <v>2</v>
      </c>
      <c r="Y27" s="112">
        <f t="shared" si="2"/>
        <v>2</v>
      </c>
      <c r="Z27" s="112">
        <f t="shared" si="2"/>
        <v>2</v>
      </c>
      <c r="AA27" s="112">
        <f t="shared" si="2"/>
        <v>2</v>
      </c>
      <c r="AB27" s="112">
        <f t="shared" si="2"/>
        <v>2</v>
      </c>
      <c r="AC27" s="112">
        <f t="shared" si="2"/>
        <v>2</v>
      </c>
      <c r="AD27" s="112">
        <f t="shared" si="2"/>
        <v>2</v>
      </c>
      <c r="AE27" s="112">
        <f t="shared" si="2"/>
        <v>2</v>
      </c>
      <c r="AF27" s="112">
        <f t="shared" si="2"/>
        <v>2</v>
      </c>
      <c r="AG27" s="112">
        <f t="shared" si="2"/>
        <v>2</v>
      </c>
    </row>
    <row r="28" spans="1:34">
      <c r="B28" s="111" t="s">
        <v>92</v>
      </c>
      <c r="C28" s="112">
        <f>COUNTIF(C4:C23,"M/F")+COUNTIF(C4:C23,"M1")+COUNTIF(C4:C23,"M3")+COUNTIF(C4:C23,"M3/G")+COUNTIF(C4:C23,"M2")</f>
        <v>0</v>
      </c>
      <c r="D28" s="112">
        <f>COUNTIF(D4:D23,"M/F")+COUNTIF(D4:D23,"M1")+COUNTIF(D4:D23,"M3")+COUNTIF(D4:D23,"M3/G")+COUNTIF(D4:D23,"M2")</f>
        <v>2</v>
      </c>
      <c r="E28" s="112">
        <f>COUNTIF(E4:E23,"M1")+COUNTIF(E4:E23,"NF")</f>
        <v>2</v>
      </c>
      <c r="F28" s="112">
        <f t="shared" ref="F28:AG28" si="3">COUNTIF(F4:F23,"M/F")+COUNTIF(F4:F23,"M1")+COUNTIF(F4:F23,"M3")+COUNTIF(F4:F23,"M3/G")+COUNTIF(F4:F23,"M2")</f>
        <v>1</v>
      </c>
      <c r="G28" s="112">
        <f t="shared" si="3"/>
        <v>3</v>
      </c>
      <c r="H28" s="112">
        <f t="shared" si="3"/>
        <v>3</v>
      </c>
      <c r="I28" s="112">
        <f t="shared" si="3"/>
        <v>3</v>
      </c>
      <c r="J28" s="112">
        <f t="shared" si="3"/>
        <v>3</v>
      </c>
      <c r="K28" s="112">
        <f t="shared" si="3"/>
        <v>2</v>
      </c>
      <c r="L28" s="112">
        <f t="shared" si="3"/>
        <v>2</v>
      </c>
      <c r="M28" s="112">
        <f t="shared" si="3"/>
        <v>3</v>
      </c>
      <c r="N28" s="112">
        <f t="shared" si="3"/>
        <v>3</v>
      </c>
      <c r="O28" s="112">
        <f t="shared" si="3"/>
        <v>3</v>
      </c>
      <c r="P28" s="112">
        <f t="shared" si="3"/>
        <v>2</v>
      </c>
      <c r="Q28" s="112">
        <f t="shared" si="3"/>
        <v>0</v>
      </c>
      <c r="R28" s="112">
        <f t="shared" si="3"/>
        <v>2</v>
      </c>
      <c r="S28" s="112">
        <f t="shared" si="3"/>
        <v>2</v>
      </c>
      <c r="T28" s="112">
        <f t="shared" si="3"/>
        <v>3</v>
      </c>
      <c r="U28" s="112">
        <f t="shared" si="3"/>
        <v>3</v>
      </c>
      <c r="V28" s="112">
        <f t="shared" si="3"/>
        <v>3</v>
      </c>
      <c r="W28" s="112">
        <f t="shared" si="3"/>
        <v>3</v>
      </c>
      <c r="X28" s="112">
        <f t="shared" si="3"/>
        <v>3</v>
      </c>
      <c r="Y28" s="112">
        <f t="shared" si="3"/>
        <v>2</v>
      </c>
      <c r="Z28" s="112">
        <f t="shared" si="3"/>
        <v>2</v>
      </c>
      <c r="AA28" s="112">
        <f t="shared" si="3"/>
        <v>3</v>
      </c>
      <c r="AB28" s="112">
        <f t="shared" si="3"/>
        <v>3</v>
      </c>
      <c r="AC28" s="112">
        <f t="shared" si="3"/>
        <v>3</v>
      </c>
      <c r="AD28" s="112">
        <f t="shared" si="3"/>
        <v>3</v>
      </c>
      <c r="AE28" s="112">
        <f t="shared" si="3"/>
        <v>3</v>
      </c>
      <c r="AF28" s="112">
        <f t="shared" si="3"/>
        <v>2</v>
      </c>
      <c r="AG28" s="112">
        <f t="shared" si="3"/>
        <v>2</v>
      </c>
    </row>
    <row r="30" spans="1:34">
      <c r="B30" t="s">
        <v>65</v>
      </c>
    </row>
    <row r="31" spans="1:34">
      <c r="B31" s="5" t="s">
        <v>66</v>
      </c>
    </row>
    <row r="32" spans="1:34">
      <c r="B32" s="5" t="s">
        <v>67</v>
      </c>
    </row>
    <row r="33" spans="2:2">
      <c r="B33" s="1" t="s">
        <v>68</v>
      </c>
    </row>
    <row r="34" spans="2:2">
      <c r="B34" s="7" t="s">
        <v>69</v>
      </c>
    </row>
    <row r="35" spans="2:2">
      <c r="B35" s="3" t="s">
        <v>70</v>
      </c>
    </row>
    <row r="36" spans="2:2">
      <c r="B36" s="5" t="s">
        <v>71</v>
      </c>
    </row>
    <row r="37" spans="2:2">
      <c r="B37" s="3" t="s">
        <v>72</v>
      </c>
    </row>
    <row r="38" spans="2:2">
      <c r="B38" s="4" t="s">
        <v>73</v>
      </c>
    </row>
    <row r="39" spans="2:2">
      <c r="B39" s="25" t="s">
        <v>74</v>
      </c>
    </row>
    <row r="40" spans="2:2">
      <c r="B40" s="4" t="s">
        <v>93</v>
      </c>
    </row>
    <row r="41" spans="2:2">
      <c r="B41" s="28" t="s">
        <v>76</v>
      </c>
    </row>
    <row r="42" spans="2:2">
      <c r="B42" s="17" t="s">
        <v>77</v>
      </c>
    </row>
  </sheetData>
  <mergeCells count="2">
    <mergeCell ref="B1:B3"/>
    <mergeCell ref="C1:AG1"/>
  </mergeCells>
  <conditionalFormatting sqref="C26:AG28">
    <cfRule type="cellIs" dxfId="7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0FCA-60B6-4EB1-BFF8-522F2F3382A9}">
  <dimension ref="A1:AG42"/>
  <sheetViews>
    <sheetView tabSelected="1" topLeftCell="A10" workbookViewId="0">
      <selection activeCell="X20" sqref="X20"/>
    </sheetView>
  </sheetViews>
  <sheetFormatPr defaultColWidth="8.85546875" defaultRowHeight="1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71"/>
      <c r="C1" s="172" t="s">
        <v>113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</row>
    <row r="2" spans="1:33">
      <c r="A2" s="6"/>
      <c r="B2" s="171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110</v>
      </c>
      <c r="C4" s="28" t="s">
        <v>7</v>
      </c>
      <c r="D4" s="28" t="s">
        <v>7</v>
      </c>
      <c r="E4" s="28" t="s">
        <v>7</v>
      </c>
      <c r="F4" s="109" t="s">
        <v>4</v>
      </c>
      <c r="G4" s="28" t="s">
        <v>7</v>
      </c>
      <c r="H4" s="48" t="s">
        <v>15</v>
      </c>
      <c r="I4" s="48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47" t="s">
        <v>20</v>
      </c>
      <c r="R4" s="47" t="s">
        <v>20</v>
      </c>
      <c r="S4" s="1" t="s">
        <v>14</v>
      </c>
      <c r="T4" s="47" t="s">
        <v>20</v>
      </c>
      <c r="U4" s="1" t="s">
        <v>14</v>
      </c>
      <c r="V4" s="82" t="s">
        <v>7</v>
      </c>
      <c r="W4" s="82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109" t="s">
        <v>4</v>
      </c>
      <c r="AC4" s="28" t="s">
        <v>7</v>
      </c>
      <c r="AD4" s="28" t="s">
        <v>7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82" t="s">
        <v>7</v>
      </c>
      <c r="I5" s="82" t="s">
        <v>7</v>
      </c>
      <c r="J5" s="28" t="s">
        <v>7</v>
      </c>
      <c r="K5" s="28" t="s">
        <v>7</v>
      </c>
      <c r="L5" s="28" t="s">
        <v>7</v>
      </c>
      <c r="M5" s="169" t="s">
        <v>20</v>
      </c>
      <c r="N5" s="109" t="s">
        <v>4</v>
      </c>
      <c r="O5" s="28" t="s">
        <v>7</v>
      </c>
      <c r="P5" s="28" t="s">
        <v>7</v>
      </c>
      <c r="Q5" s="47" t="s">
        <v>14</v>
      </c>
      <c r="R5" s="47" t="s">
        <v>14</v>
      </c>
      <c r="S5" s="82" t="s">
        <v>7</v>
      </c>
      <c r="T5" s="47" t="s">
        <v>14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5" t="s">
        <v>15</v>
      </c>
      <c r="AD5" s="5" t="s">
        <v>15</v>
      </c>
      <c r="AE5" s="28" t="s">
        <v>7</v>
      </c>
      <c r="AF5" s="28" t="s">
        <v>7</v>
      </c>
      <c r="AG5"/>
    </row>
    <row r="6" spans="1:33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1" t="s">
        <v>14</v>
      </c>
      <c r="K6" s="1" t="s">
        <v>14</v>
      </c>
      <c r="L6" s="82" t="s">
        <v>7</v>
      </c>
      <c r="M6" s="82" t="s">
        <v>7</v>
      </c>
      <c r="N6" s="1" t="s">
        <v>14</v>
      </c>
      <c r="O6" s="5" t="s">
        <v>15</v>
      </c>
      <c r="P6" s="5" t="s">
        <v>15</v>
      </c>
      <c r="Q6" s="28" t="s">
        <v>7</v>
      </c>
      <c r="R6" s="28" t="s">
        <v>7</v>
      </c>
      <c r="S6" s="28" t="s">
        <v>7</v>
      </c>
      <c r="T6" s="109" t="s">
        <v>4</v>
      </c>
      <c r="U6" s="28" t="s">
        <v>7</v>
      </c>
      <c r="V6" s="28" t="s">
        <v>7</v>
      </c>
      <c r="W6" s="28" t="s">
        <v>7</v>
      </c>
      <c r="X6" s="7" t="s">
        <v>20</v>
      </c>
      <c r="Y6" s="7" t="s">
        <v>20</v>
      </c>
      <c r="Z6" s="7" t="s">
        <v>20</v>
      </c>
      <c r="AA6" s="7" t="s">
        <v>20</v>
      </c>
      <c r="AB6" s="7" t="s">
        <v>20</v>
      </c>
      <c r="AC6" s="28" t="s">
        <v>7</v>
      </c>
      <c r="AD6" s="28" t="s">
        <v>7</v>
      </c>
      <c r="AE6" s="1" t="s">
        <v>14</v>
      </c>
      <c r="AF6" s="1" t="s">
        <v>14</v>
      </c>
      <c r="AG6"/>
    </row>
    <row r="7" spans="1:33">
      <c r="AG7"/>
    </row>
    <row r="8" spans="1:33">
      <c r="A8" s="34" t="s">
        <v>12</v>
      </c>
      <c r="B8" s="33" t="s">
        <v>53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28" t="s">
        <v>7</v>
      </c>
      <c r="J8" s="130" t="s">
        <v>16</v>
      </c>
      <c r="K8" s="130" t="s">
        <v>16</v>
      </c>
      <c r="L8" s="130" t="s">
        <v>16</v>
      </c>
      <c r="M8" s="130" t="s">
        <v>16</v>
      </c>
      <c r="N8" s="130" t="s">
        <v>16</v>
      </c>
      <c r="O8" s="130" t="s">
        <v>17</v>
      </c>
      <c r="P8" s="130" t="s">
        <v>17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28" t="s">
        <v>7</v>
      </c>
      <c r="X8" s="125" t="s">
        <v>20</v>
      </c>
      <c r="Y8" s="125" t="s">
        <v>20</v>
      </c>
      <c r="Z8" s="125" t="s">
        <v>20</v>
      </c>
      <c r="AA8" s="125" t="s">
        <v>20</v>
      </c>
      <c r="AB8" s="125" t="s">
        <v>20</v>
      </c>
      <c r="AC8" s="5" t="s">
        <v>15</v>
      </c>
      <c r="AD8" s="5" t="s">
        <v>15</v>
      </c>
      <c r="AE8" s="28" t="s">
        <v>7</v>
      </c>
      <c r="AF8" s="28" t="s">
        <v>7</v>
      </c>
      <c r="AG8"/>
    </row>
    <row r="9" spans="1:33">
      <c r="A9" s="34" t="s">
        <v>12</v>
      </c>
      <c r="B9" s="33" t="s">
        <v>24</v>
      </c>
      <c r="C9" s="125" t="s">
        <v>20</v>
      </c>
      <c r="D9" s="125" t="s">
        <v>20</v>
      </c>
      <c r="E9" s="166" t="s">
        <v>16</v>
      </c>
      <c r="F9" s="125" t="s">
        <v>20</v>
      </c>
      <c r="G9" s="125" t="s">
        <v>20</v>
      </c>
      <c r="H9" s="5" t="s">
        <v>15</v>
      </c>
      <c r="I9" s="5" t="s">
        <v>15</v>
      </c>
      <c r="J9" s="28" t="s">
        <v>7</v>
      </c>
      <c r="K9" s="28" t="s">
        <v>7</v>
      </c>
      <c r="L9" s="28" t="s">
        <v>7</v>
      </c>
      <c r="M9" s="28" t="s">
        <v>7</v>
      </c>
      <c r="N9" s="28" t="s">
        <v>7</v>
      </c>
      <c r="O9" s="28" t="s">
        <v>7</v>
      </c>
      <c r="P9" s="28" t="s">
        <v>7</v>
      </c>
      <c r="Q9" s="170" t="s">
        <v>20</v>
      </c>
      <c r="R9" s="130" t="s">
        <v>16</v>
      </c>
      <c r="S9" s="130" t="s">
        <v>16</v>
      </c>
      <c r="T9" s="130" t="s">
        <v>16</v>
      </c>
      <c r="U9" s="130" t="s">
        <v>16</v>
      </c>
      <c r="V9" s="130" t="s">
        <v>17</v>
      </c>
      <c r="W9" s="130" t="s">
        <v>17</v>
      </c>
      <c r="X9" s="28" t="s">
        <v>7</v>
      </c>
      <c r="Y9" s="28" t="s">
        <v>7</v>
      </c>
      <c r="Z9" s="28" t="s">
        <v>7</v>
      </c>
      <c r="AA9" s="28" t="s">
        <v>7</v>
      </c>
      <c r="AB9" s="28" t="s">
        <v>7</v>
      </c>
      <c r="AC9" s="28" t="s">
        <v>7</v>
      </c>
      <c r="AD9" s="28" t="s">
        <v>7</v>
      </c>
      <c r="AE9" s="125" t="s">
        <v>20</v>
      </c>
      <c r="AF9" s="125" t="s">
        <v>20</v>
      </c>
      <c r="AG9"/>
    </row>
    <row r="10" spans="1:33">
      <c r="A10" s="34" t="s">
        <v>12</v>
      </c>
      <c r="B10" s="33" t="s">
        <v>84</v>
      </c>
      <c r="C10" s="130" t="s">
        <v>16</v>
      </c>
      <c r="D10" s="130" t="s">
        <v>16</v>
      </c>
      <c r="E10" s="168" t="s">
        <v>20</v>
      </c>
      <c r="F10" s="130" t="s">
        <v>16</v>
      </c>
      <c r="G10" s="130" t="s">
        <v>16</v>
      </c>
      <c r="H10" s="130" t="s">
        <v>17</v>
      </c>
      <c r="I10" s="130" t="s">
        <v>17</v>
      </c>
      <c r="J10" s="28" t="s">
        <v>7</v>
      </c>
      <c r="K10" s="28" t="s">
        <v>7</v>
      </c>
      <c r="L10" s="28" t="s">
        <v>7</v>
      </c>
      <c r="M10" s="28" t="s">
        <v>7</v>
      </c>
      <c r="N10" s="28" t="s">
        <v>7</v>
      </c>
      <c r="O10" s="28" t="s">
        <v>7</v>
      </c>
      <c r="P10" s="28" t="s">
        <v>7</v>
      </c>
      <c r="Q10" s="166" t="s">
        <v>16</v>
      </c>
      <c r="R10" s="125" t="s">
        <v>20</v>
      </c>
      <c r="S10" s="125" t="s">
        <v>20</v>
      </c>
      <c r="T10" s="125" t="s">
        <v>20</v>
      </c>
      <c r="U10" s="125" t="s">
        <v>20</v>
      </c>
      <c r="V10" s="5" t="s">
        <v>15</v>
      </c>
      <c r="W10" s="5" t="s">
        <v>15</v>
      </c>
      <c r="X10" s="28" t="s">
        <v>7</v>
      </c>
      <c r="Y10" s="28" t="s">
        <v>7</v>
      </c>
      <c r="Z10" s="28" t="s">
        <v>7</v>
      </c>
      <c r="AA10" s="28" t="s">
        <v>7</v>
      </c>
      <c r="AB10" s="28" t="s">
        <v>7</v>
      </c>
      <c r="AC10" s="28" t="s">
        <v>7</v>
      </c>
      <c r="AD10" s="28" t="s">
        <v>7</v>
      </c>
      <c r="AE10" s="130" t="s">
        <v>16</v>
      </c>
      <c r="AF10" s="130" t="s">
        <v>16</v>
      </c>
      <c r="AG10"/>
    </row>
    <row r="11" spans="1:33">
      <c r="A11" s="34" t="s">
        <v>12</v>
      </c>
      <c r="B11" s="33" t="s">
        <v>102</v>
      </c>
      <c r="C11" s="28" t="s">
        <v>7</v>
      </c>
      <c r="D11" s="28" t="s">
        <v>7</v>
      </c>
      <c r="E11" s="28" t="s">
        <v>7</v>
      </c>
      <c r="F11" s="28" t="s">
        <v>7</v>
      </c>
      <c r="G11" s="28" t="s">
        <v>7</v>
      </c>
      <c r="H11" s="28" t="s">
        <v>7</v>
      </c>
      <c r="I11" s="28" t="s">
        <v>7</v>
      </c>
      <c r="J11" s="125" t="s">
        <v>20</v>
      </c>
      <c r="K11" s="125" t="s">
        <v>20</v>
      </c>
      <c r="L11" s="125" t="s">
        <v>20</v>
      </c>
      <c r="M11" s="82" t="s">
        <v>7</v>
      </c>
      <c r="N11" s="125" t="s">
        <v>20</v>
      </c>
      <c r="O11" s="5" t="s">
        <v>15</v>
      </c>
      <c r="P11" s="5" t="s">
        <v>15</v>
      </c>
      <c r="Q11" s="28" t="s">
        <v>7</v>
      </c>
      <c r="R11" s="28" t="s">
        <v>7</v>
      </c>
      <c r="S11" s="169" t="s">
        <v>20</v>
      </c>
      <c r="T11" s="28" t="s">
        <v>7</v>
      </c>
      <c r="U11" s="28" t="s">
        <v>7</v>
      </c>
      <c r="V11" s="28" t="s">
        <v>7</v>
      </c>
      <c r="W11" s="28" t="s">
        <v>7</v>
      </c>
      <c r="X11" s="130" t="s">
        <v>16</v>
      </c>
      <c r="Y11" s="130" t="s">
        <v>16</v>
      </c>
      <c r="Z11" s="130" t="s">
        <v>16</v>
      </c>
      <c r="AA11" s="130" t="s">
        <v>16</v>
      </c>
      <c r="AB11" s="130" t="s">
        <v>16</v>
      </c>
      <c r="AC11" s="130" t="s">
        <v>17</v>
      </c>
      <c r="AD11" s="130" t="s">
        <v>17</v>
      </c>
      <c r="AE11" s="28" t="s">
        <v>7</v>
      </c>
      <c r="AF11" s="28" t="s">
        <v>7</v>
      </c>
      <c r="AG11"/>
    </row>
    <row r="12" spans="1:33">
      <c r="AG12"/>
    </row>
    <row r="13" spans="1:33">
      <c r="A13" s="34" t="s">
        <v>12</v>
      </c>
      <c r="B13" s="167" t="s">
        <v>114</v>
      </c>
      <c r="C13" s="137" t="s">
        <v>14</v>
      </c>
      <c r="D13" s="137" t="s">
        <v>14</v>
      </c>
      <c r="E13" s="137" t="s">
        <v>14</v>
      </c>
      <c r="F13" s="137" t="s">
        <v>14</v>
      </c>
      <c r="G13" s="137" t="s">
        <v>14</v>
      </c>
      <c r="H13" s="143" t="s">
        <v>7</v>
      </c>
      <c r="I13" s="143" t="s">
        <v>7</v>
      </c>
      <c r="J13" s="137" t="s">
        <v>14</v>
      </c>
      <c r="K13" s="137" t="s">
        <v>14</v>
      </c>
      <c r="L13" s="137" t="s">
        <v>14</v>
      </c>
      <c r="M13" s="121" t="s">
        <v>14</v>
      </c>
      <c r="N13" s="121" t="s">
        <v>14</v>
      </c>
      <c r="O13" s="143" t="s">
        <v>7</v>
      </c>
      <c r="P13" s="143" t="s">
        <v>7</v>
      </c>
      <c r="Q13" s="121" t="s">
        <v>14</v>
      </c>
      <c r="R13" s="121" t="s">
        <v>14</v>
      </c>
      <c r="S13" s="121" t="s">
        <v>14</v>
      </c>
      <c r="T13" s="121" t="s">
        <v>14</v>
      </c>
      <c r="U13" s="137" t="s">
        <v>14</v>
      </c>
      <c r="V13" s="143" t="s">
        <v>7</v>
      </c>
      <c r="W13" s="143" t="s">
        <v>7</v>
      </c>
      <c r="X13" s="121" t="s">
        <v>14</v>
      </c>
      <c r="Y13" s="137" t="s">
        <v>14</v>
      </c>
      <c r="Z13" s="137" t="s">
        <v>14</v>
      </c>
      <c r="AA13" s="137" t="s">
        <v>14</v>
      </c>
      <c r="AB13" s="137" t="s">
        <v>14</v>
      </c>
      <c r="AC13" s="143" t="s">
        <v>7</v>
      </c>
      <c r="AD13" s="143" t="s">
        <v>7</v>
      </c>
      <c r="AE13" s="137" t="s">
        <v>14</v>
      </c>
      <c r="AF13" s="137" t="s">
        <v>14</v>
      </c>
      <c r="AG13"/>
    </row>
    <row r="14" spans="1:33">
      <c r="A14" s="34" t="s">
        <v>12</v>
      </c>
      <c r="B14" s="167" t="s">
        <v>112</v>
      </c>
      <c r="C14" s="137" t="s">
        <v>14</v>
      </c>
      <c r="D14" s="137" t="s">
        <v>14</v>
      </c>
      <c r="E14" s="137" t="s">
        <v>14</v>
      </c>
      <c r="F14" s="137" t="s">
        <v>14</v>
      </c>
      <c r="G14" s="137" t="s">
        <v>14</v>
      </c>
      <c r="H14" s="143" t="s">
        <v>7</v>
      </c>
      <c r="I14" s="143" t="s">
        <v>7</v>
      </c>
      <c r="J14" s="137" t="s">
        <v>14</v>
      </c>
      <c r="K14" s="137" t="s">
        <v>14</v>
      </c>
      <c r="L14" s="137" t="s">
        <v>14</v>
      </c>
      <c r="M14" s="137" t="s">
        <v>14</v>
      </c>
      <c r="N14" s="137" t="s">
        <v>14</v>
      </c>
      <c r="O14" s="143" t="s">
        <v>7</v>
      </c>
      <c r="P14" s="143" t="s">
        <v>7</v>
      </c>
      <c r="Q14" s="153" t="s">
        <v>20</v>
      </c>
      <c r="R14" s="153" t="s">
        <v>20</v>
      </c>
      <c r="S14" s="153" t="s">
        <v>20</v>
      </c>
      <c r="T14" s="153" t="s">
        <v>20</v>
      </c>
      <c r="U14" s="153" t="s">
        <v>20</v>
      </c>
      <c r="V14" s="143" t="s">
        <v>7</v>
      </c>
      <c r="W14" s="143" t="s">
        <v>7</v>
      </c>
      <c r="X14" s="130" t="s">
        <v>16</v>
      </c>
      <c r="Y14" s="130" t="s">
        <v>16</v>
      </c>
      <c r="Z14" s="130" t="s">
        <v>16</v>
      </c>
      <c r="AA14" s="130" t="s">
        <v>16</v>
      </c>
      <c r="AB14" s="130" t="s">
        <v>16</v>
      </c>
      <c r="AC14" s="143" t="s">
        <v>7</v>
      </c>
      <c r="AD14" s="143" t="s">
        <v>7</v>
      </c>
      <c r="AE14" s="153" t="s">
        <v>20</v>
      </c>
      <c r="AF14" s="153" t="s">
        <v>20</v>
      </c>
      <c r="AG14"/>
    </row>
    <row r="15" spans="1:33">
      <c r="AG15"/>
    </row>
    <row r="16" spans="1:33">
      <c r="A16" s="34" t="s">
        <v>12</v>
      </c>
      <c r="B16" s="33" t="s">
        <v>21</v>
      </c>
      <c r="C16" s="28" t="s">
        <v>7</v>
      </c>
      <c r="D16" s="28" t="s">
        <v>7</v>
      </c>
      <c r="E16" s="28" t="s">
        <v>7</v>
      </c>
      <c r="F16" s="28" t="s">
        <v>7</v>
      </c>
      <c r="G16" s="109" t="s">
        <v>4</v>
      </c>
      <c r="H16" s="28" t="s">
        <v>7</v>
      </c>
      <c r="I16" s="28" t="s">
        <v>7</v>
      </c>
      <c r="J16" s="130" t="s">
        <v>16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17</v>
      </c>
      <c r="P16" s="130" t="s">
        <v>17</v>
      </c>
      <c r="Q16" s="28" t="s">
        <v>7</v>
      </c>
      <c r="R16" s="28" t="s">
        <v>7</v>
      </c>
      <c r="S16" s="28" t="s">
        <v>7</v>
      </c>
      <c r="T16" s="28" t="s">
        <v>7</v>
      </c>
      <c r="U16" s="109" t="s">
        <v>4</v>
      </c>
      <c r="V16" s="28" t="s">
        <v>7</v>
      </c>
      <c r="W16" s="28" t="s">
        <v>7</v>
      </c>
      <c r="X16" s="130" t="s">
        <v>16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17</v>
      </c>
      <c r="AD16" s="130" t="s">
        <v>17</v>
      </c>
      <c r="AE16" s="28" t="s">
        <v>7</v>
      </c>
      <c r="AF16" s="28" t="s">
        <v>7</v>
      </c>
      <c r="AG16"/>
    </row>
    <row r="17" spans="1:33">
      <c r="A17" s="34" t="s">
        <v>12</v>
      </c>
      <c r="B17" s="33" t="s">
        <v>22</v>
      </c>
      <c r="C17" s="130" t="s">
        <v>16</v>
      </c>
      <c r="D17" s="130" t="s">
        <v>16</v>
      </c>
      <c r="E17" s="130" t="s">
        <v>16</v>
      </c>
      <c r="F17" s="130" t="s">
        <v>16</v>
      </c>
      <c r="G17" s="130" t="s">
        <v>16</v>
      </c>
      <c r="H17" s="130" t="s">
        <v>17</v>
      </c>
      <c r="I17" s="130" t="s">
        <v>17</v>
      </c>
      <c r="J17" s="28" t="s">
        <v>7</v>
      </c>
      <c r="K17" s="28" t="s">
        <v>7</v>
      </c>
      <c r="L17" s="28" t="s">
        <v>7</v>
      </c>
      <c r="M17" s="109" t="s">
        <v>4</v>
      </c>
      <c r="N17" s="28" t="s">
        <v>7</v>
      </c>
      <c r="O17" s="28" t="s">
        <v>7</v>
      </c>
      <c r="P17" s="28" t="s">
        <v>7</v>
      </c>
      <c r="Q17" s="130" t="s">
        <v>16</v>
      </c>
      <c r="R17" s="130" t="s">
        <v>16</v>
      </c>
      <c r="S17" s="130" t="s">
        <v>16</v>
      </c>
      <c r="T17" s="130" t="s">
        <v>16</v>
      </c>
      <c r="U17" s="130" t="s">
        <v>16</v>
      </c>
      <c r="V17" s="130" t="s">
        <v>17</v>
      </c>
      <c r="W17" s="130" t="s">
        <v>17</v>
      </c>
      <c r="X17" s="28" t="s">
        <v>7</v>
      </c>
      <c r="Y17" s="28" t="s">
        <v>7</v>
      </c>
      <c r="Z17" s="28" t="s">
        <v>7</v>
      </c>
      <c r="AA17" s="109" t="s">
        <v>4</v>
      </c>
      <c r="AB17" s="28" t="s">
        <v>7</v>
      </c>
      <c r="AC17" s="28" t="s">
        <v>7</v>
      </c>
      <c r="AD17" s="28" t="s">
        <v>7</v>
      </c>
      <c r="AE17" s="130" t="s">
        <v>16</v>
      </c>
      <c r="AF17" s="130" t="s">
        <v>16</v>
      </c>
      <c r="AG17"/>
    </row>
    <row r="18" spans="1:33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G18"/>
    </row>
    <row r="19" spans="1:33">
      <c r="A19" s="34" t="s">
        <v>28</v>
      </c>
      <c r="B19" s="33" t="s">
        <v>29</v>
      </c>
      <c r="C19" s="157" t="s">
        <v>11</v>
      </c>
      <c r="D19" s="157" t="s">
        <v>11</v>
      </c>
      <c r="E19" s="157" t="s">
        <v>11</v>
      </c>
      <c r="F19" s="157" t="s">
        <v>11</v>
      </c>
      <c r="G19" s="157" t="s">
        <v>11</v>
      </c>
      <c r="H19" s="28" t="s">
        <v>7</v>
      </c>
      <c r="I19" s="28" t="s">
        <v>7</v>
      </c>
      <c r="J19" s="144" t="s">
        <v>54</v>
      </c>
      <c r="K19" s="144" t="s">
        <v>54</v>
      </c>
      <c r="L19" s="144" t="s">
        <v>54</v>
      </c>
      <c r="M19" s="144" t="s">
        <v>54</v>
      </c>
      <c r="N19" s="144" t="s">
        <v>54</v>
      </c>
      <c r="O19" s="28" t="s">
        <v>7</v>
      </c>
      <c r="P19" s="28" t="s">
        <v>7</v>
      </c>
      <c r="Q19" s="144" t="s">
        <v>85</v>
      </c>
      <c r="R19" s="144" t="s">
        <v>85</v>
      </c>
      <c r="S19" s="144" t="s">
        <v>85</v>
      </c>
      <c r="T19" s="144" t="s">
        <v>85</v>
      </c>
      <c r="U19" s="144" t="s">
        <v>85</v>
      </c>
      <c r="V19" s="28" t="s">
        <v>30</v>
      </c>
      <c r="W19" s="28" t="s">
        <v>30</v>
      </c>
      <c r="X19" s="144" t="s">
        <v>61</v>
      </c>
      <c r="Y19" s="157" t="s">
        <v>11</v>
      </c>
      <c r="Z19" s="157" t="s">
        <v>11</v>
      </c>
      <c r="AA19" s="157" t="s">
        <v>11</v>
      </c>
      <c r="AB19" s="157" t="s">
        <v>11</v>
      </c>
      <c r="AC19" s="28" t="s">
        <v>7</v>
      </c>
      <c r="AD19" s="28" t="s">
        <v>7</v>
      </c>
      <c r="AE19" s="144" t="s">
        <v>54</v>
      </c>
      <c r="AF19" s="144" t="s">
        <v>54</v>
      </c>
      <c r="AG19"/>
    </row>
    <row r="20" spans="1:33">
      <c r="A20" s="34" t="s">
        <v>28</v>
      </c>
      <c r="B20" s="35" t="s">
        <v>60</v>
      </c>
      <c r="C20" s="144" t="s">
        <v>85</v>
      </c>
      <c r="D20" s="144" t="s">
        <v>85</v>
      </c>
      <c r="E20" s="144" t="s">
        <v>85</v>
      </c>
      <c r="F20" s="144" t="s">
        <v>85</v>
      </c>
      <c r="G20" s="144" t="s">
        <v>85</v>
      </c>
      <c r="H20" s="28" t="s">
        <v>30</v>
      </c>
      <c r="I20" s="28" t="s">
        <v>30</v>
      </c>
      <c r="J20" s="157" t="s">
        <v>11</v>
      </c>
      <c r="K20" s="157" t="s">
        <v>11</v>
      </c>
      <c r="L20" s="157" t="s">
        <v>54</v>
      </c>
      <c r="M20" s="157" t="s">
        <v>54</v>
      </c>
      <c r="N20" s="157" t="s">
        <v>11</v>
      </c>
      <c r="O20" s="28" t="s">
        <v>7</v>
      </c>
      <c r="P20" s="28" t="s">
        <v>7</v>
      </c>
      <c r="Q20" s="144" t="s">
        <v>54</v>
      </c>
      <c r="R20" s="144" t="s">
        <v>54</v>
      </c>
      <c r="S20" s="144" t="s">
        <v>54</v>
      </c>
      <c r="T20" s="144" t="s">
        <v>54</v>
      </c>
      <c r="U20" s="144" t="s">
        <v>54</v>
      </c>
      <c r="V20" s="28" t="s">
        <v>7</v>
      </c>
      <c r="W20" s="28" t="s">
        <v>7</v>
      </c>
      <c r="X20" s="157" t="s">
        <v>32</v>
      </c>
      <c r="Y20" s="17" t="s">
        <v>107</v>
      </c>
      <c r="Z20" s="144" t="s">
        <v>85</v>
      </c>
      <c r="AA20" s="144" t="s">
        <v>85</v>
      </c>
      <c r="AB20" s="144" t="s">
        <v>85</v>
      </c>
      <c r="AC20" s="28" t="s">
        <v>30</v>
      </c>
      <c r="AD20" s="28" t="s">
        <v>30</v>
      </c>
      <c r="AE20" s="157" t="s">
        <v>11</v>
      </c>
      <c r="AF20" s="157" t="s">
        <v>11</v>
      </c>
      <c r="AG20"/>
    </row>
    <row r="21" spans="1:33">
      <c r="A21" s="34" t="s">
        <v>28</v>
      </c>
      <c r="B21" s="37" t="s">
        <v>13</v>
      </c>
      <c r="C21" s="161" t="s">
        <v>54</v>
      </c>
      <c r="D21" s="144" t="s">
        <v>54</v>
      </c>
      <c r="E21" s="144" t="s">
        <v>54</v>
      </c>
      <c r="F21" s="144" t="s">
        <v>54</v>
      </c>
      <c r="G21" s="144" t="s">
        <v>54</v>
      </c>
      <c r="H21" s="28" t="s">
        <v>7</v>
      </c>
      <c r="I21" s="28" t="s">
        <v>7</v>
      </c>
      <c r="J21" s="144" t="s">
        <v>85</v>
      </c>
      <c r="K21" s="144" t="s">
        <v>85</v>
      </c>
      <c r="L21" s="144" t="s">
        <v>85</v>
      </c>
      <c r="M21" s="144" t="s">
        <v>85</v>
      </c>
      <c r="N21" s="144" t="s">
        <v>85</v>
      </c>
      <c r="O21" s="28" t="s">
        <v>30</v>
      </c>
      <c r="P21" s="28" t="s">
        <v>30</v>
      </c>
      <c r="Q21" s="157" t="s">
        <v>11</v>
      </c>
      <c r="R21" s="157" t="s">
        <v>11</v>
      </c>
      <c r="S21" s="157" t="s">
        <v>11</v>
      </c>
      <c r="T21" s="157" t="s">
        <v>11</v>
      </c>
      <c r="U21" s="17" t="s">
        <v>4</v>
      </c>
      <c r="V21" s="28" t="s">
        <v>7</v>
      </c>
      <c r="W21" s="28" t="s">
        <v>7</v>
      </c>
      <c r="X21" s="144" t="s">
        <v>54</v>
      </c>
      <c r="Y21" s="144" t="s">
        <v>54</v>
      </c>
      <c r="Z21" s="144" t="s">
        <v>54</v>
      </c>
      <c r="AA21" s="144" t="s">
        <v>54</v>
      </c>
      <c r="AB21" s="144" t="s">
        <v>54</v>
      </c>
      <c r="AC21" s="28" t="s">
        <v>7</v>
      </c>
      <c r="AD21" s="28" t="s">
        <v>7</v>
      </c>
      <c r="AE21" s="144" t="s">
        <v>85</v>
      </c>
      <c r="AF21" s="144" t="s">
        <v>85</v>
      </c>
      <c r="AG21"/>
    </row>
    <row r="22" spans="1:33">
      <c r="AG22"/>
    </row>
    <row r="23" spans="1:33">
      <c r="A23" s="34" t="s">
        <v>12</v>
      </c>
      <c r="B23" s="33" t="s">
        <v>46</v>
      </c>
      <c r="C23" s="162" t="s">
        <v>83</v>
      </c>
      <c r="D23" s="162" t="s">
        <v>83</v>
      </c>
      <c r="E23" s="162" t="s">
        <v>83</v>
      </c>
      <c r="F23" s="162" t="s">
        <v>83</v>
      </c>
      <c r="G23" s="162" t="s">
        <v>83</v>
      </c>
      <c r="H23" s="163" t="s">
        <v>7</v>
      </c>
      <c r="I23" s="165" t="s">
        <v>7</v>
      </c>
      <c r="J23" s="162" t="s">
        <v>83</v>
      </c>
      <c r="K23" s="162" t="s">
        <v>83</v>
      </c>
      <c r="L23" s="162" t="s">
        <v>83</v>
      </c>
      <c r="M23" s="162" t="s">
        <v>83</v>
      </c>
      <c r="N23" s="162" t="s">
        <v>83</v>
      </c>
      <c r="O23" s="163" t="s">
        <v>7</v>
      </c>
      <c r="P23" s="165" t="s">
        <v>7</v>
      </c>
      <c r="Q23" s="162" t="s">
        <v>83</v>
      </c>
      <c r="R23" s="162" t="s">
        <v>83</v>
      </c>
      <c r="S23" s="162" t="s">
        <v>83</v>
      </c>
      <c r="T23" s="162" t="s">
        <v>83</v>
      </c>
      <c r="U23" s="162" t="s">
        <v>83</v>
      </c>
      <c r="V23" s="163" t="s">
        <v>7</v>
      </c>
      <c r="W23" s="165" t="s">
        <v>7</v>
      </c>
      <c r="X23" s="162" t="s">
        <v>83</v>
      </c>
      <c r="Y23" s="162" t="s">
        <v>83</v>
      </c>
      <c r="Z23" s="162" t="s">
        <v>83</v>
      </c>
      <c r="AA23" s="162" t="s">
        <v>83</v>
      </c>
      <c r="AB23" s="162" t="s">
        <v>83</v>
      </c>
      <c r="AC23" s="163" t="s">
        <v>7</v>
      </c>
      <c r="AD23" s="165" t="s">
        <v>7</v>
      </c>
      <c r="AE23" s="162" t="s">
        <v>83</v>
      </c>
      <c r="AF23" s="162" t="s">
        <v>83</v>
      </c>
      <c r="AG23"/>
    </row>
    <row r="24" spans="1:33">
      <c r="AG24"/>
    </row>
    <row r="25" spans="1:33">
      <c r="B25" s="111" t="s">
        <v>89</v>
      </c>
      <c r="C25" s="110">
        <f t="shared" ref="C25:AF25" si="0">SUM(C26:C28)</f>
        <v>7</v>
      </c>
      <c r="D25" s="110">
        <f t="shared" si="0"/>
        <v>7</v>
      </c>
      <c r="E25" s="110">
        <f t="shared" si="0"/>
        <v>5</v>
      </c>
      <c r="F25" s="110">
        <f t="shared" si="0"/>
        <v>7</v>
      </c>
      <c r="G25" s="110">
        <f t="shared" si="0"/>
        <v>7</v>
      </c>
      <c r="H25" s="110">
        <f t="shared" si="0"/>
        <v>4</v>
      </c>
      <c r="I25" s="110">
        <f t="shared" si="0"/>
        <v>4</v>
      </c>
      <c r="J25" s="110">
        <f t="shared" si="0"/>
        <v>7</v>
      </c>
      <c r="K25" s="110">
        <f t="shared" si="0"/>
        <v>7</v>
      </c>
      <c r="L25" s="110">
        <f t="shared" si="0"/>
        <v>7</v>
      </c>
      <c r="M25" s="110">
        <f t="shared" si="0"/>
        <v>7</v>
      </c>
      <c r="N25" s="110">
        <f t="shared" si="0"/>
        <v>7</v>
      </c>
      <c r="O25" s="110">
        <f t="shared" si="0"/>
        <v>4</v>
      </c>
      <c r="P25" s="110">
        <f t="shared" si="0"/>
        <v>4</v>
      </c>
      <c r="Q25" s="110">
        <f t="shared" si="0"/>
        <v>8</v>
      </c>
      <c r="R25" s="110">
        <f t="shared" si="0"/>
        <v>8</v>
      </c>
      <c r="S25" s="110">
        <f t="shared" si="0"/>
        <v>8</v>
      </c>
      <c r="T25" s="110">
        <f t="shared" si="0"/>
        <v>8</v>
      </c>
      <c r="U25" s="110">
        <f t="shared" si="0"/>
        <v>7</v>
      </c>
      <c r="V25" s="110">
        <f t="shared" si="0"/>
        <v>4</v>
      </c>
      <c r="W25" s="110">
        <f t="shared" si="0"/>
        <v>4</v>
      </c>
      <c r="X25" s="110">
        <f t="shared" si="0"/>
        <v>7</v>
      </c>
      <c r="Y25" s="110">
        <f t="shared" si="0"/>
        <v>7</v>
      </c>
      <c r="Z25" s="110">
        <f t="shared" si="0"/>
        <v>8</v>
      </c>
      <c r="AA25" s="110">
        <f t="shared" si="0"/>
        <v>8</v>
      </c>
      <c r="AB25" s="110">
        <f t="shared" si="0"/>
        <v>8</v>
      </c>
      <c r="AC25" s="110">
        <f t="shared" si="0"/>
        <v>4</v>
      </c>
      <c r="AD25" s="110">
        <f t="shared" si="0"/>
        <v>4</v>
      </c>
      <c r="AE25" s="110">
        <f t="shared" si="0"/>
        <v>8</v>
      </c>
      <c r="AF25" s="110">
        <f t="shared" si="0"/>
        <v>8</v>
      </c>
    </row>
    <row r="26" spans="1:33">
      <c r="B26" s="111" t="s">
        <v>90</v>
      </c>
      <c r="C26" s="112">
        <f t="shared" ref="C26:AF26" si="1">COUNTIF(C4:C21,"T")</f>
        <v>2</v>
      </c>
      <c r="D26" s="112">
        <f t="shared" si="1"/>
        <v>2</v>
      </c>
      <c r="E26" s="112">
        <f t="shared" si="1"/>
        <v>2</v>
      </c>
      <c r="F26" s="112">
        <f t="shared" si="1"/>
        <v>2</v>
      </c>
      <c r="G26" s="112">
        <f t="shared" si="1"/>
        <v>2</v>
      </c>
      <c r="H26" s="112">
        <f>COUNTIF(H4:H21,"T")</f>
        <v>0</v>
      </c>
      <c r="I26" s="112">
        <f>COUNTIF(I4:I21,"T")</f>
        <v>0</v>
      </c>
      <c r="J26" s="112">
        <f t="shared" si="1"/>
        <v>2</v>
      </c>
      <c r="K26" s="112">
        <f t="shared" si="1"/>
        <v>2</v>
      </c>
      <c r="L26" s="112">
        <f t="shared" si="1"/>
        <v>2</v>
      </c>
      <c r="M26" s="112">
        <f t="shared" si="1"/>
        <v>2</v>
      </c>
      <c r="N26" s="112">
        <f t="shared" si="1"/>
        <v>2</v>
      </c>
      <c r="O26" s="112">
        <f t="shared" si="1"/>
        <v>0</v>
      </c>
      <c r="P26" s="112">
        <f t="shared" si="1"/>
        <v>0</v>
      </c>
      <c r="Q26" s="112">
        <f t="shared" si="1"/>
        <v>3</v>
      </c>
      <c r="R26" s="112">
        <f t="shared" si="1"/>
        <v>3</v>
      </c>
      <c r="S26" s="112">
        <f t="shared" si="1"/>
        <v>3</v>
      </c>
      <c r="T26" s="112">
        <f t="shared" si="1"/>
        <v>3</v>
      </c>
      <c r="U26" s="112">
        <f t="shared" si="1"/>
        <v>3</v>
      </c>
      <c r="V26" s="112">
        <f>COUNTIF(V5:V21,"T")</f>
        <v>0</v>
      </c>
      <c r="W26" s="112">
        <f>COUNTIF(W5:W21,"T")</f>
        <v>0</v>
      </c>
      <c r="X26" s="112">
        <f t="shared" si="1"/>
        <v>2</v>
      </c>
      <c r="Y26" s="112">
        <f t="shared" si="1"/>
        <v>2</v>
      </c>
      <c r="Z26" s="112">
        <f t="shared" si="1"/>
        <v>2</v>
      </c>
      <c r="AA26" s="112">
        <f t="shared" si="1"/>
        <v>2</v>
      </c>
      <c r="AB26" s="112">
        <f t="shared" si="1"/>
        <v>2</v>
      </c>
      <c r="AC26" s="112">
        <f t="shared" si="1"/>
        <v>0</v>
      </c>
      <c r="AD26" s="112">
        <f t="shared" si="1"/>
        <v>0</v>
      </c>
      <c r="AE26" s="112">
        <f t="shared" si="1"/>
        <v>3</v>
      </c>
      <c r="AF26" s="112">
        <f t="shared" si="1"/>
        <v>3</v>
      </c>
    </row>
    <row r="27" spans="1:33">
      <c r="B27" s="111" t="s">
        <v>91</v>
      </c>
      <c r="C27" s="112">
        <f t="shared" ref="C27:U27" si="2">COUNTIF(C4:C21,"N")+COUNTIF(C4:C21,"NF")</f>
        <v>2</v>
      </c>
      <c r="D27" s="112">
        <f t="shared" si="2"/>
        <v>2</v>
      </c>
      <c r="E27" s="112">
        <f t="shared" si="2"/>
        <v>2</v>
      </c>
      <c r="F27" s="112">
        <f t="shared" si="2"/>
        <v>2</v>
      </c>
      <c r="G27" s="112">
        <f t="shared" si="2"/>
        <v>2</v>
      </c>
      <c r="H27" s="112">
        <f t="shared" si="2"/>
        <v>2</v>
      </c>
      <c r="I27" s="112">
        <f t="shared" si="2"/>
        <v>2</v>
      </c>
      <c r="J27" s="112">
        <f t="shared" si="2"/>
        <v>2</v>
      </c>
      <c r="K27" s="112">
        <f t="shared" si="2"/>
        <v>2</v>
      </c>
      <c r="L27" s="112">
        <f t="shared" si="2"/>
        <v>2</v>
      </c>
      <c r="M27" s="112">
        <f t="shared" si="2"/>
        <v>2</v>
      </c>
      <c r="N27" s="112">
        <f t="shared" si="2"/>
        <v>2</v>
      </c>
      <c r="O27" s="112">
        <f t="shared" si="2"/>
        <v>2</v>
      </c>
      <c r="P27" s="112">
        <f t="shared" si="2"/>
        <v>2</v>
      </c>
      <c r="Q27" s="112">
        <f t="shared" si="2"/>
        <v>2</v>
      </c>
      <c r="R27" s="112">
        <f t="shared" si="2"/>
        <v>2</v>
      </c>
      <c r="S27" s="112">
        <f t="shared" si="2"/>
        <v>2</v>
      </c>
      <c r="T27" s="112">
        <f t="shared" si="2"/>
        <v>2</v>
      </c>
      <c r="U27" s="112">
        <f t="shared" si="2"/>
        <v>2</v>
      </c>
      <c r="V27" s="112">
        <f>COUNTIF(V5:V21,"N")+COUNTIF(V5:V21,"NF")</f>
        <v>2</v>
      </c>
      <c r="W27" s="112">
        <f>COUNTIF(W5:W21,"N")+COUNTIF(W5:W21,"NF")</f>
        <v>2</v>
      </c>
      <c r="X27" s="112">
        <f t="shared" ref="X27:AF27" si="3">COUNTIF(X4:X21,"N")+COUNTIF(X4:X21,"NF")</f>
        <v>3</v>
      </c>
      <c r="Y27" s="112">
        <f t="shared" si="3"/>
        <v>3</v>
      </c>
      <c r="Z27" s="112">
        <f t="shared" si="3"/>
        <v>3</v>
      </c>
      <c r="AA27" s="112">
        <f t="shared" si="3"/>
        <v>3</v>
      </c>
      <c r="AB27" s="112">
        <f t="shared" si="3"/>
        <v>3</v>
      </c>
      <c r="AC27" s="112">
        <f t="shared" si="3"/>
        <v>2</v>
      </c>
      <c r="AD27" s="112">
        <f t="shared" si="3"/>
        <v>2</v>
      </c>
      <c r="AE27" s="112">
        <f t="shared" si="3"/>
        <v>2</v>
      </c>
      <c r="AF27" s="112">
        <f t="shared" si="3"/>
        <v>2</v>
      </c>
    </row>
    <row r="28" spans="1:33">
      <c r="B28" s="111" t="s">
        <v>92</v>
      </c>
      <c r="C28" s="112">
        <f>COUNTIF(C4:C21,"M/F")+COUNTIF(C4:C21,"M1")+COUNTIF(C4:C21,"M3")+COUNTIF(C4:C21,"M3/G")+COUNTIF(C4:C21,"M2")</f>
        <v>3</v>
      </c>
      <c r="D28" s="112">
        <f>COUNTIF(D4:D21,"M/F")+COUNTIF(D4:D21,"M1")+COUNTIF(D4:D21,"M3")+COUNTIF(D4:D21,"M3/G")+COUNTIF(D4:D21,"M2")</f>
        <v>3</v>
      </c>
      <c r="E28" s="112">
        <f>COUNTIF(E4:E21,"M1")+COUNTIF(E4:E21,"NF")</f>
        <v>1</v>
      </c>
      <c r="F28" s="112">
        <f t="shared" ref="F28:U28" si="4">COUNTIF(F4:F21,"M/F")+COUNTIF(F4:F21,"M1")+COUNTIF(F4:F21,"M3")+COUNTIF(F4:F21,"M3/G")+COUNTIF(F4:F21,"M2")</f>
        <v>3</v>
      </c>
      <c r="G28" s="112">
        <f t="shared" si="4"/>
        <v>3</v>
      </c>
      <c r="H28" s="112">
        <f t="shared" si="4"/>
        <v>2</v>
      </c>
      <c r="I28" s="112">
        <f t="shared" si="4"/>
        <v>2</v>
      </c>
      <c r="J28" s="112">
        <f t="shared" si="4"/>
        <v>3</v>
      </c>
      <c r="K28" s="112">
        <f t="shared" si="4"/>
        <v>3</v>
      </c>
      <c r="L28" s="112">
        <f t="shared" si="4"/>
        <v>3</v>
      </c>
      <c r="M28" s="112">
        <f t="shared" si="4"/>
        <v>3</v>
      </c>
      <c r="N28" s="112">
        <f t="shared" si="4"/>
        <v>3</v>
      </c>
      <c r="O28" s="112">
        <f t="shared" si="4"/>
        <v>2</v>
      </c>
      <c r="P28" s="112">
        <f t="shared" si="4"/>
        <v>2</v>
      </c>
      <c r="Q28" s="112">
        <f t="shared" si="4"/>
        <v>3</v>
      </c>
      <c r="R28" s="112">
        <f t="shared" si="4"/>
        <v>3</v>
      </c>
      <c r="S28" s="112">
        <f t="shared" si="4"/>
        <v>3</v>
      </c>
      <c r="T28" s="112">
        <f t="shared" si="4"/>
        <v>3</v>
      </c>
      <c r="U28" s="112">
        <f t="shared" si="4"/>
        <v>2</v>
      </c>
      <c r="V28" s="112">
        <f>COUNTIF(V5:V21,"M/F")+COUNTIF(V5:V21,"M1")+COUNTIF(V5:V21,"M3")+COUNTIF(V5:V21,"M3/G")+COUNTIF(V5:V21,"M2")</f>
        <v>2</v>
      </c>
      <c r="W28" s="112">
        <f>COUNTIF(W5:W21,"M/F")+COUNTIF(W5:W21,"M1")+COUNTIF(W5:W21,"M3")+COUNTIF(W5:W21,"M3/G")+COUNTIF(W5:W21,"M2")</f>
        <v>2</v>
      </c>
      <c r="X28" s="112">
        <f t="shared" ref="X28:AF28" si="5">COUNTIF(X4:X21,"M/F")+COUNTIF(X4:X21,"M1")+COUNTIF(X4:X21,"M3")+COUNTIF(X4:X21,"M3/G")+COUNTIF(X4:X21,"M2")</f>
        <v>2</v>
      </c>
      <c r="Y28" s="112">
        <f t="shared" si="5"/>
        <v>2</v>
      </c>
      <c r="Z28" s="112">
        <f t="shared" si="5"/>
        <v>3</v>
      </c>
      <c r="AA28" s="112">
        <f t="shared" si="5"/>
        <v>3</v>
      </c>
      <c r="AB28" s="112">
        <f t="shared" si="5"/>
        <v>3</v>
      </c>
      <c r="AC28" s="112">
        <f t="shared" si="5"/>
        <v>2</v>
      </c>
      <c r="AD28" s="112">
        <f t="shared" si="5"/>
        <v>2</v>
      </c>
      <c r="AE28" s="112">
        <f t="shared" si="5"/>
        <v>3</v>
      </c>
      <c r="AF28" s="112">
        <f t="shared" si="5"/>
        <v>3</v>
      </c>
    </row>
    <row r="30" spans="1:33">
      <c r="B30" t="s">
        <v>65</v>
      </c>
    </row>
    <row r="31" spans="1:33">
      <c r="B31" s="5" t="s">
        <v>66</v>
      </c>
    </row>
    <row r="32" spans="1:33">
      <c r="B32" s="5" t="s">
        <v>67</v>
      </c>
    </row>
    <row r="33" spans="2:2">
      <c r="B33" s="1" t="s">
        <v>68</v>
      </c>
    </row>
    <row r="34" spans="2:2">
      <c r="B34" s="7" t="s">
        <v>69</v>
      </c>
    </row>
    <row r="35" spans="2:2">
      <c r="B35" s="3" t="s">
        <v>70</v>
      </c>
    </row>
    <row r="36" spans="2:2">
      <c r="B36" s="5" t="s">
        <v>71</v>
      </c>
    </row>
    <row r="37" spans="2:2">
      <c r="B37" s="3" t="s">
        <v>72</v>
      </c>
    </row>
    <row r="38" spans="2:2">
      <c r="B38" s="4" t="s">
        <v>73</v>
      </c>
    </row>
    <row r="39" spans="2:2">
      <c r="B39" s="25" t="s">
        <v>74</v>
      </c>
    </row>
    <row r="40" spans="2:2">
      <c r="B40" s="4" t="s">
        <v>93</v>
      </c>
    </row>
    <row r="41" spans="2:2">
      <c r="B41" s="28" t="s">
        <v>76</v>
      </c>
    </row>
    <row r="42" spans="2:2">
      <c r="B42" s="17" t="s">
        <v>77</v>
      </c>
    </row>
  </sheetData>
  <mergeCells count="2">
    <mergeCell ref="B1:B3"/>
    <mergeCell ref="C1:AF1"/>
  </mergeCells>
  <conditionalFormatting sqref="C26:AF28">
    <cfRule type="cellIs" dxfId="6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40"/>
  <sheetViews>
    <sheetView topLeftCell="A5" workbookViewId="0">
      <selection activeCell="AC13" sqref="AC13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6" ht="24" customHeight="1">
      <c r="A1" s="6"/>
      <c r="B1" s="171"/>
      <c r="C1" s="172" t="s">
        <v>115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6">
      <c r="A2" s="6"/>
      <c r="B2" s="171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>
      <c r="A4" s="63" t="s">
        <v>12</v>
      </c>
      <c r="B4" s="62" t="s">
        <v>110</v>
      </c>
      <c r="C4" s="7" t="s">
        <v>20</v>
      </c>
      <c r="D4" s="7" t="s">
        <v>20</v>
      </c>
      <c r="E4" s="7" t="s">
        <v>20</v>
      </c>
      <c r="F4" s="28" t="s">
        <v>7</v>
      </c>
      <c r="G4" s="28" t="s">
        <v>7</v>
      </c>
      <c r="H4" s="1" t="s">
        <v>14</v>
      </c>
      <c r="I4" s="1" t="s">
        <v>14</v>
      </c>
      <c r="J4" s="1" t="s">
        <v>14</v>
      </c>
      <c r="K4" s="1" t="s">
        <v>14</v>
      </c>
      <c r="L4" s="1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5" t="s">
        <v>14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6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8" t="s">
        <v>7</v>
      </c>
      <c r="N5" s="28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>
      <c r="A6" s="34" t="s">
        <v>12</v>
      </c>
      <c r="B6" s="33" t="s">
        <v>59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1" t="s">
        <v>14</v>
      </c>
      <c r="W6" s="1" t="s">
        <v>14</v>
      </c>
      <c r="X6" s="1" t="s">
        <v>14</v>
      </c>
      <c r="Y6" s="1" t="s">
        <v>14</v>
      </c>
      <c r="Z6" s="1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>
      <c r="AH7"/>
    </row>
    <row r="8" spans="1:36">
      <c r="A8" s="34" t="s">
        <v>12</v>
      </c>
      <c r="B8" s="33" t="s">
        <v>53</v>
      </c>
      <c r="C8" s="124" t="s">
        <v>7</v>
      </c>
      <c r="D8" s="124" t="s">
        <v>7</v>
      </c>
      <c r="E8" s="124" t="s">
        <v>7</v>
      </c>
      <c r="F8" s="124" t="s">
        <v>7</v>
      </c>
      <c r="G8" s="124" t="s">
        <v>7</v>
      </c>
      <c r="H8" s="125" t="s">
        <v>20</v>
      </c>
      <c r="I8" s="125" t="s">
        <v>20</v>
      </c>
      <c r="J8" s="125" t="s">
        <v>20</v>
      </c>
      <c r="K8" s="125" t="s">
        <v>20</v>
      </c>
      <c r="L8" s="125" t="s">
        <v>20</v>
      </c>
      <c r="M8" s="5" t="s">
        <v>15</v>
      </c>
      <c r="N8" s="5" t="s">
        <v>15</v>
      </c>
      <c r="O8" s="124" t="s">
        <v>7</v>
      </c>
      <c r="P8" s="124" t="s">
        <v>7</v>
      </c>
      <c r="Q8" s="124" t="s">
        <v>7</v>
      </c>
      <c r="R8" s="124" t="s">
        <v>7</v>
      </c>
      <c r="S8" s="124" t="s">
        <v>7</v>
      </c>
      <c r="T8" s="124" t="s">
        <v>7</v>
      </c>
      <c r="U8" s="124" t="s">
        <v>7</v>
      </c>
      <c r="V8" s="125" t="s">
        <v>20</v>
      </c>
      <c r="W8" s="125" t="s">
        <v>20</v>
      </c>
      <c r="X8" s="125" t="s">
        <v>20</v>
      </c>
      <c r="Y8" s="125" t="s">
        <v>20</v>
      </c>
      <c r="Z8" s="125" t="s">
        <v>20</v>
      </c>
      <c r="AA8" s="5" t="s">
        <v>15</v>
      </c>
      <c r="AB8" s="5" t="s">
        <v>15</v>
      </c>
      <c r="AC8" s="124" t="s">
        <v>7</v>
      </c>
      <c r="AD8" s="124" t="s">
        <v>7</v>
      </c>
      <c r="AE8" s="124" t="s">
        <v>7</v>
      </c>
      <c r="AF8" s="124" t="s">
        <v>7</v>
      </c>
      <c r="AG8" s="124" t="s">
        <v>7</v>
      </c>
      <c r="AH8"/>
    </row>
    <row r="9" spans="1:36">
      <c r="A9" s="34" t="s">
        <v>12</v>
      </c>
      <c r="B9" s="33" t="s">
        <v>24</v>
      </c>
      <c r="C9" s="125" t="s">
        <v>20</v>
      </c>
      <c r="D9" s="125" t="s">
        <v>20</v>
      </c>
      <c r="E9" s="125" t="s">
        <v>20</v>
      </c>
      <c r="F9" s="5" t="s">
        <v>15</v>
      </c>
      <c r="G9" s="5" t="s">
        <v>15</v>
      </c>
      <c r="H9" s="124" t="s">
        <v>7</v>
      </c>
      <c r="I9" s="124" t="s">
        <v>7</v>
      </c>
      <c r="J9" s="124" t="s">
        <v>7</v>
      </c>
      <c r="K9" s="124" t="s">
        <v>7</v>
      </c>
      <c r="L9" s="124" t="s">
        <v>7</v>
      </c>
      <c r="M9" s="124" t="s">
        <v>7</v>
      </c>
      <c r="N9" s="124" t="s">
        <v>7</v>
      </c>
      <c r="O9" s="130" t="s">
        <v>16</v>
      </c>
      <c r="P9" s="130" t="s">
        <v>16</v>
      </c>
      <c r="Q9" s="130" t="s">
        <v>16</v>
      </c>
      <c r="R9" s="130" t="s">
        <v>16</v>
      </c>
      <c r="S9" s="130" t="s">
        <v>16</v>
      </c>
      <c r="T9" s="130" t="s">
        <v>17</v>
      </c>
      <c r="U9" s="130" t="s">
        <v>17</v>
      </c>
      <c r="V9" s="124" t="s">
        <v>7</v>
      </c>
      <c r="W9" s="124" t="s">
        <v>7</v>
      </c>
      <c r="X9" s="124" t="s">
        <v>7</v>
      </c>
      <c r="Y9" s="124" t="s">
        <v>7</v>
      </c>
      <c r="Z9" s="124" t="s">
        <v>7</v>
      </c>
      <c r="AA9" s="124" t="s">
        <v>7</v>
      </c>
      <c r="AB9" s="124" t="s">
        <v>7</v>
      </c>
      <c r="AC9" s="130" t="s">
        <v>16</v>
      </c>
      <c r="AD9" s="130" t="s">
        <v>16</v>
      </c>
      <c r="AE9" s="130" t="s">
        <v>16</v>
      </c>
      <c r="AF9" s="130" t="s">
        <v>16</v>
      </c>
      <c r="AG9" s="130" t="s">
        <v>16</v>
      </c>
      <c r="AH9"/>
    </row>
    <row r="10" spans="1:36">
      <c r="A10" s="34" t="s">
        <v>12</v>
      </c>
      <c r="B10" s="33" t="s">
        <v>84</v>
      </c>
      <c r="C10" s="130" t="s">
        <v>16</v>
      </c>
      <c r="D10" s="130" t="s">
        <v>16</v>
      </c>
      <c r="E10" s="130" t="s">
        <v>16</v>
      </c>
      <c r="F10" s="130" t="s">
        <v>17</v>
      </c>
      <c r="G10" s="130" t="s">
        <v>17</v>
      </c>
      <c r="H10" s="124" t="s">
        <v>7</v>
      </c>
      <c r="I10" s="124" t="s">
        <v>7</v>
      </c>
      <c r="J10" s="124" t="s">
        <v>7</v>
      </c>
      <c r="K10" s="124" t="s">
        <v>7</v>
      </c>
      <c r="L10" s="124" t="s">
        <v>7</v>
      </c>
      <c r="M10" s="124" t="s">
        <v>7</v>
      </c>
      <c r="N10" s="124" t="s">
        <v>7</v>
      </c>
      <c r="O10" s="125" t="s">
        <v>20</v>
      </c>
      <c r="P10" s="125" t="s">
        <v>20</v>
      </c>
      <c r="Q10" s="125" t="s">
        <v>20</v>
      </c>
      <c r="R10" s="125" t="s">
        <v>20</v>
      </c>
      <c r="S10" s="125" t="s">
        <v>20</v>
      </c>
      <c r="T10" s="5" t="s">
        <v>15</v>
      </c>
      <c r="U10" s="5" t="s">
        <v>15</v>
      </c>
      <c r="V10" s="124" t="s">
        <v>7</v>
      </c>
      <c r="W10" s="124" t="s">
        <v>7</v>
      </c>
      <c r="X10" s="124" t="s">
        <v>7</v>
      </c>
      <c r="Y10" s="124" t="s">
        <v>7</v>
      </c>
      <c r="Z10" s="124" t="s">
        <v>7</v>
      </c>
      <c r="AA10" s="124" t="s">
        <v>7</v>
      </c>
      <c r="AB10" s="124" t="s">
        <v>7</v>
      </c>
      <c r="AC10" s="125" t="s">
        <v>20</v>
      </c>
      <c r="AD10" s="125" t="s">
        <v>20</v>
      </c>
      <c r="AE10" s="125" t="s">
        <v>20</v>
      </c>
      <c r="AF10" s="125" t="s">
        <v>20</v>
      </c>
      <c r="AG10" s="125" t="s">
        <v>20</v>
      </c>
      <c r="AH10"/>
    </row>
    <row r="11" spans="1:36">
      <c r="A11" s="34" t="s">
        <v>12</v>
      </c>
      <c r="B11" s="33" t="s">
        <v>102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30" t="s">
        <v>16</v>
      </c>
      <c r="I11" s="130" t="s">
        <v>16</v>
      </c>
      <c r="J11" s="130" t="s">
        <v>16</v>
      </c>
      <c r="K11" s="130" t="s">
        <v>16</v>
      </c>
      <c r="L11" s="130" t="s">
        <v>16</v>
      </c>
      <c r="M11" s="130" t="s">
        <v>17</v>
      </c>
      <c r="N11" s="130" t="s">
        <v>17</v>
      </c>
      <c r="O11" s="124" t="s">
        <v>7</v>
      </c>
      <c r="P11" s="124" t="s">
        <v>7</v>
      </c>
      <c r="Q11" s="124" t="s">
        <v>7</v>
      </c>
      <c r="R11" s="124" t="s">
        <v>7</v>
      </c>
      <c r="S11" s="124" t="s">
        <v>7</v>
      </c>
      <c r="T11" s="124" t="s">
        <v>7</v>
      </c>
      <c r="U11" s="124" t="s">
        <v>7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16</v>
      </c>
      <c r="AA11" s="130" t="s">
        <v>17</v>
      </c>
      <c r="AB11" s="130" t="s">
        <v>17</v>
      </c>
      <c r="AC11" s="124" t="s">
        <v>7</v>
      </c>
      <c r="AD11" s="124" t="s">
        <v>7</v>
      </c>
      <c r="AE11" s="124" t="s">
        <v>7</v>
      </c>
      <c r="AF11" s="124" t="s">
        <v>7</v>
      </c>
      <c r="AG11" s="124" t="s">
        <v>7</v>
      </c>
      <c r="AH11"/>
      <c r="AJ11" s="134"/>
    </row>
    <row r="12" spans="1:36">
      <c r="AH12"/>
    </row>
    <row r="13" spans="1:36">
      <c r="A13" s="34" t="s">
        <v>12</v>
      </c>
      <c r="B13" s="167" t="s">
        <v>114</v>
      </c>
      <c r="C13" s="5" t="s">
        <v>14</v>
      </c>
      <c r="D13" s="5" t="s">
        <v>14</v>
      </c>
      <c r="E13" s="5" t="s">
        <v>14</v>
      </c>
      <c r="F13" s="28" t="s">
        <v>7</v>
      </c>
      <c r="G13" s="28" t="s">
        <v>7</v>
      </c>
      <c r="H13" s="5" t="s">
        <v>14</v>
      </c>
      <c r="I13" s="5" t="s">
        <v>14</v>
      </c>
      <c r="J13" s="5" t="s">
        <v>14</v>
      </c>
      <c r="K13" s="5" t="s">
        <v>14</v>
      </c>
      <c r="L13" s="17" t="s">
        <v>4</v>
      </c>
      <c r="M13" s="28" t="s">
        <v>7</v>
      </c>
      <c r="N13" s="28" t="s">
        <v>7</v>
      </c>
      <c r="O13" s="17" t="s">
        <v>4</v>
      </c>
      <c r="P13" s="17" t="s">
        <v>4</v>
      </c>
      <c r="Q13" s="5" t="s">
        <v>14</v>
      </c>
      <c r="R13" s="5" t="s">
        <v>14</v>
      </c>
      <c r="S13" s="5" t="s">
        <v>14</v>
      </c>
      <c r="T13" s="28" t="s">
        <v>7</v>
      </c>
      <c r="U13" s="28" t="s">
        <v>7</v>
      </c>
      <c r="V13" s="5" t="s">
        <v>14</v>
      </c>
      <c r="W13" s="5" t="s">
        <v>14</v>
      </c>
      <c r="X13" s="5" t="s">
        <v>14</v>
      </c>
      <c r="Y13" s="5" t="s">
        <v>14</v>
      </c>
      <c r="Z13" s="5" t="s">
        <v>14</v>
      </c>
      <c r="AA13" s="28" t="s">
        <v>7</v>
      </c>
      <c r="AB13" s="28" t="s">
        <v>7</v>
      </c>
      <c r="AC13" s="1" t="s">
        <v>14</v>
      </c>
      <c r="AD13" s="1" t="s">
        <v>14</v>
      </c>
      <c r="AE13" s="1" t="s">
        <v>14</v>
      </c>
      <c r="AF13" s="1" t="s">
        <v>14</v>
      </c>
      <c r="AG13" s="1" t="s">
        <v>14</v>
      </c>
      <c r="AH13"/>
    </row>
    <row r="14" spans="1:36">
      <c r="A14" s="34" t="s">
        <v>12</v>
      </c>
      <c r="B14" s="167" t="s">
        <v>112</v>
      </c>
      <c r="C14" s="125" t="s">
        <v>20</v>
      </c>
      <c r="D14" s="125" t="s">
        <v>20</v>
      </c>
      <c r="E14" s="125" t="s">
        <v>20</v>
      </c>
      <c r="F14" s="28" t="s">
        <v>7</v>
      </c>
      <c r="G14" s="28" t="s">
        <v>7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16</v>
      </c>
      <c r="M14" s="28" t="s">
        <v>7</v>
      </c>
      <c r="N14" s="28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28" t="s">
        <v>7</v>
      </c>
      <c r="U14" s="28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28" t="s">
        <v>7</v>
      </c>
      <c r="AB14" s="28" t="s">
        <v>7</v>
      </c>
      <c r="AC14" s="125" t="s">
        <v>20</v>
      </c>
      <c r="AD14" s="125" t="s">
        <v>20</v>
      </c>
      <c r="AE14" s="125" t="s">
        <v>20</v>
      </c>
      <c r="AF14" s="125" t="s">
        <v>20</v>
      </c>
      <c r="AG14" s="125" t="s">
        <v>20</v>
      </c>
      <c r="AH14"/>
    </row>
    <row r="15" spans="1:36">
      <c r="AH15"/>
    </row>
    <row r="16" spans="1:36">
      <c r="A16" s="34" t="s">
        <v>12</v>
      </c>
      <c r="B16" s="33" t="s">
        <v>21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130" t="s">
        <v>16</v>
      </c>
      <c r="I16" s="130" t="s">
        <v>16</v>
      </c>
      <c r="J16" s="130" t="s">
        <v>16</v>
      </c>
      <c r="K16" s="130" t="s">
        <v>16</v>
      </c>
      <c r="L16" s="130" t="s">
        <v>16</v>
      </c>
      <c r="M16" s="130" t="s">
        <v>17</v>
      </c>
      <c r="N16" s="130" t="s">
        <v>17</v>
      </c>
      <c r="O16" s="28" t="s">
        <v>7</v>
      </c>
      <c r="P16" s="28" t="s">
        <v>7</v>
      </c>
      <c r="Q16" s="28" t="s">
        <v>7</v>
      </c>
      <c r="R16" s="28" t="s">
        <v>7</v>
      </c>
      <c r="S16" s="28" t="s">
        <v>7</v>
      </c>
      <c r="T16" s="28" t="s">
        <v>7</v>
      </c>
      <c r="U16" s="28" t="s">
        <v>7</v>
      </c>
      <c r="V16" s="130" t="s">
        <v>16</v>
      </c>
      <c r="W16" s="130" t="s">
        <v>16</v>
      </c>
      <c r="X16" s="130" t="s">
        <v>16</v>
      </c>
      <c r="Y16" s="130" t="s">
        <v>16</v>
      </c>
      <c r="Z16" s="130" t="s">
        <v>16</v>
      </c>
      <c r="AA16" s="130" t="s">
        <v>17</v>
      </c>
      <c r="AB16" s="130" t="s">
        <v>17</v>
      </c>
      <c r="AC16" s="28" t="s">
        <v>7</v>
      </c>
      <c r="AD16" s="28" t="s">
        <v>7</v>
      </c>
      <c r="AE16" s="28" t="s">
        <v>7</v>
      </c>
      <c r="AF16" s="28" t="s">
        <v>7</v>
      </c>
      <c r="AG16" s="28" t="s">
        <v>7</v>
      </c>
      <c r="AH16"/>
    </row>
    <row r="17" spans="1:34">
      <c r="A17" s="34" t="s">
        <v>12</v>
      </c>
      <c r="B17" s="33" t="s">
        <v>22</v>
      </c>
      <c r="C17" s="130" t="s">
        <v>16</v>
      </c>
      <c r="D17" s="130" t="s">
        <v>16</v>
      </c>
      <c r="E17" s="130" t="s">
        <v>16</v>
      </c>
      <c r="F17" s="130" t="s">
        <v>17</v>
      </c>
      <c r="G17" s="130" t="s">
        <v>17</v>
      </c>
      <c r="H17" s="28" t="s">
        <v>7</v>
      </c>
      <c r="I17" s="28" t="s">
        <v>7</v>
      </c>
      <c r="J17" s="28" t="s">
        <v>7</v>
      </c>
      <c r="K17" s="28" t="s">
        <v>7</v>
      </c>
      <c r="L17" s="28" t="s">
        <v>7</v>
      </c>
      <c r="M17" s="28" t="s">
        <v>7</v>
      </c>
      <c r="N17" s="28" t="s">
        <v>7</v>
      </c>
      <c r="O17" s="130" t="s">
        <v>16</v>
      </c>
      <c r="P17" s="130" t="s">
        <v>16</v>
      </c>
      <c r="Q17" s="130" t="s">
        <v>16</v>
      </c>
      <c r="R17" s="130" t="s">
        <v>16</v>
      </c>
      <c r="S17" s="130" t="s">
        <v>16</v>
      </c>
      <c r="T17" s="130" t="s">
        <v>17</v>
      </c>
      <c r="U17" s="130" t="s">
        <v>17</v>
      </c>
      <c r="V17" s="28" t="s">
        <v>7</v>
      </c>
      <c r="W17" s="28" t="s">
        <v>7</v>
      </c>
      <c r="X17" s="28" t="s">
        <v>7</v>
      </c>
      <c r="Y17" s="28" t="s">
        <v>7</v>
      </c>
      <c r="Z17" s="28" t="s">
        <v>7</v>
      </c>
      <c r="AA17" s="28" t="s">
        <v>7</v>
      </c>
      <c r="AB17" s="28" t="s">
        <v>7</v>
      </c>
      <c r="AC17" s="130" t="s">
        <v>16</v>
      </c>
      <c r="AD17" s="130" t="s">
        <v>16</v>
      </c>
      <c r="AE17" s="130" t="s">
        <v>16</v>
      </c>
      <c r="AF17" s="130" t="s">
        <v>16</v>
      </c>
      <c r="AG17" s="130" t="s">
        <v>16</v>
      </c>
      <c r="AH17"/>
    </row>
    <row r="18" spans="1:34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H18"/>
    </row>
    <row r="19" spans="1:34">
      <c r="A19" s="34" t="s">
        <v>28</v>
      </c>
      <c r="B19" s="37" t="s">
        <v>29</v>
      </c>
      <c r="C19" s="25" t="s">
        <v>11</v>
      </c>
      <c r="D19" s="25" t="s">
        <v>11</v>
      </c>
      <c r="E19" s="25" t="s">
        <v>11</v>
      </c>
      <c r="F19" s="28" t="s">
        <v>7</v>
      </c>
      <c r="G19" s="28" t="s">
        <v>7</v>
      </c>
      <c r="H19" s="4" t="s">
        <v>14</v>
      </c>
      <c r="I19" s="4" t="s">
        <v>14</v>
      </c>
      <c r="J19" s="4" t="s">
        <v>14</v>
      </c>
      <c r="K19" s="4" t="s">
        <v>14</v>
      </c>
      <c r="L19" s="4" t="s">
        <v>14</v>
      </c>
      <c r="M19" s="28" t="s">
        <v>7</v>
      </c>
      <c r="N19" s="28" t="s">
        <v>7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28" t="s">
        <v>30</v>
      </c>
      <c r="U19" s="28" t="s">
        <v>30</v>
      </c>
      <c r="V19" s="25" t="s">
        <v>14</v>
      </c>
      <c r="W19" s="25" t="s">
        <v>14</v>
      </c>
      <c r="X19" s="25" t="s">
        <v>14</v>
      </c>
      <c r="Y19" s="25" t="s">
        <v>14</v>
      </c>
      <c r="Z19" s="25" t="s">
        <v>14</v>
      </c>
      <c r="AA19" s="28" t="s">
        <v>7</v>
      </c>
      <c r="AB19" s="28" t="s">
        <v>7</v>
      </c>
      <c r="AC19" s="4" t="s">
        <v>14</v>
      </c>
      <c r="AD19" s="4" t="s">
        <v>14</v>
      </c>
      <c r="AE19" s="4" t="s">
        <v>14</v>
      </c>
      <c r="AF19" s="4" t="s">
        <v>14</v>
      </c>
      <c r="AG19" s="4" t="s">
        <v>14</v>
      </c>
      <c r="AH19"/>
    </row>
    <row r="20" spans="1:34">
      <c r="A20" s="34" t="s">
        <v>28</v>
      </c>
      <c r="B20" s="37" t="s">
        <v>60</v>
      </c>
      <c r="C20" s="4" t="s">
        <v>85</v>
      </c>
      <c r="D20" s="4" t="s">
        <v>85</v>
      </c>
      <c r="E20" s="4" t="s">
        <v>85</v>
      </c>
      <c r="F20" s="28" t="s">
        <v>30</v>
      </c>
      <c r="G20" s="28" t="s">
        <v>30</v>
      </c>
      <c r="H20" s="4" t="s">
        <v>85</v>
      </c>
      <c r="I20" s="4" t="s">
        <v>85</v>
      </c>
      <c r="J20" s="4" t="s">
        <v>85</v>
      </c>
      <c r="K20" s="4" t="s">
        <v>85</v>
      </c>
      <c r="L20" s="4" t="s">
        <v>85</v>
      </c>
      <c r="M20" s="28" t="s">
        <v>30</v>
      </c>
      <c r="N20" s="28" t="s">
        <v>30</v>
      </c>
      <c r="O20" s="25" t="s">
        <v>14</v>
      </c>
      <c r="P20" s="25" t="s">
        <v>14</v>
      </c>
      <c r="Q20" s="25" t="s">
        <v>14</v>
      </c>
      <c r="R20" s="25" t="s">
        <v>14</v>
      </c>
      <c r="S20" s="25" t="s">
        <v>14</v>
      </c>
      <c r="T20" s="28" t="s">
        <v>7</v>
      </c>
      <c r="U20" s="28" t="s">
        <v>7</v>
      </c>
      <c r="V20" s="17" t="s">
        <v>4</v>
      </c>
      <c r="W20" s="17" t="s">
        <v>4</v>
      </c>
      <c r="X20" s="17" t="s">
        <v>4</v>
      </c>
      <c r="Y20" s="17" t="s">
        <v>4</v>
      </c>
      <c r="Z20" s="17" t="s">
        <v>4</v>
      </c>
      <c r="AA20" s="28" t="s">
        <v>7</v>
      </c>
      <c r="AB20" s="28" t="s">
        <v>7</v>
      </c>
      <c r="AC20" s="25" t="s">
        <v>11</v>
      </c>
      <c r="AD20" s="25" t="s">
        <v>11</v>
      </c>
      <c r="AE20" s="25" t="s">
        <v>11</v>
      </c>
      <c r="AF20" s="25" t="s">
        <v>11</v>
      </c>
      <c r="AG20" s="25" t="s">
        <v>11</v>
      </c>
      <c r="AH20"/>
    </row>
    <row r="21" spans="1:34">
      <c r="A21" s="34" t="s">
        <v>28</v>
      </c>
      <c r="B21" s="37" t="s">
        <v>13</v>
      </c>
      <c r="C21" s="4" t="s">
        <v>14</v>
      </c>
      <c r="D21" s="4" t="s">
        <v>14</v>
      </c>
      <c r="E21" s="4" t="s">
        <v>14</v>
      </c>
      <c r="F21" s="28" t="s">
        <v>7</v>
      </c>
      <c r="G21" s="28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8" t="s">
        <v>7</v>
      </c>
      <c r="N21" s="28" t="s">
        <v>7</v>
      </c>
      <c r="O21" s="17" t="s">
        <v>4</v>
      </c>
      <c r="P21" s="17" t="s">
        <v>4</v>
      </c>
      <c r="Q21" s="17" t="s">
        <v>4</v>
      </c>
      <c r="R21" s="17" t="s">
        <v>4</v>
      </c>
      <c r="S21" s="17" t="s">
        <v>4</v>
      </c>
      <c r="T21" s="28" t="s">
        <v>7</v>
      </c>
      <c r="U21" s="28" t="s">
        <v>7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28" t="s">
        <v>30</v>
      </c>
      <c r="AB21" s="28" t="s">
        <v>30</v>
      </c>
      <c r="AC21" s="4" t="s">
        <v>85</v>
      </c>
      <c r="AD21" s="4" t="s">
        <v>85</v>
      </c>
      <c r="AE21" s="4" t="s">
        <v>85</v>
      </c>
      <c r="AF21" s="4" t="s">
        <v>85</v>
      </c>
      <c r="AG21" s="4" t="s">
        <v>85</v>
      </c>
      <c r="AH21"/>
    </row>
    <row r="22" spans="1:34">
      <c r="AH22"/>
    </row>
    <row r="23" spans="1:34">
      <c r="B23" s="111" t="s">
        <v>89</v>
      </c>
      <c r="C23" s="110">
        <f t="shared" ref="C23:AG23" si="0">SUM(C24:C26)</f>
        <v>7</v>
      </c>
      <c r="D23" s="110">
        <f t="shared" si="0"/>
        <v>7</v>
      </c>
      <c r="E23" s="110">
        <f t="shared" si="0"/>
        <v>5</v>
      </c>
      <c r="F23" s="110">
        <f t="shared" si="0"/>
        <v>4</v>
      </c>
      <c r="G23" s="110">
        <f t="shared" si="0"/>
        <v>4</v>
      </c>
      <c r="H23" s="110">
        <f t="shared" si="0"/>
        <v>7</v>
      </c>
      <c r="I23" s="110">
        <f t="shared" si="0"/>
        <v>7</v>
      </c>
      <c r="J23" s="110">
        <f t="shared" si="0"/>
        <v>7</v>
      </c>
      <c r="K23" s="110">
        <f t="shared" si="0"/>
        <v>7</v>
      </c>
      <c r="L23" s="110">
        <f t="shared" si="0"/>
        <v>7</v>
      </c>
      <c r="M23" s="110">
        <f t="shared" si="0"/>
        <v>4</v>
      </c>
      <c r="N23" s="110">
        <f t="shared" si="0"/>
        <v>4</v>
      </c>
      <c r="O23" s="110">
        <f t="shared" si="0"/>
        <v>5</v>
      </c>
      <c r="P23" s="110">
        <f t="shared" si="0"/>
        <v>5</v>
      </c>
      <c r="Q23" s="110">
        <f t="shared" si="0"/>
        <v>5</v>
      </c>
      <c r="R23" s="110">
        <f t="shared" si="0"/>
        <v>5</v>
      </c>
      <c r="S23" s="110">
        <f t="shared" si="0"/>
        <v>5</v>
      </c>
      <c r="T23" s="110">
        <f t="shared" si="0"/>
        <v>4</v>
      </c>
      <c r="U23" s="110">
        <f t="shared" si="0"/>
        <v>4</v>
      </c>
      <c r="V23" s="110">
        <f t="shared" si="0"/>
        <v>5</v>
      </c>
      <c r="W23" s="110">
        <f t="shared" si="0"/>
        <v>5</v>
      </c>
      <c r="X23" s="110">
        <f t="shared" si="0"/>
        <v>5</v>
      </c>
      <c r="Y23" s="110">
        <f t="shared" si="0"/>
        <v>5</v>
      </c>
      <c r="Z23" s="110">
        <f t="shared" si="0"/>
        <v>5</v>
      </c>
      <c r="AA23" s="110">
        <f t="shared" si="0"/>
        <v>4</v>
      </c>
      <c r="AB23" s="110">
        <f t="shared" si="0"/>
        <v>4</v>
      </c>
      <c r="AC23" s="110">
        <f t="shared" si="0"/>
        <v>7</v>
      </c>
      <c r="AD23" s="110">
        <f t="shared" si="0"/>
        <v>7</v>
      </c>
      <c r="AE23" s="110">
        <f t="shared" si="0"/>
        <v>7</v>
      </c>
      <c r="AF23" s="110">
        <f t="shared" si="0"/>
        <v>7</v>
      </c>
      <c r="AG23" s="110">
        <f t="shared" si="0"/>
        <v>7</v>
      </c>
    </row>
    <row r="24" spans="1:34">
      <c r="B24" s="111" t="s">
        <v>90</v>
      </c>
      <c r="C24" s="112">
        <f>COUNTIF(C4:C21,"T")</f>
        <v>3</v>
      </c>
      <c r="D24" s="112">
        <f>COUNTIF(D4:D21,"T")</f>
        <v>3</v>
      </c>
      <c r="E24" s="112">
        <f>COUNTIF(E4:E21,"T")</f>
        <v>3</v>
      </c>
      <c r="F24" s="112">
        <f>COUNTIF(F4:F21,"T")</f>
        <v>0</v>
      </c>
      <c r="G24" s="112">
        <f>COUNTIF(G4:G21,"T")</f>
        <v>0</v>
      </c>
      <c r="H24" s="112">
        <f>COUNTIF(H4:H21,"T")</f>
        <v>2</v>
      </c>
      <c r="I24" s="112">
        <f>COUNTIF(I4:I21,"T")</f>
        <v>2</v>
      </c>
      <c r="J24" s="112">
        <f>COUNTIF(J4:J21,"T")</f>
        <v>2</v>
      </c>
      <c r="K24" s="112">
        <f>COUNTIF(K4:K21,"T")</f>
        <v>2</v>
      </c>
      <c r="L24" s="112">
        <f>COUNTIF(L4:L21,"T")</f>
        <v>2</v>
      </c>
      <c r="M24" s="112">
        <f>COUNTIF(M4:M21,"T")</f>
        <v>0</v>
      </c>
      <c r="N24" s="112">
        <f>COUNTIF(N4:N21,"T")</f>
        <v>0</v>
      </c>
      <c r="O24" s="112">
        <f>COUNTIF(O4:O21,"T")</f>
        <v>3</v>
      </c>
      <c r="P24" s="112">
        <f>COUNTIF(P4:P21,"T")</f>
        <v>3</v>
      </c>
      <c r="Q24" s="112">
        <f>COUNTIF(Q4:Q21,"T")</f>
        <v>3</v>
      </c>
      <c r="R24" s="112">
        <f>COUNTIF(R4:R21,"T")</f>
        <v>3</v>
      </c>
      <c r="S24" s="112">
        <f>COUNTIF(S4:S21,"T")</f>
        <v>3</v>
      </c>
      <c r="T24" s="112">
        <f>COUNTIF(T4:T21,"T")</f>
        <v>0</v>
      </c>
      <c r="U24" s="112">
        <f>COUNTIF(U4:U21,"T")</f>
        <v>0</v>
      </c>
      <c r="V24" s="112">
        <f>COUNTIF(V4:V21,"T")</f>
        <v>2</v>
      </c>
      <c r="W24" s="112">
        <f>COUNTIF(W4:W21,"T")</f>
        <v>2</v>
      </c>
      <c r="X24" s="112">
        <f>COUNTIF(X4:X21,"T")</f>
        <v>2</v>
      </c>
      <c r="Y24" s="112">
        <f>COUNTIF(Y4:Y21,"T")</f>
        <v>2</v>
      </c>
      <c r="Z24" s="112">
        <f>COUNTIF(Z4:Z21,"T")</f>
        <v>2</v>
      </c>
      <c r="AA24" s="112">
        <f>COUNTIF(AA4:AA21,"T")</f>
        <v>0</v>
      </c>
      <c r="AB24" s="112">
        <f>COUNTIF(AB4:AB21,"T")</f>
        <v>0</v>
      </c>
      <c r="AC24" s="112">
        <f>COUNTIF(AC4:AC21,"T")</f>
        <v>3</v>
      </c>
      <c r="AD24" s="112">
        <f>COUNTIF(AD4:AD21,"T")</f>
        <v>3</v>
      </c>
      <c r="AE24" s="112">
        <f>COUNTIF(AE4:AE21,"T")</f>
        <v>3</v>
      </c>
      <c r="AF24" s="112">
        <f>COUNTIF(AF4:AF21,"T")</f>
        <v>3</v>
      </c>
      <c r="AG24" s="112">
        <f>COUNTIF(AG4:AG21,"T")</f>
        <v>3</v>
      </c>
    </row>
    <row r="25" spans="1:34">
      <c r="B25" s="111" t="s">
        <v>91</v>
      </c>
      <c r="C25" s="112">
        <f>COUNTIF(C4:C21,"N")+COUNTIF(C4:C21,"NF")</f>
        <v>2</v>
      </c>
      <c r="D25" s="112">
        <f>COUNTIF(D4:D21,"N")+COUNTIF(D4:D21,"NF")</f>
        <v>2</v>
      </c>
      <c r="E25" s="112">
        <f>COUNTIF(E4:E21,"N")+COUNTIF(E4:E21,"NF")</f>
        <v>2</v>
      </c>
      <c r="F25" s="112">
        <f>COUNTIF(F4:F21,"N")+COUNTIF(F4:F21,"NF")</f>
        <v>2</v>
      </c>
      <c r="G25" s="112">
        <f>COUNTIF(G4:G21,"N")+COUNTIF(G4:G21,"NF")</f>
        <v>2</v>
      </c>
      <c r="H25" s="112">
        <f>COUNTIF(H4:H21,"N")+COUNTIF(H4:H21,"NF")</f>
        <v>3</v>
      </c>
      <c r="I25" s="112">
        <f>COUNTIF(I4:I21,"N")+COUNTIF(I4:I21,"NF")</f>
        <v>3</v>
      </c>
      <c r="J25" s="112">
        <f>COUNTIF(J4:J21,"N")+COUNTIF(J4:J21,"NF")</f>
        <v>3</v>
      </c>
      <c r="K25" s="112">
        <f>COUNTIF(K4:K21,"N")+COUNTIF(K4:K21,"NF")</f>
        <v>3</v>
      </c>
      <c r="L25" s="112">
        <f>COUNTIF(L4:L21,"N")+COUNTIF(L4:L21,"NF")</f>
        <v>3</v>
      </c>
      <c r="M25" s="112">
        <f>COUNTIF(M4:M21,"N")+COUNTIF(M4:M21,"NF")</f>
        <v>2</v>
      </c>
      <c r="N25" s="112">
        <f>COUNTIF(N4:N21,"N")+COUNTIF(N4:N21,"NF")</f>
        <v>2</v>
      </c>
      <c r="O25" s="112">
        <f>COUNTIF(O4:O21,"N")+COUNTIF(O4:O21,"NF")</f>
        <v>2</v>
      </c>
      <c r="P25" s="112">
        <f>COUNTIF(P4:P21,"N")+COUNTIF(P4:P21,"NF")</f>
        <v>2</v>
      </c>
      <c r="Q25" s="112">
        <f>COUNTIF(Q4:Q21,"N")+COUNTIF(Q4:Q21,"NF")</f>
        <v>2</v>
      </c>
      <c r="R25" s="112">
        <f>COUNTIF(R4:R21,"N")+COUNTIF(R4:R21,"NF")</f>
        <v>2</v>
      </c>
      <c r="S25" s="112">
        <f>COUNTIF(S4:S21,"N")+COUNTIF(S4:S21,"NF")</f>
        <v>2</v>
      </c>
      <c r="T25" s="112">
        <f>COUNTIF(T4:T21,"N")+COUNTIF(T4:T21,"NF")</f>
        <v>2</v>
      </c>
      <c r="U25" s="112">
        <f>COUNTIF(U4:U21,"N")+COUNTIF(U4:U21,"NF")</f>
        <v>2</v>
      </c>
      <c r="V25" s="112">
        <f>COUNTIF(V4:V21,"N")+COUNTIF(V4:V21,"NF")</f>
        <v>3</v>
      </c>
      <c r="W25" s="112">
        <f>COUNTIF(W4:W21,"N")+COUNTIF(W4:W21,"NF")</f>
        <v>3</v>
      </c>
      <c r="X25" s="112">
        <f>COUNTIF(X4:X21,"N")+COUNTIF(X4:X21,"NF")</f>
        <v>3</v>
      </c>
      <c r="Y25" s="112">
        <f>COUNTIF(Y4:Y21,"N")+COUNTIF(Y4:Y21,"NF")</f>
        <v>3</v>
      </c>
      <c r="Z25" s="112">
        <f>COUNTIF(Z4:Z21,"N")+COUNTIF(Z4:Z21,"NF")</f>
        <v>3</v>
      </c>
      <c r="AA25" s="112">
        <f>COUNTIF(AA4:AA21,"N")+COUNTIF(AA4:AA21,"NF")</f>
        <v>2</v>
      </c>
      <c r="AB25" s="112">
        <f>COUNTIF(AB4:AB21,"N")+COUNTIF(AB4:AB21,"NF")</f>
        <v>2</v>
      </c>
      <c r="AC25" s="112">
        <f>COUNTIF(AC4:AC21,"N")+COUNTIF(AC4:AC21,"NF")</f>
        <v>2</v>
      </c>
      <c r="AD25" s="112">
        <f>COUNTIF(AD4:AD21,"N")+COUNTIF(AD4:AD21,"NF")</f>
        <v>2</v>
      </c>
      <c r="AE25" s="112">
        <f>COUNTIF(AE4:AE21,"N")+COUNTIF(AE4:AE21,"NF")</f>
        <v>2</v>
      </c>
      <c r="AF25" s="112">
        <f>COUNTIF(AF4:AF21,"N")+COUNTIF(AF4:AF21,"NF")</f>
        <v>2</v>
      </c>
      <c r="AG25" s="112">
        <f>COUNTIF(AG4:AG21,"N")+COUNTIF(AG4:AG21,"NF")</f>
        <v>2</v>
      </c>
    </row>
    <row r="26" spans="1:34">
      <c r="B26" s="111" t="s">
        <v>92</v>
      </c>
      <c r="C26" s="112">
        <f>COUNTIF(C4:C21,"M/F")+COUNTIF(C4:C21,"M1")+COUNTIF(C4:C21,"M3")+COUNTIF(C4:C21,"M3/G")+COUNTIF(C4:C21,"M2")</f>
        <v>2</v>
      </c>
      <c r="D26" s="112">
        <f>COUNTIF(D4:D21,"M/F")+COUNTIF(D4:D21,"M1")+COUNTIF(D4:D21,"M3")+COUNTIF(D4:D21,"M3/G")+COUNTIF(D4:D21,"M2")</f>
        <v>2</v>
      </c>
      <c r="E26" s="112">
        <f>COUNTIF(E4:E21,"M1")+COUNTIF(E4:E21,"NF")</f>
        <v>0</v>
      </c>
      <c r="F26" s="112">
        <f>COUNTIF(F4:F21,"M/F")+COUNTIF(F4:F21,"M1")+COUNTIF(F4:F21,"M3")+COUNTIF(F4:F21,"M3/G")+COUNTIF(F4:F21,"M2")</f>
        <v>2</v>
      </c>
      <c r="G26" s="112">
        <f>COUNTIF(G4:G21,"M/F")+COUNTIF(G4:G21,"M1")+COUNTIF(G4:G21,"M3")+COUNTIF(G4:G21,"M3/G")+COUNTIF(G4:G21,"M2")</f>
        <v>2</v>
      </c>
      <c r="H26" s="112">
        <f>COUNTIF(H4:H21,"M/F")+COUNTIF(H4:H21,"M1")+COUNTIF(H4:H21,"M3")+COUNTIF(H4:H21,"M3/G")+COUNTIF(H4:H21,"M2")</f>
        <v>2</v>
      </c>
      <c r="I26" s="112">
        <f>COUNTIF(I4:I21,"M/F")+COUNTIF(I4:I21,"M1")+COUNTIF(I4:I21,"M3")+COUNTIF(I4:I21,"M3/G")+COUNTIF(I4:I21,"M2")</f>
        <v>2</v>
      </c>
      <c r="J26" s="112">
        <f>COUNTIF(J4:J21,"M/F")+COUNTIF(J4:J21,"M1")+COUNTIF(J4:J21,"M3")+COUNTIF(J4:J21,"M3/G")+COUNTIF(J4:J21,"M2")</f>
        <v>2</v>
      </c>
      <c r="K26" s="112">
        <f>COUNTIF(K4:K21,"M/F")+COUNTIF(K4:K21,"M1")+COUNTIF(K4:K21,"M3")+COUNTIF(K4:K21,"M3/G")+COUNTIF(K4:K21,"M2")</f>
        <v>2</v>
      </c>
      <c r="L26" s="112">
        <f>COUNTIF(L4:L21,"M/F")+COUNTIF(L4:L21,"M1")+COUNTIF(L4:L21,"M3")+COUNTIF(L4:L21,"M3/G")+COUNTIF(L4:L21,"M2")</f>
        <v>2</v>
      </c>
      <c r="M26" s="112">
        <f>COUNTIF(M4:M21,"M/F")+COUNTIF(M4:M21,"M1")+COUNTIF(M4:M21,"M3")+COUNTIF(M4:M21,"M3/G")+COUNTIF(M4:M21,"M2")</f>
        <v>2</v>
      </c>
      <c r="N26" s="112">
        <f>COUNTIF(N4:N21,"M/F")+COUNTIF(N4:N21,"M1")+COUNTIF(N4:N21,"M3")+COUNTIF(N4:N21,"M3/G")+COUNTIF(N4:N21,"M2")</f>
        <v>2</v>
      </c>
      <c r="O26" s="112">
        <f>COUNTIF(O4:O21,"M/F")+COUNTIF(O4:O21,"M1")+COUNTIF(O4:O21,"M3")+COUNTIF(O4:O21,"M3/G")+COUNTIF(O4:O21,"M2")</f>
        <v>0</v>
      </c>
      <c r="P26" s="112">
        <f>COUNTIF(P4:P21,"M/F")+COUNTIF(P4:P21,"M1")+COUNTIF(P4:P21,"M3")+COUNTIF(P4:P21,"M3/G")+COUNTIF(P4:P21,"M2")</f>
        <v>0</v>
      </c>
      <c r="Q26" s="112">
        <f>COUNTIF(Q4:Q21,"M/F")+COUNTIF(Q4:Q21,"M1")+COUNTIF(Q4:Q21,"M3")+COUNTIF(Q4:Q21,"M3/G")+COUNTIF(Q4:Q21,"M2")</f>
        <v>0</v>
      </c>
      <c r="R26" s="112">
        <f>COUNTIF(R4:R21,"M/F")+COUNTIF(R4:R21,"M1")+COUNTIF(R4:R21,"M3")+COUNTIF(R4:R21,"M3/G")+COUNTIF(R4:R21,"M2")</f>
        <v>0</v>
      </c>
      <c r="S26" s="112">
        <f>COUNTIF(S4:S21,"M/F")+COUNTIF(S4:S21,"M1")+COUNTIF(S4:S21,"M3")+COUNTIF(S4:S21,"M3/G")+COUNTIF(S4:S21,"M2")</f>
        <v>0</v>
      </c>
      <c r="T26" s="112">
        <f>COUNTIF(T4:T21,"M/F")+COUNTIF(T4:T21,"M1")+COUNTIF(T4:T21,"M3")+COUNTIF(T4:T21,"M3/G")+COUNTIF(T4:T21,"M2")</f>
        <v>2</v>
      </c>
      <c r="U26" s="112">
        <f>COUNTIF(U4:U21,"M/F")+COUNTIF(U4:U21,"M1")+COUNTIF(U4:U21,"M3")+COUNTIF(U4:U21,"M3/G")+COUNTIF(U4:U21,"M2")</f>
        <v>2</v>
      </c>
      <c r="V26" s="112">
        <f>COUNTIF(V4:V21,"M/F")+COUNTIF(V4:V21,"M1")+COUNTIF(V4:V21,"M3")+COUNTIF(V4:V21,"M3/G")+COUNTIF(V4:V21,"M2")</f>
        <v>0</v>
      </c>
      <c r="W26" s="112">
        <f>COUNTIF(W4:W21,"M/F")+COUNTIF(W4:W21,"M1")+COUNTIF(W4:W21,"M3")+COUNTIF(W4:W21,"M3/G")+COUNTIF(W4:W21,"M2")</f>
        <v>0</v>
      </c>
      <c r="X26" s="112">
        <f>COUNTIF(X4:X21,"M/F")+COUNTIF(X4:X21,"M1")+COUNTIF(X4:X21,"M3")+COUNTIF(X4:X21,"M3/G")+COUNTIF(X4:X21,"M2")</f>
        <v>0</v>
      </c>
      <c r="Y26" s="112">
        <f>COUNTIF(Y4:Y21,"M/F")+COUNTIF(Y4:Y21,"M1")+COUNTIF(Y4:Y21,"M3")+COUNTIF(Y4:Y21,"M3/G")+COUNTIF(Y4:Y21,"M2")</f>
        <v>0</v>
      </c>
      <c r="Z26" s="112">
        <f>COUNTIF(Z4:Z21,"M/F")+COUNTIF(Z4:Z21,"M1")+COUNTIF(Z4:Z21,"M3")+COUNTIF(Z4:Z21,"M3/G")+COUNTIF(Z4:Z21,"M2")</f>
        <v>0</v>
      </c>
      <c r="AA26" s="112">
        <f>COUNTIF(AA4:AA21,"M/F")+COUNTIF(AA4:AA21,"M1")+COUNTIF(AA4:AA21,"M3")+COUNTIF(AA4:AA21,"M3/G")+COUNTIF(AA4:AA21,"M2")</f>
        <v>2</v>
      </c>
      <c r="AB26" s="112">
        <f>COUNTIF(AB4:AB21,"M/F")+COUNTIF(AB4:AB21,"M1")+COUNTIF(AB4:AB21,"M3")+COUNTIF(AB4:AB21,"M3/G")+COUNTIF(AB4:AB21,"M2")</f>
        <v>2</v>
      </c>
      <c r="AC26" s="112">
        <f>COUNTIF(AC4:AC21,"M/F")+COUNTIF(AC4:AC21,"M1")+COUNTIF(AC4:AC21,"M3")+COUNTIF(AC4:AC21,"M3/G")+COUNTIF(AC4:AC21,"M2")</f>
        <v>2</v>
      </c>
      <c r="AD26" s="112">
        <f>COUNTIF(AD4:AD21,"M/F")+COUNTIF(AD4:AD21,"M1")+COUNTIF(AD4:AD21,"M3")+COUNTIF(AD4:AD21,"M3/G")+COUNTIF(AD4:AD21,"M2")</f>
        <v>2</v>
      </c>
      <c r="AE26" s="112">
        <f>COUNTIF(AE4:AE21,"M/F")+COUNTIF(AE4:AE21,"M1")+COUNTIF(AE4:AE21,"M3")+COUNTIF(AE4:AE21,"M3/G")+COUNTIF(AE4:AE21,"M2")</f>
        <v>2</v>
      </c>
      <c r="AF26" s="112">
        <f>COUNTIF(AF4:AF21,"M/F")+COUNTIF(AF4:AF21,"M1")+COUNTIF(AF4:AF21,"M3")+COUNTIF(AF4:AF21,"M3/G")+COUNTIF(AF4:AF21,"M2")</f>
        <v>2</v>
      </c>
      <c r="AG26" s="112">
        <f>COUNTIF(AG4:AG21,"M/F")+COUNTIF(AG4:AG21,"M1")+COUNTIF(AG4:AG21,"M3")+COUNTIF(AG4:AG21,"M3/G")+COUNTIF(AG4:AG21,"M2")</f>
        <v>2</v>
      </c>
    </row>
    <row r="28" spans="1:34">
      <c r="B28" t="s">
        <v>65</v>
      </c>
    </row>
    <row r="29" spans="1:34">
      <c r="B29" s="5" t="s">
        <v>66</v>
      </c>
    </row>
    <row r="30" spans="1:34">
      <c r="B30" s="5" t="s">
        <v>67</v>
      </c>
    </row>
    <row r="31" spans="1:34">
      <c r="B31" s="1" t="s">
        <v>68</v>
      </c>
    </row>
    <row r="32" spans="1:34">
      <c r="B32" s="7" t="s">
        <v>69</v>
      </c>
    </row>
    <row r="33" spans="2:2">
      <c r="B33" s="3" t="s">
        <v>70</v>
      </c>
    </row>
    <row r="34" spans="2:2">
      <c r="B34" s="5" t="s">
        <v>71</v>
      </c>
    </row>
    <row r="35" spans="2:2">
      <c r="B35" s="3" t="s">
        <v>72</v>
      </c>
    </row>
    <row r="36" spans="2:2">
      <c r="B36" s="4" t="s">
        <v>73</v>
      </c>
    </row>
    <row r="37" spans="2:2">
      <c r="B37" s="25" t="s">
        <v>74</v>
      </c>
    </row>
    <row r="38" spans="2:2">
      <c r="B38" s="4" t="s">
        <v>93</v>
      </c>
    </row>
    <row r="39" spans="2:2">
      <c r="B39" s="28" t="s">
        <v>76</v>
      </c>
    </row>
    <row r="40" spans="2:2">
      <c r="B40" s="17" t="s">
        <v>77</v>
      </c>
    </row>
  </sheetData>
  <mergeCells count="2">
    <mergeCell ref="B1:B3"/>
    <mergeCell ref="C1:AG1"/>
  </mergeCells>
  <conditionalFormatting sqref="C24:AG26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B18" sqref="B15:B18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1"/>
      <c r="C1" s="172" t="s">
        <v>116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4">
      <c r="A2" s="6"/>
      <c r="B2" s="171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110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>
      <c r="A18" s="34" t="s">
        <v>28</v>
      </c>
      <c r="B18" s="62" t="s">
        <v>13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>
      <c r="AH19"/>
    </row>
    <row r="20" spans="1:34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B4" sqref="B4"/>
    </sheetView>
  </sheetViews>
  <sheetFormatPr defaultColWidth="8.85546875" defaultRowHeight="15"/>
  <cols>
    <col min="2" max="2" width="25.5703125" customWidth="1"/>
    <col min="3" max="32" width="4.5703125" customWidth="1"/>
    <col min="33" max="33" width="9.5703125" style="91" customWidth="1"/>
  </cols>
  <sheetData>
    <row r="1" spans="1:33" ht="24" customHeight="1">
      <c r="A1" s="6"/>
      <c r="B1" s="171"/>
      <c r="C1" s="172" t="s">
        <v>117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/>
    </row>
    <row r="2" spans="1:33">
      <c r="A2" s="6"/>
      <c r="B2" s="171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110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>
      <c r="AG19"/>
    </row>
    <row r="20" spans="1:33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T28" sqref="T28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1"/>
      <c r="C1" s="172" t="s">
        <v>118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4">
      <c r="A2" s="6"/>
      <c r="B2" s="171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110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B4" sqref="B4"/>
    </sheetView>
  </sheetViews>
  <sheetFormatPr defaultColWidth="8.85546875" defaultRowHeight="15"/>
  <cols>
    <col min="2" max="2" width="25.5703125" customWidth="1"/>
    <col min="3" max="32" width="4.5703125" customWidth="1"/>
    <col min="33" max="33" width="4" style="91" bestFit="1" customWidth="1"/>
  </cols>
  <sheetData>
    <row r="1" spans="1:33" ht="24" customHeight="1">
      <c r="A1" s="6"/>
      <c r="B1" s="171"/>
      <c r="C1" s="172" t="s">
        <v>119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</row>
    <row r="2" spans="1:33">
      <c r="A2" s="6"/>
      <c r="B2" s="171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110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B4" sqref="B4"/>
    </sheetView>
  </sheetViews>
  <sheetFormatPr defaultColWidth="8.85546875" defaultRowHeight="1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71"/>
      <c r="C1" s="172" t="s">
        <v>120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</row>
    <row r="2" spans="1:34">
      <c r="A2" s="6"/>
      <c r="B2" s="171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>
      <c r="A3" s="6"/>
      <c r="B3" s="171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110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99"/>
  <sheetViews>
    <sheetView showGridLines="0" topLeftCell="A25" zoomScale="115" zoomScaleNormal="115" workbookViewId="0">
      <selection activeCell="W32" sqref="W32"/>
    </sheetView>
  </sheetViews>
  <sheetFormatPr defaultColWidth="11.42578125" defaultRowHeight="15"/>
  <cols>
    <col min="1" max="1" width="1.85546875" customWidth="1"/>
    <col min="2" max="3" width="2.85546875" customWidth="1"/>
    <col min="4" max="4" width="10.42578125" customWidth="1"/>
    <col min="5" max="5" width="3.5703125" customWidth="1"/>
    <col min="6" max="6" width="3.42578125" customWidth="1"/>
    <col min="7" max="7" width="8.5703125" bestFit="1" customWidth="1"/>
    <col min="8" max="8" width="7.5703125" customWidth="1"/>
    <col min="9" max="9" width="8.42578125" customWidth="1"/>
    <col min="10" max="62" width="3.5703125" customWidth="1"/>
    <col min="63" max="63" width="5" customWidth="1"/>
    <col min="64" max="64" width="4.140625" customWidth="1"/>
  </cols>
  <sheetData>
    <row r="2" spans="4:64">
      <c r="G2" s="101" t="s">
        <v>121</v>
      </c>
      <c r="I2" s="102">
        <f>1800*10</f>
        <v>18000</v>
      </c>
    </row>
    <row r="3" spans="4:64">
      <c r="G3" s="101" t="s">
        <v>122</v>
      </c>
      <c r="I3" s="102">
        <f>366*6*8</f>
        <v>17568</v>
      </c>
    </row>
    <row r="6" spans="4:64">
      <c r="F6" s="95"/>
    </row>
    <row r="7" spans="4:64">
      <c r="D7" s="102"/>
      <c r="E7" s="102"/>
      <c r="F7" s="95"/>
    </row>
    <row r="8" spans="4:64">
      <c r="D8" s="102"/>
      <c r="E8" s="102"/>
      <c r="F8" s="95"/>
    </row>
    <row r="9" spans="4:64">
      <c r="D9" s="102"/>
      <c r="E9" s="102"/>
      <c r="F9" s="95"/>
      <c r="G9" s="99" t="s">
        <v>123</v>
      </c>
      <c r="H9" s="99" t="s">
        <v>124</v>
      </c>
      <c r="I9" s="99" t="s">
        <v>125</v>
      </c>
      <c r="J9" s="99" t="s">
        <v>126</v>
      </c>
      <c r="K9" s="99" t="s">
        <v>127</v>
      </c>
      <c r="L9" s="99" t="s">
        <v>128</v>
      </c>
      <c r="M9" s="99" t="s">
        <v>129</v>
      </c>
      <c r="N9" s="99" t="s">
        <v>130</v>
      </c>
      <c r="O9" s="99" t="s">
        <v>131</v>
      </c>
      <c r="P9" s="99" t="s">
        <v>132</v>
      </c>
      <c r="Q9" s="99" t="s">
        <v>133</v>
      </c>
      <c r="R9" s="99" t="s">
        <v>134</v>
      </c>
      <c r="S9" s="99" t="s">
        <v>135</v>
      </c>
      <c r="T9" s="99" t="s">
        <v>136</v>
      </c>
      <c r="U9" s="99" t="s">
        <v>137</v>
      </c>
      <c r="V9" s="99" t="s">
        <v>138</v>
      </c>
      <c r="W9" s="99" t="s">
        <v>139</v>
      </c>
      <c r="X9" s="99" t="s">
        <v>140</v>
      </c>
      <c r="Y9" s="99" t="s">
        <v>141</v>
      </c>
      <c r="Z9" s="99" t="s">
        <v>142</v>
      </c>
      <c r="AA9" s="99" t="s">
        <v>143</v>
      </c>
      <c r="AB9" s="99" t="s">
        <v>144</v>
      </c>
      <c r="AC9" s="99" t="s">
        <v>145</v>
      </c>
      <c r="AD9" s="99" t="s">
        <v>146</v>
      </c>
      <c r="AE9" s="99" t="s">
        <v>147</v>
      </c>
      <c r="AF9" s="99" t="s">
        <v>148</v>
      </c>
      <c r="AG9" s="99" t="s">
        <v>149</v>
      </c>
      <c r="AH9" s="99" t="s">
        <v>150</v>
      </c>
      <c r="AI9" s="99" t="s">
        <v>151</v>
      </c>
      <c r="AJ9" s="99" t="s">
        <v>152</v>
      </c>
      <c r="AK9" s="99" t="s">
        <v>153</v>
      </c>
      <c r="AL9" s="99" t="s">
        <v>154</v>
      </c>
      <c r="AM9" s="99" t="s">
        <v>155</v>
      </c>
      <c r="AN9" s="99" t="s">
        <v>156</v>
      </c>
      <c r="AO9" s="99" t="s">
        <v>157</v>
      </c>
      <c r="AP9" s="99" t="s">
        <v>158</v>
      </c>
      <c r="AQ9" s="99" t="s">
        <v>159</v>
      </c>
      <c r="AR9" s="99" t="s">
        <v>160</v>
      </c>
      <c r="AS9" s="99" t="s">
        <v>161</v>
      </c>
      <c r="AT9" s="99" t="s">
        <v>162</v>
      </c>
      <c r="AU9" s="99" t="s">
        <v>163</v>
      </c>
      <c r="AV9" s="99" t="s">
        <v>164</v>
      </c>
      <c r="AW9" s="99" t="s">
        <v>165</v>
      </c>
      <c r="AX9" s="99" t="s">
        <v>166</v>
      </c>
      <c r="AY9" s="99" t="s">
        <v>167</v>
      </c>
      <c r="AZ9" s="99" t="s">
        <v>168</v>
      </c>
      <c r="BA9" s="99" t="s">
        <v>169</v>
      </c>
      <c r="BB9" s="99" t="s">
        <v>170</v>
      </c>
      <c r="BC9" s="99" t="s">
        <v>171</v>
      </c>
      <c r="BD9" s="99" t="s">
        <v>172</v>
      </c>
      <c r="BE9" s="99" t="s">
        <v>173</v>
      </c>
      <c r="BF9" s="99" t="s">
        <v>174</v>
      </c>
      <c r="BG9" s="99" t="s">
        <v>175</v>
      </c>
      <c r="BH9" s="99" t="s">
        <v>176</v>
      </c>
      <c r="BI9" s="99" t="s">
        <v>177</v>
      </c>
      <c r="BJ9" s="99" t="s">
        <v>178</v>
      </c>
      <c r="BK9" s="106" t="s">
        <v>179</v>
      </c>
      <c r="BL9" s="106" t="s">
        <v>180</v>
      </c>
    </row>
    <row r="10" spans="4:64">
      <c r="D10" s="102"/>
      <c r="E10" s="102"/>
      <c r="F10" s="95"/>
      <c r="G10" s="97" t="s">
        <v>181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>
      <c r="D11" s="102"/>
      <c r="E11" s="102"/>
      <c r="F11" s="95"/>
      <c r="G11" s="97" t="s">
        <v>182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>
      <c r="D12" s="102"/>
      <c r="E12" s="102"/>
      <c r="F12" s="95"/>
      <c r="G12" s="97" t="s">
        <v>183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>
      <c r="D13" s="102"/>
      <c r="E13" s="102"/>
      <c r="F13" s="95"/>
      <c r="G13" s="97" t="s">
        <v>184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>
      <c r="D14" s="102"/>
      <c r="E14" s="102"/>
      <c r="F14" s="95"/>
      <c r="G14" s="97" t="s">
        <v>185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>
      <c r="D16" s="102"/>
      <c r="E16" s="102"/>
      <c r="F16" s="95"/>
      <c r="G16" s="97" t="s">
        <v>186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>
      <c r="G17" s="97" t="s">
        <v>187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>
      <c r="G18" s="97" t="s">
        <v>188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>
      <c r="G19" s="97" t="s">
        <v>189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>
      <c r="G20" s="97" t="s">
        <v>190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>
      <c r="G22" s="101" t="s">
        <v>191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>
      <c r="G23" s="101" t="s">
        <v>192</v>
      </c>
      <c r="H23">
        <f>AVERAGE(H10:H20)</f>
        <v>849.6</v>
      </c>
    </row>
    <row r="27" spans="7:64">
      <c r="G27" s="99" t="s">
        <v>123</v>
      </c>
      <c r="H27" s="99" t="s">
        <v>124</v>
      </c>
      <c r="I27" s="99" t="s">
        <v>125</v>
      </c>
      <c r="J27" s="99" t="s">
        <v>126</v>
      </c>
      <c r="K27" s="99" t="s">
        <v>127</v>
      </c>
      <c r="L27" s="99" t="s">
        <v>128</v>
      </c>
      <c r="M27" s="99" t="s">
        <v>129</v>
      </c>
      <c r="N27" s="99" t="s">
        <v>130</v>
      </c>
      <c r="O27" s="99" t="s">
        <v>131</v>
      </c>
      <c r="P27" s="99" t="s">
        <v>132</v>
      </c>
      <c r="Q27" s="99" t="s">
        <v>133</v>
      </c>
      <c r="R27" s="99" t="s">
        <v>134</v>
      </c>
      <c r="S27" s="99" t="s">
        <v>135</v>
      </c>
      <c r="T27" s="99" t="s">
        <v>136</v>
      </c>
      <c r="U27" s="99" t="s">
        <v>137</v>
      </c>
      <c r="V27" s="99" t="s">
        <v>138</v>
      </c>
      <c r="W27" s="99" t="s">
        <v>139</v>
      </c>
      <c r="X27" s="99" t="s">
        <v>140</v>
      </c>
      <c r="Y27" s="99" t="s">
        <v>141</v>
      </c>
      <c r="Z27" s="99" t="s">
        <v>142</v>
      </c>
      <c r="AA27" s="99" t="s">
        <v>143</v>
      </c>
      <c r="AB27" s="99" t="s">
        <v>144</v>
      </c>
      <c r="AC27" s="99" t="s">
        <v>145</v>
      </c>
      <c r="AD27" s="99" t="s">
        <v>146</v>
      </c>
      <c r="AE27" s="99" t="s">
        <v>147</v>
      </c>
      <c r="AF27" s="99" t="s">
        <v>148</v>
      </c>
      <c r="AG27" s="99" t="s">
        <v>149</v>
      </c>
      <c r="AH27" s="99" t="s">
        <v>150</v>
      </c>
      <c r="AI27" s="99" t="s">
        <v>151</v>
      </c>
      <c r="AJ27" s="99" t="s">
        <v>152</v>
      </c>
      <c r="AK27" s="99" t="s">
        <v>153</v>
      </c>
      <c r="AL27" s="99" t="s">
        <v>154</v>
      </c>
      <c r="AM27" s="99" t="s">
        <v>155</v>
      </c>
      <c r="AN27" s="99" t="s">
        <v>156</v>
      </c>
      <c r="AO27" s="99" t="s">
        <v>157</v>
      </c>
      <c r="AP27" s="99" t="s">
        <v>158</v>
      </c>
      <c r="AQ27" s="99" t="s">
        <v>159</v>
      </c>
      <c r="AR27" s="99" t="s">
        <v>160</v>
      </c>
      <c r="AS27" s="99" t="s">
        <v>161</v>
      </c>
      <c r="AT27" s="99" t="s">
        <v>162</v>
      </c>
      <c r="AU27" s="99" t="s">
        <v>163</v>
      </c>
      <c r="AV27" s="99" t="s">
        <v>164</v>
      </c>
      <c r="AW27" s="99" t="s">
        <v>165</v>
      </c>
      <c r="AX27" s="99" t="s">
        <v>166</v>
      </c>
      <c r="AY27" s="99" t="s">
        <v>167</v>
      </c>
      <c r="AZ27" s="99" t="s">
        <v>168</v>
      </c>
      <c r="BA27" s="99" t="s">
        <v>169</v>
      </c>
      <c r="BB27" s="99" t="s">
        <v>170</v>
      </c>
      <c r="BC27" s="99" t="s">
        <v>171</v>
      </c>
      <c r="BD27" s="99" t="s">
        <v>172</v>
      </c>
      <c r="BE27" s="99" t="s">
        <v>173</v>
      </c>
      <c r="BF27" s="99" t="s">
        <v>174</v>
      </c>
      <c r="BG27" s="99" t="s">
        <v>175</v>
      </c>
      <c r="BH27" s="99" t="s">
        <v>176</v>
      </c>
      <c r="BI27" s="99" t="s">
        <v>177</v>
      </c>
      <c r="BJ27" s="99" t="s">
        <v>178</v>
      </c>
      <c r="BK27" s="106" t="s">
        <v>179</v>
      </c>
      <c r="BL27" s="106" t="s">
        <v>180</v>
      </c>
    </row>
    <row r="28" spans="7:64">
      <c r="G28" s="97" t="s">
        <v>181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>
      <c r="G29" s="97" t="s">
        <v>182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>
      <c r="G30" s="97" t="s">
        <v>183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>
      <c r="G31" s="97" t="s">
        <v>184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>
      <c r="G32" s="97" t="s">
        <v>185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>
      <c r="G34" s="97" t="s">
        <v>186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>
      <c r="G35" s="97" t="s">
        <v>187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>
      <c r="G36" s="97" t="s">
        <v>188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>
      <c r="G37" s="97" t="s">
        <v>189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>
      <c r="G38" s="97" t="s">
        <v>190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>
      <c r="G40" s="101" t="s">
        <v>191</v>
      </c>
      <c r="H40">
        <f>SUM(H28:H38)</f>
        <v>17424</v>
      </c>
    </row>
    <row r="41" spans="7:64">
      <c r="G41" s="101" t="s">
        <v>192</v>
      </c>
      <c r="H41">
        <f>AVERAGE(H28:H38)</f>
        <v>1742.4</v>
      </c>
      <c r="K41" s="104" t="s">
        <v>193</v>
      </c>
    </row>
    <row r="48" spans="7:64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>
      <c r="I71">
        <f>23*10</f>
        <v>230</v>
      </c>
    </row>
    <row r="72" spans="9:11">
      <c r="I72">
        <f>8*52</f>
        <v>416</v>
      </c>
    </row>
    <row r="74" spans="9:11">
      <c r="I74">
        <f>I72-I71</f>
        <v>186</v>
      </c>
      <c r="K74" s="116">
        <f>I74/10</f>
        <v>18.600000000000001</v>
      </c>
    </row>
    <row r="84" spans="7:64">
      <c r="G84" s="99" t="s">
        <v>123</v>
      </c>
      <c r="H84" s="99" t="s">
        <v>124</v>
      </c>
      <c r="I84" s="99" t="s">
        <v>125</v>
      </c>
      <c r="J84" s="99" t="s">
        <v>126</v>
      </c>
      <c r="K84" s="99" t="s">
        <v>127</v>
      </c>
      <c r="L84" s="99" t="s">
        <v>128</v>
      </c>
      <c r="M84" s="99" t="s">
        <v>129</v>
      </c>
      <c r="N84" s="99" t="s">
        <v>130</v>
      </c>
      <c r="O84" s="99" t="s">
        <v>131</v>
      </c>
      <c r="P84" s="99" t="s">
        <v>132</v>
      </c>
      <c r="Q84" s="99" t="s">
        <v>133</v>
      </c>
      <c r="R84" s="99" t="s">
        <v>134</v>
      </c>
      <c r="S84" s="99" t="s">
        <v>135</v>
      </c>
      <c r="T84" s="99" t="s">
        <v>136</v>
      </c>
      <c r="U84" s="99" t="s">
        <v>137</v>
      </c>
      <c r="V84" s="99" t="s">
        <v>138</v>
      </c>
      <c r="W84" s="99" t="s">
        <v>139</v>
      </c>
      <c r="X84" s="99" t="s">
        <v>140</v>
      </c>
      <c r="Y84" s="99" t="s">
        <v>141</v>
      </c>
      <c r="Z84" s="99" t="s">
        <v>142</v>
      </c>
      <c r="AA84" s="99" t="s">
        <v>143</v>
      </c>
      <c r="AB84" s="99" t="s">
        <v>144</v>
      </c>
      <c r="AC84" s="99" t="s">
        <v>145</v>
      </c>
      <c r="AD84" s="99" t="s">
        <v>146</v>
      </c>
      <c r="AE84" s="99" t="s">
        <v>147</v>
      </c>
      <c r="AF84" s="99" t="s">
        <v>148</v>
      </c>
      <c r="AG84" s="99" t="s">
        <v>149</v>
      </c>
      <c r="AH84" s="99" t="s">
        <v>150</v>
      </c>
      <c r="AI84" s="99" t="s">
        <v>151</v>
      </c>
      <c r="AJ84" s="99" t="s">
        <v>152</v>
      </c>
      <c r="AK84" s="99" t="s">
        <v>153</v>
      </c>
      <c r="AL84" s="99" t="s">
        <v>154</v>
      </c>
      <c r="AM84" s="99" t="s">
        <v>155</v>
      </c>
      <c r="AN84" s="99" t="s">
        <v>156</v>
      </c>
      <c r="AO84" s="99" t="s">
        <v>157</v>
      </c>
      <c r="AP84" s="99" t="s">
        <v>158</v>
      </c>
      <c r="AQ84" s="99" t="s">
        <v>159</v>
      </c>
      <c r="AR84" s="99" t="s">
        <v>160</v>
      </c>
      <c r="AS84" s="99" t="s">
        <v>161</v>
      </c>
      <c r="AT84" s="99" t="s">
        <v>162</v>
      </c>
      <c r="AU84" s="99" t="s">
        <v>163</v>
      </c>
      <c r="AV84" s="99" t="s">
        <v>164</v>
      </c>
      <c r="AW84" s="99" t="s">
        <v>165</v>
      </c>
      <c r="AX84" s="99" t="s">
        <v>166</v>
      </c>
      <c r="AY84" s="99" t="s">
        <v>167</v>
      </c>
      <c r="AZ84" s="99" t="s">
        <v>168</v>
      </c>
      <c r="BA84" s="99" t="s">
        <v>169</v>
      </c>
      <c r="BB84" s="99" t="s">
        <v>170</v>
      </c>
      <c r="BC84" s="99" t="s">
        <v>171</v>
      </c>
      <c r="BD84" s="99" t="s">
        <v>172</v>
      </c>
      <c r="BE84" s="99" t="s">
        <v>173</v>
      </c>
      <c r="BF84" s="99" t="s">
        <v>174</v>
      </c>
      <c r="BG84" s="99" t="s">
        <v>175</v>
      </c>
      <c r="BH84" s="99" t="s">
        <v>176</v>
      </c>
      <c r="BI84" s="99" t="s">
        <v>177</v>
      </c>
      <c r="BJ84" s="99" t="s">
        <v>178</v>
      </c>
      <c r="BK84" s="106" t="s">
        <v>179</v>
      </c>
      <c r="BL84" s="106" t="s">
        <v>180</v>
      </c>
    </row>
    <row r="85" spans="7:64">
      <c r="G85" s="97" t="s">
        <v>181</v>
      </c>
      <c r="H85" s="108">
        <f>COUNTIFS(J85:BJ85,"T")*40+COUNTIFS(J85:BJ85,"M1")*64+COUNTIFS(J85:BJ85,"N")*64-24-32</f>
        <v>408</v>
      </c>
      <c r="I85" s="108">
        <f t="shared" ref="I85:I90" si="8">1800-H85</f>
        <v>1392</v>
      </c>
      <c r="J85" s="100" t="s">
        <v>54</v>
      </c>
      <c r="K85" s="100" t="s">
        <v>7</v>
      </c>
      <c r="L85" s="100" t="s">
        <v>54</v>
      </c>
      <c r="M85" s="100" t="s">
        <v>7</v>
      </c>
      <c r="N85" s="100" t="s">
        <v>20</v>
      </c>
      <c r="O85" s="100" t="s">
        <v>54</v>
      </c>
      <c r="P85" s="100" t="s">
        <v>7</v>
      </c>
      <c r="Q85" s="100" t="s">
        <v>54</v>
      </c>
      <c r="R85" s="100" t="s">
        <v>7</v>
      </c>
      <c r="S85" s="100" t="s">
        <v>20</v>
      </c>
      <c r="T85" s="100" t="s">
        <v>54</v>
      </c>
      <c r="U85" s="100" t="s">
        <v>7</v>
      </c>
      <c r="V85" s="100" t="s">
        <v>54</v>
      </c>
      <c r="W85" s="117" t="s">
        <v>7</v>
      </c>
      <c r="X85" s="100" t="s">
        <v>7</v>
      </c>
      <c r="Y85" s="100" t="s">
        <v>7</v>
      </c>
      <c r="Z85" s="100" t="s">
        <v>7</v>
      </c>
      <c r="AA85" s="100" t="s">
        <v>7</v>
      </c>
      <c r="AB85" s="100" t="s">
        <v>7</v>
      </c>
      <c r="AC85" s="100" t="s">
        <v>7</v>
      </c>
      <c r="AD85" s="100" t="s">
        <v>7</v>
      </c>
      <c r="AE85" s="100" t="s">
        <v>7</v>
      </c>
      <c r="AF85" s="100" t="s">
        <v>7</v>
      </c>
      <c r="AG85" s="100" t="s">
        <v>7</v>
      </c>
      <c r="AH85" s="100" t="s">
        <v>7</v>
      </c>
      <c r="AI85" s="100" t="s">
        <v>7</v>
      </c>
      <c r="AJ85" s="100" t="s">
        <v>7</v>
      </c>
      <c r="AK85" s="100" t="s">
        <v>7</v>
      </c>
      <c r="AL85" s="100" t="s">
        <v>7</v>
      </c>
      <c r="AM85" s="100" t="s">
        <v>7</v>
      </c>
      <c r="AN85" s="100" t="s">
        <v>7</v>
      </c>
      <c r="AO85" s="100" t="s">
        <v>7</v>
      </c>
      <c r="AP85" s="100" t="s">
        <v>7</v>
      </c>
      <c r="AQ85" s="100" t="s">
        <v>7</v>
      </c>
      <c r="AR85" s="100" t="s">
        <v>7</v>
      </c>
      <c r="AS85" s="100" t="s">
        <v>7</v>
      </c>
      <c r="AT85" s="100" t="s">
        <v>7</v>
      </c>
      <c r="AU85" s="100" t="s">
        <v>7</v>
      </c>
      <c r="AV85" s="100" t="s">
        <v>7</v>
      </c>
      <c r="AW85" s="100" t="s">
        <v>7</v>
      </c>
      <c r="AX85" s="100" t="s">
        <v>7</v>
      </c>
      <c r="AY85" s="100" t="s">
        <v>7</v>
      </c>
      <c r="AZ85" s="100" t="s">
        <v>7</v>
      </c>
      <c r="BA85" s="100" t="s">
        <v>7</v>
      </c>
      <c r="BB85" s="100" t="s">
        <v>7</v>
      </c>
      <c r="BC85" s="100" t="s">
        <v>7</v>
      </c>
      <c r="BD85" s="100" t="s">
        <v>7</v>
      </c>
      <c r="BE85" s="100" t="s">
        <v>7</v>
      </c>
      <c r="BF85" s="100" t="s">
        <v>7</v>
      </c>
      <c r="BG85" s="100" t="s">
        <v>7</v>
      </c>
      <c r="BH85" s="100" t="s">
        <v>7</v>
      </c>
      <c r="BI85" s="100" t="s">
        <v>7</v>
      </c>
      <c r="BJ85" s="100" t="s">
        <v>7</v>
      </c>
      <c r="BK85" s="107">
        <f t="shared" ref="BK85:BK90" si="9">COUNTIFS(J85:BJ85,"M1")+COUNTIFS(J85:BJ85,"N")</f>
        <v>6</v>
      </c>
      <c r="BL85" s="107">
        <f t="shared" ref="BL85:BL90" si="10">COUNTIFS(J85:BJ85,"L")</f>
        <v>45</v>
      </c>
    </row>
    <row r="86" spans="7:64">
      <c r="G86" s="97" t="s">
        <v>182</v>
      </c>
      <c r="H86" s="108">
        <f>COUNTIFS(J86:BJ86,"T")*40+COUNTIFS(J86:BJ86,"M1")*64+COUNTIFS(J86:BJ86,"N")*64-24</f>
        <v>480</v>
      </c>
      <c r="I86" s="108">
        <f t="shared" si="8"/>
        <v>1320</v>
      </c>
      <c r="J86" s="100" t="s">
        <v>20</v>
      </c>
      <c r="K86" s="100" t="s">
        <v>54</v>
      </c>
      <c r="L86" s="100" t="s">
        <v>7</v>
      </c>
      <c r="M86" s="100" t="s">
        <v>54</v>
      </c>
      <c r="N86" s="100" t="s">
        <v>7</v>
      </c>
      <c r="O86" s="100" t="s">
        <v>20</v>
      </c>
      <c r="P86" s="100" t="s">
        <v>54</v>
      </c>
      <c r="Q86" s="100" t="s">
        <v>7</v>
      </c>
      <c r="R86" s="100" t="s">
        <v>54</v>
      </c>
      <c r="S86" s="100" t="s">
        <v>7</v>
      </c>
      <c r="T86" s="100" t="s">
        <v>20</v>
      </c>
      <c r="U86" s="100" t="s">
        <v>54</v>
      </c>
      <c r="V86" s="100" t="s">
        <v>7</v>
      </c>
      <c r="W86" s="100" t="s">
        <v>54</v>
      </c>
      <c r="X86" s="100" t="s">
        <v>7</v>
      </c>
      <c r="Y86" s="100" t="s">
        <v>7</v>
      </c>
      <c r="Z86" s="100" t="s">
        <v>7</v>
      </c>
      <c r="AA86" s="100" t="s">
        <v>7</v>
      </c>
      <c r="AB86" s="100" t="s">
        <v>7</v>
      </c>
      <c r="AC86" s="100" t="s">
        <v>7</v>
      </c>
      <c r="AD86" s="100" t="s">
        <v>7</v>
      </c>
      <c r="AE86" s="100" t="s">
        <v>7</v>
      </c>
      <c r="AF86" s="100" t="s">
        <v>7</v>
      </c>
      <c r="AG86" s="100" t="s">
        <v>7</v>
      </c>
      <c r="AH86" s="100" t="s">
        <v>7</v>
      </c>
      <c r="AI86" s="100" t="s">
        <v>7</v>
      </c>
      <c r="AJ86" s="100" t="s">
        <v>7</v>
      </c>
      <c r="AK86" s="100" t="s">
        <v>7</v>
      </c>
      <c r="AL86" s="100" t="s">
        <v>7</v>
      </c>
      <c r="AM86" s="100" t="s">
        <v>7</v>
      </c>
      <c r="AN86" s="100" t="s">
        <v>7</v>
      </c>
      <c r="AO86" s="100" t="s">
        <v>7</v>
      </c>
      <c r="AP86" s="100" t="s">
        <v>7</v>
      </c>
      <c r="AQ86" s="100" t="s">
        <v>7</v>
      </c>
      <c r="AR86" s="100" t="s">
        <v>7</v>
      </c>
      <c r="AS86" s="100" t="s">
        <v>7</v>
      </c>
      <c r="AT86" s="100" t="s">
        <v>7</v>
      </c>
      <c r="AU86" s="100" t="s">
        <v>7</v>
      </c>
      <c r="AV86" s="100" t="s">
        <v>7</v>
      </c>
      <c r="AW86" s="100" t="s">
        <v>7</v>
      </c>
      <c r="AX86" s="100" t="s">
        <v>7</v>
      </c>
      <c r="AY86" s="100" t="s">
        <v>7</v>
      </c>
      <c r="AZ86" s="100" t="s">
        <v>7</v>
      </c>
      <c r="BA86" s="100" t="s">
        <v>7</v>
      </c>
      <c r="BB86" s="100" t="s">
        <v>7</v>
      </c>
      <c r="BC86" s="100" t="s">
        <v>7</v>
      </c>
      <c r="BD86" s="100" t="s">
        <v>7</v>
      </c>
      <c r="BE86" s="100" t="s">
        <v>7</v>
      </c>
      <c r="BF86" s="100" t="s">
        <v>7</v>
      </c>
      <c r="BG86" s="100" t="s">
        <v>7</v>
      </c>
      <c r="BH86" s="100" t="s">
        <v>7</v>
      </c>
      <c r="BI86" s="100" t="s">
        <v>7</v>
      </c>
      <c r="BJ86" s="100" t="s">
        <v>7</v>
      </c>
      <c r="BK86" s="107">
        <f t="shared" si="9"/>
        <v>6</v>
      </c>
      <c r="BL86" s="107">
        <f t="shared" si="10"/>
        <v>44</v>
      </c>
    </row>
    <row r="87" spans="7:64">
      <c r="G87" s="97" t="s">
        <v>183</v>
      </c>
      <c r="H87" s="108">
        <f>COUNTIFS(J87:BJ87,"T")*40+COUNTIFS(J87:BJ87,"M1")*64+COUNTIFS(J87:BJ87,"N")*64-24-32</f>
        <v>384</v>
      </c>
      <c r="I87" s="108">
        <f t="shared" si="8"/>
        <v>1416</v>
      </c>
      <c r="J87" s="100" t="s">
        <v>7</v>
      </c>
      <c r="K87" s="100" t="s">
        <v>20</v>
      </c>
      <c r="L87" s="100" t="s">
        <v>54</v>
      </c>
      <c r="M87" s="100" t="s">
        <v>7</v>
      </c>
      <c r="N87" s="100" t="s">
        <v>54</v>
      </c>
      <c r="O87" s="100" t="s">
        <v>7</v>
      </c>
      <c r="P87" s="100" t="s">
        <v>20</v>
      </c>
      <c r="Q87" s="100" t="s">
        <v>54</v>
      </c>
      <c r="R87" s="100" t="s">
        <v>7</v>
      </c>
      <c r="S87" s="100" t="s">
        <v>54</v>
      </c>
      <c r="T87" s="100" t="s">
        <v>7</v>
      </c>
      <c r="U87" s="100" t="s">
        <v>20</v>
      </c>
      <c r="V87" s="100" t="s">
        <v>54</v>
      </c>
      <c r="W87" s="100" t="s">
        <v>7</v>
      </c>
      <c r="X87" s="100" t="s">
        <v>7</v>
      </c>
      <c r="Y87" s="100" t="s">
        <v>7</v>
      </c>
      <c r="Z87" s="100" t="s">
        <v>7</v>
      </c>
      <c r="AA87" s="100" t="s">
        <v>7</v>
      </c>
      <c r="AB87" s="100" t="s">
        <v>7</v>
      </c>
      <c r="AC87" s="100" t="s">
        <v>7</v>
      </c>
      <c r="AD87" s="100" t="s">
        <v>7</v>
      </c>
      <c r="AE87" s="100" t="s">
        <v>7</v>
      </c>
      <c r="AF87" s="100" t="s">
        <v>7</v>
      </c>
      <c r="AG87" s="100" t="s">
        <v>7</v>
      </c>
      <c r="AH87" s="100" t="s">
        <v>7</v>
      </c>
      <c r="AI87" s="100" t="s">
        <v>7</v>
      </c>
      <c r="AJ87" s="100" t="s">
        <v>7</v>
      </c>
      <c r="AK87" s="100" t="s">
        <v>7</v>
      </c>
      <c r="AL87" s="100" t="s">
        <v>7</v>
      </c>
      <c r="AM87" s="100" t="s">
        <v>7</v>
      </c>
      <c r="AN87" s="100" t="s">
        <v>7</v>
      </c>
      <c r="AO87" s="100" t="s">
        <v>7</v>
      </c>
      <c r="AP87" s="100" t="s">
        <v>7</v>
      </c>
      <c r="AQ87" s="100" t="s">
        <v>7</v>
      </c>
      <c r="AR87" s="100" t="s">
        <v>7</v>
      </c>
      <c r="AS87" s="100" t="s">
        <v>7</v>
      </c>
      <c r="AT87" s="100" t="s">
        <v>7</v>
      </c>
      <c r="AU87" s="100" t="s">
        <v>7</v>
      </c>
      <c r="AV87" s="100" t="s">
        <v>7</v>
      </c>
      <c r="AW87" s="100" t="s">
        <v>7</v>
      </c>
      <c r="AX87" s="100" t="s">
        <v>7</v>
      </c>
      <c r="AY87" s="100" t="s">
        <v>7</v>
      </c>
      <c r="AZ87" s="100" t="s">
        <v>7</v>
      </c>
      <c r="BA87" s="100" t="s">
        <v>7</v>
      </c>
      <c r="BB87" s="100" t="s">
        <v>7</v>
      </c>
      <c r="BC87" s="100" t="s">
        <v>7</v>
      </c>
      <c r="BD87" s="100" t="s">
        <v>7</v>
      </c>
      <c r="BE87" s="100" t="s">
        <v>7</v>
      </c>
      <c r="BF87" s="100" t="s">
        <v>7</v>
      </c>
      <c r="BG87" s="100" t="s">
        <v>7</v>
      </c>
      <c r="BH87" s="100" t="s">
        <v>7</v>
      </c>
      <c r="BI87" s="100" t="s">
        <v>7</v>
      </c>
      <c r="BJ87" s="100" t="s">
        <v>7</v>
      </c>
      <c r="BK87" s="107">
        <f t="shared" si="9"/>
        <v>5</v>
      </c>
      <c r="BL87" s="107">
        <f t="shared" si="10"/>
        <v>45</v>
      </c>
    </row>
    <row r="88" spans="7:64">
      <c r="G88" s="97" t="s">
        <v>184</v>
      </c>
      <c r="H88" s="108">
        <f>COUNTIFS(J88:BJ88,"T")*40+COUNTIFS(J88:BJ88,"M1")*64+COUNTIFS(J88:BJ88,"N")*64-24-32</f>
        <v>64</v>
      </c>
      <c r="I88" s="108">
        <f t="shared" si="8"/>
        <v>1736</v>
      </c>
      <c r="J88" s="100" t="s">
        <v>7</v>
      </c>
      <c r="K88" s="100" t="s">
        <v>20</v>
      </c>
      <c r="L88" s="100" t="s">
        <v>11</v>
      </c>
      <c r="M88" s="100" t="s">
        <v>7</v>
      </c>
      <c r="N88" s="100" t="s">
        <v>11</v>
      </c>
      <c r="O88" s="100" t="s">
        <v>7</v>
      </c>
      <c r="P88" s="100" t="s">
        <v>20</v>
      </c>
      <c r="Q88" s="100" t="s">
        <v>11</v>
      </c>
      <c r="R88" s="100" t="s">
        <v>7</v>
      </c>
      <c r="S88" s="100" t="s">
        <v>11</v>
      </c>
      <c r="T88" s="100" t="s">
        <v>7</v>
      </c>
      <c r="U88" s="100" t="s">
        <v>20</v>
      </c>
      <c r="V88" s="100" t="s">
        <v>11</v>
      </c>
      <c r="W88" s="100" t="s">
        <v>7</v>
      </c>
      <c r="X88" s="100" t="s">
        <v>7</v>
      </c>
      <c r="Y88" s="100" t="s">
        <v>7</v>
      </c>
      <c r="Z88" s="100" t="s">
        <v>7</v>
      </c>
      <c r="AA88" s="100" t="s">
        <v>7</v>
      </c>
      <c r="AB88" s="100" t="s">
        <v>7</v>
      </c>
      <c r="AC88" s="100" t="s">
        <v>7</v>
      </c>
      <c r="AD88" s="100" t="s">
        <v>7</v>
      </c>
      <c r="AE88" s="100" t="s">
        <v>7</v>
      </c>
      <c r="AF88" s="100" t="s">
        <v>7</v>
      </c>
      <c r="AG88" s="100" t="s">
        <v>7</v>
      </c>
      <c r="AH88" s="100" t="s">
        <v>7</v>
      </c>
      <c r="AI88" s="100" t="s">
        <v>7</v>
      </c>
      <c r="AJ88" s="100" t="s">
        <v>7</v>
      </c>
      <c r="AK88" s="100" t="s">
        <v>7</v>
      </c>
      <c r="AL88" s="100" t="s">
        <v>7</v>
      </c>
      <c r="AM88" s="100" t="s">
        <v>7</v>
      </c>
      <c r="AN88" s="100" t="s">
        <v>7</v>
      </c>
      <c r="AO88" s="100" t="s">
        <v>7</v>
      </c>
      <c r="AP88" s="100" t="s">
        <v>7</v>
      </c>
      <c r="AQ88" s="100" t="s">
        <v>7</v>
      </c>
      <c r="AR88" s="100" t="s">
        <v>7</v>
      </c>
      <c r="AS88" s="100" t="s">
        <v>7</v>
      </c>
      <c r="AT88" s="100" t="s">
        <v>7</v>
      </c>
      <c r="AU88" s="100" t="s">
        <v>7</v>
      </c>
      <c r="AV88" s="100" t="s">
        <v>7</v>
      </c>
      <c r="AW88" s="100" t="s">
        <v>7</v>
      </c>
      <c r="AX88" s="100" t="s">
        <v>7</v>
      </c>
      <c r="AY88" s="100" t="s">
        <v>7</v>
      </c>
      <c r="AZ88" s="100" t="s">
        <v>7</v>
      </c>
      <c r="BA88" s="100" t="s">
        <v>7</v>
      </c>
      <c r="BB88" s="100" t="s">
        <v>7</v>
      </c>
      <c r="BC88" s="100" t="s">
        <v>7</v>
      </c>
      <c r="BD88" s="100" t="s">
        <v>7</v>
      </c>
      <c r="BE88" s="100" t="s">
        <v>7</v>
      </c>
      <c r="BF88" s="100" t="s">
        <v>7</v>
      </c>
      <c r="BG88" s="100" t="s">
        <v>7</v>
      </c>
      <c r="BH88" s="100" t="s">
        <v>7</v>
      </c>
      <c r="BI88" s="100" t="s">
        <v>7</v>
      </c>
      <c r="BJ88" s="100" t="s">
        <v>7</v>
      </c>
      <c r="BK88" s="107">
        <f t="shared" si="9"/>
        <v>0</v>
      </c>
      <c r="BL88" s="107">
        <f t="shared" si="10"/>
        <v>45</v>
      </c>
    </row>
    <row r="89" spans="7:64">
      <c r="G89" s="97" t="s">
        <v>194</v>
      </c>
      <c r="H89" s="108">
        <f>COUNTIFS(J89:BJ89,"T")*40+COUNTIFS(J89:BJ89,"M1")*64+COUNTIFS(J89:BJ89,"N")*64-24-8</f>
        <v>1752</v>
      </c>
      <c r="I89" s="108">
        <f t="shared" si="8"/>
        <v>48</v>
      </c>
      <c r="J89" s="100" t="s">
        <v>16</v>
      </c>
      <c r="K89" s="100" t="s">
        <v>7</v>
      </c>
      <c r="L89" s="100" t="s">
        <v>20</v>
      </c>
      <c r="M89" s="100" t="s">
        <v>54</v>
      </c>
      <c r="N89" s="100" t="s">
        <v>7</v>
      </c>
      <c r="O89" s="100" t="s">
        <v>54</v>
      </c>
      <c r="P89" s="100" t="s">
        <v>7</v>
      </c>
      <c r="Q89" s="100" t="s">
        <v>20</v>
      </c>
      <c r="R89" s="100" t="s">
        <v>54</v>
      </c>
      <c r="S89" s="100" t="s">
        <v>7</v>
      </c>
      <c r="T89" s="100" t="s">
        <v>54</v>
      </c>
      <c r="U89" s="100" t="s">
        <v>7</v>
      </c>
      <c r="V89" s="100" t="s">
        <v>20</v>
      </c>
      <c r="W89" s="100" t="s">
        <v>54</v>
      </c>
      <c r="X89" s="100" t="s">
        <v>16</v>
      </c>
      <c r="Y89" s="100" t="s">
        <v>7</v>
      </c>
      <c r="Z89" s="100" t="s">
        <v>16</v>
      </c>
      <c r="AA89" s="100" t="s">
        <v>7</v>
      </c>
      <c r="AB89" s="100" t="s">
        <v>16</v>
      </c>
      <c r="AC89" s="100" t="s">
        <v>7</v>
      </c>
      <c r="AD89" s="100" t="s">
        <v>16</v>
      </c>
      <c r="AE89" s="100" t="s">
        <v>7</v>
      </c>
      <c r="AF89" s="100" t="s">
        <v>16</v>
      </c>
      <c r="AG89" s="100" t="s">
        <v>7</v>
      </c>
      <c r="AH89" s="100" t="s">
        <v>16</v>
      </c>
      <c r="AI89" s="100" t="s">
        <v>7</v>
      </c>
      <c r="AJ89" s="100" t="s">
        <v>16</v>
      </c>
      <c r="AK89" s="100" t="s">
        <v>7</v>
      </c>
      <c r="AL89" s="100" t="s">
        <v>16</v>
      </c>
      <c r="AM89" s="100" t="s">
        <v>7</v>
      </c>
      <c r="AN89" s="100" t="s">
        <v>16</v>
      </c>
      <c r="AO89" s="100" t="s">
        <v>7</v>
      </c>
      <c r="AP89" s="100" t="s">
        <v>16</v>
      </c>
      <c r="AQ89" s="100" t="s">
        <v>7</v>
      </c>
      <c r="AR89" s="100" t="s">
        <v>16</v>
      </c>
      <c r="AS89" s="100" t="s">
        <v>7</v>
      </c>
      <c r="AT89" s="100" t="s">
        <v>16</v>
      </c>
      <c r="AU89" s="100" t="s">
        <v>7</v>
      </c>
      <c r="AV89" s="100" t="s">
        <v>16</v>
      </c>
      <c r="AW89" s="100" t="s">
        <v>7</v>
      </c>
      <c r="AX89" s="100" t="s">
        <v>16</v>
      </c>
      <c r="AY89" s="100" t="s">
        <v>7</v>
      </c>
      <c r="AZ89" s="100" t="s">
        <v>16</v>
      </c>
      <c r="BA89" s="100" t="s">
        <v>7</v>
      </c>
      <c r="BB89" s="100" t="s">
        <v>16</v>
      </c>
      <c r="BC89" s="100" t="s">
        <v>7</v>
      </c>
      <c r="BD89" s="100" t="s">
        <v>16</v>
      </c>
      <c r="BE89" s="100" t="s">
        <v>7</v>
      </c>
      <c r="BF89" s="100" t="s">
        <v>16</v>
      </c>
      <c r="BG89" s="100" t="s">
        <v>7</v>
      </c>
      <c r="BH89" s="100" t="s">
        <v>16</v>
      </c>
      <c r="BI89" s="100" t="s">
        <v>7</v>
      </c>
      <c r="BJ89" s="100" t="s">
        <v>16</v>
      </c>
      <c r="BK89" s="107">
        <f t="shared" si="9"/>
        <v>26</v>
      </c>
      <c r="BL89" s="107">
        <f t="shared" si="10"/>
        <v>24</v>
      </c>
    </row>
    <row r="90" spans="7:64">
      <c r="G90" s="97" t="s">
        <v>195</v>
      </c>
      <c r="H90" s="108">
        <f>COUNTIFS(J90:BJ90,"T")*40+COUNTIFS(J90:BJ90,"M1")*64+COUNTIFS(J90:BJ90,"N")*64-24</f>
        <v>1632</v>
      </c>
      <c r="I90" s="108">
        <f t="shared" si="8"/>
        <v>168</v>
      </c>
      <c r="J90" s="100" t="s">
        <v>7</v>
      </c>
      <c r="K90" s="100" t="s">
        <v>16</v>
      </c>
      <c r="L90" s="100" t="s">
        <v>7</v>
      </c>
      <c r="M90" s="100" t="s">
        <v>20</v>
      </c>
      <c r="N90" s="100" t="s">
        <v>54</v>
      </c>
      <c r="O90" s="100" t="s">
        <v>7</v>
      </c>
      <c r="P90" s="100" t="s">
        <v>54</v>
      </c>
      <c r="Q90" s="100" t="s">
        <v>7</v>
      </c>
      <c r="R90" s="100" t="s">
        <v>20</v>
      </c>
      <c r="S90" s="100" t="s">
        <v>54</v>
      </c>
      <c r="T90" s="100" t="s">
        <v>7</v>
      </c>
      <c r="U90" s="100" t="s">
        <v>54</v>
      </c>
      <c r="V90" s="100" t="s">
        <v>7</v>
      </c>
      <c r="W90" s="100" t="s">
        <v>20</v>
      </c>
      <c r="X90" s="100" t="s">
        <v>7</v>
      </c>
      <c r="Y90" s="100" t="s">
        <v>16</v>
      </c>
      <c r="Z90" s="100" t="s">
        <v>7</v>
      </c>
      <c r="AA90" s="100" t="s">
        <v>16</v>
      </c>
      <c r="AB90" s="100" t="s">
        <v>7</v>
      </c>
      <c r="AC90" s="100" t="s">
        <v>16</v>
      </c>
      <c r="AD90" s="100" t="s">
        <v>7</v>
      </c>
      <c r="AE90" s="100" t="s">
        <v>16</v>
      </c>
      <c r="AF90" s="100" t="s">
        <v>7</v>
      </c>
      <c r="AG90" s="100" t="s">
        <v>16</v>
      </c>
      <c r="AH90" s="100" t="s">
        <v>7</v>
      </c>
      <c r="AI90" s="100" t="s">
        <v>16</v>
      </c>
      <c r="AJ90" s="100" t="s">
        <v>7</v>
      </c>
      <c r="AK90" s="100" t="s">
        <v>16</v>
      </c>
      <c r="AL90" s="100" t="s">
        <v>7</v>
      </c>
      <c r="AM90" s="100" t="s">
        <v>16</v>
      </c>
      <c r="AN90" s="100" t="s">
        <v>7</v>
      </c>
      <c r="AO90" s="100" t="s">
        <v>16</v>
      </c>
      <c r="AP90" s="100" t="s">
        <v>7</v>
      </c>
      <c r="AQ90" s="100" t="s">
        <v>16</v>
      </c>
      <c r="AR90" s="100" t="s">
        <v>7</v>
      </c>
      <c r="AS90" s="100" t="s">
        <v>16</v>
      </c>
      <c r="AT90" s="100" t="s">
        <v>7</v>
      </c>
      <c r="AU90" s="100" t="s">
        <v>16</v>
      </c>
      <c r="AV90" s="100" t="s">
        <v>7</v>
      </c>
      <c r="AW90" s="100" t="s">
        <v>16</v>
      </c>
      <c r="AX90" s="100" t="s">
        <v>7</v>
      </c>
      <c r="AY90" s="100" t="s">
        <v>16</v>
      </c>
      <c r="AZ90" s="100" t="s">
        <v>7</v>
      </c>
      <c r="BA90" s="100" t="s">
        <v>16</v>
      </c>
      <c r="BB90" s="100" t="s">
        <v>7</v>
      </c>
      <c r="BC90" s="100" t="s">
        <v>16</v>
      </c>
      <c r="BD90" s="100" t="s">
        <v>7</v>
      </c>
      <c r="BE90" s="100" t="s">
        <v>16</v>
      </c>
      <c r="BF90" s="100" t="s">
        <v>7</v>
      </c>
      <c r="BG90" s="100" t="s">
        <v>16</v>
      </c>
      <c r="BH90" s="100" t="s">
        <v>7</v>
      </c>
      <c r="BI90" s="100" t="s">
        <v>16</v>
      </c>
      <c r="BJ90" s="100" t="s">
        <v>7</v>
      </c>
      <c r="BK90" s="107">
        <f t="shared" si="9"/>
        <v>24</v>
      </c>
      <c r="BL90" s="107">
        <f t="shared" si="10"/>
        <v>26</v>
      </c>
    </row>
    <row r="91" spans="7:64">
      <c r="G91" s="98"/>
      <c r="H91" s="98"/>
      <c r="I91" s="98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7"/>
      <c r="BL91" s="107"/>
    </row>
    <row r="92" spans="7:64">
      <c r="G92" s="97" t="s">
        <v>186</v>
      </c>
      <c r="H92" s="108">
        <f>COUNTIFS(J92:BJ92,"T")*40+COUNTIFS(J92:BJ92,"M1")*64+COUNTIFS(J92:BJ92,"N")*64-24-32</f>
        <v>384</v>
      </c>
      <c r="I92" s="108">
        <f>1800-H92</f>
        <v>1416</v>
      </c>
      <c r="J92" s="100" t="s">
        <v>7</v>
      </c>
      <c r="K92" s="100" t="s">
        <v>20</v>
      </c>
      <c r="L92" s="100" t="s">
        <v>16</v>
      </c>
      <c r="M92" s="100" t="s">
        <v>7</v>
      </c>
      <c r="N92" s="100" t="s">
        <v>16</v>
      </c>
      <c r="O92" s="100" t="s">
        <v>7</v>
      </c>
      <c r="P92" s="100" t="s">
        <v>20</v>
      </c>
      <c r="Q92" s="100" t="s">
        <v>16</v>
      </c>
      <c r="R92" s="100" t="s">
        <v>7</v>
      </c>
      <c r="S92" s="100" t="s">
        <v>16</v>
      </c>
      <c r="T92" s="100" t="s">
        <v>7</v>
      </c>
      <c r="U92" s="100" t="s">
        <v>20</v>
      </c>
      <c r="V92" s="100" t="s">
        <v>16</v>
      </c>
      <c r="W92" s="100" t="s">
        <v>7</v>
      </c>
      <c r="X92" s="100" t="s">
        <v>7</v>
      </c>
      <c r="Y92" s="100" t="s">
        <v>7</v>
      </c>
      <c r="Z92" s="100" t="s">
        <v>7</v>
      </c>
      <c r="AA92" s="100" t="s">
        <v>7</v>
      </c>
      <c r="AB92" s="100" t="s">
        <v>7</v>
      </c>
      <c r="AC92" s="100" t="s">
        <v>7</v>
      </c>
      <c r="AD92" s="100" t="s">
        <v>7</v>
      </c>
      <c r="AE92" s="100" t="s">
        <v>7</v>
      </c>
      <c r="AF92" s="100" t="s">
        <v>7</v>
      </c>
      <c r="AG92" s="100" t="s">
        <v>7</v>
      </c>
      <c r="AH92" s="100" t="s">
        <v>7</v>
      </c>
      <c r="AI92" s="100" t="s">
        <v>7</v>
      </c>
      <c r="AJ92" s="100" t="s">
        <v>7</v>
      </c>
      <c r="AK92" s="100" t="s">
        <v>7</v>
      </c>
      <c r="AL92" s="100" t="s">
        <v>7</v>
      </c>
      <c r="AM92" s="100" t="s">
        <v>7</v>
      </c>
      <c r="AN92" s="100" t="s">
        <v>7</v>
      </c>
      <c r="AO92" s="100" t="s">
        <v>7</v>
      </c>
      <c r="AP92" s="100" t="s">
        <v>7</v>
      </c>
      <c r="AQ92" s="100" t="s">
        <v>7</v>
      </c>
      <c r="AR92" s="100" t="s">
        <v>7</v>
      </c>
      <c r="AS92" s="100" t="s">
        <v>7</v>
      </c>
      <c r="AT92" s="100" t="s">
        <v>7</v>
      </c>
      <c r="AU92" s="100" t="s">
        <v>7</v>
      </c>
      <c r="AV92" s="100" t="s">
        <v>7</v>
      </c>
      <c r="AW92" s="100" t="s">
        <v>7</v>
      </c>
      <c r="AX92" s="100" t="s">
        <v>7</v>
      </c>
      <c r="AY92" s="100" t="s">
        <v>7</v>
      </c>
      <c r="AZ92" s="100" t="s">
        <v>7</v>
      </c>
      <c r="BA92" s="100" t="s">
        <v>7</v>
      </c>
      <c r="BB92" s="100" t="s">
        <v>7</v>
      </c>
      <c r="BC92" s="100" t="s">
        <v>7</v>
      </c>
      <c r="BD92" s="100" t="s">
        <v>7</v>
      </c>
      <c r="BE92" s="100" t="s">
        <v>7</v>
      </c>
      <c r="BF92" s="100" t="s">
        <v>7</v>
      </c>
      <c r="BG92" s="100" t="s">
        <v>7</v>
      </c>
      <c r="BH92" s="100" t="s">
        <v>7</v>
      </c>
      <c r="BI92" s="100" t="s">
        <v>7</v>
      </c>
      <c r="BJ92" s="100" t="s">
        <v>7</v>
      </c>
      <c r="BK92" s="107">
        <f>COUNTIFS(J92:BJ92,"M1")+COUNTIFS(J92:BJ92,"N")</f>
        <v>5</v>
      </c>
      <c r="BL92" s="107">
        <f>COUNTIFS(J92:BJ92,"L")</f>
        <v>45</v>
      </c>
    </row>
    <row r="93" spans="7:64">
      <c r="G93" s="97" t="s">
        <v>187</v>
      </c>
      <c r="H93" s="108">
        <f>COUNTIFS(J93:BJ93,"T")*40+COUNTIFS(J93:BJ93,"M1")*64+COUNTIFS(J93:BJ93,"N")*64-24-8</f>
        <v>472</v>
      </c>
      <c r="I93" s="108">
        <f>1800-H93</f>
        <v>1328</v>
      </c>
      <c r="J93" s="100" t="s">
        <v>54</v>
      </c>
      <c r="K93" s="100" t="s">
        <v>7</v>
      </c>
      <c r="L93" s="100" t="s">
        <v>20</v>
      </c>
      <c r="M93" s="100" t="s">
        <v>16</v>
      </c>
      <c r="N93" s="100" t="s">
        <v>7</v>
      </c>
      <c r="O93" s="100" t="s">
        <v>16</v>
      </c>
      <c r="P93" s="100" t="s">
        <v>7</v>
      </c>
      <c r="Q93" s="100" t="s">
        <v>20</v>
      </c>
      <c r="R93" s="100" t="s">
        <v>16</v>
      </c>
      <c r="S93" s="100" t="s">
        <v>7</v>
      </c>
      <c r="T93" s="100" t="s">
        <v>16</v>
      </c>
      <c r="U93" s="100" t="s">
        <v>7</v>
      </c>
      <c r="V93" s="100" t="s">
        <v>20</v>
      </c>
      <c r="W93" s="100" t="s">
        <v>16</v>
      </c>
      <c r="X93" s="100" t="s">
        <v>7</v>
      </c>
      <c r="Y93" s="100" t="s">
        <v>7</v>
      </c>
      <c r="Z93" s="100" t="s">
        <v>7</v>
      </c>
      <c r="AA93" s="100" t="s">
        <v>7</v>
      </c>
      <c r="AB93" s="100" t="s">
        <v>7</v>
      </c>
      <c r="AC93" s="100" t="s">
        <v>7</v>
      </c>
      <c r="AD93" s="100" t="s">
        <v>7</v>
      </c>
      <c r="AE93" s="100" t="s">
        <v>7</v>
      </c>
      <c r="AF93" s="100" t="s">
        <v>7</v>
      </c>
      <c r="AG93" s="100" t="s">
        <v>7</v>
      </c>
      <c r="AH93" s="100" t="s">
        <v>7</v>
      </c>
      <c r="AI93" s="100" t="s">
        <v>7</v>
      </c>
      <c r="AJ93" s="100" t="s">
        <v>7</v>
      </c>
      <c r="AK93" s="100" t="s">
        <v>7</v>
      </c>
      <c r="AL93" s="100" t="s">
        <v>7</v>
      </c>
      <c r="AM93" s="100" t="s">
        <v>7</v>
      </c>
      <c r="AN93" s="100" t="s">
        <v>7</v>
      </c>
      <c r="AO93" s="100" t="s">
        <v>7</v>
      </c>
      <c r="AP93" s="100" t="s">
        <v>7</v>
      </c>
      <c r="AQ93" s="100" t="s">
        <v>7</v>
      </c>
      <c r="AR93" s="100" t="s">
        <v>7</v>
      </c>
      <c r="AS93" s="100" t="s">
        <v>7</v>
      </c>
      <c r="AT93" s="100" t="s">
        <v>7</v>
      </c>
      <c r="AU93" s="100" t="s">
        <v>7</v>
      </c>
      <c r="AV93" s="100" t="s">
        <v>7</v>
      </c>
      <c r="AW93" s="100" t="s">
        <v>7</v>
      </c>
      <c r="AX93" s="100" t="s">
        <v>7</v>
      </c>
      <c r="AY93" s="100" t="s">
        <v>7</v>
      </c>
      <c r="AZ93" s="100" t="s">
        <v>7</v>
      </c>
      <c r="BA93" s="100" t="s">
        <v>7</v>
      </c>
      <c r="BB93" s="100" t="s">
        <v>7</v>
      </c>
      <c r="BC93" s="100" t="s">
        <v>7</v>
      </c>
      <c r="BD93" s="100" t="s">
        <v>7</v>
      </c>
      <c r="BE93" s="100" t="s">
        <v>7</v>
      </c>
      <c r="BF93" s="100" t="s">
        <v>7</v>
      </c>
      <c r="BG93" s="100" t="s">
        <v>7</v>
      </c>
      <c r="BH93" s="100" t="s">
        <v>7</v>
      </c>
      <c r="BI93" s="100" t="s">
        <v>7</v>
      </c>
      <c r="BJ93" s="100" t="s">
        <v>7</v>
      </c>
      <c r="BK93" s="107">
        <f>COUNTIFS(J93:BJ93,"M1")+COUNTIFS(J93:BJ93,"N")</f>
        <v>6</v>
      </c>
      <c r="BL93" s="107">
        <f>COUNTIFS(J93:BJ93,"L")</f>
        <v>44</v>
      </c>
    </row>
    <row r="94" spans="7:64">
      <c r="G94" s="97" t="s">
        <v>188</v>
      </c>
      <c r="H94" s="108">
        <f>COUNTIFS(J94:BJ94,"T")*40+COUNTIFS(J94:BJ94,"M1")*64+COUNTIFS(J94:BJ94,"N")*64-24</f>
        <v>416</v>
      </c>
      <c r="I94" s="108">
        <f>1800-H94</f>
        <v>1384</v>
      </c>
      <c r="J94" s="100" t="s">
        <v>7</v>
      </c>
      <c r="K94" s="100" t="s">
        <v>54</v>
      </c>
      <c r="L94" s="100" t="s">
        <v>7</v>
      </c>
      <c r="M94" s="100" t="s">
        <v>20</v>
      </c>
      <c r="N94" s="100" t="s">
        <v>16</v>
      </c>
      <c r="O94" s="100" t="s">
        <v>7</v>
      </c>
      <c r="P94" s="100" t="s">
        <v>16</v>
      </c>
      <c r="Q94" s="100" t="s">
        <v>7</v>
      </c>
      <c r="R94" s="100" t="s">
        <v>20</v>
      </c>
      <c r="S94" s="100" t="s">
        <v>16</v>
      </c>
      <c r="T94" s="100" t="s">
        <v>7</v>
      </c>
      <c r="U94" s="100" t="s">
        <v>16</v>
      </c>
      <c r="V94" s="100" t="s">
        <v>7</v>
      </c>
      <c r="W94" s="100" t="s">
        <v>20</v>
      </c>
      <c r="X94" s="100" t="s">
        <v>7</v>
      </c>
      <c r="Y94" s="100" t="s">
        <v>7</v>
      </c>
      <c r="Z94" s="100" t="s">
        <v>7</v>
      </c>
      <c r="AA94" s="100" t="s">
        <v>7</v>
      </c>
      <c r="AB94" s="100" t="s">
        <v>7</v>
      </c>
      <c r="AC94" s="100" t="s">
        <v>7</v>
      </c>
      <c r="AD94" s="100" t="s">
        <v>7</v>
      </c>
      <c r="AE94" s="100" t="s">
        <v>7</v>
      </c>
      <c r="AF94" s="100" t="s">
        <v>7</v>
      </c>
      <c r="AG94" s="100" t="s">
        <v>7</v>
      </c>
      <c r="AH94" s="100" t="s">
        <v>7</v>
      </c>
      <c r="AI94" s="100" t="s">
        <v>7</v>
      </c>
      <c r="AJ94" s="100" t="s">
        <v>7</v>
      </c>
      <c r="AK94" s="100" t="s">
        <v>7</v>
      </c>
      <c r="AL94" s="100" t="s">
        <v>7</v>
      </c>
      <c r="AM94" s="100" t="s">
        <v>7</v>
      </c>
      <c r="AN94" s="100" t="s">
        <v>7</v>
      </c>
      <c r="AO94" s="100" t="s">
        <v>7</v>
      </c>
      <c r="AP94" s="100" t="s">
        <v>7</v>
      </c>
      <c r="AQ94" s="100" t="s">
        <v>7</v>
      </c>
      <c r="AR94" s="100" t="s">
        <v>7</v>
      </c>
      <c r="AS94" s="100" t="s">
        <v>7</v>
      </c>
      <c r="AT94" s="100" t="s">
        <v>7</v>
      </c>
      <c r="AU94" s="100" t="s">
        <v>7</v>
      </c>
      <c r="AV94" s="100" t="s">
        <v>7</v>
      </c>
      <c r="AW94" s="100" t="s">
        <v>7</v>
      </c>
      <c r="AX94" s="100" t="s">
        <v>7</v>
      </c>
      <c r="AY94" s="100" t="s">
        <v>7</v>
      </c>
      <c r="AZ94" s="100" t="s">
        <v>7</v>
      </c>
      <c r="BA94" s="100" t="s">
        <v>7</v>
      </c>
      <c r="BB94" s="100" t="s">
        <v>7</v>
      </c>
      <c r="BC94" s="100" t="s">
        <v>7</v>
      </c>
      <c r="BD94" s="100" t="s">
        <v>7</v>
      </c>
      <c r="BE94" s="100" t="s">
        <v>7</v>
      </c>
      <c r="BF94" s="100" t="s">
        <v>7</v>
      </c>
      <c r="BG94" s="100" t="s">
        <v>7</v>
      </c>
      <c r="BH94" s="100" t="s">
        <v>7</v>
      </c>
      <c r="BI94" s="100" t="s">
        <v>7</v>
      </c>
      <c r="BJ94" s="100" t="s">
        <v>7</v>
      </c>
      <c r="BK94" s="107">
        <f>COUNTIFS(J94:BJ94,"M1")+COUNTIFS(J94:BJ94,"N")</f>
        <v>5</v>
      </c>
      <c r="BL94" s="107">
        <f>COUNTIFS(J94:BJ94,"L")</f>
        <v>45</v>
      </c>
    </row>
    <row r="95" spans="7:64">
      <c r="G95" s="97" t="s">
        <v>189</v>
      </c>
      <c r="H95" s="108">
        <f>COUNTIFS(J95:BJ95,"T")*40+COUNTIFS(J95:BJ95,"M1")*64+COUNTIFS(J95:BJ95,"N")*64-24-32</f>
        <v>408</v>
      </c>
      <c r="I95" s="108">
        <f>1800-H95</f>
        <v>1392</v>
      </c>
      <c r="J95" s="100" t="s">
        <v>16</v>
      </c>
      <c r="K95" s="100" t="s">
        <v>7</v>
      </c>
      <c r="L95" s="100" t="s">
        <v>16</v>
      </c>
      <c r="M95" s="100" t="s">
        <v>7</v>
      </c>
      <c r="N95" s="100" t="s">
        <v>20</v>
      </c>
      <c r="O95" s="100" t="s">
        <v>16</v>
      </c>
      <c r="P95" s="100" t="s">
        <v>7</v>
      </c>
      <c r="Q95" s="100" t="s">
        <v>16</v>
      </c>
      <c r="R95" s="100" t="s">
        <v>7</v>
      </c>
      <c r="S95" s="100" t="s">
        <v>20</v>
      </c>
      <c r="T95" s="100" t="s">
        <v>16</v>
      </c>
      <c r="U95" s="100" t="s">
        <v>7</v>
      </c>
      <c r="V95" s="100" t="s">
        <v>16</v>
      </c>
      <c r="W95" s="100" t="s">
        <v>7</v>
      </c>
      <c r="X95" s="100" t="s">
        <v>7</v>
      </c>
      <c r="Y95" s="100" t="s">
        <v>7</v>
      </c>
      <c r="Z95" s="100" t="s">
        <v>7</v>
      </c>
      <c r="AA95" s="100" t="s">
        <v>7</v>
      </c>
      <c r="AB95" s="100" t="s">
        <v>7</v>
      </c>
      <c r="AC95" s="100" t="s">
        <v>7</v>
      </c>
      <c r="AD95" s="100" t="s">
        <v>7</v>
      </c>
      <c r="AE95" s="100" t="s">
        <v>7</v>
      </c>
      <c r="AF95" s="100" t="s">
        <v>7</v>
      </c>
      <c r="AG95" s="100" t="s">
        <v>7</v>
      </c>
      <c r="AH95" s="100" t="s">
        <v>7</v>
      </c>
      <c r="AI95" s="100" t="s">
        <v>7</v>
      </c>
      <c r="AJ95" s="100" t="s">
        <v>7</v>
      </c>
      <c r="AK95" s="100" t="s">
        <v>7</v>
      </c>
      <c r="AL95" s="100" t="s">
        <v>7</v>
      </c>
      <c r="AM95" s="100" t="s">
        <v>7</v>
      </c>
      <c r="AN95" s="100" t="s">
        <v>7</v>
      </c>
      <c r="AO95" s="100" t="s">
        <v>7</v>
      </c>
      <c r="AP95" s="100" t="s">
        <v>7</v>
      </c>
      <c r="AQ95" s="100" t="s">
        <v>7</v>
      </c>
      <c r="AR95" s="100" t="s">
        <v>7</v>
      </c>
      <c r="AS95" s="100" t="s">
        <v>7</v>
      </c>
      <c r="AT95" s="100" t="s">
        <v>7</v>
      </c>
      <c r="AU95" s="100" t="s">
        <v>7</v>
      </c>
      <c r="AV95" s="100" t="s">
        <v>7</v>
      </c>
      <c r="AW95" s="100" t="s">
        <v>7</v>
      </c>
      <c r="AX95" s="100" t="s">
        <v>7</v>
      </c>
      <c r="AY95" s="100" t="s">
        <v>7</v>
      </c>
      <c r="AZ95" s="100" t="s">
        <v>7</v>
      </c>
      <c r="BA95" s="100" t="s">
        <v>7</v>
      </c>
      <c r="BB95" s="100" t="s">
        <v>7</v>
      </c>
      <c r="BC95" s="100" t="s">
        <v>7</v>
      </c>
      <c r="BD95" s="100" t="s">
        <v>7</v>
      </c>
      <c r="BE95" s="100" t="s">
        <v>7</v>
      </c>
      <c r="BF95" s="100" t="s">
        <v>7</v>
      </c>
      <c r="BG95" s="100" t="s">
        <v>7</v>
      </c>
      <c r="BH95" s="100" t="s">
        <v>7</v>
      </c>
      <c r="BI95" s="100" t="s">
        <v>7</v>
      </c>
      <c r="BJ95" s="100" t="s">
        <v>7</v>
      </c>
      <c r="BK95" s="107">
        <f>COUNTIFS(J95:BJ95,"M1")+COUNTIFS(J95:BJ95,"N")</f>
        <v>6</v>
      </c>
      <c r="BL95" s="107">
        <f>COUNTIFS(J95:BJ95,"L")</f>
        <v>45</v>
      </c>
    </row>
    <row r="96" spans="7:64">
      <c r="G96" s="97" t="s">
        <v>190</v>
      </c>
      <c r="H96" s="108">
        <f>COUNTIFS(J96:BJ96,"T")*40+COUNTIFS(J96:BJ96,"M1")*64+COUNTIFS(J96:BJ96,"N")*64-24</f>
        <v>480</v>
      </c>
      <c r="I96" s="108">
        <f>1800-H96</f>
        <v>1320</v>
      </c>
      <c r="J96" s="100" t="s">
        <v>20</v>
      </c>
      <c r="K96" s="100" t="s">
        <v>16</v>
      </c>
      <c r="L96" s="100" t="s">
        <v>7</v>
      </c>
      <c r="M96" s="100" t="s">
        <v>16</v>
      </c>
      <c r="N96" s="100" t="s">
        <v>7</v>
      </c>
      <c r="O96" s="100" t="s">
        <v>20</v>
      </c>
      <c r="P96" s="100" t="s">
        <v>16</v>
      </c>
      <c r="Q96" s="100" t="s">
        <v>7</v>
      </c>
      <c r="R96" s="100" t="s">
        <v>16</v>
      </c>
      <c r="S96" s="100" t="s">
        <v>7</v>
      </c>
      <c r="T96" s="100" t="s">
        <v>20</v>
      </c>
      <c r="U96" s="100" t="s">
        <v>16</v>
      </c>
      <c r="V96" s="100" t="s">
        <v>7</v>
      </c>
      <c r="W96" s="100" t="s">
        <v>16</v>
      </c>
      <c r="X96" s="100" t="s">
        <v>7</v>
      </c>
      <c r="Y96" s="100" t="s">
        <v>7</v>
      </c>
      <c r="Z96" s="100" t="s">
        <v>7</v>
      </c>
      <c r="AA96" s="100" t="s">
        <v>7</v>
      </c>
      <c r="AB96" s="100" t="s">
        <v>7</v>
      </c>
      <c r="AC96" s="100" t="s">
        <v>7</v>
      </c>
      <c r="AD96" s="100" t="s">
        <v>7</v>
      </c>
      <c r="AE96" s="100" t="s">
        <v>7</v>
      </c>
      <c r="AF96" s="100" t="s">
        <v>7</v>
      </c>
      <c r="AG96" s="100" t="s">
        <v>7</v>
      </c>
      <c r="AH96" s="100" t="s">
        <v>7</v>
      </c>
      <c r="AI96" s="100" t="s">
        <v>7</v>
      </c>
      <c r="AJ96" s="100" t="s">
        <v>7</v>
      </c>
      <c r="AK96" s="100" t="s">
        <v>7</v>
      </c>
      <c r="AL96" s="100" t="s">
        <v>7</v>
      </c>
      <c r="AM96" s="100" t="s">
        <v>7</v>
      </c>
      <c r="AN96" s="100" t="s">
        <v>7</v>
      </c>
      <c r="AO96" s="100" t="s">
        <v>7</v>
      </c>
      <c r="AP96" s="100" t="s">
        <v>7</v>
      </c>
      <c r="AQ96" s="100" t="s">
        <v>7</v>
      </c>
      <c r="AR96" s="100" t="s">
        <v>7</v>
      </c>
      <c r="AS96" s="100" t="s">
        <v>7</v>
      </c>
      <c r="AT96" s="100" t="s">
        <v>7</v>
      </c>
      <c r="AU96" s="100" t="s">
        <v>7</v>
      </c>
      <c r="AV96" s="100" t="s">
        <v>7</v>
      </c>
      <c r="AW96" s="100" t="s">
        <v>7</v>
      </c>
      <c r="AX96" s="100" t="s">
        <v>7</v>
      </c>
      <c r="AY96" s="100" t="s">
        <v>7</v>
      </c>
      <c r="AZ96" s="100" t="s">
        <v>7</v>
      </c>
      <c r="BA96" s="100" t="s">
        <v>7</v>
      </c>
      <c r="BB96" s="100" t="s">
        <v>7</v>
      </c>
      <c r="BC96" s="100" t="s">
        <v>7</v>
      </c>
      <c r="BD96" s="100" t="s">
        <v>7</v>
      </c>
      <c r="BE96" s="100" t="s">
        <v>7</v>
      </c>
      <c r="BF96" s="100" t="s">
        <v>7</v>
      </c>
      <c r="BG96" s="100" t="s">
        <v>7</v>
      </c>
      <c r="BH96" s="100" t="s">
        <v>7</v>
      </c>
      <c r="BI96" s="100" t="s">
        <v>7</v>
      </c>
      <c r="BJ96" s="100" t="s">
        <v>7</v>
      </c>
      <c r="BK96" s="107">
        <f>COUNTIFS(J96:BJ96,"M1")+COUNTIFS(J96:BJ96,"N")</f>
        <v>6</v>
      </c>
      <c r="BL96" s="107">
        <f>COUNTIFS(J96:BJ96,"L")</f>
        <v>44</v>
      </c>
    </row>
    <row r="98" spans="7:11">
      <c r="G98" s="101" t="s">
        <v>191</v>
      </c>
      <c r="H98">
        <f>SUM(H85:H96)</f>
        <v>6880</v>
      </c>
    </row>
    <row r="99" spans="7:11">
      <c r="G99" s="101" t="s">
        <v>192</v>
      </c>
      <c r="H99">
        <f>AVERAGE(H85:H96)</f>
        <v>625.4545454545455</v>
      </c>
      <c r="K99" s="104" t="s">
        <v>193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C2FF-E2FD-402A-8FB9-D5E765D98D80}">
  <dimension ref="D2:BI16"/>
  <sheetViews>
    <sheetView workbookViewId="0"/>
  </sheetViews>
  <sheetFormatPr defaultColWidth="8.7109375" defaultRowHeight="15"/>
  <cols>
    <col min="4" max="4" width="9.140625" bestFit="1" customWidth="1"/>
  </cols>
  <sheetData>
    <row r="2" spans="4:61">
      <c r="D2" s="99" t="s">
        <v>123</v>
      </c>
      <c r="E2" s="99" t="s">
        <v>124</v>
      </c>
      <c r="F2" s="99" t="s">
        <v>125</v>
      </c>
      <c r="G2" s="99" t="s">
        <v>126</v>
      </c>
      <c r="H2" s="99" t="s">
        <v>127</v>
      </c>
      <c r="I2" s="99" t="s">
        <v>128</v>
      </c>
      <c r="J2" s="99" t="s">
        <v>129</v>
      </c>
      <c r="K2" s="99" t="s">
        <v>130</v>
      </c>
      <c r="L2" s="99" t="s">
        <v>131</v>
      </c>
      <c r="M2" s="99" t="s">
        <v>132</v>
      </c>
      <c r="N2" s="99" t="s">
        <v>133</v>
      </c>
      <c r="O2" s="99" t="s">
        <v>134</v>
      </c>
      <c r="P2" s="99" t="s">
        <v>135</v>
      </c>
      <c r="Q2" s="99" t="s">
        <v>136</v>
      </c>
      <c r="R2" s="99" t="s">
        <v>137</v>
      </c>
      <c r="S2" s="99" t="s">
        <v>138</v>
      </c>
      <c r="T2" s="99" t="s">
        <v>139</v>
      </c>
      <c r="U2" s="99" t="s">
        <v>140</v>
      </c>
      <c r="V2" s="99" t="s">
        <v>141</v>
      </c>
      <c r="W2" s="99" t="s">
        <v>142</v>
      </c>
      <c r="X2" s="99" t="s">
        <v>143</v>
      </c>
      <c r="Y2" s="99" t="s">
        <v>144</v>
      </c>
      <c r="Z2" s="99" t="s">
        <v>145</v>
      </c>
      <c r="AA2" s="99" t="s">
        <v>146</v>
      </c>
      <c r="AB2" s="99" t="s">
        <v>147</v>
      </c>
      <c r="AC2" s="99" t="s">
        <v>148</v>
      </c>
      <c r="AD2" s="99" t="s">
        <v>149</v>
      </c>
      <c r="AE2" s="99" t="s">
        <v>150</v>
      </c>
      <c r="AF2" s="99" t="s">
        <v>151</v>
      </c>
      <c r="AG2" s="99" t="s">
        <v>152</v>
      </c>
      <c r="AH2" s="99" t="s">
        <v>153</v>
      </c>
      <c r="AI2" s="99" t="s">
        <v>154</v>
      </c>
      <c r="AJ2" s="99" t="s">
        <v>155</v>
      </c>
      <c r="AK2" s="99" t="s">
        <v>156</v>
      </c>
      <c r="AL2" s="99" t="s">
        <v>157</v>
      </c>
      <c r="AM2" s="99" t="s">
        <v>158</v>
      </c>
      <c r="AN2" s="99" t="s">
        <v>159</v>
      </c>
      <c r="AO2" s="99" t="s">
        <v>160</v>
      </c>
      <c r="AP2" s="99" t="s">
        <v>161</v>
      </c>
      <c r="AQ2" s="99" t="s">
        <v>162</v>
      </c>
      <c r="AR2" s="99" t="s">
        <v>163</v>
      </c>
      <c r="AS2" s="99" t="s">
        <v>164</v>
      </c>
      <c r="AT2" s="99" t="s">
        <v>165</v>
      </c>
      <c r="AU2" s="99" t="s">
        <v>166</v>
      </c>
      <c r="AV2" s="99" t="s">
        <v>167</v>
      </c>
      <c r="AW2" s="99" t="s">
        <v>168</v>
      </c>
      <c r="AX2" s="99" t="s">
        <v>169</v>
      </c>
      <c r="AY2" s="99" t="s">
        <v>170</v>
      </c>
      <c r="AZ2" s="99" t="s">
        <v>171</v>
      </c>
      <c r="BA2" s="99" t="s">
        <v>172</v>
      </c>
      <c r="BB2" s="99" t="s">
        <v>173</v>
      </c>
      <c r="BC2" s="99" t="s">
        <v>174</v>
      </c>
      <c r="BD2" s="99" t="s">
        <v>175</v>
      </c>
      <c r="BE2" s="99" t="s">
        <v>176</v>
      </c>
      <c r="BF2" s="99" t="s">
        <v>177</v>
      </c>
      <c r="BG2" s="99" t="s">
        <v>178</v>
      </c>
      <c r="BH2" s="106" t="s">
        <v>179</v>
      </c>
      <c r="BI2" s="106" t="s">
        <v>180</v>
      </c>
    </row>
    <row r="3" spans="4:61">
      <c r="D3" s="97" t="s">
        <v>181</v>
      </c>
      <c r="E3" s="108">
        <f>COUNTIFS(G3:BG3,"T")*40+COUNTIFS(G3:BG3,"M1")*64+COUNTIFS(G3:BG3,"N")*64-24-32</f>
        <v>1752</v>
      </c>
      <c r="F3" s="108">
        <f>1800-E3</f>
        <v>48</v>
      </c>
      <c r="G3" s="100" t="s">
        <v>54</v>
      </c>
      <c r="H3" s="100" t="s">
        <v>7</v>
      </c>
      <c r="I3" s="100" t="s">
        <v>54</v>
      </c>
      <c r="J3" s="100" t="s">
        <v>7</v>
      </c>
      <c r="K3" s="100" t="s">
        <v>20</v>
      </c>
      <c r="L3" s="100" t="s">
        <v>54</v>
      </c>
      <c r="M3" s="100" t="s">
        <v>7</v>
      </c>
      <c r="N3" s="100" t="s">
        <v>54</v>
      </c>
      <c r="O3" s="100" t="s">
        <v>7</v>
      </c>
      <c r="P3" s="100" t="s">
        <v>20</v>
      </c>
      <c r="Q3" s="100" t="s">
        <v>54</v>
      </c>
      <c r="R3" s="100" t="s">
        <v>7</v>
      </c>
      <c r="S3" s="100" t="s">
        <v>54</v>
      </c>
      <c r="T3" s="117" t="s">
        <v>7</v>
      </c>
      <c r="U3" s="100" t="s">
        <v>20</v>
      </c>
      <c r="V3" s="100" t="s">
        <v>54</v>
      </c>
      <c r="W3" s="100" t="s">
        <v>7</v>
      </c>
      <c r="X3" s="100" t="s">
        <v>54</v>
      </c>
      <c r="Y3" s="100" t="s">
        <v>7</v>
      </c>
      <c r="Z3" s="100" t="s">
        <v>20</v>
      </c>
      <c r="AA3" s="100" t="s">
        <v>54</v>
      </c>
      <c r="AB3" s="117" t="s">
        <v>7</v>
      </c>
      <c r="AC3" s="100" t="s">
        <v>54</v>
      </c>
      <c r="AD3" s="100" t="s">
        <v>7</v>
      </c>
      <c r="AE3" s="100" t="s">
        <v>20</v>
      </c>
      <c r="AF3" s="100" t="s">
        <v>54</v>
      </c>
      <c r="AG3" s="100" t="s">
        <v>7</v>
      </c>
      <c r="AH3" s="100" t="s">
        <v>54</v>
      </c>
      <c r="AI3" s="117" t="s">
        <v>7</v>
      </c>
      <c r="AJ3" s="100" t="s">
        <v>20</v>
      </c>
      <c r="AK3" s="100" t="s">
        <v>54</v>
      </c>
      <c r="AL3" s="100" t="s">
        <v>7</v>
      </c>
      <c r="AM3" s="100" t="s">
        <v>54</v>
      </c>
      <c r="AN3" s="100" t="s">
        <v>7</v>
      </c>
      <c r="AO3" s="100" t="s">
        <v>20</v>
      </c>
      <c r="AP3" s="100" t="s">
        <v>54</v>
      </c>
      <c r="AQ3" s="117" t="s">
        <v>7</v>
      </c>
      <c r="AR3" s="100" t="s">
        <v>54</v>
      </c>
      <c r="AS3" s="100" t="s">
        <v>7</v>
      </c>
      <c r="AT3" s="100" t="s">
        <v>20</v>
      </c>
      <c r="AU3" s="100" t="s">
        <v>54</v>
      </c>
      <c r="AV3" s="100" t="s">
        <v>7</v>
      </c>
      <c r="AW3" s="100" t="s">
        <v>54</v>
      </c>
      <c r="AX3" s="117" t="s">
        <v>7</v>
      </c>
      <c r="AY3" s="100" t="s">
        <v>20</v>
      </c>
      <c r="AZ3" s="100" t="s">
        <v>54</v>
      </c>
      <c r="BA3" s="100" t="s">
        <v>7</v>
      </c>
      <c r="BB3" s="100" t="s">
        <v>54</v>
      </c>
      <c r="BC3" s="100" t="s">
        <v>7</v>
      </c>
      <c r="BD3" s="100" t="s">
        <v>20</v>
      </c>
      <c r="BE3" s="100" t="s">
        <v>54</v>
      </c>
      <c r="BF3" s="117" t="s">
        <v>7</v>
      </c>
      <c r="BG3" s="100" t="s">
        <v>54</v>
      </c>
      <c r="BH3" s="107">
        <f>COUNTIFS(G3:BG3,"M1")+COUNTIFS(G3:BG3,"N")</f>
        <v>22</v>
      </c>
      <c r="BI3" s="107">
        <f>COUNTIFS(G3:BG3,"L")</f>
        <v>21</v>
      </c>
    </row>
    <row r="4" spans="4:61">
      <c r="D4" s="97" t="s">
        <v>182</v>
      </c>
      <c r="E4" s="108">
        <f>COUNTIFS(G4:BG4,"T")*40+COUNTIFS(G4:BG4,"M1")*64+COUNTIFS(G4:BG4,"N")*64-24</f>
        <v>1760</v>
      </c>
      <c r="F4" s="108">
        <f>1800-E4</f>
        <v>40</v>
      </c>
      <c r="G4" s="100" t="s">
        <v>20</v>
      </c>
      <c r="H4" s="100" t="s">
        <v>54</v>
      </c>
      <c r="I4" s="100" t="s">
        <v>7</v>
      </c>
      <c r="J4" s="100" t="s">
        <v>54</v>
      </c>
      <c r="K4" s="100" t="s">
        <v>7</v>
      </c>
      <c r="L4" s="100" t="s">
        <v>20</v>
      </c>
      <c r="M4" s="100" t="s">
        <v>54</v>
      </c>
      <c r="N4" s="100" t="s">
        <v>7</v>
      </c>
      <c r="O4" s="100" t="s">
        <v>54</v>
      </c>
      <c r="P4" s="100" t="s">
        <v>7</v>
      </c>
      <c r="Q4" s="100" t="s">
        <v>20</v>
      </c>
      <c r="R4" s="100" t="s">
        <v>54</v>
      </c>
      <c r="S4" s="100" t="s">
        <v>7</v>
      </c>
      <c r="T4" s="100" t="s">
        <v>54</v>
      </c>
      <c r="U4" s="100" t="s">
        <v>7</v>
      </c>
      <c r="V4" s="100" t="s">
        <v>20</v>
      </c>
      <c r="W4" s="100" t="s">
        <v>54</v>
      </c>
      <c r="X4" s="100" t="s">
        <v>7</v>
      </c>
      <c r="Y4" s="100" t="s">
        <v>54</v>
      </c>
      <c r="Z4" s="100" t="s">
        <v>7</v>
      </c>
      <c r="AA4" s="100" t="s">
        <v>20</v>
      </c>
      <c r="AB4" s="100" t="s">
        <v>54</v>
      </c>
      <c r="AC4" s="100" t="s">
        <v>7</v>
      </c>
      <c r="AD4" s="100" t="s">
        <v>54</v>
      </c>
      <c r="AE4" s="100" t="s">
        <v>7</v>
      </c>
      <c r="AF4" s="100" t="s">
        <v>20</v>
      </c>
      <c r="AG4" s="100" t="s">
        <v>54</v>
      </c>
      <c r="AH4" s="100" t="s">
        <v>7</v>
      </c>
      <c r="AI4" s="100" t="s">
        <v>54</v>
      </c>
      <c r="AJ4" s="100" t="s">
        <v>7</v>
      </c>
      <c r="AK4" s="100" t="s">
        <v>20</v>
      </c>
      <c r="AL4" s="100" t="s">
        <v>54</v>
      </c>
      <c r="AM4" s="100" t="s">
        <v>7</v>
      </c>
      <c r="AN4" s="100" t="s">
        <v>54</v>
      </c>
      <c r="AO4" s="100" t="s">
        <v>7</v>
      </c>
      <c r="AP4" s="100" t="s">
        <v>20</v>
      </c>
      <c r="AQ4" s="100" t="s">
        <v>54</v>
      </c>
      <c r="AR4" s="100" t="s">
        <v>7</v>
      </c>
      <c r="AS4" s="100" t="s">
        <v>54</v>
      </c>
      <c r="AT4" s="100" t="s">
        <v>7</v>
      </c>
      <c r="AU4" s="100" t="s">
        <v>20</v>
      </c>
      <c r="AV4" s="100" t="s">
        <v>54</v>
      </c>
      <c r="AW4" s="100" t="s">
        <v>7</v>
      </c>
      <c r="AX4" s="100" t="s">
        <v>54</v>
      </c>
      <c r="AY4" s="100" t="s">
        <v>7</v>
      </c>
      <c r="AZ4" s="100" t="s">
        <v>20</v>
      </c>
      <c r="BA4" s="100" t="s">
        <v>54</v>
      </c>
      <c r="BB4" s="100" t="s">
        <v>7</v>
      </c>
      <c r="BC4" s="100" t="s">
        <v>54</v>
      </c>
      <c r="BD4" s="100" t="s">
        <v>7</v>
      </c>
      <c r="BE4" s="100" t="s">
        <v>20</v>
      </c>
      <c r="BF4" s="100" t="s">
        <v>54</v>
      </c>
      <c r="BG4" s="100" t="s">
        <v>7</v>
      </c>
      <c r="BH4" s="107">
        <f>COUNTIFS(G4:BG4,"M1")+COUNTIFS(G4:BG4,"N")</f>
        <v>21</v>
      </c>
      <c r="BI4" s="107">
        <f>COUNTIFS(G4:BG4,"L")</f>
        <v>21</v>
      </c>
    </row>
    <row r="5" spans="4:61">
      <c r="D5" s="97" t="s">
        <v>183</v>
      </c>
      <c r="E5" s="108">
        <f>COUNTIFS(G5:BG5,"T")*40+COUNTIFS(G5:BG5,"M1")*64+COUNTIFS(G5:BG5,"N")*64-24-32</f>
        <v>1728</v>
      </c>
      <c r="F5" s="108">
        <f>1800-E5</f>
        <v>72</v>
      </c>
      <c r="G5" s="100" t="s">
        <v>7</v>
      </c>
      <c r="H5" s="100" t="s">
        <v>20</v>
      </c>
      <c r="I5" s="100" t="s">
        <v>54</v>
      </c>
      <c r="J5" s="100" t="s">
        <v>7</v>
      </c>
      <c r="K5" s="100" t="s">
        <v>54</v>
      </c>
      <c r="L5" s="100" t="s">
        <v>7</v>
      </c>
      <c r="M5" s="100" t="s">
        <v>20</v>
      </c>
      <c r="N5" s="100" t="s">
        <v>54</v>
      </c>
      <c r="O5" s="100" t="s">
        <v>7</v>
      </c>
      <c r="P5" s="100" t="s">
        <v>54</v>
      </c>
      <c r="Q5" s="100" t="s">
        <v>7</v>
      </c>
      <c r="R5" s="100" t="s">
        <v>20</v>
      </c>
      <c r="S5" s="100" t="s">
        <v>54</v>
      </c>
      <c r="T5" s="100" t="s">
        <v>7</v>
      </c>
      <c r="U5" s="100" t="s">
        <v>54</v>
      </c>
      <c r="V5" s="100" t="s">
        <v>7</v>
      </c>
      <c r="W5" s="100" t="s">
        <v>20</v>
      </c>
      <c r="X5" s="100" t="s">
        <v>54</v>
      </c>
      <c r="Y5" s="100" t="s">
        <v>7</v>
      </c>
      <c r="Z5" s="100" t="s">
        <v>54</v>
      </c>
      <c r="AA5" s="100" t="s">
        <v>7</v>
      </c>
      <c r="AB5" s="100" t="s">
        <v>20</v>
      </c>
      <c r="AC5" s="100" t="s">
        <v>54</v>
      </c>
      <c r="AD5" s="100" t="s">
        <v>7</v>
      </c>
      <c r="AE5" s="100" t="s">
        <v>54</v>
      </c>
      <c r="AF5" s="100" t="s">
        <v>7</v>
      </c>
      <c r="AG5" s="100" t="s">
        <v>20</v>
      </c>
      <c r="AH5" s="100" t="s">
        <v>54</v>
      </c>
      <c r="AI5" s="100" t="s">
        <v>7</v>
      </c>
      <c r="AJ5" s="100" t="s">
        <v>54</v>
      </c>
      <c r="AK5" s="100" t="s">
        <v>7</v>
      </c>
      <c r="AL5" s="100" t="s">
        <v>20</v>
      </c>
      <c r="AM5" s="100" t="s">
        <v>54</v>
      </c>
      <c r="AN5" s="100" t="s">
        <v>7</v>
      </c>
      <c r="AO5" s="100" t="s">
        <v>54</v>
      </c>
      <c r="AP5" s="100" t="s">
        <v>7</v>
      </c>
      <c r="AQ5" s="100" t="s">
        <v>20</v>
      </c>
      <c r="AR5" s="100" t="s">
        <v>54</v>
      </c>
      <c r="AS5" s="100" t="s">
        <v>7</v>
      </c>
      <c r="AT5" s="100" t="s">
        <v>54</v>
      </c>
      <c r="AU5" s="100" t="s">
        <v>7</v>
      </c>
      <c r="AV5" s="100" t="s">
        <v>20</v>
      </c>
      <c r="AW5" s="100" t="s">
        <v>54</v>
      </c>
      <c r="AX5" s="100" t="s">
        <v>7</v>
      </c>
      <c r="AY5" s="100" t="s">
        <v>54</v>
      </c>
      <c r="AZ5" s="100" t="s">
        <v>7</v>
      </c>
      <c r="BA5" s="100" t="s">
        <v>20</v>
      </c>
      <c r="BB5" s="100" t="s">
        <v>54</v>
      </c>
      <c r="BC5" s="100" t="s">
        <v>7</v>
      </c>
      <c r="BD5" s="100" t="s">
        <v>54</v>
      </c>
      <c r="BE5" s="100" t="s">
        <v>7</v>
      </c>
      <c r="BF5" s="100" t="s">
        <v>20</v>
      </c>
      <c r="BG5" s="100" t="s">
        <v>54</v>
      </c>
      <c r="BH5" s="107">
        <f>COUNTIFS(G5:BG5,"M1")+COUNTIFS(G5:BG5,"N")</f>
        <v>21</v>
      </c>
      <c r="BI5" s="107">
        <f>COUNTIFS(G5:BG5,"L")</f>
        <v>21</v>
      </c>
    </row>
    <row r="6" spans="4:61">
      <c r="D6" s="97" t="s">
        <v>184</v>
      </c>
      <c r="E6" s="108">
        <f>COUNTIFS(G6:BG6,"T")*40+COUNTIFS(G6:BG6,"M1")*64+COUNTIFS(G6:BG6,"N")*64-24-8</f>
        <v>1752</v>
      </c>
      <c r="F6" s="108">
        <f>1800-E6</f>
        <v>48</v>
      </c>
      <c r="G6" s="100" t="s">
        <v>16</v>
      </c>
      <c r="H6" s="100" t="s">
        <v>7</v>
      </c>
      <c r="I6" s="100" t="s">
        <v>20</v>
      </c>
      <c r="J6" s="100" t="s">
        <v>54</v>
      </c>
      <c r="K6" s="100" t="s">
        <v>7</v>
      </c>
      <c r="L6" s="100" t="s">
        <v>54</v>
      </c>
      <c r="M6" s="100" t="s">
        <v>7</v>
      </c>
      <c r="N6" s="100" t="s">
        <v>20</v>
      </c>
      <c r="O6" s="100" t="s">
        <v>54</v>
      </c>
      <c r="P6" s="100" t="s">
        <v>7</v>
      </c>
      <c r="Q6" s="100" t="s">
        <v>54</v>
      </c>
      <c r="R6" s="100" t="s">
        <v>7</v>
      </c>
      <c r="S6" s="100" t="s">
        <v>20</v>
      </c>
      <c r="T6" s="100" t="s">
        <v>54</v>
      </c>
      <c r="U6" s="100" t="s">
        <v>7</v>
      </c>
      <c r="V6" s="100" t="s">
        <v>54</v>
      </c>
      <c r="W6" s="100" t="s">
        <v>7</v>
      </c>
      <c r="X6" s="100" t="s">
        <v>20</v>
      </c>
      <c r="Y6" s="100" t="s">
        <v>54</v>
      </c>
      <c r="Z6" s="100" t="s">
        <v>7</v>
      </c>
      <c r="AA6" s="100" t="s">
        <v>54</v>
      </c>
      <c r="AB6" s="100" t="s">
        <v>7</v>
      </c>
      <c r="AC6" s="100" t="s">
        <v>20</v>
      </c>
      <c r="AD6" s="100" t="s">
        <v>54</v>
      </c>
      <c r="AE6" s="100" t="s">
        <v>7</v>
      </c>
      <c r="AF6" s="100" t="s">
        <v>54</v>
      </c>
      <c r="AG6" s="100" t="s">
        <v>7</v>
      </c>
      <c r="AH6" s="100" t="s">
        <v>20</v>
      </c>
      <c r="AI6" s="100" t="s">
        <v>54</v>
      </c>
      <c r="AJ6" s="100" t="s">
        <v>7</v>
      </c>
      <c r="AK6" s="100" t="s">
        <v>54</v>
      </c>
      <c r="AL6" s="100" t="s">
        <v>7</v>
      </c>
      <c r="AM6" s="100" t="s">
        <v>20</v>
      </c>
      <c r="AN6" s="100" t="s">
        <v>54</v>
      </c>
      <c r="AO6" s="100" t="s">
        <v>7</v>
      </c>
      <c r="AP6" s="100" t="s">
        <v>54</v>
      </c>
      <c r="AQ6" s="100" t="s">
        <v>7</v>
      </c>
      <c r="AR6" s="100" t="s">
        <v>20</v>
      </c>
      <c r="AS6" s="100" t="s">
        <v>54</v>
      </c>
      <c r="AT6" s="100" t="s">
        <v>7</v>
      </c>
      <c r="AU6" s="100" t="s">
        <v>54</v>
      </c>
      <c r="AV6" s="100" t="s">
        <v>7</v>
      </c>
      <c r="AW6" s="100" t="s">
        <v>20</v>
      </c>
      <c r="AX6" s="100" t="s">
        <v>54</v>
      </c>
      <c r="AY6" s="100" t="s">
        <v>7</v>
      </c>
      <c r="AZ6" s="100" t="s">
        <v>54</v>
      </c>
      <c r="BA6" s="100" t="s">
        <v>7</v>
      </c>
      <c r="BB6" s="100" t="s">
        <v>20</v>
      </c>
      <c r="BC6" s="100" t="s">
        <v>54</v>
      </c>
      <c r="BD6" s="100" t="s">
        <v>7</v>
      </c>
      <c r="BE6" s="100" t="s">
        <v>54</v>
      </c>
      <c r="BF6" s="100" t="s">
        <v>7</v>
      </c>
      <c r="BG6" s="100" t="s">
        <v>20</v>
      </c>
      <c r="BH6" s="107">
        <f>COUNTIFS(G6:BG6,"M1")+COUNTIFS(G6:BG6,"N")</f>
        <v>21</v>
      </c>
      <c r="BI6" s="107">
        <f>COUNTIFS(G6:BG6,"L")</f>
        <v>21</v>
      </c>
    </row>
    <row r="7" spans="4:61">
      <c r="D7" s="97" t="s">
        <v>185</v>
      </c>
      <c r="E7" s="108">
        <f>COUNTIFS(G7:BG7,"T")*40+COUNTIFS(G7:BG7,"M1")*64+COUNTIFS(G7:BG7,"N")*64-24</f>
        <v>1720</v>
      </c>
      <c r="F7" s="108">
        <f>1800-E7</f>
        <v>80</v>
      </c>
      <c r="G7" s="100" t="s">
        <v>7</v>
      </c>
      <c r="H7" s="100" t="s">
        <v>16</v>
      </c>
      <c r="I7" s="100" t="s">
        <v>7</v>
      </c>
      <c r="J7" s="100" t="s">
        <v>20</v>
      </c>
      <c r="K7" s="100" t="s">
        <v>54</v>
      </c>
      <c r="L7" s="100" t="s">
        <v>7</v>
      </c>
      <c r="M7" s="100" t="s">
        <v>54</v>
      </c>
      <c r="N7" s="100" t="s">
        <v>7</v>
      </c>
      <c r="O7" s="100" t="s">
        <v>20</v>
      </c>
      <c r="P7" s="100" t="s">
        <v>54</v>
      </c>
      <c r="Q7" s="100" t="s">
        <v>7</v>
      </c>
      <c r="R7" s="100" t="s">
        <v>54</v>
      </c>
      <c r="S7" s="100" t="s">
        <v>7</v>
      </c>
      <c r="T7" s="100" t="s">
        <v>20</v>
      </c>
      <c r="U7" s="100" t="s">
        <v>54</v>
      </c>
      <c r="V7" s="100" t="s">
        <v>7</v>
      </c>
      <c r="W7" s="100" t="s">
        <v>54</v>
      </c>
      <c r="X7" s="100" t="s">
        <v>7</v>
      </c>
      <c r="Y7" s="100" t="s">
        <v>20</v>
      </c>
      <c r="Z7" s="100" t="s">
        <v>54</v>
      </c>
      <c r="AA7" s="100" t="s">
        <v>7</v>
      </c>
      <c r="AB7" s="100" t="s">
        <v>54</v>
      </c>
      <c r="AC7" s="100" t="s">
        <v>7</v>
      </c>
      <c r="AD7" s="100" t="s">
        <v>20</v>
      </c>
      <c r="AE7" s="100" t="s">
        <v>54</v>
      </c>
      <c r="AF7" s="100" t="s">
        <v>7</v>
      </c>
      <c r="AG7" s="100" t="s">
        <v>54</v>
      </c>
      <c r="AH7" s="100" t="s">
        <v>7</v>
      </c>
      <c r="AI7" s="100" t="s">
        <v>20</v>
      </c>
      <c r="AJ7" s="100" t="s">
        <v>54</v>
      </c>
      <c r="AK7" s="100" t="s">
        <v>7</v>
      </c>
      <c r="AL7" s="100" t="s">
        <v>54</v>
      </c>
      <c r="AM7" s="100" t="s">
        <v>7</v>
      </c>
      <c r="AN7" s="100" t="s">
        <v>20</v>
      </c>
      <c r="AO7" s="100" t="s">
        <v>54</v>
      </c>
      <c r="AP7" s="100" t="s">
        <v>7</v>
      </c>
      <c r="AQ7" s="100" t="s">
        <v>54</v>
      </c>
      <c r="AR7" s="100" t="s">
        <v>7</v>
      </c>
      <c r="AS7" s="100" t="s">
        <v>20</v>
      </c>
      <c r="AT7" s="100" t="s">
        <v>54</v>
      </c>
      <c r="AU7" s="100" t="s">
        <v>7</v>
      </c>
      <c r="AV7" s="100" t="s">
        <v>54</v>
      </c>
      <c r="AW7" s="100" t="s">
        <v>7</v>
      </c>
      <c r="AX7" s="100" t="s">
        <v>20</v>
      </c>
      <c r="AY7" s="100" t="s">
        <v>54</v>
      </c>
      <c r="AZ7" s="100" t="s">
        <v>7</v>
      </c>
      <c r="BA7" s="100" t="s">
        <v>54</v>
      </c>
      <c r="BB7" s="100" t="s">
        <v>7</v>
      </c>
      <c r="BC7" s="100" t="s">
        <v>20</v>
      </c>
      <c r="BD7" s="100" t="s">
        <v>54</v>
      </c>
      <c r="BE7" s="100" t="s">
        <v>7</v>
      </c>
      <c r="BF7" s="100" t="s">
        <v>54</v>
      </c>
      <c r="BG7" s="100" t="s">
        <v>7</v>
      </c>
      <c r="BH7" s="107">
        <f>COUNTIFS(G7:BG7,"M1")+COUNTIFS(G7:BG7,"N")</f>
        <v>21</v>
      </c>
      <c r="BI7" s="107">
        <f>COUNTIFS(G7:BG7,"L")</f>
        <v>22</v>
      </c>
    </row>
    <row r="8" spans="4:61">
      <c r="D8" s="98"/>
      <c r="E8" s="98"/>
      <c r="F8" s="98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7"/>
      <c r="BI8" s="107"/>
    </row>
    <row r="9" spans="4:61">
      <c r="D9" s="97" t="s">
        <v>186</v>
      </c>
      <c r="E9" s="108">
        <f>COUNTIFS(G9:BG9,"T")*40+COUNTIFS(G9:BG9,"M1")*64+COUNTIFS(G9:BG9,"N")*64-24-32</f>
        <v>1728</v>
      </c>
      <c r="F9" s="108">
        <f>1800-E9</f>
        <v>72</v>
      </c>
      <c r="G9" s="100" t="s">
        <v>7</v>
      </c>
      <c r="H9" s="100" t="s">
        <v>20</v>
      </c>
      <c r="I9" s="100" t="s">
        <v>16</v>
      </c>
      <c r="J9" s="100" t="s">
        <v>7</v>
      </c>
      <c r="K9" s="100" t="s">
        <v>16</v>
      </c>
      <c r="L9" s="100" t="s">
        <v>7</v>
      </c>
      <c r="M9" s="100" t="s">
        <v>20</v>
      </c>
      <c r="N9" s="100" t="s">
        <v>16</v>
      </c>
      <c r="O9" s="100" t="s">
        <v>7</v>
      </c>
      <c r="P9" s="100" t="s">
        <v>16</v>
      </c>
      <c r="Q9" s="100" t="s">
        <v>7</v>
      </c>
      <c r="R9" s="100" t="s">
        <v>20</v>
      </c>
      <c r="S9" s="100" t="s">
        <v>16</v>
      </c>
      <c r="T9" s="100" t="s">
        <v>7</v>
      </c>
      <c r="U9" s="100" t="s">
        <v>16</v>
      </c>
      <c r="V9" s="100" t="s">
        <v>7</v>
      </c>
      <c r="W9" s="100" t="s">
        <v>20</v>
      </c>
      <c r="X9" s="100" t="s">
        <v>16</v>
      </c>
      <c r="Y9" s="100" t="s">
        <v>7</v>
      </c>
      <c r="Z9" s="100" t="s">
        <v>16</v>
      </c>
      <c r="AA9" s="100" t="s">
        <v>7</v>
      </c>
      <c r="AB9" s="100" t="s">
        <v>20</v>
      </c>
      <c r="AC9" s="100" t="s">
        <v>16</v>
      </c>
      <c r="AD9" s="100" t="s">
        <v>7</v>
      </c>
      <c r="AE9" s="100" t="s">
        <v>16</v>
      </c>
      <c r="AF9" s="100" t="s">
        <v>7</v>
      </c>
      <c r="AG9" s="100" t="s">
        <v>20</v>
      </c>
      <c r="AH9" s="100" t="s">
        <v>16</v>
      </c>
      <c r="AI9" s="100" t="s">
        <v>7</v>
      </c>
      <c r="AJ9" s="100" t="s">
        <v>16</v>
      </c>
      <c r="AK9" s="100" t="s">
        <v>7</v>
      </c>
      <c r="AL9" s="100" t="s">
        <v>20</v>
      </c>
      <c r="AM9" s="100" t="s">
        <v>16</v>
      </c>
      <c r="AN9" s="100" t="s">
        <v>7</v>
      </c>
      <c r="AO9" s="100" t="s">
        <v>16</v>
      </c>
      <c r="AP9" s="100" t="s">
        <v>7</v>
      </c>
      <c r="AQ9" s="100" t="s">
        <v>20</v>
      </c>
      <c r="AR9" s="100" t="s">
        <v>16</v>
      </c>
      <c r="AS9" s="100" t="s">
        <v>7</v>
      </c>
      <c r="AT9" s="100" t="s">
        <v>16</v>
      </c>
      <c r="AU9" s="100" t="s">
        <v>7</v>
      </c>
      <c r="AV9" s="100" t="s">
        <v>20</v>
      </c>
      <c r="AW9" s="100" t="s">
        <v>16</v>
      </c>
      <c r="AX9" s="100" t="s">
        <v>7</v>
      </c>
      <c r="AY9" s="100" t="s">
        <v>16</v>
      </c>
      <c r="AZ9" s="100" t="s">
        <v>7</v>
      </c>
      <c r="BA9" s="100" t="s">
        <v>20</v>
      </c>
      <c r="BB9" s="100" t="s">
        <v>16</v>
      </c>
      <c r="BC9" s="100" t="s">
        <v>7</v>
      </c>
      <c r="BD9" s="100" t="s">
        <v>16</v>
      </c>
      <c r="BE9" s="100" t="s">
        <v>7</v>
      </c>
      <c r="BF9" s="100" t="s">
        <v>20</v>
      </c>
      <c r="BG9" s="100" t="s">
        <v>16</v>
      </c>
      <c r="BH9" s="107">
        <f>COUNTIFS(G9:BG9,"M1")+COUNTIFS(G9:BG9,"N")</f>
        <v>21</v>
      </c>
      <c r="BI9" s="107">
        <f>COUNTIFS(G9:BG9,"L")</f>
        <v>21</v>
      </c>
    </row>
    <row r="10" spans="4:61">
      <c r="D10" s="97" t="s">
        <v>187</v>
      </c>
      <c r="E10" s="108">
        <f>COUNTIFS(G10:BG10,"T")*40+COUNTIFS(G10:BG10,"M1")*64+COUNTIFS(G10:BG10,"N")*64-24-8</f>
        <v>1752</v>
      </c>
      <c r="F10" s="108">
        <f>1800-E10</f>
        <v>48</v>
      </c>
      <c r="G10" s="100" t="s">
        <v>54</v>
      </c>
      <c r="H10" s="100" t="s">
        <v>7</v>
      </c>
      <c r="I10" s="100" t="s">
        <v>20</v>
      </c>
      <c r="J10" s="100" t="s">
        <v>16</v>
      </c>
      <c r="K10" s="100" t="s">
        <v>7</v>
      </c>
      <c r="L10" s="100" t="s">
        <v>16</v>
      </c>
      <c r="M10" s="100" t="s">
        <v>7</v>
      </c>
      <c r="N10" s="100" t="s">
        <v>20</v>
      </c>
      <c r="O10" s="100" t="s">
        <v>16</v>
      </c>
      <c r="P10" s="100" t="s">
        <v>7</v>
      </c>
      <c r="Q10" s="100" t="s">
        <v>16</v>
      </c>
      <c r="R10" s="100" t="s">
        <v>7</v>
      </c>
      <c r="S10" s="100" t="s">
        <v>20</v>
      </c>
      <c r="T10" s="100" t="s">
        <v>16</v>
      </c>
      <c r="U10" s="100" t="s">
        <v>7</v>
      </c>
      <c r="V10" s="100" t="s">
        <v>16</v>
      </c>
      <c r="W10" s="100" t="s">
        <v>7</v>
      </c>
      <c r="X10" s="100" t="s">
        <v>20</v>
      </c>
      <c r="Y10" s="100" t="s">
        <v>16</v>
      </c>
      <c r="Z10" s="100" t="s">
        <v>7</v>
      </c>
      <c r="AA10" s="100" t="s">
        <v>16</v>
      </c>
      <c r="AB10" s="100" t="s">
        <v>7</v>
      </c>
      <c r="AC10" s="100" t="s">
        <v>20</v>
      </c>
      <c r="AD10" s="100" t="s">
        <v>16</v>
      </c>
      <c r="AE10" s="100" t="s">
        <v>7</v>
      </c>
      <c r="AF10" s="100" t="s">
        <v>16</v>
      </c>
      <c r="AG10" s="100" t="s">
        <v>7</v>
      </c>
      <c r="AH10" s="100" t="s">
        <v>20</v>
      </c>
      <c r="AI10" s="100" t="s">
        <v>16</v>
      </c>
      <c r="AJ10" s="100" t="s">
        <v>7</v>
      </c>
      <c r="AK10" s="100" t="s">
        <v>16</v>
      </c>
      <c r="AL10" s="100" t="s">
        <v>7</v>
      </c>
      <c r="AM10" s="100" t="s">
        <v>20</v>
      </c>
      <c r="AN10" s="100" t="s">
        <v>16</v>
      </c>
      <c r="AO10" s="100" t="s">
        <v>7</v>
      </c>
      <c r="AP10" s="100" t="s">
        <v>16</v>
      </c>
      <c r="AQ10" s="100" t="s">
        <v>7</v>
      </c>
      <c r="AR10" s="100" t="s">
        <v>20</v>
      </c>
      <c r="AS10" s="100" t="s">
        <v>16</v>
      </c>
      <c r="AT10" s="100" t="s">
        <v>7</v>
      </c>
      <c r="AU10" s="100" t="s">
        <v>16</v>
      </c>
      <c r="AV10" s="100" t="s">
        <v>7</v>
      </c>
      <c r="AW10" s="100" t="s">
        <v>20</v>
      </c>
      <c r="AX10" s="100" t="s">
        <v>16</v>
      </c>
      <c r="AY10" s="100" t="s">
        <v>7</v>
      </c>
      <c r="AZ10" s="100" t="s">
        <v>16</v>
      </c>
      <c r="BA10" s="100" t="s">
        <v>7</v>
      </c>
      <c r="BB10" s="100" t="s">
        <v>20</v>
      </c>
      <c r="BC10" s="100" t="s">
        <v>16</v>
      </c>
      <c r="BD10" s="100" t="s">
        <v>7</v>
      </c>
      <c r="BE10" s="100" t="s">
        <v>16</v>
      </c>
      <c r="BF10" s="100" t="s">
        <v>7</v>
      </c>
      <c r="BG10" s="100" t="s">
        <v>20</v>
      </c>
      <c r="BH10" s="107">
        <f>COUNTIFS(G10:BG10,"M1")+COUNTIFS(G10:BG10,"N")</f>
        <v>21</v>
      </c>
      <c r="BI10" s="107">
        <f>COUNTIFS(G10:BG10,"L")</f>
        <v>21</v>
      </c>
    </row>
    <row r="11" spans="4:61">
      <c r="D11" s="97" t="s">
        <v>188</v>
      </c>
      <c r="E11" s="108">
        <f>COUNTIFS(G11:BG11,"T")*40+COUNTIFS(G11:BG11,"M1")*64+COUNTIFS(G11:BG11,"N")*64-24</f>
        <v>1720</v>
      </c>
      <c r="F11" s="108">
        <f>1800-E11</f>
        <v>80</v>
      </c>
      <c r="G11" s="100" t="s">
        <v>7</v>
      </c>
      <c r="H11" s="100" t="s">
        <v>54</v>
      </c>
      <c r="I11" s="100" t="s">
        <v>7</v>
      </c>
      <c r="J11" s="100" t="s">
        <v>20</v>
      </c>
      <c r="K11" s="100" t="s">
        <v>16</v>
      </c>
      <c r="L11" s="100" t="s">
        <v>7</v>
      </c>
      <c r="M11" s="100" t="s">
        <v>16</v>
      </c>
      <c r="N11" s="100" t="s">
        <v>7</v>
      </c>
      <c r="O11" s="100" t="s">
        <v>20</v>
      </c>
      <c r="P11" s="100" t="s">
        <v>16</v>
      </c>
      <c r="Q11" s="100" t="s">
        <v>7</v>
      </c>
      <c r="R11" s="100" t="s">
        <v>16</v>
      </c>
      <c r="S11" s="100" t="s">
        <v>7</v>
      </c>
      <c r="T11" s="100" t="s">
        <v>20</v>
      </c>
      <c r="U11" s="100" t="s">
        <v>16</v>
      </c>
      <c r="V11" s="100" t="s">
        <v>7</v>
      </c>
      <c r="W11" s="100" t="s">
        <v>16</v>
      </c>
      <c r="X11" s="100" t="s">
        <v>7</v>
      </c>
      <c r="Y11" s="100" t="s">
        <v>20</v>
      </c>
      <c r="Z11" s="100" t="s">
        <v>16</v>
      </c>
      <c r="AA11" s="100" t="s">
        <v>7</v>
      </c>
      <c r="AB11" s="100" t="s">
        <v>16</v>
      </c>
      <c r="AC11" s="100" t="s">
        <v>7</v>
      </c>
      <c r="AD11" s="100" t="s">
        <v>20</v>
      </c>
      <c r="AE11" s="100" t="s">
        <v>16</v>
      </c>
      <c r="AF11" s="100" t="s">
        <v>7</v>
      </c>
      <c r="AG11" s="100" t="s">
        <v>16</v>
      </c>
      <c r="AH11" s="100" t="s">
        <v>7</v>
      </c>
      <c r="AI11" s="100" t="s">
        <v>20</v>
      </c>
      <c r="AJ11" s="100" t="s">
        <v>16</v>
      </c>
      <c r="AK11" s="100" t="s">
        <v>7</v>
      </c>
      <c r="AL11" s="100" t="s">
        <v>16</v>
      </c>
      <c r="AM11" s="100" t="s">
        <v>7</v>
      </c>
      <c r="AN11" s="100" t="s">
        <v>20</v>
      </c>
      <c r="AO11" s="100" t="s">
        <v>16</v>
      </c>
      <c r="AP11" s="100" t="s">
        <v>7</v>
      </c>
      <c r="AQ11" s="100" t="s">
        <v>16</v>
      </c>
      <c r="AR11" s="100" t="s">
        <v>7</v>
      </c>
      <c r="AS11" s="100" t="s">
        <v>20</v>
      </c>
      <c r="AT11" s="100" t="s">
        <v>16</v>
      </c>
      <c r="AU11" s="100" t="s">
        <v>7</v>
      </c>
      <c r="AV11" s="100" t="s">
        <v>16</v>
      </c>
      <c r="AW11" s="100" t="s">
        <v>7</v>
      </c>
      <c r="AX11" s="100" t="s">
        <v>20</v>
      </c>
      <c r="AY11" s="100" t="s">
        <v>16</v>
      </c>
      <c r="AZ11" s="100" t="s">
        <v>7</v>
      </c>
      <c r="BA11" s="100" t="s">
        <v>16</v>
      </c>
      <c r="BB11" s="100" t="s">
        <v>7</v>
      </c>
      <c r="BC11" s="100" t="s">
        <v>20</v>
      </c>
      <c r="BD11" s="100" t="s">
        <v>16</v>
      </c>
      <c r="BE11" s="100" t="s">
        <v>7</v>
      </c>
      <c r="BF11" s="100" t="s">
        <v>16</v>
      </c>
      <c r="BG11" s="100" t="s">
        <v>7</v>
      </c>
      <c r="BH11" s="107">
        <f>COUNTIFS(G11:BG11,"M1")+COUNTIFS(G11:BG11,"N")</f>
        <v>21</v>
      </c>
      <c r="BI11" s="107">
        <f>COUNTIFS(G11:BG11,"L")</f>
        <v>22</v>
      </c>
    </row>
    <row r="12" spans="4:61">
      <c r="D12" s="97" t="s">
        <v>189</v>
      </c>
      <c r="E12" s="108">
        <f>COUNTIFS(G12:BG12,"T")*40+COUNTIFS(G12:BG12,"M1")*64+COUNTIFS(G12:BG12,"N")*64-24-32</f>
        <v>1752</v>
      </c>
      <c r="F12" s="108">
        <f>1800-E12</f>
        <v>48</v>
      </c>
      <c r="G12" s="100" t="s">
        <v>16</v>
      </c>
      <c r="H12" s="100" t="s">
        <v>7</v>
      </c>
      <c r="I12" s="100" t="s">
        <v>16</v>
      </c>
      <c r="J12" s="100" t="s">
        <v>7</v>
      </c>
      <c r="K12" s="100" t="s">
        <v>20</v>
      </c>
      <c r="L12" s="100" t="s">
        <v>16</v>
      </c>
      <c r="M12" s="100" t="s">
        <v>7</v>
      </c>
      <c r="N12" s="100" t="s">
        <v>16</v>
      </c>
      <c r="O12" s="100" t="s">
        <v>7</v>
      </c>
      <c r="P12" s="100" t="s">
        <v>20</v>
      </c>
      <c r="Q12" s="100" t="s">
        <v>16</v>
      </c>
      <c r="R12" s="100" t="s">
        <v>7</v>
      </c>
      <c r="S12" s="100" t="s">
        <v>16</v>
      </c>
      <c r="T12" s="100" t="s">
        <v>7</v>
      </c>
      <c r="U12" s="100" t="s">
        <v>20</v>
      </c>
      <c r="V12" s="100" t="s">
        <v>16</v>
      </c>
      <c r="W12" s="100" t="s">
        <v>7</v>
      </c>
      <c r="X12" s="100" t="s">
        <v>16</v>
      </c>
      <c r="Y12" s="100" t="s">
        <v>7</v>
      </c>
      <c r="Z12" s="100" t="s">
        <v>20</v>
      </c>
      <c r="AA12" s="100" t="s">
        <v>16</v>
      </c>
      <c r="AB12" s="100" t="s">
        <v>7</v>
      </c>
      <c r="AC12" s="100" t="s">
        <v>16</v>
      </c>
      <c r="AD12" s="100" t="s">
        <v>7</v>
      </c>
      <c r="AE12" s="100" t="s">
        <v>20</v>
      </c>
      <c r="AF12" s="100" t="s">
        <v>16</v>
      </c>
      <c r="AG12" s="100" t="s">
        <v>7</v>
      </c>
      <c r="AH12" s="100" t="s">
        <v>16</v>
      </c>
      <c r="AI12" s="100" t="s">
        <v>7</v>
      </c>
      <c r="AJ12" s="100" t="s">
        <v>20</v>
      </c>
      <c r="AK12" s="100" t="s">
        <v>16</v>
      </c>
      <c r="AL12" s="100" t="s">
        <v>7</v>
      </c>
      <c r="AM12" s="100" t="s">
        <v>16</v>
      </c>
      <c r="AN12" s="100" t="s">
        <v>7</v>
      </c>
      <c r="AO12" s="100" t="s">
        <v>20</v>
      </c>
      <c r="AP12" s="100" t="s">
        <v>16</v>
      </c>
      <c r="AQ12" s="100" t="s">
        <v>7</v>
      </c>
      <c r="AR12" s="100" t="s">
        <v>16</v>
      </c>
      <c r="AS12" s="100" t="s">
        <v>7</v>
      </c>
      <c r="AT12" s="100" t="s">
        <v>20</v>
      </c>
      <c r="AU12" s="100" t="s">
        <v>16</v>
      </c>
      <c r="AV12" s="100" t="s">
        <v>7</v>
      </c>
      <c r="AW12" s="100" t="s">
        <v>16</v>
      </c>
      <c r="AX12" s="100" t="s">
        <v>7</v>
      </c>
      <c r="AY12" s="100" t="s">
        <v>20</v>
      </c>
      <c r="AZ12" s="100" t="s">
        <v>16</v>
      </c>
      <c r="BA12" s="100" t="s">
        <v>7</v>
      </c>
      <c r="BB12" s="100" t="s">
        <v>16</v>
      </c>
      <c r="BC12" s="100" t="s">
        <v>7</v>
      </c>
      <c r="BD12" s="100" t="s">
        <v>20</v>
      </c>
      <c r="BE12" s="100" t="s">
        <v>16</v>
      </c>
      <c r="BF12" s="100" t="s">
        <v>7</v>
      </c>
      <c r="BG12" s="100" t="s">
        <v>16</v>
      </c>
      <c r="BH12" s="107">
        <f>COUNTIFS(G12:BG12,"M1")+COUNTIFS(G12:BG12,"N")</f>
        <v>22</v>
      </c>
      <c r="BI12" s="107">
        <f>COUNTIFS(G12:BG12,"L")</f>
        <v>21</v>
      </c>
    </row>
    <row r="13" spans="4:61">
      <c r="D13" s="97" t="s">
        <v>190</v>
      </c>
      <c r="E13" s="108">
        <f>COUNTIFS(G13:BG13,"T")*40+COUNTIFS(G13:BG13,"M1")*64+COUNTIFS(G13:BG13,"N")*64-24</f>
        <v>1760</v>
      </c>
      <c r="F13" s="108">
        <f>1800-E13</f>
        <v>40</v>
      </c>
      <c r="G13" s="100" t="s">
        <v>20</v>
      </c>
      <c r="H13" s="100" t="s">
        <v>16</v>
      </c>
      <c r="I13" s="100" t="s">
        <v>7</v>
      </c>
      <c r="J13" s="100" t="s">
        <v>16</v>
      </c>
      <c r="K13" s="100" t="s">
        <v>7</v>
      </c>
      <c r="L13" s="100" t="s">
        <v>20</v>
      </c>
      <c r="M13" s="100" t="s">
        <v>16</v>
      </c>
      <c r="N13" s="100" t="s">
        <v>7</v>
      </c>
      <c r="O13" s="100" t="s">
        <v>16</v>
      </c>
      <c r="P13" s="100" t="s">
        <v>7</v>
      </c>
      <c r="Q13" s="100" t="s">
        <v>20</v>
      </c>
      <c r="R13" s="100" t="s">
        <v>16</v>
      </c>
      <c r="S13" s="100" t="s">
        <v>7</v>
      </c>
      <c r="T13" s="100" t="s">
        <v>16</v>
      </c>
      <c r="U13" s="100" t="s">
        <v>7</v>
      </c>
      <c r="V13" s="100" t="s">
        <v>20</v>
      </c>
      <c r="W13" s="100" t="s">
        <v>16</v>
      </c>
      <c r="X13" s="100" t="s">
        <v>7</v>
      </c>
      <c r="Y13" s="100" t="s">
        <v>16</v>
      </c>
      <c r="Z13" s="100" t="s">
        <v>7</v>
      </c>
      <c r="AA13" s="100" t="s">
        <v>20</v>
      </c>
      <c r="AB13" s="100" t="s">
        <v>16</v>
      </c>
      <c r="AC13" s="100" t="s">
        <v>7</v>
      </c>
      <c r="AD13" s="100" t="s">
        <v>16</v>
      </c>
      <c r="AE13" s="100" t="s">
        <v>7</v>
      </c>
      <c r="AF13" s="100" t="s">
        <v>20</v>
      </c>
      <c r="AG13" s="100" t="s">
        <v>16</v>
      </c>
      <c r="AH13" s="100" t="s">
        <v>7</v>
      </c>
      <c r="AI13" s="100" t="s">
        <v>16</v>
      </c>
      <c r="AJ13" s="100" t="s">
        <v>7</v>
      </c>
      <c r="AK13" s="100" t="s">
        <v>20</v>
      </c>
      <c r="AL13" s="100" t="s">
        <v>16</v>
      </c>
      <c r="AM13" s="100" t="s">
        <v>7</v>
      </c>
      <c r="AN13" s="100" t="s">
        <v>16</v>
      </c>
      <c r="AO13" s="100" t="s">
        <v>7</v>
      </c>
      <c r="AP13" s="100" t="s">
        <v>20</v>
      </c>
      <c r="AQ13" s="100" t="s">
        <v>16</v>
      </c>
      <c r="AR13" s="100" t="s">
        <v>7</v>
      </c>
      <c r="AS13" s="100" t="s">
        <v>16</v>
      </c>
      <c r="AT13" s="100" t="s">
        <v>7</v>
      </c>
      <c r="AU13" s="100" t="s">
        <v>20</v>
      </c>
      <c r="AV13" s="100" t="s">
        <v>16</v>
      </c>
      <c r="AW13" s="100" t="s">
        <v>7</v>
      </c>
      <c r="AX13" s="100" t="s">
        <v>16</v>
      </c>
      <c r="AY13" s="100" t="s">
        <v>7</v>
      </c>
      <c r="AZ13" s="100" t="s">
        <v>20</v>
      </c>
      <c r="BA13" s="100" t="s">
        <v>16</v>
      </c>
      <c r="BB13" s="100" t="s">
        <v>7</v>
      </c>
      <c r="BC13" s="100" t="s">
        <v>16</v>
      </c>
      <c r="BD13" s="100" t="s">
        <v>7</v>
      </c>
      <c r="BE13" s="100" t="s">
        <v>20</v>
      </c>
      <c r="BF13" s="100" t="s">
        <v>16</v>
      </c>
      <c r="BG13" s="100" t="s">
        <v>7</v>
      </c>
      <c r="BH13" s="107">
        <f>COUNTIFS(G13:BG13,"M1")+COUNTIFS(G13:BG13,"N")</f>
        <v>21</v>
      </c>
      <c r="BI13" s="107">
        <f>COUNTIFS(G13:BG13,"L")</f>
        <v>21</v>
      </c>
    </row>
    <row r="15" spans="4:61">
      <c r="D15" s="101" t="s">
        <v>191</v>
      </c>
      <c r="E15">
        <f>SUM(E3:E13)</f>
        <v>17424</v>
      </c>
    </row>
    <row r="16" spans="4:61">
      <c r="D16" s="101" t="s">
        <v>192</v>
      </c>
      <c r="E16">
        <f>AVERAGE(E3:E13)</f>
        <v>1742.4</v>
      </c>
      <c r="H16" s="104" t="s">
        <v>193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CE65D-B437-4372-9E5B-6949431F5EBF}"/>
</file>

<file path=customXml/itemProps2.xml><?xml version="1.0" encoding="utf-8"?>
<ds:datastoreItem xmlns:ds="http://schemas.openxmlformats.org/officeDocument/2006/customXml" ds:itemID="{7555FA03-0D71-42C1-B384-265EE4FF1786}"/>
</file>

<file path=customXml/itemProps3.xml><?xml version="1.0" encoding="utf-8"?>
<ds:datastoreItem xmlns:ds="http://schemas.openxmlformats.org/officeDocument/2006/customXml" ds:itemID="{C30E971C-1E23-4A69-8C76-8F8841CEE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Benitez Gonzalez Inmaculada</cp:lastModifiedBy>
  <cp:revision/>
  <dcterms:created xsi:type="dcterms:W3CDTF">2025-06-10T09:39:58Z</dcterms:created>
  <dcterms:modified xsi:type="dcterms:W3CDTF">2026-06-19T11:34:04Z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